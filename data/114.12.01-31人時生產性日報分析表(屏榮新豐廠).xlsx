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theme/theme1.xml" ContentType="application/vnd.openxmlformats-officedocument.theme+xml"/>
  <Override PartName="/xl/worksheets/sheet58.xml" ContentType="application/vnd.openxmlformats-officedocument.spreadsheetml.worksheet+xml"/>
  <Override PartName="/xl/worksheets/sheet57.xml" ContentType="application/vnd.openxmlformats-officedocument.spreadsheetml.worksheet+xml"/>
  <Override PartName="/xl/worksheets/sheet56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19.xml" ContentType="application/vnd.openxmlformats-officedocument.spreadsheetml.worksheet+xml"/>
  <Override PartName="/xl/worksheets/sheet27.xml" ContentType="application/vnd.openxmlformats-officedocument.spreadsheetml.worksheet+xml"/>
  <Override PartName="/xl/worksheets/sheet25.xml" ContentType="application/vnd.openxmlformats-officedocument.spreadsheetml.worksheet+xml"/>
  <Override PartName="/xl/worksheets/sheet21.xml" ContentType="application/vnd.openxmlformats-officedocument.spreadsheetml.worksheet+xml"/>
  <Override PartName="/xl/worksheets/sheet26.xml" ContentType="application/vnd.openxmlformats-officedocument.spreadsheetml.worksheet+xml"/>
  <Override PartName="/xl/worksheets/sheet22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新豐\排程\人時生產日報\"/>
    </mc:Choice>
  </mc:AlternateContent>
  <bookViews>
    <workbookView xWindow="0" yWindow="0" windowWidth="14010" windowHeight="6615" tabRatio="750"/>
  </bookViews>
  <sheets>
    <sheet name="1231" sheetId="218" r:id="rId1"/>
    <sheet name="1231 4度C" sheetId="219" r:id="rId2"/>
    <sheet name="1230" sheetId="216" r:id="rId3"/>
    <sheet name="1230 4度C" sheetId="217" r:id="rId4"/>
    <sheet name="1229" sheetId="214" r:id="rId5"/>
    <sheet name="1229 4度C" sheetId="215" r:id="rId6"/>
    <sheet name="1228" sheetId="212" r:id="rId7"/>
    <sheet name="1228 4度C" sheetId="213" r:id="rId8"/>
    <sheet name="1227" sheetId="210" r:id="rId9"/>
    <sheet name="1227 4度C" sheetId="211" r:id="rId10"/>
    <sheet name="1226" sheetId="208" r:id="rId11"/>
    <sheet name="1226 4度C" sheetId="207" r:id="rId12"/>
    <sheet name="1225" sheetId="209" r:id="rId13"/>
    <sheet name="1225 4度C" sheetId="205" r:id="rId14"/>
    <sheet name="1224" sheetId="202" r:id="rId15"/>
    <sheet name="1224 4度C" sheetId="203" r:id="rId16"/>
    <sheet name="1223" sheetId="200" r:id="rId17"/>
    <sheet name="1223 4度C" sheetId="201" r:id="rId18"/>
    <sheet name="1222" sheetId="198" r:id="rId19"/>
    <sheet name="1222 4度C" sheetId="199" r:id="rId20"/>
    <sheet name="1221" sheetId="192" r:id="rId21"/>
    <sheet name="1221 4度C" sheetId="193" r:id="rId22"/>
    <sheet name="1220" sheetId="190" r:id="rId23"/>
    <sheet name="1220 4度C" sheetId="191" r:id="rId24"/>
    <sheet name="1219" sheetId="188" r:id="rId25"/>
    <sheet name="1219 4度C" sheetId="189" r:id="rId26"/>
    <sheet name="1218" sheetId="186" r:id="rId27"/>
    <sheet name="1218 4度C" sheetId="187" r:id="rId28"/>
    <sheet name="1217" sheetId="184" r:id="rId29"/>
    <sheet name="1217 4度C" sheetId="185" r:id="rId30"/>
    <sheet name="1216" sheetId="194" r:id="rId31"/>
    <sheet name="1216 4度C" sheetId="195" r:id="rId32"/>
    <sheet name="1215" sheetId="174" r:id="rId33"/>
    <sheet name="1215 4度C" sheetId="175" r:id="rId34"/>
    <sheet name="1214" sheetId="170" r:id="rId35"/>
    <sheet name="1214 4度C" sheetId="171" r:id="rId36"/>
    <sheet name="1213" sheetId="168" r:id="rId37"/>
    <sheet name="1213 4度C" sheetId="169" r:id="rId38"/>
    <sheet name="1212" sheetId="166" r:id="rId39"/>
    <sheet name="1212 4度C" sheetId="167" r:id="rId40"/>
    <sheet name="1211" sheetId="164" r:id="rId41"/>
    <sheet name="1211 4度C" sheetId="165" r:id="rId42"/>
    <sheet name="1210" sheetId="160" r:id="rId43"/>
    <sheet name="1210 4度C" sheetId="161" r:id="rId44"/>
    <sheet name="1209" sheetId="162" r:id="rId45"/>
    <sheet name="1209 4度C" sheetId="163" r:id="rId46"/>
    <sheet name="1208" sheetId="156" r:id="rId47"/>
    <sheet name="1208 4度C" sheetId="157" r:id="rId48"/>
    <sheet name="1207" sheetId="154" r:id="rId49"/>
    <sheet name="1207 4度C" sheetId="155" r:id="rId50"/>
    <sheet name="1206" sheetId="152" r:id="rId51"/>
    <sheet name="1206 4度C" sheetId="153" r:id="rId52"/>
    <sheet name="1205" sheetId="150" r:id="rId53"/>
    <sheet name="1205 4度C" sheetId="151" r:id="rId54"/>
    <sheet name="1204" sheetId="148" r:id="rId55"/>
    <sheet name="1204 4度C" sheetId="149" r:id="rId56"/>
    <sheet name="1203" sheetId="144" r:id="rId57"/>
    <sheet name="1203 4度C" sheetId="145" r:id="rId58"/>
    <sheet name="1202" sheetId="142" r:id="rId59"/>
    <sheet name="1202 4度C" sheetId="143" r:id="rId60"/>
    <sheet name="1201" sheetId="140" r:id="rId61"/>
    <sheet name="1201 4度C" sheetId="141" r:id="rId62"/>
  </sheets>
  <definedNames>
    <definedName name="_xlnm._FilterDatabase" localSheetId="61" hidden="1">'1201 4度C'!$A$4:$AE$4</definedName>
    <definedName name="_xlnm._FilterDatabase" localSheetId="59" hidden="1">'1202 4度C'!$A$4:$AE$4</definedName>
    <definedName name="_xlnm._FilterDatabase" localSheetId="57" hidden="1">'1203 4度C'!$A$4:$AE$4</definedName>
    <definedName name="_xlnm._FilterDatabase" localSheetId="55" hidden="1">'1204 4度C'!$A$4:$AE$4</definedName>
    <definedName name="_xlnm._FilterDatabase" localSheetId="53" hidden="1">'1205 4度C'!$A$4:$AE$4</definedName>
    <definedName name="_xlnm._FilterDatabase" localSheetId="51" hidden="1">'1206 4度C'!$A$4:$AE$4</definedName>
    <definedName name="_xlnm._FilterDatabase" localSheetId="49" hidden="1">'1207 4度C'!$A$4:$AE$4</definedName>
    <definedName name="_xlnm._FilterDatabase" localSheetId="47" hidden="1">'1208 4度C'!$A$4:$AE$4</definedName>
    <definedName name="_xlnm._FilterDatabase" localSheetId="45" hidden="1">'1209 4度C'!$A$4:$AE$4</definedName>
    <definedName name="_xlnm._FilterDatabase" localSheetId="43" hidden="1">'1210 4度C'!$A$4:$AE$4</definedName>
    <definedName name="_xlnm._FilterDatabase" localSheetId="41" hidden="1">'1211 4度C'!$A$4:$AE$4</definedName>
    <definedName name="_xlnm._FilterDatabase" localSheetId="39" hidden="1">'1212 4度C'!$A$4:$AE$4</definedName>
    <definedName name="_xlnm._FilterDatabase" localSheetId="37" hidden="1">'1213 4度C'!$A$4:$AE$4</definedName>
    <definedName name="_xlnm._FilterDatabase" localSheetId="35" hidden="1">'1214 4度C'!$A$4:$AE$4</definedName>
    <definedName name="_xlnm._FilterDatabase" localSheetId="33" hidden="1">'1215 4度C'!$A$4:$AE$4</definedName>
    <definedName name="_xlnm._FilterDatabase" localSheetId="31" hidden="1">'1216 4度C'!$A$4:$AE$4</definedName>
    <definedName name="_xlnm._FilterDatabase" localSheetId="29" hidden="1">'1217 4度C'!$A$4:$AE$4</definedName>
    <definedName name="_xlnm._FilterDatabase" localSheetId="27" hidden="1">'1218 4度C'!$A$4:$AE$4</definedName>
    <definedName name="_xlnm._FilterDatabase" localSheetId="25" hidden="1">'1219 4度C'!$A$4:$AE$4</definedName>
    <definedName name="_xlnm._FilterDatabase" localSheetId="23" hidden="1">'1220 4度C'!$A$4:$AE$4</definedName>
    <definedName name="_xlnm._FilterDatabase" localSheetId="21" hidden="1">'1221 4度C'!$A$4:$AE$4</definedName>
    <definedName name="_xlnm._FilterDatabase" localSheetId="19" hidden="1">'1222 4度C'!$A$4:$AE$4</definedName>
    <definedName name="_xlnm._FilterDatabase" localSheetId="17" hidden="1">'1223 4度C'!$A$4:$AE$4</definedName>
    <definedName name="_xlnm._FilterDatabase" localSheetId="15" hidden="1">'1224 4度C'!$A$4:$AE$4</definedName>
    <definedName name="_xlnm._FilterDatabase" localSheetId="13" hidden="1">'1225 4度C'!$A$4:$AE$4</definedName>
    <definedName name="_xlnm._FilterDatabase" localSheetId="11" hidden="1">'1226 4度C'!$A$4:$AE$4</definedName>
    <definedName name="_xlnm._FilterDatabase" localSheetId="9" hidden="1">'1227 4度C'!$A$4:$AE$4</definedName>
    <definedName name="_xlnm._FilterDatabase" localSheetId="7" hidden="1">'1228 4度C'!$A$4:$AE$4</definedName>
    <definedName name="_xlnm._FilterDatabase" localSheetId="5" hidden="1">'1229 4度C'!$A$4:$AE$4</definedName>
    <definedName name="_xlnm._FilterDatabase" localSheetId="3" hidden="1">'1230 4度C'!$A$4:$AE$4</definedName>
    <definedName name="_xlnm._FilterDatabase" localSheetId="1" hidden="1">'1231 4度C'!$A$4:$AE$4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73" i="219" l="1"/>
  <c r="K73" i="219"/>
  <c r="V72" i="219"/>
  <c r="M72" i="219" s="1"/>
  <c r="U72" i="219"/>
  <c r="O72" i="219"/>
  <c r="K72" i="219"/>
  <c r="G72" i="219"/>
  <c r="V71" i="219"/>
  <c r="M71" i="219" s="1"/>
  <c r="U71" i="219"/>
  <c r="O71" i="219"/>
  <c r="K71" i="219"/>
  <c r="G71" i="219"/>
  <c r="V70" i="219"/>
  <c r="M70" i="219" s="1"/>
  <c r="U70" i="219"/>
  <c r="O70" i="219"/>
  <c r="K70" i="219"/>
  <c r="G70" i="219"/>
  <c r="V69" i="219"/>
  <c r="M69" i="219" s="1"/>
  <c r="U69" i="219"/>
  <c r="O69" i="219"/>
  <c r="K69" i="219"/>
  <c r="G69" i="219"/>
  <c r="X68" i="219"/>
  <c r="W68" i="219"/>
  <c r="V68" i="219"/>
  <c r="M68" i="219" s="1"/>
  <c r="O68" i="219"/>
  <c r="K68" i="219"/>
  <c r="G68" i="219"/>
  <c r="O67" i="219"/>
  <c r="K67" i="219"/>
  <c r="V66" i="219"/>
  <c r="U66" i="219"/>
  <c r="O66" i="219"/>
  <c r="M66" i="219"/>
  <c r="AB66" i="219" s="1"/>
  <c r="K66" i="219"/>
  <c r="G66" i="219"/>
  <c r="V65" i="219"/>
  <c r="U65" i="219"/>
  <c r="P65" i="219"/>
  <c r="O65" i="219"/>
  <c r="N65" i="219"/>
  <c r="Q65" i="219" s="1"/>
  <c r="M65" i="219"/>
  <c r="AB65" i="219" s="1"/>
  <c r="K65" i="219"/>
  <c r="G65" i="219"/>
  <c r="V64" i="219"/>
  <c r="U64" i="219"/>
  <c r="O64" i="219"/>
  <c r="M64" i="219"/>
  <c r="AB64" i="219" s="1"/>
  <c r="K64" i="219"/>
  <c r="G64" i="219"/>
  <c r="AB63" i="219"/>
  <c r="V63" i="219"/>
  <c r="U63" i="219"/>
  <c r="O63" i="219"/>
  <c r="N63" i="219"/>
  <c r="Q63" i="219" s="1"/>
  <c r="M63" i="219"/>
  <c r="AA63" i="219" s="1"/>
  <c r="K63" i="219"/>
  <c r="G63" i="219"/>
  <c r="V62" i="219"/>
  <c r="U62" i="219"/>
  <c r="O62" i="219"/>
  <c r="M62" i="219"/>
  <c r="N62" i="219" s="1"/>
  <c r="K62" i="219"/>
  <c r="G62" i="219"/>
  <c r="V61" i="219"/>
  <c r="O61" i="219"/>
  <c r="M61" i="219"/>
  <c r="M67" i="219" s="1"/>
  <c r="K61" i="219"/>
  <c r="G61" i="219"/>
  <c r="O60" i="219"/>
  <c r="K60" i="219"/>
  <c r="V59" i="219"/>
  <c r="M59" i="219" s="1"/>
  <c r="U59" i="219"/>
  <c r="O59" i="219"/>
  <c r="K59" i="219"/>
  <c r="G59" i="219"/>
  <c r="X58" i="219"/>
  <c r="W58" i="219"/>
  <c r="V58" i="219"/>
  <c r="M58" i="219" s="1"/>
  <c r="U58" i="219"/>
  <c r="O58" i="219"/>
  <c r="K58" i="219"/>
  <c r="G58" i="219"/>
  <c r="V57" i="219"/>
  <c r="M57" i="219" s="1"/>
  <c r="U57" i="219"/>
  <c r="O57" i="219"/>
  <c r="K57" i="219"/>
  <c r="G57" i="219"/>
  <c r="V56" i="219"/>
  <c r="M56" i="219" s="1"/>
  <c r="U56" i="219"/>
  <c r="O56" i="219"/>
  <c r="K56" i="219"/>
  <c r="G56" i="219"/>
  <c r="V55" i="219"/>
  <c r="U55" i="219"/>
  <c r="P55" i="219"/>
  <c r="O55" i="219"/>
  <c r="N55" i="219"/>
  <c r="Q55" i="219" s="1"/>
  <c r="M55" i="219"/>
  <c r="AB55" i="219" s="1"/>
  <c r="K55" i="219"/>
  <c r="G55" i="219"/>
  <c r="V54" i="219"/>
  <c r="U54" i="219"/>
  <c r="O54" i="219"/>
  <c r="M54" i="219"/>
  <c r="AB54" i="219" s="1"/>
  <c r="K54" i="219"/>
  <c r="G54" i="219"/>
  <c r="V53" i="219"/>
  <c r="U53" i="219"/>
  <c r="P53" i="219"/>
  <c r="O53" i="219"/>
  <c r="N53" i="219"/>
  <c r="Q53" i="219" s="1"/>
  <c r="M53" i="219"/>
  <c r="AB53" i="219" s="1"/>
  <c r="K53" i="219"/>
  <c r="G53" i="219"/>
  <c r="V52" i="219"/>
  <c r="P52" i="219"/>
  <c r="O52" i="219"/>
  <c r="N52" i="219"/>
  <c r="Q52" i="219" s="1"/>
  <c r="M52" i="219"/>
  <c r="AB52" i="219" s="1"/>
  <c r="K52" i="219"/>
  <c r="G52" i="219"/>
  <c r="O51" i="219"/>
  <c r="K51" i="219"/>
  <c r="V50" i="219"/>
  <c r="M50" i="219" s="1"/>
  <c r="U50" i="219"/>
  <c r="O50" i="219"/>
  <c r="K50" i="219"/>
  <c r="G50" i="219"/>
  <c r="V49" i="219"/>
  <c r="M49" i="219" s="1"/>
  <c r="U49" i="219"/>
  <c r="O49" i="219"/>
  <c r="K49" i="219"/>
  <c r="G49" i="219"/>
  <c r="V48" i="219"/>
  <c r="M48" i="219" s="1"/>
  <c r="U48" i="219"/>
  <c r="O48" i="219"/>
  <c r="K48" i="219"/>
  <c r="G48" i="219"/>
  <c r="V47" i="219"/>
  <c r="M47" i="219" s="1"/>
  <c r="U47" i="219"/>
  <c r="O47" i="219"/>
  <c r="K47" i="219"/>
  <c r="G47" i="219"/>
  <c r="V46" i="219"/>
  <c r="M46" i="219" s="1"/>
  <c r="U46" i="219"/>
  <c r="O46" i="219"/>
  <c r="K46" i="219"/>
  <c r="G46" i="219"/>
  <c r="X45" i="219"/>
  <c r="W45" i="219"/>
  <c r="V45" i="219"/>
  <c r="M45" i="219" s="1"/>
  <c r="O45" i="219"/>
  <c r="K45" i="219"/>
  <c r="G45" i="219"/>
  <c r="O44" i="219"/>
  <c r="K44" i="219"/>
  <c r="V43" i="219"/>
  <c r="U43" i="219"/>
  <c r="P43" i="219"/>
  <c r="O43" i="219"/>
  <c r="N43" i="219"/>
  <c r="Q43" i="219" s="1"/>
  <c r="M43" i="219"/>
  <c r="AB43" i="219" s="1"/>
  <c r="K43" i="219"/>
  <c r="G43" i="219"/>
  <c r="V42" i="219"/>
  <c r="U42" i="219"/>
  <c r="O42" i="219"/>
  <c r="M42" i="219"/>
  <c r="AB42" i="219" s="1"/>
  <c r="K42" i="219"/>
  <c r="G42" i="219"/>
  <c r="V41" i="219"/>
  <c r="U41" i="219"/>
  <c r="O41" i="219"/>
  <c r="N41" i="219"/>
  <c r="Q41" i="219" s="1"/>
  <c r="M41" i="219"/>
  <c r="AA41" i="219" s="1"/>
  <c r="K41" i="219"/>
  <c r="G41" i="219"/>
  <c r="V40" i="219"/>
  <c r="U40" i="219"/>
  <c r="O40" i="219"/>
  <c r="M40" i="219"/>
  <c r="N40" i="219" s="1"/>
  <c r="K40" i="219"/>
  <c r="G40" i="219"/>
  <c r="V39" i="219"/>
  <c r="M39" i="219" s="1"/>
  <c r="U39" i="219"/>
  <c r="O39" i="219"/>
  <c r="K39" i="219"/>
  <c r="G39" i="219"/>
  <c r="V38" i="219"/>
  <c r="M38" i="219" s="1"/>
  <c r="U38" i="219"/>
  <c r="O38" i="219"/>
  <c r="K38" i="219"/>
  <c r="G38" i="219"/>
  <c r="X37" i="219"/>
  <c r="W37" i="219"/>
  <c r="V37" i="219"/>
  <c r="O37" i="219"/>
  <c r="M37" i="219"/>
  <c r="N37" i="219" s="1"/>
  <c r="K37" i="219"/>
  <c r="G37" i="219"/>
  <c r="O36" i="219"/>
  <c r="K36" i="219"/>
  <c r="V35" i="219"/>
  <c r="M35" i="219" s="1"/>
  <c r="U35" i="219"/>
  <c r="O35" i="219"/>
  <c r="K35" i="219"/>
  <c r="G35" i="219"/>
  <c r="V34" i="219"/>
  <c r="M34" i="219" s="1"/>
  <c r="U34" i="219"/>
  <c r="O34" i="219"/>
  <c r="K34" i="219"/>
  <c r="G34" i="219"/>
  <c r="V33" i="219"/>
  <c r="U33" i="219"/>
  <c r="P33" i="219"/>
  <c r="O33" i="219"/>
  <c r="N33" i="219"/>
  <c r="Q33" i="219" s="1"/>
  <c r="M33" i="219"/>
  <c r="AB33" i="219" s="1"/>
  <c r="K33" i="219"/>
  <c r="G33" i="219"/>
  <c r="V32" i="219"/>
  <c r="U32" i="219"/>
  <c r="O32" i="219"/>
  <c r="M32" i="219"/>
  <c r="AB32" i="219" s="1"/>
  <c r="K32" i="219"/>
  <c r="G32" i="219"/>
  <c r="X31" i="219"/>
  <c r="W31" i="219"/>
  <c r="V31" i="219"/>
  <c r="M31" i="219" s="1"/>
  <c r="O31" i="219"/>
  <c r="K31" i="219"/>
  <c r="G31" i="219"/>
  <c r="O30" i="219"/>
  <c r="K30" i="219"/>
  <c r="V29" i="219"/>
  <c r="U29" i="219"/>
  <c r="O29" i="219"/>
  <c r="N29" i="219"/>
  <c r="Q29" i="219" s="1"/>
  <c r="M29" i="219"/>
  <c r="AA29" i="219" s="1"/>
  <c r="K29" i="219"/>
  <c r="G29" i="219"/>
  <c r="X28" i="219"/>
  <c r="W28" i="219"/>
  <c r="V28" i="219"/>
  <c r="U28" i="219"/>
  <c r="O28" i="219"/>
  <c r="M28" i="219"/>
  <c r="N28" i="219" s="1"/>
  <c r="K28" i="219"/>
  <c r="G28" i="219"/>
  <c r="V27" i="219"/>
  <c r="U27" i="219"/>
  <c r="O27" i="219"/>
  <c r="N27" i="219"/>
  <c r="Q27" i="219" s="1"/>
  <c r="M27" i="219"/>
  <c r="AA27" i="219" s="1"/>
  <c r="K27" i="219"/>
  <c r="G27" i="219"/>
  <c r="V26" i="219"/>
  <c r="U26" i="219"/>
  <c r="O26" i="219"/>
  <c r="M26" i="219"/>
  <c r="N26" i="219" s="1"/>
  <c r="K26" i="219"/>
  <c r="G26" i="219"/>
  <c r="V25" i="219"/>
  <c r="M25" i="219" s="1"/>
  <c r="U25" i="219"/>
  <c r="O25" i="219"/>
  <c r="K25" i="219"/>
  <c r="G25" i="219"/>
  <c r="V24" i="219"/>
  <c r="M24" i="219" s="1"/>
  <c r="U24" i="219"/>
  <c r="O24" i="219"/>
  <c r="K24" i="219"/>
  <c r="G24" i="219"/>
  <c r="V23" i="219"/>
  <c r="M23" i="219" s="1"/>
  <c r="U23" i="219"/>
  <c r="O23" i="219"/>
  <c r="K23" i="219"/>
  <c r="G23" i="219"/>
  <c r="V22" i="219"/>
  <c r="M22" i="219" s="1"/>
  <c r="U22" i="219"/>
  <c r="O22" i="219"/>
  <c r="K22" i="219"/>
  <c r="G22" i="219"/>
  <c r="V21" i="219"/>
  <c r="M21" i="219" s="1"/>
  <c r="O21" i="219"/>
  <c r="K21" i="219"/>
  <c r="G21" i="219"/>
  <c r="O20" i="219"/>
  <c r="K20" i="219"/>
  <c r="AB19" i="219"/>
  <c r="V19" i="219"/>
  <c r="U19" i="219"/>
  <c r="P19" i="219"/>
  <c r="O19" i="219"/>
  <c r="N19" i="219"/>
  <c r="Q19" i="219" s="1"/>
  <c r="M19" i="219"/>
  <c r="AA19" i="219" s="1"/>
  <c r="K19" i="219"/>
  <c r="G19" i="219"/>
  <c r="X18" i="219"/>
  <c r="W18" i="219"/>
  <c r="V18" i="219"/>
  <c r="U18" i="219"/>
  <c r="O18" i="219"/>
  <c r="M18" i="219"/>
  <c r="AB18" i="219" s="1"/>
  <c r="K18" i="219"/>
  <c r="G18" i="219"/>
  <c r="AB17" i="219"/>
  <c r="V17" i="219"/>
  <c r="U17" i="219"/>
  <c r="P17" i="219"/>
  <c r="O17" i="219"/>
  <c r="N17" i="219"/>
  <c r="Q17" i="219" s="1"/>
  <c r="M17" i="219"/>
  <c r="AA17" i="219" s="1"/>
  <c r="K17" i="219"/>
  <c r="G17" i="219"/>
  <c r="V16" i="219"/>
  <c r="U16" i="219"/>
  <c r="O16" i="219"/>
  <c r="M16" i="219"/>
  <c r="AB16" i="219" s="1"/>
  <c r="K16" i="219"/>
  <c r="G16" i="219"/>
  <c r="AB15" i="219"/>
  <c r="V15" i="219"/>
  <c r="U15" i="219"/>
  <c r="O15" i="219"/>
  <c r="N15" i="219"/>
  <c r="Q15" i="219" s="1"/>
  <c r="M15" i="219"/>
  <c r="AA15" i="219" s="1"/>
  <c r="K15" i="219"/>
  <c r="G15" i="219"/>
  <c r="V14" i="219"/>
  <c r="U14" i="219"/>
  <c r="O14" i="219"/>
  <c r="M14" i="219"/>
  <c r="N14" i="219" s="1"/>
  <c r="K14" i="219"/>
  <c r="G14" i="219"/>
  <c r="V13" i="219"/>
  <c r="M13" i="219" s="1"/>
  <c r="U13" i="219"/>
  <c r="O13" i="219"/>
  <c r="K13" i="219"/>
  <c r="G13" i="219"/>
  <c r="V12" i="219"/>
  <c r="M12" i="219" s="1"/>
  <c r="O12" i="219"/>
  <c r="K12" i="219"/>
  <c r="G12" i="219"/>
  <c r="O11" i="219"/>
  <c r="K11" i="219"/>
  <c r="V10" i="219"/>
  <c r="M10" i="219" s="1"/>
  <c r="U10" i="219"/>
  <c r="O10" i="219"/>
  <c r="K10" i="219"/>
  <c r="G10" i="219"/>
  <c r="X9" i="219"/>
  <c r="W9" i="219"/>
  <c r="V9" i="219"/>
  <c r="M9" i="219" s="1"/>
  <c r="O9" i="219"/>
  <c r="K9" i="219"/>
  <c r="G9" i="219"/>
  <c r="AA8" i="219"/>
  <c r="O8" i="219"/>
  <c r="M8" i="219"/>
  <c r="AB8" i="219" s="1"/>
  <c r="AC5" i="219" s="1"/>
  <c r="K8" i="219"/>
  <c r="AB7" i="219"/>
  <c r="V7" i="219"/>
  <c r="U7" i="219"/>
  <c r="P7" i="219"/>
  <c r="O7" i="219"/>
  <c r="N7" i="219"/>
  <c r="Q7" i="219" s="1"/>
  <c r="M7" i="219"/>
  <c r="AA7" i="219" s="1"/>
  <c r="K7" i="219"/>
  <c r="G7" i="219"/>
  <c r="V6" i="219"/>
  <c r="U6" i="219"/>
  <c r="O6" i="219"/>
  <c r="M6" i="219"/>
  <c r="AB6" i="219" s="1"/>
  <c r="K6" i="219"/>
  <c r="G6" i="219"/>
  <c r="V5" i="219"/>
  <c r="O5" i="219"/>
  <c r="M5" i="219"/>
  <c r="AB5" i="219" s="1"/>
  <c r="K5" i="219"/>
  <c r="G5" i="219"/>
  <c r="F1" i="219" s="1"/>
  <c r="H2" i="219"/>
  <c r="H1" i="219"/>
  <c r="D1" i="219"/>
  <c r="M18" i="218"/>
  <c r="L18" i="218"/>
  <c r="K18" i="218"/>
  <c r="J18" i="218"/>
  <c r="I18" i="218"/>
  <c r="H18" i="218"/>
  <c r="G18" i="218"/>
  <c r="F18" i="218"/>
  <c r="E18" i="218"/>
  <c r="D18" i="218"/>
  <c r="M17" i="218"/>
  <c r="L17" i="218"/>
  <c r="K17" i="218"/>
  <c r="J17" i="218"/>
  <c r="I17" i="218"/>
  <c r="H17" i="218"/>
  <c r="G17" i="218"/>
  <c r="F17" i="218"/>
  <c r="E17" i="218"/>
  <c r="D17" i="218"/>
  <c r="M16" i="218"/>
  <c r="L16" i="218"/>
  <c r="K16" i="218"/>
  <c r="J16" i="218"/>
  <c r="I16" i="218"/>
  <c r="H16" i="218"/>
  <c r="G16" i="218"/>
  <c r="F16" i="218"/>
  <c r="E16" i="218"/>
  <c r="D16" i="218"/>
  <c r="M13" i="218"/>
  <c r="L13" i="218"/>
  <c r="K13" i="218"/>
  <c r="I6" i="218" s="1"/>
  <c r="J13" i="218"/>
  <c r="I13" i="218"/>
  <c r="H13" i="218"/>
  <c r="G13" i="218"/>
  <c r="E6" i="218" s="1"/>
  <c r="F13" i="218"/>
  <c r="E13" i="218"/>
  <c r="D13" i="218"/>
  <c r="G6" i="218" s="1"/>
  <c r="F3" i="218"/>
  <c r="C3" i="218"/>
  <c r="N69" i="219" l="1"/>
  <c r="AB69" i="219"/>
  <c r="AA69" i="219"/>
  <c r="N25" i="219"/>
  <c r="AB25" i="219"/>
  <c r="AA25" i="219"/>
  <c r="N68" i="219"/>
  <c r="AB68" i="219"/>
  <c r="M73" i="219"/>
  <c r="AA68" i="219"/>
  <c r="N13" i="219"/>
  <c r="AB13" i="219"/>
  <c r="AA13" i="219"/>
  <c r="N57" i="219"/>
  <c r="AB57" i="219"/>
  <c r="AA57" i="219"/>
  <c r="N23" i="219"/>
  <c r="AB23" i="219"/>
  <c r="AA23" i="219"/>
  <c r="N38" i="219"/>
  <c r="AB38" i="219"/>
  <c r="AA38" i="219"/>
  <c r="N49" i="219"/>
  <c r="AB49" i="219"/>
  <c r="AA49" i="219"/>
  <c r="Q14" i="219"/>
  <c r="P14" i="219"/>
  <c r="Q26" i="219"/>
  <c r="P26" i="219"/>
  <c r="Q28" i="219"/>
  <c r="P28" i="219"/>
  <c r="N47" i="219"/>
  <c r="AB47" i="219"/>
  <c r="AA47" i="219"/>
  <c r="AB67" i="219"/>
  <c r="AC61" i="219" s="1"/>
  <c r="AA67" i="219"/>
  <c r="N67" i="219"/>
  <c r="N12" i="219"/>
  <c r="AB12" i="219"/>
  <c r="AA12" i="219"/>
  <c r="M20" i="219"/>
  <c r="AB34" i="219"/>
  <c r="AA34" i="219"/>
  <c r="N34" i="219"/>
  <c r="N39" i="219"/>
  <c r="AB39" i="219"/>
  <c r="AA39" i="219"/>
  <c r="N50" i="219"/>
  <c r="AB50" i="219"/>
  <c r="AA50" i="219"/>
  <c r="AB56" i="219"/>
  <c r="AA56" i="219"/>
  <c r="N56" i="219"/>
  <c r="N22" i="219"/>
  <c r="AB22" i="219"/>
  <c r="AA22" i="219"/>
  <c r="N48" i="219"/>
  <c r="AB48" i="219"/>
  <c r="AA48" i="219"/>
  <c r="N72" i="219"/>
  <c r="AB72" i="219"/>
  <c r="AA72" i="219"/>
  <c r="AB46" i="219"/>
  <c r="AA46" i="219"/>
  <c r="N46" i="219"/>
  <c r="N35" i="219"/>
  <c r="AB35" i="219"/>
  <c r="AA35" i="219"/>
  <c r="N59" i="219"/>
  <c r="AB59" i="219"/>
  <c r="AA59" i="219"/>
  <c r="AB10" i="219"/>
  <c r="AA10" i="219"/>
  <c r="N10" i="219"/>
  <c r="F2" i="219"/>
  <c r="I3" i="218"/>
  <c r="N21" i="219"/>
  <c r="AB21" i="219"/>
  <c r="AA21" i="219"/>
  <c r="M30" i="219"/>
  <c r="N45" i="219"/>
  <c r="AB45" i="219"/>
  <c r="AA45" i="219"/>
  <c r="M51" i="219"/>
  <c r="N71" i="219"/>
  <c r="AB71" i="219"/>
  <c r="AA71" i="219"/>
  <c r="Q37" i="219"/>
  <c r="P37" i="219"/>
  <c r="N58" i="219"/>
  <c r="AB58" i="219"/>
  <c r="AA58" i="219"/>
  <c r="N9" i="219"/>
  <c r="M11" i="219"/>
  <c r="AB9" i="219"/>
  <c r="AA9" i="219"/>
  <c r="N24" i="219"/>
  <c r="AB24" i="219"/>
  <c r="AA24" i="219"/>
  <c r="AB31" i="219"/>
  <c r="M36" i="219"/>
  <c r="AA31" i="219"/>
  <c r="N31" i="219"/>
  <c r="Q40" i="219"/>
  <c r="P40" i="219"/>
  <c r="Q62" i="219"/>
  <c r="P62" i="219"/>
  <c r="N70" i="219"/>
  <c r="AB70" i="219"/>
  <c r="AA70" i="219"/>
  <c r="AA14" i="219"/>
  <c r="AA26" i="219"/>
  <c r="AB27" i="219"/>
  <c r="AA28" i="219"/>
  <c r="AB29" i="219"/>
  <c r="AA40" i="219"/>
  <c r="AB41" i="219"/>
  <c r="M44" i="219"/>
  <c r="AA61" i="219"/>
  <c r="AA62" i="219"/>
  <c r="N8" i="219"/>
  <c r="AB14" i="219"/>
  <c r="AB26" i="219"/>
  <c r="AB28" i="219"/>
  <c r="AB40" i="219"/>
  <c r="AB61" i="219"/>
  <c r="AB62" i="219"/>
  <c r="N18" i="219"/>
  <c r="N32" i="219"/>
  <c r="AA37" i="219"/>
  <c r="N54" i="219"/>
  <c r="N66" i="219"/>
  <c r="AB37" i="219"/>
  <c r="N5" i="219"/>
  <c r="N6" i="219"/>
  <c r="N16" i="219"/>
  <c r="N42" i="219"/>
  <c r="N64" i="219"/>
  <c r="N61" i="219"/>
  <c r="P15" i="219"/>
  <c r="P27" i="219"/>
  <c r="P29" i="219"/>
  <c r="AA33" i="219"/>
  <c r="P41" i="219"/>
  <c r="AA55" i="219"/>
  <c r="P63" i="219"/>
  <c r="AA32" i="219"/>
  <c r="AA54" i="219"/>
  <c r="M60" i="219"/>
  <c r="AA66" i="219"/>
  <c r="F6" i="218"/>
  <c r="AA43" i="219"/>
  <c r="AA52" i="219"/>
  <c r="AA53" i="219"/>
  <c r="AA65" i="219"/>
  <c r="AA5" i="219"/>
  <c r="AA6" i="219"/>
  <c r="AA16" i="219"/>
  <c r="AA18" i="219"/>
  <c r="AA42" i="219"/>
  <c r="AA64" i="219"/>
  <c r="O75" i="217"/>
  <c r="K75" i="217"/>
  <c r="V74" i="217"/>
  <c r="M74" i="217" s="1"/>
  <c r="U74" i="217"/>
  <c r="O74" i="217"/>
  <c r="K74" i="217"/>
  <c r="G74" i="217"/>
  <c r="AB73" i="217"/>
  <c r="X73" i="217"/>
  <c r="W73" i="217"/>
  <c r="V73" i="217"/>
  <c r="U73" i="217"/>
  <c r="O73" i="217"/>
  <c r="M73" i="217"/>
  <c r="N73" i="217" s="1"/>
  <c r="K73" i="217"/>
  <c r="G73" i="217"/>
  <c r="V72" i="217"/>
  <c r="M72" i="217" s="1"/>
  <c r="U72" i="217"/>
  <c r="O72" i="217"/>
  <c r="K72" i="217"/>
  <c r="G72" i="217"/>
  <c r="V71" i="217"/>
  <c r="M71" i="217" s="1"/>
  <c r="U71" i="217"/>
  <c r="O71" i="217"/>
  <c r="K71" i="217"/>
  <c r="G71" i="217"/>
  <c r="AB70" i="217"/>
  <c r="AA70" i="217"/>
  <c r="V70" i="217"/>
  <c r="U70" i="217"/>
  <c r="O70" i="217"/>
  <c r="M70" i="217"/>
  <c r="N70" i="217" s="1"/>
  <c r="K70" i="217"/>
  <c r="G70" i="217"/>
  <c r="X69" i="217"/>
  <c r="W69" i="217"/>
  <c r="V69" i="217"/>
  <c r="M69" i="217" s="1"/>
  <c r="O69" i="217"/>
  <c r="K69" i="217"/>
  <c r="G69" i="217"/>
  <c r="O68" i="217"/>
  <c r="K68" i="217"/>
  <c r="V67" i="217"/>
  <c r="M67" i="217" s="1"/>
  <c r="U67" i="217"/>
  <c r="O67" i="217"/>
  <c r="K67" i="217"/>
  <c r="G67" i="217"/>
  <c r="V66" i="217"/>
  <c r="U66" i="217"/>
  <c r="O66" i="217"/>
  <c r="M66" i="217"/>
  <c r="AB66" i="217" s="1"/>
  <c r="K66" i="217"/>
  <c r="G66" i="217"/>
  <c r="V65" i="217"/>
  <c r="U65" i="217"/>
  <c r="O65" i="217"/>
  <c r="M65" i="217"/>
  <c r="AB65" i="217" s="1"/>
  <c r="K65" i="217"/>
  <c r="G65" i="217"/>
  <c r="V64" i="217"/>
  <c r="M64" i="217" s="1"/>
  <c r="U64" i="217"/>
  <c r="O64" i="217"/>
  <c r="K64" i="217"/>
  <c r="G64" i="217"/>
  <c r="V63" i="217"/>
  <c r="U63" i="217"/>
  <c r="O63" i="217"/>
  <c r="M63" i="217"/>
  <c r="AA63" i="217" s="1"/>
  <c r="K63" i="217"/>
  <c r="G63" i="217"/>
  <c r="V62" i="217"/>
  <c r="O62" i="217"/>
  <c r="M62" i="217"/>
  <c r="AA62" i="217" s="1"/>
  <c r="K62" i="217"/>
  <c r="G62" i="217"/>
  <c r="O61" i="217"/>
  <c r="K61" i="217"/>
  <c r="AB60" i="217"/>
  <c r="AA60" i="217"/>
  <c r="V60" i="217"/>
  <c r="U60" i="217"/>
  <c r="O60" i="217"/>
  <c r="M60" i="217"/>
  <c r="N60" i="217" s="1"/>
  <c r="K60" i="217"/>
  <c r="G60" i="217"/>
  <c r="X59" i="217"/>
  <c r="W59" i="217"/>
  <c r="V59" i="217"/>
  <c r="M59" i="217" s="1"/>
  <c r="U59" i="217"/>
  <c r="O59" i="217"/>
  <c r="K59" i="217"/>
  <c r="G59" i="217"/>
  <c r="AB58" i="217"/>
  <c r="AA58" i="217"/>
  <c r="V58" i="217"/>
  <c r="U58" i="217"/>
  <c r="O58" i="217"/>
  <c r="M58" i="217"/>
  <c r="N58" i="217" s="1"/>
  <c r="K58" i="217"/>
  <c r="G58" i="217"/>
  <c r="V57" i="217"/>
  <c r="M57" i="217" s="1"/>
  <c r="U57" i="217"/>
  <c r="O57" i="217"/>
  <c r="K57" i="217"/>
  <c r="G57" i="217"/>
  <c r="V56" i="217"/>
  <c r="M56" i="217" s="1"/>
  <c r="U56" i="217"/>
  <c r="O56" i="217"/>
  <c r="K56" i="217"/>
  <c r="G56" i="217"/>
  <c r="V55" i="217"/>
  <c r="M55" i="217" s="1"/>
  <c r="U55" i="217"/>
  <c r="O55" i="217"/>
  <c r="K55" i="217"/>
  <c r="G55" i="217"/>
  <c r="V54" i="217"/>
  <c r="U54" i="217"/>
  <c r="O54" i="217"/>
  <c r="M54" i="217"/>
  <c r="AB54" i="217" s="1"/>
  <c r="K54" i="217"/>
  <c r="G54" i="217"/>
  <c r="V53" i="217"/>
  <c r="O53" i="217"/>
  <c r="M53" i="217"/>
  <c r="AB53" i="217" s="1"/>
  <c r="K53" i="217"/>
  <c r="G53" i="217"/>
  <c r="O52" i="217"/>
  <c r="K52" i="217"/>
  <c r="AB51" i="217"/>
  <c r="AA51" i="217"/>
  <c r="V51" i="217"/>
  <c r="U51" i="217"/>
  <c r="O51" i="217"/>
  <c r="M51" i="217"/>
  <c r="N51" i="217" s="1"/>
  <c r="K51" i="217"/>
  <c r="G51" i="217"/>
  <c r="V50" i="217"/>
  <c r="M50" i="217" s="1"/>
  <c r="U50" i="217"/>
  <c r="O50" i="217"/>
  <c r="K50" i="217"/>
  <c r="G50" i="217"/>
  <c r="V49" i="217"/>
  <c r="M49" i="217" s="1"/>
  <c r="U49" i="217"/>
  <c r="O49" i="217"/>
  <c r="K49" i="217"/>
  <c r="G49" i="217"/>
  <c r="AB48" i="217"/>
  <c r="AA48" i="217"/>
  <c r="V48" i="217"/>
  <c r="U48" i="217"/>
  <c r="O48" i="217"/>
  <c r="M48" i="217"/>
  <c r="N48" i="217" s="1"/>
  <c r="K48" i="217"/>
  <c r="G48" i="217"/>
  <c r="V47" i="217"/>
  <c r="M47" i="217" s="1"/>
  <c r="U47" i="217"/>
  <c r="O47" i="217"/>
  <c r="K47" i="217"/>
  <c r="G47" i="217"/>
  <c r="X46" i="217"/>
  <c r="W46" i="217"/>
  <c r="V46" i="217"/>
  <c r="M46" i="217" s="1"/>
  <c r="O46" i="217"/>
  <c r="K46" i="217"/>
  <c r="G46" i="217"/>
  <c r="O45" i="217"/>
  <c r="K45" i="217"/>
  <c r="V44" i="217"/>
  <c r="U44" i="217"/>
  <c r="O44" i="217"/>
  <c r="M44" i="217"/>
  <c r="AB44" i="217" s="1"/>
  <c r="K44" i="217"/>
  <c r="G44" i="217"/>
  <c r="V43" i="217"/>
  <c r="U43" i="217"/>
  <c r="O43" i="217"/>
  <c r="M43" i="217"/>
  <c r="AB43" i="217" s="1"/>
  <c r="K43" i="217"/>
  <c r="G43" i="217"/>
  <c r="V42" i="217"/>
  <c r="M42" i="217" s="1"/>
  <c r="U42" i="217"/>
  <c r="O42" i="217"/>
  <c r="K42" i="217"/>
  <c r="G42" i="217"/>
  <c r="V41" i="217"/>
  <c r="U41" i="217"/>
  <c r="O41" i="217"/>
  <c r="M41" i="217"/>
  <c r="AA41" i="217" s="1"/>
  <c r="K41" i="217"/>
  <c r="G41" i="217"/>
  <c r="AB40" i="217"/>
  <c r="V40" i="217"/>
  <c r="U40" i="217"/>
  <c r="O40" i="217"/>
  <c r="M40" i="217"/>
  <c r="N40" i="217" s="1"/>
  <c r="K40" i="217"/>
  <c r="G40" i="217"/>
  <c r="AB39" i="217"/>
  <c r="AA39" i="217"/>
  <c r="V39" i="217"/>
  <c r="U39" i="217"/>
  <c r="O39" i="217"/>
  <c r="M39" i="217"/>
  <c r="N39" i="217" s="1"/>
  <c r="K39" i="217"/>
  <c r="G39" i="217"/>
  <c r="AB38" i="217"/>
  <c r="AA38" i="217"/>
  <c r="X38" i="217"/>
  <c r="W38" i="217"/>
  <c r="V38" i="217"/>
  <c r="O38" i="217"/>
  <c r="M38" i="217"/>
  <c r="K38" i="217"/>
  <c r="G38" i="217"/>
  <c r="O37" i="217"/>
  <c r="K37" i="217"/>
  <c r="AB36" i="217"/>
  <c r="AA36" i="217"/>
  <c r="V36" i="217"/>
  <c r="U36" i="217"/>
  <c r="O36" i="217"/>
  <c r="M36" i="217"/>
  <c r="N36" i="217" s="1"/>
  <c r="K36" i="217"/>
  <c r="G36" i="217"/>
  <c r="X35" i="217"/>
  <c r="W35" i="217"/>
  <c r="V35" i="217"/>
  <c r="M35" i="217" s="1"/>
  <c r="U35" i="217"/>
  <c r="O35" i="217"/>
  <c r="K35" i="217"/>
  <c r="G35" i="217"/>
  <c r="AB34" i="217"/>
  <c r="AA34" i="217"/>
  <c r="V34" i="217"/>
  <c r="U34" i="217"/>
  <c r="O34" i="217"/>
  <c r="M34" i="217"/>
  <c r="N34" i="217" s="1"/>
  <c r="K34" i="217"/>
  <c r="G34" i="217"/>
  <c r="V33" i="217"/>
  <c r="M33" i="217" s="1"/>
  <c r="U33" i="217"/>
  <c r="O33" i="217"/>
  <c r="K33" i="217"/>
  <c r="G33" i="217"/>
  <c r="V32" i="217"/>
  <c r="M32" i="217" s="1"/>
  <c r="U32" i="217"/>
  <c r="O32" i="217"/>
  <c r="K32" i="217"/>
  <c r="G32" i="217"/>
  <c r="AB31" i="217"/>
  <c r="AA31" i="217"/>
  <c r="X31" i="217"/>
  <c r="W31" i="217"/>
  <c r="V31" i="217"/>
  <c r="O31" i="217"/>
  <c r="M31" i="217"/>
  <c r="N31" i="217" s="1"/>
  <c r="K31" i="217"/>
  <c r="G31" i="217"/>
  <c r="O30" i="217"/>
  <c r="K30" i="217"/>
  <c r="V29" i="217"/>
  <c r="U29" i="217"/>
  <c r="O29" i="217"/>
  <c r="M29" i="217"/>
  <c r="AB29" i="217" s="1"/>
  <c r="K29" i="217"/>
  <c r="G29" i="217"/>
  <c r="X28" i="217"/>
  <c r="W28" i="217"/>
  <c r="V28" i="217"/>
  <c r="U28" i="217"/>
  <c r="O28" i="217"/>
  <c r="M28" i="217"/>
  <c r="AB28" i="217" s="1"/>
  <c r="K28" i="217"/>
  <c r="G28" i="217"/>
  <c r="V27" i="217"/>
  <c r="U27" i="217"/>
  <c r="O27" i="217"/>
  <c r="M27" i="217"/>
  <c r="AB27" i="217" s="1"/>
  <c r="K27" i="217"/>
  <c r="G27" i="217"/>
  <c r="V26" i="217"/>
  <c r="M26" i="217" s="1"/>
  <c r="U26" i="217"/>
  <c r="O26" i="217"/>
  <c r="K26" i="217"/>
  <c r="G26" i="217"/>
  <c r="V25" i="217"/>
  <c r="U25" i="217"/>
  <c r="O25" i="217"/>
  <c r="M25" i="217"/>
  <c r="AA25" i="217" s="1"/>
  <c r="K25" i="217"/>
  <c r="G25" i="217"/>
  <c r="AB24" i="217"/>
  <c r="V24" i="217"/>
  <c r="U24" i="217"/>
  <c r="O24" i="217"/>
  <c r="M24" i="217"/>
  <c r="N24" i="217" s="1"/>
  <c r="K24" i="217"/>
  <c r="G24" i="217"/>
  <c r="AB23" i="217"/>
  <c r="AA23" i="217"/>
  <c r="V23" i="217"/>
  <c r="U23" i="217"/>
  <c r="O23" i="217"/>
  <c r="M23" i="217"/>
  <c r="N23" i="217" s="1"/>
  <c r="K23" i="217"/>
  <c r="G23" i="217"/>
  <c r="V22" i="217"/>
  <c r="M22" i="217" s="1"/>
  <c r="U22" i="217"/>
  <c r="O22" i="217"/>
  <c r="K22" i="217"/>
  <c r="G22" i="217"/>
  <c r="V21" i="217"/>
  <c r="M21" i="217" s="1"/>
  <c r="O21" i="217"/>
  <c r="K21" i="217"/>
  <c r="G21" i="217"/>
  <c r="O20" i="217"/>
  <c r="K20" i="217"/>
  <c r="V19" i="217"/>
  <c r="M19" i="217" s="1"/>
  <c r="U19" i="217"/>
  <c r="O19" i="217"/>
  <c r="K19" i="217"/>
  <c r="G19" i="217"/>
  <c r="X18" i="217"/>
  <c r="W18" i="217"/>
  <c r="V18" i="217"/>
  <c r="M18" i="217" s="1"/>
  <c r="U18" i="217"/>
  <c r="O18" i="217"/>
  <c r="K18" i="217"/>
  <c r="G18" i="217"/>
  <c r="V17" i="217"/>
  <c r="M17" i="217" s="1"/>
  <c r="U17" i="217"/>
  <c r="O17" i="217"/>
  <c r="K17" i="217"/>
  <c r="G17" i="217"/>
  <c r="V16" i="217"/>
  <c r="U16" i="217"/>
  <c r="O16" i="217"/>
  <c r="M16" i="217"/>
  <c r="AB16" i="217" s="1"/>
  <c r="K16" i="217"/>
  <c r="G16" i="217"/>
  <c r="V15" i="217"/>
  <c r="U15" i="217"/>
  <c r="O15" i="217"/>
  <c r="M15" i="217"/>
  <c r="AB15" i="217" s="1"/>
  <c r="K15" i="217"/>
  <c r="G15" i="217"/>
  <c r="V14" i="217"/>
  <c r="M14" i="217" s="1"/>
  <c r="U14" i="217"/>
  <c r="O14" i="217"/>
  <c r="K14" i="217"/>
  <c r="G14" i="217"/>
  <c r="V13" i="217"/>
  <c r="U13" i="217"/>
  <c r="O13" i="217"/>
  <c r="M13" i="217"/>
  <c r="AA13" i="217" s="1"/>
  <c r="K13" i="217"/>
  <c r="G13" i="217"/>
  <c r="V12" i="217"/>
  <c r="O12" i="217"/>
  <c r="M12" i="217"/>
  <c r="AA12" i="217" s="1"/>
  <c r="K12" i="217"/>
  <c r="G12" i="217"/>
  <c r="O11" i="217"/>
  <c r="K11" i="217"/>
  <c r="AB10" i="217"/>
  <c r="AA10" i="217"/>
  <c r="V10" i="217"/>
  <c r="U10" i="217"/>
  <c r="O10" i="217"/>
  <c r="M10" i="217"/>
  <c r="N10" i="217" s="1"/>
  <c r="K10" i="217"/>
  <c r="G10" i="217"/>
  <c r="X9" i="217"/>
  <c r="W9" i="217"/>
  <c r="V9" i="217"/>
  <c r="M9" i="217" s="1"/>
  <c r="O9" i="217"/>
  <c r="K9" i="217"/>
  <c r="G9" i="217"/>
  <c r="F1" i="217" s="1"/>
  <c r="O8" i="217"/>
  <c r="K8" i="217"/>
  <c r="V7" i="217"/>
  <c r="M7" i="217" s="1"/>
  <c r="U7" i="217"/>
  <c r="O7" i="217"/>
  <c r="K7" i="217"/>
  <c r="G7" i="217"/>
  <c r="V6" i="217"/>
  <c r="U6" i="217"/>
  <c r="O6" i="217"/>
  <c r="M6" i="217"/>
  <c r="AB6" i="217" s="1"/>
  <c r="K6" i="217"/>
  <c r="G6" i="217"/>
  <c r="V5" i="217"/>
  <c r="O5" i="217"/>
  <c r="M5" i="217"/>
  <c r="M8" i="217" s="1"/>
  <c r="K5" i="217"/>
  <c r="G5" i="217"/>
  <c r="H2" i="217"/>
  <c r="H1" i="217"/>
  <c r="D1" i="217"/>
  <c r="M18" i="216"/>
  <c r="L18" i="216"/>
  <c r="K18" i="216"/>
  <c r="J18" i="216"/>
  <c r="I18" i="216"/>
  <c r="H18" i="216"/>
  <c r="G18" i="216"/>
  <c r="F18" i="216"/>
  <c r="E18" i="216"/>
  <c r="D18" i="216"/>
  <c r="M17" i="216"/>
  <c r="L17" i="216"/>
  <c r="K17" i="216"/>
  <c r="J17" i="216"/>
  <c r="I17" i="216"/>
  <c r="H17" i="216"/>
  <c r="G17" i="216"/>
  <c r="F17" i="216"/>
  <c r="E17" i="216"/>
  <c r="D17" i="216"/>
  <c r="M16" i="216"/>
  <c r="L16" i="216"/>
  <c r="K16" i="216"/>
  <c r="J16" i="216"/>
  <c r="I16" i="216"/>
  <c r="H16" i="216"/>
  <c r="G16" i="216"/>
  <c r="F16" i="216"/>
  <c r="E16" i="216"/>
  <c r="D16" i="216"/>
  <c r="M13" i="216"/>
  <c r="L13" i="216"/>
  <c r="K13" i="216"/>
  <c r="I6" i="216" s="1"/>
  <c r="J13" i="216"/>
  <c r="I13" i="216"/>
  <c r="H13" i="216"/>
  <c r="E6" i="216" s="1"/>
  <c r="G13" i="216"/>
  <c r="F13" i="216"/>
  <c r="E13" i="216"/>
  <c r="D13" i="216"/>
  <c r="G6" i="216" s="1"/>
  <c r="F3" i="216"/>
  <c r="C3" i="216"/>
  <c r="Q50" i="219" l="1"/>
  <c r="P50" i="219"/>
  <c r="AB44" i="219"/>
  <c r="AC37" i="219" s="1"/>
  <c r="AA44" i="219"/>
  <c r="N44" i="219"/>
  <c r="N11" i="219"/>
  <c r="AB11" i="219"/>
  <c r="AC9" i="219" s="1"/>
  <c r="AA11" i="219"/>
  <c r="Q32" i="219"/>
  <c r="P32" i="219"/>
  <c r="Q9" i="219"/>
  <c r="P9" i="219"/>
  <c r="Q45" i="219"/>
  <c r="P45" i="219"/>
  <c r="Q59" i="219"/>
  <c r="P59" i="219"/>
  <c r="Q48" i="219"/>
  <c r="P48" i="219"/>
  <c r="Q39" i="219"/>
  <c r="P39" i="219"/>
  <c r="AB73" i="219"/>
  <c r="AC68" i="219" s="1"/>
  <c r="AA73" i="219"/>
  <c r="N73" i="219"/>
  <c r="Q66" i="219"/>
  <c r="P66" i="219"/>
  <c r="Q18" i="219"/>
  <c r="P18" i="219"/>
  <c r="AB30" i="219"/>
  <c r="AC21" i="219" s="1"/>
  <c r="AA30" i="219"/>
  <c r="N30" i="219"/>
  <c r="Q34" i="219"/>
  <c r="P34" i="219"/>
  <c r="Q47" i="219"/>
  <c r="P47" i="219"/>
  <c r="Q38" i="219"/>
  <c r="P38" i="219"/>
  <c r="Q31" i="219"/>
  <c r="P31" i="219"/>
  <c r="P68" i="219"/>
  <c r="Q68" i="219"/>
  <c r="Q64" i="219"/>
  <c r="P64" i="219"/>
  <c r="Q58" i="219"/>
  <c r="P58" i="219"/>
  <c r="Q35" i="219"/>
  <c r="P35" i="219"/>
  <c r="Q22" i="219"/>
  <c r="P22" i="219"/>
  <c r="Q72" i="219"/>
  <c r="P72" i="219"/>
  <c r="N60" i="219"/>
  <c r="AB60" i="219"/>
  <c r="AC52" i="219" s="1"/>
  <c r="AA60" i="219"/>
  <c r="Q42" i="219"/>
  <c r="P42" i="219"/>
  <c r="N36" i="219"/>
  <c r="AB36" i="219"/>
  <c r="AC31" i="219" s="1"/>
  <c r="AA36" i="219"/>
  <c r="Q21" i="219"/>
  <c r="P21" i="219"/>
  <c r="Q46" i="219"/>
  <c r="P46" i="219"/>
  <c r="Q56" i="219"/>
  <c r="P56" i="219"/>
  <c r="AB20" i="219"/>
  <c r="AC12" i="219" s="1"/>
  <c r="AA20" i="219"/>
  <c r="N20" i="219"/>
  <c r="P23" i="219"/>
  <c r="Q23" i="219"/>
  <c r="Q13" i="219"/>
  <c r="P13" i="219"/>
  <c r="Q16" i="219"/>
  <c r="P16" i="219"/>
  <c r="Q25" i="219"/>
  <c r="P25" i="219"/>
  <c r="Q54" i="219"/>
  <c r="P54" i="219"/>
  <c r="Q61" i="219"/>
  <c r="P61" i="219"/>
  <c r="Q6" i="219"/>
  <c r="P6" i="219"/>
  <c r="Q70" i="219"/>
  <c r="P70" i="219"/>
  <c r="Q5" i="219"/>
  <c r="P5" i="219"/>
  <c r="Q10" i="219"/>
  <c r="P10" i="219"/>
  <c r="Q12" i="219"/>
  <c r="P12" i="219"/>
  <c r="Q57" i="219"/>
  <c r="P57" i="219"/>
  <c r="AB51" i="219"/>
  <c r="AC45" i="219" s="1"/>
  <c r="AA51" i="219"/>
  <c r="N51" i="219"/>
  <c r="P49" i="219"/>
  <c r="Q49" i="219"/>
  <c r="D14" i="218"/>
  <c r="Q8" i="219"/>
  <c r="R5" i="219" s="1"/>
  <c r="P8" i="219"/>
  <c r="Q24" i="219"/>
  <c r="P24" i="219"/>
  <c r="P71" i="219"/>
  <c r="Q71" i="219"/>
  <c r="J14" i="218"/>
  <c r="J15" i="218" s="1"/>
  <c r="Q67" i="219"/>
  <c r="R61" i="219" s="1"/>
  <c r="P67" i="219"/>
  <c r="Q69" i="219"/>
  <c r="P69" i="219"/>
  <c r="AB18" i="217"/>
  <c r="AA18" i="217"/>
  <c r="N18" i="217"/>
  <c r="N21" i="217"/>
  <c r="AA21" i="217"/>
  <c r="AB21" i="217"/>
  <c r="M30" i="217"/>
  <c r="N33" i="217"/>
  <c r="AB33" i="217"/>
  <c r="AA33" i="217"/>
  <c r="AB42" i="217"/>
  <c r="AA42" i="217"/>
  <c r="N42" i="217"/>
  <c r="AB64" i="217"/>
  <c r="AA64" i="217"/>
  <c r="N64" i="217"/>
  <c r="AB56" i="217"/>
  <c r="AA56" i="217"/>
  <c r="N56" i="217"/>
  <c r="Q58" i="217"/>
  <c r="P58" i="217"/>
  <c r="N8" i="217"/>
  <c r="AB8" i="217"/>
  <c r="AC5" i="217" s="1"/>
  <c r="AA8" i="217"/>
  <c r="Q10" i="217"/>
  <c r="P10" i="217"/>
  <c r="N49" i="217"/>
  <c r="AB49" i="217"/>
  <c r="AA49" i="217"/>
  <c r="N71" i="217"/>
  <c r="AB71" i="217"/>
  <c r="AA71" i="217"/>
  <c r="AB7" i="217"/>
  <c r="AA7" i="217"/>
  <c r="N7" i="217"/>
  <c r="Q34" i="217"/>
  <c r="P34" i="217"/>
  <c r="Q51" i="217"/>
  <c r="P51" i="217"/>
  <c r="N69" i="217"/>
  <c r="M75" i="217"/>
  <c r="AB69" i="217"/>
  <c r="AA69" i="217"/>
  <c r="N35" i="217"/>
  <c r="AA35" i="217"/>
  <c r="AB35" i="217"/>
  <c r="Q24" i="217"/>
  <c r="P24" i="217"/>
  <c r="M45" i="217"/>
  <c r="Q48" i="217"/>
  <c r="P48" i="217"/>
  <c r="Q70" i="217"/>
  <c r="P70" i="217"/>
  <c r="N47" i="217"/>
  <c r="AA47" i="217"/>
  <c r="AB47" i="217"/>
  <c r="Q60" i="217"/>
  <c r="P60" i="217"/>
  <c r="AB67" i="217"/>
  <c r="AA67" i="217"/>
  <c r="N67" i="217"/>
  <c r="AB17" i="217"/>
  <c r="AA17" i="217"/>
  <c r="N17" i="217"/>
  <c r="AB26" i="217"/>
  <c r="AA26" i="217"/>
  <c r="N26" i="217"/>
  <c r="M37" i="217"/>
  <c r="AB32" i="217"/>
  <c r="AA32" i="217"/>
  <c r="N32" i="217"/>
  <c r="N50" i="217"/>
  <c r="AA50" i="217"/>
  <c r="AB50" i="217"/>
  <c r="N57" i="217"/>
  <c r="AA57" i="217"/>
  <c r="AB57" i="217"/>
  <c r="N72" i="217"/>
  <c r="AA72" i="217"/>
  <c r="AB72" i="217"/>
  <c r="AB14" i="217"/>
  <c r="AA14" i="217"/>
  <c r="N14" i="217"/>
  <c r="F2" i="217"/>
  <c r="I3" i="216"/>
  <c r="AB19" i="217"/>
  <c r="AA19" i="217"/>
  <c r="N19" i="217"/>
  <c r="Q36" i="217"/>
  <c r="P36" i="217"/>
  <c r="N46" i="217"/>
  <c r="AA46" i="217"/>
  <c r="AB46" i="217"/>
  <c r="M52" i="217"/>
  <c r="Q23" i="217"/>
  <c r="P23" i="217"/>
  <c r="Q31" i="217"/>
  <c r="P31" i="217"/>
  <c r="N59" i="217"/>
  <c r="AA59" i="217"/>
  <c r="AB59" i="217"/>
  <c r="Q39" i="217"/>
  <c r="P39" i="217"/>
  <c r="N22" i="217"/>
  <c r="AA22" i="217"/>
  <c r="AB22" i="217"/>
  <c r="N9" i="217"/>
  <c r="M11" i="217"/>
  <c r="AB9" i="217"/>
  <c r="AA9" i="217"/>
  <c r="Q40" i="217"/>
  <c r="P40" i="217"/>
  <c r="AB55" i="217"/>
  <c r="AA55" i="217"/>
  <c r="N55" i="217"/>
  <c r="N74" i="217"/>
  <c r="AA74" i="217"/>
  <c r="AB74" i="217"/>
  <c r="Q73" i="217"/>
  <c r="P73" i="217"/>
  <c r="AB12" i="217"/>
  <c r="AB13" i="217"/>
  <c r="AA24" i="217"/>
  <c r="AB25" i="217"/>
  <c r="AA40" i="217"/>
  <c r="AB41" i="217"/>
  <c r="AB62" i="217"/>
  <c r="AB63" i="217"/>
  <c r="N15" i="217"/>
  <c r="N27" i="217"/>
  <c r="N29" i="217"/>
  <c r="N43" i="217"/>
  <c r="N65" i="217"/>
  <c r="AA73" i="217"/>
  <c r="N5" i="217"/>
  <c r="N6" i="217"/>
  <c r="N16" i="217"/>
  <c r="N28" i="217"/>
  <c r="N44" i="217"/>
  <c r="N53" i="217"/>
  <c r="N54" i="217"/>
  <c r="N66" i="217"/>
  <c r="N62" i="217"/>
  <c r="N12" i="217"/>
  <c r="N13" i="217"/>
  <c r="N25" i="217"/>
  <c r="N38" i="217"/>
  <c r="N41" i="217"/>
  <c r="N63" i="217"/>
  <c r="F6" i="216"/>
  <c r="M61" i="217"/>
  <c r="AA5" i="217"/>
  <c r="AA6" i="217"/>
  <c r="AA16" i="217"/>
  <c r="AA44" i="217"/>
  <c r="AA53" i="217"/>
  <c r="AA54" i="217"/>
  <c r="AA66" i="217"/>
  <c r="AB5" i="217"/>
  <c r="AA15" i="217"/>
  <c r="AA27" i="217"/>
  <c r="AA29" i="217"/>
  <c r="AA43" i="217"/>
  <c r="AA65" i="217"/>
  <c r="M20" i="217"/>
  <c r="AA28" i="217"/>
  <c r="M68" i="217"/>
  <c r="O78" i="215"/>
  <c r="K78" i="215"/>
  <c r="V77" i="215"/>
  <c r="U77" i="215"/>
  <c r="O77" i="215"/>
  <c r="M77" i="215"/>
  <c r="AB77" i="215" s="1"/>
  <c r="K77" i="215"/>
  <c r="G77" i="215"/>
  <c r="AB76" i="215"/>
  <c r="AA76" i="215"/>
  <c r="X76" i="215"/>
  <c r="W76" i="215"/>
  <c r="V76" i="215"/>
  <c r="U76" i="215"/>
  <c r="O76" i="215"/>
  <c r="M76" i="215"/>
  <c r="N76" i="215" s="1"/>
  <c r="K76" i="215"/>
  <c r="G76" i="215"/>
  <c r="AB75" i="215"/>
  <c r="AA75" i="215"/>
  <c r="V75" i="215"/>
  <c r="U75" i="215"/>
  <c r="O75" i="215"/>
  <c r="N75" i="215"/>
  <c r="P75" i="215" s="1"/>
  <c r="M75" i="215"/>
  <c r="K75" i="215"/>
  <c r="G75" i="215"/>
  <c r="V74" i="215"/>
  <c r="U74" i="215"/>
  <c r="O74" i="215"/>
  <c r="M74" i="215"/>
  <c r="AB74" i="215" s="1"/>
  <c r="K74" i="215"/>
  <c r="G74" i="215"/>
  <c r="V73" i="215"/>
  <c r="M73" i="215" s="1"/>
  <c r="U73" i="215"/>
  <c r="O73" i="215"/>
  <c r="K73" i="215"/>
  <c r="G73" i="215"/>
  <c r="X72" i="215"/>
  <c r="W72" i="215"/>
  <c r="V72" i="215"/>
  <c r="O72" i="215"/>
  <c r="M72" i="215"/>
  <c r="K72" i="215"/>
  <c r="G72" i="215"/>
  <c r="O71" i="215"/>
  <c r="K71" i="215"/>
  <c r="V70" i="215"/>
  <c r="U70" i="215"/>
  <c r="O70" i="215"/>
  <c r="M70" i="215"/>
  <c r="AB70" i="215" s="1"/>
  <c r="K70" i="215"/>
  <c r="G70" i="215"/>
  <c r="AB69" i="215"/>
  <c r="AA69" i="215"/>
  <c r="V69" i="215"/>
  <c r="U69" i="215"/>
  <c r="O69" i="215"/>
  <c r="M69" i="215"/>
  <c r="N69" i="215" s="1"/>
  <c r="K69" i="215"/>
  <c r="G69" i="215"/>
  <c r="V68" i="215"/>
  <c r="U68" i="215"/>
  <c r="O68" i="215"/>
  <c r="M68" i="215"/>
  <c r="AA68" i="215" s="1"/>
  <c r="K68" i="215"/>
  <c r="G68" i="215"/>
  <c r="AB67" i="215"/>
  <c r="AA67" i="215"/>
  <c r="V67" i="215"/>
  <c r="U67" i="215"/>
  <c r="P67" i="215"/>
  <c r="O67" i="215"/>
  <c r="N67" i="215"/>
  <c r="Q67" i="215" s="1"/>
  <c r="M67" i="215"/>
  <c r="K67" i="215"/>
  <c r="G67" i="215"/>
  <c r="V66" i="215"/>
  <c r="U66" i="215"/>
  <c r="O66" i="215"/>
  <c r="M66" i="215"/>
  <c r="AA66" i="215" s="1"/>
  <c r="K66" i="215"/>
  <c r="G66" i="215"/>
  <c r="V65" i="215"/>
  <c r="O65" i="215"/>
  <c r="M65" i="215"/>
  <c r="AB65" i="215" s="1"/>
  <c r="K65" i="215"/>
  <c r="G65" i="215"/>
  <c r="O64" i="215"/>
  <c r="K64" i="215"/>
  <c r="AA63" i="215"/>
  <c r="V63" i="215"/>
  <c r="U63" i="215"/>
  <c r="O63" i="215"/>
  <c r="M63" i="215"/>
  <c r="AB63" i="215" s="1"/>
  <c r="K63" i="215"/>
  <c r="G63" i="215"/>
  <c r="X62" i="215"/>
  <c r="W62" i="215"/>
  <c r="V62" i="215"/>
  <c r="M62" i="215" s="1"/>
  <c r="U62" i="215"/>
  <c r="O62" i="215"/>
  <c r="K62" i="215"/>
  <c r="G62" i="215"/>
  <c r="V61" i="215"/>
  <c r="U61" i="215"/>
  <c r="O61" i="215"/>
  <c r="N61" i="215"/>
  <c r="P61" i="215" s="1"/>
  <c r="M61" i="215"/>
  <c r="AB61" i="215" s="1"/>
  <c r="K61" i="215"/>
  <c r="G61" i="215"/>
  <c r="V60" i="215"/>
  <c r="M60" i="215" s="1"/>
  <c r="U60" i="215"/>
  <c r="O60" i="215"/>
  <c r="K60" i="215"/>
  <c r="G60" i="215"/>
  <c r="V59" i="215"/>
  <c r="U59" i="215"/>
  <c r="O59" i="215"/>
  <c r="M59" i="215"/>
  <c r="AB59" i="215" s="1"/>
  <c r="K59" i="215"/>
  <c r="G59" i="215"/>
  <c r="AB58" i="215"/>
  <c r="AA58" i="215"/>
  <c r="V58" i="215"/>
  <c r="U58" i="215"/>
  <c r="O58" i="215"/>
  <c r="N58" i="215"/>
  <c r="Q58" i="215" s="1"/>
  <c r="M58" i="215"/>
  <c r="K58" i="215"/>
  <c r="G58" i="215"/>
  <c r="V57" i="215"/>
  <c r="U57" i="215"/>
  <c r="O57" i="215"/>
  <c r="M57" i="215"/>
  <c r="N57" i="215" s="1"/>
  <c r="K57" i="215"/>
  <c r="G57" i="215"/>
  <c r="AA56" i="215"/>
  <c r="V56" i="215"/>
  <c r="O56" i="215"/>
  <c r="M56" i="215"/>
  <c r="K56" i="215"/>
  <c r="G56" i="215"/>
  <c r="O55" i="215"/>
  <c r="K55" i="215"/>
  <c r="AB54" i="215"/>
  <c r="AA54" i="215"/>
  <c r="V54" i="215"/>
  <c r="U54" i="215"/>
  <c r="O54" i="215"/>
  <c r="M54" i="215"/>
  <c r="N54" i="215" s="1"/>
  <c r="K54" i="215"/>
  <c r="G54" i="215"/>
  <c r="AB53" i="215"/>
  <c r="AA53" i="215"/>
  <c r="V53" i="215"/>
  <c r="U53" i="215"/>
  <c r="O53" i="215"/>
  <c r="N53" i="215"/>
  <c r="P53" i="215" s="1"/>
  <c r="M53" i="215"/>
  <c r="K53" i="215"/>
  <c r="G53" i="215"/>
  <c r="V52" i="215"/>
  <c r="U52" i="215"/>
  <c r="O52" i="215"/>
  <c r="M52" i="215"/>
  <c r="AB52" i="215" s="1"/>
  <c r="K52" i="215"/>
  <c r="G52" i="215"/>
  <c r="V51" i="215"/>
  <c r="M51" i="215" s="1"/>
  <c r="U51" i="215"/>
  <c r="O51" i="215"/>
  <c r="K51" i="215"/>
  <c r="G51" i="215"/>
  <c r="V50" i="215"/>
  <c r="U50" i="215"/>
  <c r="O50" i="215"/>
  <c r="M50" i="215"/>
  <c r="N50" i="215" s="1"/>
  <c r="K50" i="215"/>
  <c r="G50" i="215"/>
  <c r="AB49" i="215"/>
  <c r="AA49" i="215"/>
  <c r="X49" i="215"/>
  <c r="W49" i="215"/>
  <c r="V49" i="215"/>
  <c r="O49" i="215"/>
  <c r="N49" i="215"/>
  <c r="Q49" i="215" s="1"/>
  <c r="M49" i="215"/>
  <c r="K49" i="215"/>
  <c r="G49" i="215"/>
  <c r="O48" i="215"/>
  <c r="K48" i="215"/>
  <c r="L13" i="214" s="1"/>
  <c r="AB47" i="215"/>
  <c r="AA47" i="215"/>
  <c r="V47" i="215"/>
  <c r="U47" i="215"/>
  <c r="O47" i="215"/>
  <c r="M47" i="215"/>
  <c r="N47" i="215" s="1"/>
  <c r="K47" i="215"/>
  <c r="G47" i="215"/>
  <c r="X46" i="215"/>
  <c r="W46" i="215"/>
  <c r="V46" i="215"/>
  <c r="U46" i="215"/>
  <c r="O46" i="215"/>
  <c r="M46" i="215"/>
  <c r="N46" i="215" s="1"/>
  <c r="K46" i="215"/>
  <c r="G46" i="215"/>
  <c r="AA45" i="215"/>
  <c r="V45" i="215"/>
  <c r="U45" i="215"/>
  <c r="O45" i="215"/>
  <c r="M45" i="215"/>
  <c r="AB45" i="215" s="1"/>
  <c r="K45" i="215"/>
  <c r="G45" i="215"/>
  <c r="AB44" i="215"/>
  <c r="AA44" i="215"/>
  <c r="V44" i="215"/>
  <c r="U44" i="215"/>
  <c r="Q44" i="215"/>
  <c r="P44" i="215"/>
  <c r="O44" i="215"/>
  <c r="N44" i="215"/>
  <c r="M44" i="215"/>
  <c r="K44" i="215"/>
  <c r="G44" i="215"/>
  <c r="V43" i="215"/>
  <c r="U43" i="215"/>
  <c r="O43" i="215"/>
  <c r="M43" i="215"/>
  <c r="AB43" i="215" s="1"/>
  <c r="K43" i="215"/>
  <c r="G43" i="215"/>
  <c r="V42" i="215"/>
  <c r="M42" i="215" s="1"/>
  <c r="U42" i="215"/>
  <c r="O42" i="215"/>
  <c r="K42" i="215"/>
  <c r="G42" i="215"/>
  <c r="V41" i="215"/>
  <c r="U41" i="215"/>
  <c r="O41" i="215"/>
  <c r="N41" i="215"/>
  <c r="P41" i="215" s="1"/>
  <c r="M41" i="215"/>
  <c r="AB41" i="215" s="1"/>
  <c r="K41" i="215"/>
  <c r="G41" i="215"/>
  <c r="AB40" i="215"/>
  <c r="AA40" i="215"/>
  <c r="X40" i="215"/>
  <c r="W40" i="215"/>
  <c r="V40" i="215"/>
  <c r="P40" i="215"/>
  <c r="O40" i="215"/>
  <c r="N40" i="215"/>
  <c r="Q40" i="215" s="1"/>
  <c r="M40" i="215"/>
  <c r="K40" i="215"/>
  <c r="G40" i="215"/>
  <c r="O39" i="215"/>
  <c r="K39" i="215"/>
  <c r="K13" i="214" s="1"/>
  <c r="AB38" i="215"/>
  <c r="AA38" i="215"/>
  <c r="V38" i="215"/>
  <c r="U38" i="215"/>
  <c r="O38" i="215"/>
  <c r="N38" i="215"/>
  <c r="Q38" i="215" s="1"/>
  <c r="M38" i="215"/>
  <c r="K38" i="215"/>
  <c r="G38" i="215"/>
  <c r="V37" i="215"/>
  <c r="U37" i="215"/>
  <c r="O37" i="215"/>
  <c r="M37" i="215"/>
  <c r="N37" i="215" s="1"/>
  <c r="K37" i="215"/>
  <c r="G37" i="215"/>
  <c r="X36" i="215"/>
  <c r="W36" i="215"/>
  <c r="V36" i="215"/>
  <c r="U36" i="215"/>
  <c r="O36" i="215"/>
  <c r="M36" i="215"/>
  <c r="AB36" i="215" s="1"/>
  <c r="K36" i="215"/>
  <c r="G36" i="215"/>
  <c r="V35" i="215"/>
  <c r="M35" i="215" s="1"/>
  <c r="U35" i="215"/>
  <c r="O35" i="215"/>
  <c r="K35" i="215"/>
  <c r="G35" i="215"/>
  <c r="V34" i="215"/>
  <c r="U34" i="215"/>
  <c r="O34" i="215"/>
  <c r="M34" i="215"/>
  <c r="N34" i="215" s="1"/>
  <c r="K34" i="215"/>
  <c r="G34" i="215"/>
  <c r="V33" i="215"/>
  <c r="M33" i="215" s="1"/>
  <c r="U33" i="215"/>
  <c r="O33" i="215"/>
  <c r="K33" i="215"/>
  <c r="G33" i="215"/>
  <c r="X32" i="215"/>
  <c r="W32" i="215"/>
  <c r="V32" i="215"/>
  <c r="O32" i="215"/>
  <c r="M32" i="215"/>
  <c r="M39" i="215" s="1"/>
  <c r="K32" i="215"/>
  <c r="G32" i="215"/>
  <c r="O31" i="215"/>
  <c r="K31" i="215"/>
  <c r="V30" i="215"/>
  <c r="U30" i="215"/>
  <c r="O30" i="215"/>
  <c r="M30" i="215"/>
  <c r="AA30" i="215" s="1"/>
  <c r="K30" i="215"/>
  <c r="G30" i="215"/>
  <c r="X29" i="215"/>
  <c r="W29" i="215"/>
  <c r="V29" i="215"/>
  <c r="U29" i="215"/>
  <c r="O29" i="215"/>
  <c r="M29" i="215"/>
  <c r="AB29" i="215" s="1"/>
  <c r="K29" i="215"/>
  <c r="G29" i="215"/>
  <c r="AB28" i="215"/>
  <c r="AA28" i="215"/>
  <c r="V28" i="215"/>
  <c r="U28" i="215"/>
  <c r="Q28" i="215"/>
  <c r="P28" i="215"/>
  <c r="O28" i="215"/>
  <c r="N28" i="215"/>
  <c r="M28" i="215"/>
  <c r="K28" i="215"/>
  <c r="G28" i="215"/>
  <c r="V27" i="215"/>
  <c r="U27" i="215"/>
  <c r="O27" i="215"/>
  <c r="M27" i="215"/>
  <c r="AB27" i="215" s="1"/>
  <c r="K27" i="215"/>
  <c r="G27" i="215"/>
  <c r="V26" i="215"/>
  <c r="M26" i="215" s="1"/>
  <c r="U26" i="215"/>
  <c r="O26" i="215"/>
  <c r="K26" i="215"/>
  <c r="G26" i="215"/>
  <c r="V25" i="215"/>
  <c r="U25" i="215"/>
  <c r="O25" i="215"/>
  <c r="N25" i="215"/>
  <c r="P25" i="215" s="1"/>
  <c r="M25" i="215"/>
  <c r="AB25" i="215" s="1"/>
  <c r="K25" i="215"/>
  <c r="G25" i="215"/>
  <c r="V24" i="215"/>
  <c r="M24" i="215" s="1"/>
  <c r="U24" i="215"/>
  <c r="O24" i="215"/>
  <c r="K24" i="215"/>
  <c r="G24" i="215"/>
  <c r="V23" i="215"/>
  <c r="U23" i="215"/>
  <c r="O23" i="215"/>
  <c r="M23" i="215"/>
  <c r="M31" i="215" s="1"/>
  <c r="K23" i="215"/>
  <c r="G23" i="215"/>
  <c r="AB22" i="215"/>
  <c r="AA22" i="215"/>
  <c r="V22" i="215"/>
  <c r="P22" i="215"/>
  <c r="O22" i="215"/>
  <c r="N22" i="215"/>
  <c r="Q22" i="215" s="1"/>
  <c r="M22" i="215"/>
  <c r="K22" i="215"/>
  <c r="G22" i="215"/>
  <c r="O21" i="215"/>
  <c r="K21" i="215"/>
  <c r="F13" i="214" s="1"/>
  <c r="AB20" i="215"/>
  <c r="AA20" i="215"/>
  <c r="V20" i="215"/>
  <c r="U20" i="215"/>
  <c r="O20" i="215"/>
  <c r="N20" i="215"/>
  <c r="Q20" i="215" s="1"/>
  <c r="M20" i="215"/>
  <c r="K20" i="215"/>
  <c r="G20" i="215"/>
  <c r="V19" i="215"/>
  <c r="U19" i="215"/>
  <c r="O19" i="215"/>
  <c r="M19" i="215"/>
  <c r="N19" i="215" s="1"/>
  <c r="K19" i="215"/>
  <c r="G19" i="215"/>
  <c r="X18" i="215"/>
  <c r="W18" i="215"/>
  <c r="V18" i="215"/>
  <c r="U18" i="215"/>
  <c r="O18" i="215"/>
  <c r="M18" i="215"/>
  <c r="AB18" i="215" s="1"/>
  <c r="K18" i="215"/>
  <c r="G18" i="215"/>
  <c r="V17" i="215"/>
  <c r="M17" i="215" s="1"/>
  <c r="U17" i="215"/>
  <c r="O17" i="215"/>
  <c r="K17" i="215"/>
  <c r="G17" i="215"/>
  <c r="V16" i="215"/>
  <c r="U16" i="215"/>
  <c r="O16" i="215"/>
  <c r="M16" i="215"/>
  <c r="N16" i="215" s="1"/>
  <c r="K16" i="215"/>
  <c r="G16" i="215"/>
  <c r="V15" i="215"/>
  <c r="M15" i="215" s="1"/>
  <c r="U15" i="215"/>
  <c r="O15" i="215"/>
  <c r="K15" i="215"/>
  <c r="G15" i="215"/>
  <c r="V14" i="215"/>
  <c r="U14" i="215"/>
  <c r="O14" i="215"/>
  <c r="M14" i="215"/>
  <c r="AB14" i="215" s="1"/>
  <c r="K14" i="215"/>
  <c r="G14" i="215"/>
  <c r="AB13" i="215"/>
  <c r="AA13" i="215"/>
  <c r="V13" i="215"/>
  <c r="U13" i="215"/>
  <c r="O13" i="215"/>
  <c r="M13" i="215"/>
  <c r="N13" i="215" s="1"/>
  <c r="K13" i="215"/>
  <c r="G13" i="215"/>
  <c r="V12" i="215"/>
  <c r="O12" i="215"/>
  <c r="M12" i="215"/>
  <c r="K12" i="215"/>
  <c r="G12" i="215"/>
  <c r="O11" i="215"/>
  <c r="K11" i="215"/>
  <c r="V10" i="215"/>
  <c r="U10" i="215"/>
  <c r="O10" i="215"/>
  <c r="M10" i="215"/>
  <c r="AA10" i="215" s="1"/>
  <c r="K10" i="215"/>
  <c r="G10" i="215"/>
  <c r="X9" i="215"/>
  <c r="W9" i="215"/>
  <c r="V9" i="215"/>
  <c r="O9" i="215"/>
  <c r="M9" i="215"/>
  <c r="AB9" i="215" s="1"/>
  <c r="K9" i="215"/>
  <c r="G9" i="215"/>
  <c r="O8" i="215"/>
  <c r="K8" i="215"/>
  <c r="AA7" i="215"/>
  <c r="V7" i="215"/>
  <c r="U7" i="215"/>
  <c r="O7" i="215"/>
  <c r="M7" i="215"/>
  <c r="AB7" i="215" s="1"/>
  <c r="K7" i="215"/>
  <c r="G7" i="215"/>
  <c r="AB6" i="215"/>
  <c r="AA6" i="215"/>
  <c r="V6" i="215"/>
  <c r="U6" i="215"/>
  <c r="Q6" i="215"/>
  <c r="P6" i="215"/>
  <c r="O6" i="215"/>
  <c r="N6" i="215"/>
  <c r="M6" i="215"/>
  <c r="K6" i="215"/>
  <c r="G6" i="215"/>
  <c r="V5" i="215"/>
  <c r="O5" i="215"/>
  <c r="M5" i="215"/>
  <c r="M8" i="215" s="1"/>
  <c r="K5" i="215"/>
  <c r="G5" i="215"/>
  <c r="H2" i="215"/>
  <c r="H1" i="215"/>
  <c r="M18" i="214"/>
  <c r="L18" i="214"/>
  <c r="K18" i="214"/>
  <c r="J18" i="214"/>
  <c r="I18" i="214"/>
  <c r="H18" i="214"/>
  <c r="G18" i="214"/>
  <c r="F18" i="214"/>
  <c r="E18" i="214"/>
  <c r="D18" i="214"/>
  <c r="M17" i="214"/>
  <c r="L17" i="214"/>
  <c r="K17" i="214"/>
  <c r="J17" i="214"/>
  <c r="I17" i="214"/>
  <c r="H17" i="214"/>
  <c r="G17" i="214"/>
  <c r="F17" i="214"/>
  <c r="E17" i="214"/>
  <c r="D17" i="214"/>
  <c r="M16" i="214"/>
  <c r="L16" i="214"/>
  <c r="K16" i="214"/>
  <c r="J16" i="214"/>
  <c r="I16" i="214"/>
  <c r="H16" i="214"/>
  <c r="G16" i="214"/>
  <c r="F16" i="214"/>
  <c r="E16" i="214"/>
  <c r="D16" i="214"/>
  <c r="M13" i="214"/>
  <c r="J13" i="214"/>
  <c r="I13" i="214"/>
  <c r="H13" i="214"/>
  <c r="G13" i="214"/>
  <c r="E13" i="214"/>
  <c r="D13" i="214"/>
  <c r="I3" i="214"/>
  <c r="F3" i="214"/>
  <c r="C3" i="214"/>
  <c r="M14" i="218" l="1"/>
  <c r="M15" i="218" s="1"/>
  <c r="Q73" i="219"/>
  <c r="R68" i="219" s="1"/>
  <c r="P73" i="219"/>
  <c r="Q51" i="219"/>
  <c r="R45" i="219" s="1"/>
  <c r="H14" i="218"/>
  <c r="H15" i="218" s="1"/>
  <c r="P51" i="219"/>
  <c r="P36" i="219"/>
  <c r="K14" i="218"/>
  <c r="Q36" i="219"/>
  <c r="R31" i="219" s="1"/>
  <c r="F14" i="218"/>
  <c r="F15" i="218" s="1"/>
  <c r="Q20" i="219"/>
  <c r="R12" i="219" s="1"/>
  <c r="P20" i="219"/>
  <c r="G14" i="218"/>
  <c r="G15" i="218" s="1"/>
  <c r="Q30" i="219"/>
  <c r="R21" i="219" s="1"/>
  <c r="P30" i="219"/>
  <c r="E14" i="218"/>
  <c r="E15" i="218" s="1"/>
  <c r="Q11" i="219"/>
  <c r="R9" i="219" s="1"/>
  <c r="P11" i="219"/>
  <c r="L14" i="218"/>
  <c r="L15" i="218" s="1"/>
  <c r="Q44" i="219"/>
  <c r="R37" i="219" s="1"/>
  <c r="P44" i="219"/>
  <c r="P60" i="219"/>
  <c r="I14" i="218"/>
  <c r="I15" i="218" s="1"/>
  <c r="Q60" i="219"/>
  <c r="R52" i="219" s="1"/>
  <c r="D15" i="218"/>
  <c r="D2" i="219"/>
  <c r="P32" i="217"/>
  <c r="Q32" i="217"/>
  <c r="Q12" i="217"/>
  <c r="P12" i="217"/>
  <c r="Q43" i="217"/>
  <c r="P43" i="217"/>
  <c r="N11" i="217"/>
  <c r="AB11" i="217"/>
  <c r="AC9" i="217" s="1"/>
  <c r="AA11" i="217"/>
  <c r="Q50" i="217"/>
  <c r="P50" i="217"/>
  <c r="Q62" i="217"/>
  <c r="P62" i="217"/>
  <c r="Q29" i="217"/>
  <c r="P29" i="217"/>
  <c r="Q66" i="217"/>
  <c r="P66" i="217"/>
  <c r="P27" i="217"/>
  <c r="Q27" i="217"/>
  <c r="AB52" i="217"/>
  <c r="AC46" i="217" s="1"/>
  <c r="AA52" i="217"/>
  <c r="N52" i="217"/>
  <c r="D14" i="216"/>
  <c r="Q8" i="217"/>
  <c r="R5" i="217" s="1"/>
  <c r="P8" i="217"/>
  <c r="N20" i="217"/>
  <c r="AB20" i="217"/>
  <c r="AC12" i="217" s="1"/>
  <c r="AA20" i="217"/>
  <c r="Q54" i="217"/>
  <c r="P54" i="217"/>
  <c r="Q15" i="217"/>
  <c r="P15" i="217"/>
  <c r="Q53" i="217"/>
  <c r="P53" i="217"/>
  <c r="Q74" i="217"/>
  <c r="P74" i="217"/>
  <c r="Q22" i="217"/>
  <c r="P22" i="217"/>
  <c r="N37" i="217"/>
  <c r="AB37" i="217"/>
  <c r="AC31" i="217" s="1"/>
  <c r="AA37" i="217"/>
  <c r="P35" i="217"/>
  <c r="Q35" i="217"/>
  <c r="Q33" i="217"/>
  <c r="P33" i="217"/>
  <c r="N61" i="217"/>
  <c r="AB61" i="217"/>
  <c r="AC53" i="217" s="1"/>
  <c r="AA61" i="217"/>
  <c r="Q55" i="217"/>
  <c r="P55" i="217"/>
  <c r="P46" i="217"/>
  <c r="Q46" i="217"/>
  <c r="Q26" i="217"/>
  <c r="P26" i="217"/>
  <c r="Q28" i="217"/>
  <c r="P28" i="217"/>
  <c r="Q72" i="217"/>
  <c r="P72" i="217"/>
  <c r="Q47" i="217"/>
  <c r="P47" i="217"/>
  <c r="P71" i="217"/>
  <c r="Q71" i="217"/>
  <c r="Q44" i="217"/>
  <c r="P44" i="217"/>
  <c r="Q63" i="217"/>
  <c r="P63" i="217"/>
  <c r="Q16" i="217"/>
  <c r="P16" i="217"/>
  <c r="AB75" i="217"/>
  <c r="AC69" i="217" s="1"/>
  <c r="AA75" i="217"/>
  <c r="N75" i="217"/>
  <c r="P56" i="217"/>
  <c r="Q56" i="217"/>
  <c r="Q41" i="217"/>
  <c r="P41" i="217"/>
  <c r="Q6" i="217"/>
  <c r="P6" i="217"/>
  <c r="Q19" i="217"/>
  <c r="P19" i="217"/>
  <c r="Q17" i="217"/>
  <c r="P17" i="217"/>
  <c r="Q69" i="217"/>
  <c r="P69" i="217"/>
  <c r="Q64" i="217"/>
  <c r="P64" i="217"/>
  <c r="Q21" i="217"/>
  <c r="P21" i="217"/>
  <c r="N68" i="217"/>
  <c r="AB68" i="217"/>
  <c r="AC62" i="217" s="1"/>
  <c r="AA68" i="217"/>
  <c r="P14" i="217"/>
  <c r="Q14" i="217"/>
  <c r="Q38" i="217"/>
  <c r="P38" i="217"/>
  <c r="Q5" i="217"/>
  <c r="P5" i="217"/>
  <c r="P59" i="217"/>
  <c r="Q59" i="217"/>
  <c r="Q57" i="217"/>
  <c r="P57" i="217"/>
  <c r="P49" i="217"/>
  <c r="Q49" i="217"/>
  <c r="P18" i="217"/>
  <c r="Q18" i="217"/>
  <c r="Q9" i="217"/>
  <c r="P9" i="217"/>
  <c r="AB30" i="217"/>
  <c r="AC21" i="217" s="1"/>
  <c r="AA30" i="217"/>
  <c r="N30" i="217"/>
  <c r="Q25" i="217"/>
  <c r="P25" i="217"/>
  <c r="Q7" i="217"/>
  <c r="P7" i="217"/>
  <c r="Q13" i="217"/>
  <c r="P13" i="217"/>
  <c r="P65" i="217"/>
  <c r="Q65" i="217"/>
  <c r="Q67" i="217"/>
  <c r="P67" i="217"/>
  <c r="AB45" i="217"/>
  <c r="AC38" i="217" s="1"/>
  <c r="AA45" i="217"/>
  <c r="N45" i="217"/>
  <c r="Q42" i="217"/>
  <c r="P42" i="217"/>
  <c r="P69" i="215"/>
  <c r="Q69" i="215"/>
  <c r="I6" i="214"/>
  <c r="Q76" i="215"/>
  <c r="P76" i="215"/>
  <c r="Q57" i="215"/>
  <c r="P57" i="215"/>
  <c r="N73" i="215"/>
  <c r="AB73" i="215"/>
  <c r="AA73" i="215"/>
  <c r="N17" i="215"/>
  <c r="AB17" i="215"/>
  <c r="AA17" i="215"/>
  <c r="N42" i="215"/>
  <c r="AB42" i="215"/>
  <c r="M48" i="215"/>
  <c r="AA42" i="215"/>
  <c r="AB60" i="215"/>
  <c r="AA60" i="215"/>
  <c r="N60" i="215"/>
  <c r="N33" i="215"/>
  <c r="AA33" i="215"/>
  <c r="AB33" i="215"/>
  <c r="P13" i="215"/>
  <c r="Q13" i="215"/>
  <c r="AA39" i="215"/>
  <c r="AB39" i="215"/>
  <c r="AC32" i="215" s="1"/>
  <c r="N39" i="215"/>
  <c r="N35" i="215"/>
  <c r="AB35" i="215"/>
  <c r="AA35" i="215"/>
  <c r="AB62" i="215"/>
  <c r="N62" i="215"/>
  <c r="AA62" i="215"/>
  <c r="P47" i="215"/>
  <c r="Q47" i="215"/>
  <c r="P50" i="215"/>
  <c r="Q50" i="215"/>
  <c r="AB31" i="215"/>
  <c r="AC22" i="215" s="1"/>
  <c r="AA31" i="215"/>
  <c r="N31" i="215"/>
  <c r="N26" i="215"/>
  <c r="AB26" i="215"/>
  <c r="AA26" i="215"/>
  <c r="Q37" i="215"/>
  <c r="P37" i="215"/>
  <c r="N51" i="215"/>
  <c r="M55" i="215"/>
  <c r="AB51" i="215"/>
  <c r="AA51" i="215"/>
  <c r="AB24" i="215"/>
  <c r="AA24" i="215"/>
  <c r="N24" i="215"/>
  <c r="P34" i="215"/>
  <c r="Q34" i="215"/>
  <c r="G6" i="214"/>
  <c r="N8" i="215"/>
  <c r="AB8" i="215"/>
  <c r="AC5" i="215" s="1"/>
  <c r="AA8" i="215"/>
  <c r="M21" i="215"/>
  <c r="Q46" i="215"/>
  <c r="P46" i="215"/>
  <c r="N15" i="215"/>
  <c r="AA15" i="215"/>
  <c r="AB15" i="215"/>
  <c r="M78" i="215"/>
  <c r="Q54" i="215"/>
  <c r="P54" i="215"/>
  <c r="Q19" i="215"/>
  <c r="P19" i="215"/>
  <c r="P16" i="215"/>
  <c r="Q16" i="215"/>
  <c r="M64" i="215"/>
  <c r="N10" i="215"/>
  <c r="N30" i="215"/>
  <c r="Q53" i="215"/>
  <c r="N68" i="215"/>
  <c r="Q75" i="215"/>
  <c r="N23" i="215"/>
  <c r="N59" i="215"/>
  <c r="N72" i="215"/>
  <c r="N77" i="215"/>
  <c r="N14" i="215"/>
  <c r="N70" i="215"/>
  <c r="N7" i="215"/>
  <c r="AB10" i="215"/>
  <c r="AA23" i="215"/>
  <c r="N29" i="215"/>
  <c r="AB30" i="215"/>
  <c r="AA32" i="215"/>
  <c r="N45" i="215"/>
  <c r="AB46" i="215"/>
  <c r="N56" i="215"/>
  <c r="AA59" i="215"/>
  <c r="N63" i="215"/>
  <c r="AB68" i="215"/>
  <c r="AA77" i="215"/>
  <c r="F6" i="214"/>
  <c r="AA14" i="215"/>
  <c r="AB23" i="215"/>
  <c r="AB32" i="215"/>
  <c r="AA70" i="215"/>
  <c r="N9" i="215"/>
  <c r="AB12" i="215"/>
  <c r="N18" i="215"/>
  <c r="AB19" i="215"/>
  <c r="Q25" i="215"/>
  <c r="N36" i="215"/>
  <c r="AB37" i="215"/>
  <c r="Q41" i="215"/>
  <c r="AA46" i="215"/>
  <c r="N52" i="215"/>
  <c r="AB57" i="215"/>
  <c r="Q61" i="215"/>
  <c r="N65" i="215"/>
  <c r="N74" i="215"/>
  <c r="E6" i="214"/>
  <c r="M11" i="215"/>
  <c r="AA25" i="215"/>
  <c r="AA41" i="215"/>
  <c r="AA61" i="215"/>
  <c r="AA72" i="215"/>
  <c r="AA12" i="215"/>
  <c r="AA19" i="215"/>
  <c r="N27" i="215"/>
  <c r="AA37" i="215"/>
  <c r="N43" i="215"/>
  <c r="AA57" i="215"/>
  <c r="AA5" i="215"/>
  <c r="AA16" i="215"/>
  <c r="AA34" i="215"/>
  <c r="AA50" i="215"/>
  <c r="AB72" i="215"/>
  <c r="AB5" i="215"/>
  <c r="AB16" i="215"/>
  <c r="AA27" i="215"/>
  <c r="AB34" i="215"/>
  <c r="AA43" i="215"/>
  <c r="AB50" i="215"/>
  <c r="M71" i="215"/>
  <c r="P20" i="215"/>
  <c r="P38" i="215"/>
  <c r="P49" i="215"/>
  <c r="AA52" i="215"/>
  <c r="P58" i="215"/>
  <c r="AA65" i="215"/>
  <c r="AA74" i="215"/>
  <c r="N5" i="215"/>
  <c r="AB66" i="215"/>
  <c r="AA9" i="215"/>
  <c r="AA18" i="215"/>
  <c r="AA36" i="215"/>
  <c r="AB56" i="215"/>
  <c r="N66" i="215"/>
  <c r="AA29" i="215"/>
  <c r="N12" i="215"/>
  <c r="N32" i="215"/>
  <c r="O77" i="213"/>
  <c r="K77" i="213"/>
  <c r="V76" i="213"/>
  <c r="U76" i="213"/>
  <c r="O76" i="213"/>
  <c r="M76" i="213"/>
  <c r="N76" i="213" s="1"/>
  <c r="K76" i="213"/>
  <c r="G76" i="213"/>
  <c r="AB75" i="213"/>
  <c r="AA75" i="213"/>
  <c r="X75" i="213"/>
  <c r="W75" i="213"/>
  <c r="V75" i="213"/>
  <c r="U75" i="213"/>
  <c r="Q75" i="213"/>
  <c r="P75" i="213"/>
  <c r="O75" i="213"/>
  <c r="N75" i="213"/>
  <c r="M75" i="213"/>
  <c r="K75" i="213"/>
  <c r="G75" i="213"/>
  <c r="V74" i="213"/>
  <c r="M74" i="213" s="1"/>
  <c r="AB74" i="213" s="1"/>
  <c r="U74" i="213"/>
  <c r="O74" i="213"/>
  <c r="N74" i="213"/>
  <c r="P74" i="213" s="1"/>
  <c r="K74" i="213"/>
  <c r="G74" i="213"/>
  <c r="V73" i="213"/>
  <c r="U73" i="213"/>
  <c r="O73" i="213"/>
  <c r="M73" i="213"/>
  <c r="K73" i="213"/>
  <c r="G73" i="213"/>
  <c r="V72" i="213"/>
  <c r="M72" i="213" s="1"/>
  <c r="N72" i="213" s="1"/>
  <c r="U72" i="213"/>
  <c r="Q72" i="213"/>
  <c r="P72" i="213"/>
  <c r="O72" i="213"/>
  <c r="K72" i="213"/>
  <c r="G72" i="213"/>
  <c r="X71" i="213"/>
  <c r="W71" i="213"/>
  <c r="V71" i="213"/>
  <c r="O71" i="213"/>
  <c r="M71" i="213"/>
  <c r="AA71" i="213" s="1"/>
  <c r="K71" i="213"/>
  <c r="G71" i="213"/>
  <c r="O70" i="213"/>
  <c r="K70" i="213"/>
  <c r="J13" i="212" s="1"/>
  <c r="V69" i="213"/>
  <c r="U69" i="213"/>
  <c r="O69" i="213"/>
  <c r="M69" i="213"/>
  <c r="K69" i="213"/>
  <c r="G69" i="213"/>
  <c r="V68" i="213"/>
  <c r="U68" i="213"/>
  <c r="O68" i="213"/>
  <c r="M68" i="213"/>
  <c r="N68" i="213" s="1"/>
  <c r="K68" i="213"/>
  <c r="G68" i="213"/>
  <c r="AB67" i="213"/>
  <c r="AA67" i="213"/>
  <c r="V67" i="213"/>
  <c r="U67" i="213"/>
  <c r="O67" i="213"/>
  <c r="N67" i="213"/>
  <c r="P67" i="213" s="1"/>
  <c r="M67" i="213"/>
  <c r="K67" i="213"/>
  <c r="G67" i="213"/>
  <c r="AB66" i="213"/>
  <c r="AA66" i="213"/>
  <c r="V66" i="213"/>
  <c r="U66" i="213"/>
  <c r="Q66" i="213"/>
  <c r="P66" i="213"/>
  <c r="O66" i="213"/>
  <c r="N66" i="213"/>
  <c r="M66" i="213"/>
  <c r="K66" i="213"/>
  <c r="G66" i="213"/>
  <c r="V65" i="213"/>
  <c r="M65" i="213" s="1"/>
  <c r="AB65" i="213" s="1"/>
  <c r="O65" i="213"/>
  <c r="N65" i="213"/>
  <c r="P65" i="213" s="1"/>
  <c r="K65" i="213"/>
  <c r="G65" i="213"/>
  <c r="O64" i="213"/>
  <c r="K64" i="213"/>
  <c r="V63" i="213"/>
  <c r="M63" i="213" s="1"/>
  <c r="U63" i="213"/>
  <c r="O63" i="213"/>
  <c r="K63" i="213"/>
  <c r="G63" i="213"/>
  <c r="AB62" i="213"/>
  <c r="AA62" i="213"/>
  <c r="V62" i="213"/>
  <c r="U62" i="213"/>
  <c r="Q62" i="213"/>
  <c r="P62" i="213"/>
  <c r="O62" i="213"/>
  <c r="N62" i="213"/>
  <c r="M62" i="213"/>
  <c r="K62" i="213"/>
  <c r="G62" i="213"/>
  <c r="AB61" i="213"/>
  <c r="AA61" i="213"/>
  <c r="V61" i="213"/>
  <c r="M61" i="213" s="1"/>
  <c r="N61" i="213" s="1"/>
  <c r="Q61" i="213" s="1"/>
  <c r="U61" i="213"/>
  <c r="P61" i="213"/>
  <c r="O61" i="213"/>
  <c r="K61" i="213"/>
  <c r="G61" i="213"/>
  <c r="V60" i="213"/>
  <c r="U60" i="213"/>
  <c r="O60" i="213"/>
  <c r="M60" i="213"/>
  <c r="K60" i="213"/>
  <c r="G60" i="213"/>
  <c r="AB59" i="213"/>
  <c r="AA59" i="213"/>
  <c r="V59" i="213"/>
  <c r="U59" i="213"/>
  <c r="Q59" i="213"/>
  <c r="O59" i="213"/>
  <c r="M59" i="213"/>
  <c r="N59" i="213" s="1"/>
  <c r="P59" i="213" s="1"/>
  <c r="K59" i="213"/>
  <c r="G59" i="213"/>
  <c r="V58" i="213"/>
  <c r="U58" i="213"/>
  <c r="O58" i="213"/>
  <c r="M58" i="213"/>
  <c r="AA58" i="213" s="1"/>
  <c r="K58" i="213"/>
  <c r="G58" i="213"/>
  <c r="V57" i="213"/>
  <c r="O57" i="213"/>
  <c r="M57" i="213"/>
  <c r="K57" i="213"/>
  <c r="G57" i="213"/>
  <c r="O56" i="213"/>
  <c r="K56" i="213"/>
  <c r="H13" i="212" s="1"/>
  <c r="AA55" i="213"/>
  <c r="V55" i="213"/>
  <c r="M55" i="213" s="1"/>
  <c r="U55" i="213"/>
  <c r="O55" i="213"/>
  <c r="K55" i="213"/>
  <c r="G55" i="213"/>
  <c r="V54" i="213"/>
  <c r="U54" i="213"/>
  <c r="O54" i="213"/>
  <c r="M54" i="213"/>
  <c r="N54" i="213" s="1"/>
  <c r="K54" i="213"/>
  <c r="G54" i="213"/>
  <c r="AB53" i="213"/>
  <c r="AA53" i="213"/>
  <c r="X53" i="213"/>
  <c r="W53" i="213"/>
  <c r="V53" i="213"/>
  <c r="U53" i="213"/>
  <c r="Q53" i="213"/>
  <c r="P53" i="213"/>
  <c r="O53" i="213"/>
  <c r="N53" i="213"/>
  <c r="M53" i="213"/>
  <c r="K53" i="213"/>
  <c r="G53" i="213"/>
  <c r="V52" i="213"/>
  <c r="M52" i="213" s="1"/>
  <c r="AB52" i="213" s="1"/>
  <c r="U52" i="213"/>
  <c r="O52" i="213"/>
  <c r="K52" i="213"/>
  <c r="G52" i="213"/>
  <c r="V51" i="213"/>
  <c r="U51" i="213"/>
  <c r="O51" i="213"/>
  <c r="N51" i="213"/>
  <c r="M51" i="213"/>
  <c r="K51" i="213"/>
  <c r="G51" i="213"/>
  <c r="V50" i="213"/>
  <c r="M50" i="213" s="1"/>
  <c r="N50" i="213" s="1"/>
  <c r="U50" i="213"/>
  <c r="Q50" i="213"/>
  <c r="P50" i="213"/>
  <c r="O50" i="213"/>
  <c r="K50" i="213"/>
  <c r="G50" i="213"/>
  <c r="V49" i="213"/>
  <c r="U49" i="213"/>
  <c r="O49" i="213"/>
  <c r="M49" i="213"/>
  <c r="AB49" i="213" s="1"/>
  <c r="K49" i="213"/>
  <c r="G49" i="213"/>
  <c r="V48" i="213"/>
  <c r="M48" i="213" s="1"/>
  <c r="U48" i="213"/>
  <c r="O48" i="213"/>
  <c r="K48" i="213"/>
  <c r="G48" i="213"/>
  <c r="X47" i="213"/>
  <c r="W47" i="213"/>
  <c r="V47" i="213"/>
  <c r="M47" i="213" s="1"/>
  <c r="O47" i="213"/>
  <c r="K47" i="213"/>
  <c r="G47" i="213"/>
  <c r="O46" i="213"/>
  <c r="K46" i="213"/>
  <c r="AB45" i="213"/>
  <c r="AA45" i="213"/>
  <c r="V45" i="213"/>
  <c r="U45" i="213"/>
  <c r="O45" i="213"/>
  <c r="N45" i="213"/>
  <c r="Q45" i="213" s="1"/>
  <c r="M45" i="213"/>
  <c r="K45" i="213"/>
  <c r="G45" i="213"/>
  <c r="AB44" i="213"/>
  <c r="AA44" i="213"/>
  <c r="X44" i="213"/>
  <c r="W44" i="213"/>
  <c r="V44" i="213"/>
  <c r="U44" i="213"/>
  <c r="Q44" i="213"/>
  <c r="P44" i="213"/>
  <c r="O44" i="213"/>
  <c r="N44" i="213"/>
  <c r="M44" i="213"/>
  <c r="K44" i="213"/>
  <c r="G44" i="213"/>
  <c r="V43" i="213"/>
  <c r="M43" i="213" s="1"/>
  <c r="N43" i="213" s="1"/>
  <c r="Q43" i="213" s="1"/>
  <c r="U43" i="213"/>
  <c r="P43" i="213"/>
  <c r="O43" i="213"/>
  <c r="K43" i="213"/>
  <c r="G43" i="213"/>
  <c r="V42" i="213"/>
  <c r="U42" i="213"/>
  <c r="O42" i="213"/>
  <c r="M42" i="213"/>
  <c r="K42" i="213"/>
  <c r="G42" i="213"/>
  <c r="AB41" i="213"/>
  <c r="AA41" i="213"/>
  <c r="V41" i="213"/>
  <c r="U41" i="213"/>
  <c r="O41" i="213"/>
  <c r="M41" i="213"/>
  <c r="N41" i="213" s="1"/>
  <c r="P41" i="213" s="1"/>
  <c r="K41" i="213"/>
  <c r="G41" i="213"/>
  <c r="AB40" i="213"/>
  <c r="V40" i="213"/>
  <c r="U40" i="213"/>
  <c r="Q40" i="213"/>
  <c r="O40" i="213"/>
  <c r="N40" i="213"/>
  <c r="P40" i="213" s="1"/>
  <c r="M40" i="213"/>
  <c r="AA40" i="213" s="1"/>
  <c r="K40" i="213"/>
  <c r="G40" i="213"/>
  <c r="V39" i="213"/>
  <c r="M39" i="213" s="1"/>
  <c r="U39" i="213"/>
  <c r="O39" i="213"/>
  <c r="K39" i="213"/>
  <c r="G39" i="213"/>
  <c r="X38" i="213"/>
  <c r="W38" i="213"/>
  <c r="V38" i="213"/>
  <c r="M38" i="213" s="1"/>
  <c r="O38" i="213"/>
  <c r="K38" i="213"/>
  <c r="G38" i="213"/>
  <c r="O37" i="213"/>
  <c r="K37" i="213"/>
  <c r="V36" i="213"/>
  <c r="U36" i="213"/>
  <c r="O36" i="213"/>
  <c r="M36" i="213"/>
  <c r="N36" i="213" s="1"/>
  <c r="Q36" i="213" s="1"/>
  <c r="K36" i="213"/>
  <c r="G36" i="213"/>
  <c r="AB35" i="213"/>
  <c r="AA35" i="213"/>
  <c r="V35" i="213"/>
  <c r="U35" i="213"/>
  <c r="Q35" i="213"/>
  <c r="P35" i="213"/>
  <c r="O35" i="213"/>
  <c r="N35" i="213"/>
  <c r="M35" i="213"/>
  <c r="K35" i="213"/>
  <c r="G35" i="213"/>
  <c r="X34" i="213"/>
  <c r="W34" i="213"/>
  <c r="V34" i="213"/>
  <c r="M34" i="213" s="1"/>
  <c r="N34" i="213" s="1"/>
  <c r="U34" i="213"/>
  <c r="Q34" i="213"/>
  <c r="P34" i="213"/>
  <c r="O34" i="213"/>
  <c r="K34" i="213"/>
  <c r="G34" i="213"/>
  <c r="AA33" i="213"/>
  <c r="V33" i="213"/>
  <c r="U33" i="213"/>
  <c r="O33" i="213"/>
  <c r="M33" i="213"/>
  <c r="AB33" i="213" s="1"/>
  <c r="K33" i="213"/>
  <c r="G33" i="213"/>
  <c r="AB32" i="213"/>
  <c r="V32" i="213"/>
  <c r="M32" i="213" s="1"/>
  <c r="U32" i="213"/>
  <c r="O32" i="213"/>
  <c r="K32" i="213"/>
  <c r="G32" i="213"/>
  <c r="V31" i="213"/>
  <c r="U31" i="213"/>
  <c r="O31" i="213"/>
  <c r="M31" i="213"/>
  <c r="N31" i="213" s="1"/>
  <c r="K31" i="213"/>
  <c r="G31" i="213"/>
  <c r="AB30" i="213"/>
  <c r="AA30" i="213"/>
  <c r="X30" i="213"/>
  <c r="W30" i="213"/>
  <c r="V30" i="213"/>
  <c r="Q30" i="213"/>
  <c r="P30" i="213"/>
  <c r="O30" i="213"/>
  <c r="N30" i="213"/>
  <c r="M30" i="213"/>
  <c r="K30" i="213"/>
  <c r="G30" i="213"/>
  <c r="O29" i="213"/>
  <c r="K29" i="213"/>
  <c r="G13" i="212" s="1"/>
  <c r="AB28" i="213"/>
  <c r="AA28" i="213"/>
  <c r="V28" i="213"/>
  <c r="U28" i="213"/>
  <c r="Q28" i="213"/>
  <c r="P28" i="213"/>
  <c r="O28" i="213"/>
  <c r="N28" i="213"/>
  <c r="M28" i="213"/>
  <c r="K28" i="213"/>
  <c r="G28" i="213"/>
  <c r="X27" i="213"/>
  <c r="W27" i="213"/>
  <c r="V27" i="213"/>
  <c r="M27" i="213" s="1"/>
  <c r="N27" i="213" s="1"/>
  <c r="Q27" i="213" s="1"/>
  <c r="U27" i="213"/>
  <c r="P27" i="213"/>
  <c r="O27" i="213"/>
  <c r="K27" i="213"/>
  <c r="G27" i="213"/>
  <c r="V26" i="213"/>
  <c r="M26" i="213" s="1"/>
  <c r="U26" i="213"/>
  <c r="O26" i="213"/>
  <c r="K26" i="213"/>
  <c r="G26" i="213"/>
  <c r="AB25" i="213"/>
  <c r="AA25" i="213"/>
  <c r="V25" i="213"/>
  <c r="U25" i="213"/>
  <c r="O25" i="213"/>
  <c r="M25" i="213"/>
  <c r="N25" i="213" s="1"/>
  <c r="P25" i="213" s="1"/>
  <c r="K25" i="213"/>
  <c r="G25" i="213"/>
  <c r="V24" i="213"/>
  <c r="U24" i="213"/>
  <c r="O24" i="213"/>
  <c r="M24" i="213"/>
  <c r="AA24" i="213" s="1"/>
  <c r="K24" i="213"/>
  <c r="G24" i="213"/>
  <c r="V23" i="213"/>
  <c r="U23" i="213"/>
  <c r="O23" i="213"/>
  <c r="M23" i="213"/>
  <c r="K23" i="213"/>
  <c r="G23" i="213"/>
  <c r="V22" i="213"/>
  <c r="U22" i="213"/>
  <c r="Q22" i="213"/>
  <c r="O22" i="213"/>
  <c r="N22" i="213"/>
  <c r="P22" i="213" s="1"/>
  <c r="M22" i="213"/>
  <c r="K22" i="213"/>
  <c r="G22" i="213"/>
  <c r="AB21" i="213"/>
  <c r="AA21" i="213"/>
  <c r="V21" i="213"/>
  <c r="U21" i="213"/>
  <c r="O21" i="213"/>
  <c r="N21" i="213"/>
  <c r="M21" i="213"/>
  <c r="K21" i="213"/>
  <c r="G21" i="213"/>
  <c r="V20" i="213"/>
  <c r="M20" i="213" s="1"/>
  <c r="O20" i="213"/>
  <c r="K20" i="213"/>
  <c r="G20" i="213"/>
  <c r="O19" i="213"/>
  <c r="K19" i="213"/>
  <c r="V18" i="213"/>
  <c r="U18" i="213"/>
  <c r="O18" i="213"/>
  <c r="M18" i="213"/>
  <c r="N18" i="213" s="1"/>
  <c r="P18" i="213" s="1"/>
  <c r="K18" i="213"/>
  <c r="G18" i="213"/>
  <c r="X17" i="213"/>
  <c r="W17" i="213"/>
  <c r="V17" i="213"/>
  <c r="U17" i="213"/>
  <c r="O17" i="213"/>
  <c r="M17" i="213"/>
  <c r="N17" i="213" s="1"/>
  <c r="K17" i="213"/>
  <c r="G17" i="213"/>
  <c r="V16" i="213"/>
  <c r="M16" i="213" s="1"/>
  <c r="N16" i="213" s="1"/>
  <c r="U16" i="213"/>
  <c r="Q16" i="213"/>
  <c r="P16" i="213"/>
  <c r="O16" i="213"/>
  <c r="K16" i="213"/>
  <c r="G16" i="213"/>
  <c r="AB15" i="213"/>
  <c r="AA15" i="213"/>
  <c r="V15" i="213"/>
  <c r="U15" i="213"/>
  <c r="O15" i="213"/>
  <c r="M15" i="213"/>
  <c r="N15" i="213" s="1"/>
  <c r="K15" i="213"/>
  <c r="G15" i="213"/>
  <c r="V14" i="213"/>
  <c r="M14" i="213" s="1"/>
  <c r="AB14" i="213" s="1"/>
  <c r="U14" i="213"/>
  <c r="O14" i="213"/>
  <c r="K14" i="213"/>
  <c r="G14" i="213"/>
  <c r="V13" i="213"/>
  <c r="U13" i="213"/>
  <c r="O13" i="213"/>
  <c r="N13" i="213"/>
  <c r="Q13" i="213" s="1"/>
  <c r="M13" i="213"/>
  <c r="K13" i="213"/>
  <c r="G13" i="213"/>
  <c r="AB12" i="213"/>
  <c r="AA12" i="213"/>
  <c r="V12" i="213"/>
  <c r="O12" i="213"/>
  <c r="N12" i="213"/>
  <c r="M12" i="213"/>
  <c r="K12" i="213"/>
  <c r="G12" i="213"/>
  <c r="O11" i="213"/>
  <c r="M11" i="213"/>
  <c r="AB11" i="213" s="1"/>
  <c r="AC9" i="213" s="1"/>
  <c r="K11" i="213"/>
  <c r="V10" i="213"/>
  <c r="U10" i="213"/>
  <c r="O10" i="213"/>
  <c r="M10" i="213"/>
  <c r="AB10" i="213" s="1"/>
  <c r="K10" i="213"/>
  <c r="G10" i="213"/>
  <c r="X9" i="213"/>
  <c r="W9" i="213"/>
  <c r="V9" i="213"/>
  <c r="M9" i="213" s="1"/>
  <c r="AB9" i="213" s="1"/>
  <c r="O9" i="213"/>
  <c r="N9" i="213"/>
  <c r="P9" i="213" s="1"/>
  <c r="K9" i="213"/>
  <c r="G9" i="213"/>
  <c r="O8" i="213"/>
  <c r="K8" i="213"/>
  <c r="V7" i="213"/>
  <c r="U7" i="213"/>
  <c r="O7" i="213"/>
  <c r="N7" i="213"/>
  <c r="P7" i="213" s="1"/>
  <c r="M7" i="213"/>
  <c r="AB7" i="213" s="1"/>
  <c r="K7" i="213"/>
  <c r="G7" i="213"/>
  <c r="AB6" i="213"/>
  <c r="AA6" i="213"/>
  <c r="V6" i="213"/>
  <c r="U6" i="213"/>
  <c r="Q6" i="213"/>
  <c r="O6" i="213"/>
  <c r="N6" i="213"/>
  <c r="M6" i="213"/>
  <c r="K6" i="213"/>
  <c r="P6" i="213" s="1"/>
  <c r="G6" i="213"/>
  <c r="AB5" i="213"/>
  <c r="AA5" i="213"/>
  <c r="V5" i="213"/>
  <c r="M5" i="213" s="1"/>
  <c r="O5" i="213"/>
  <c r="K5" i="213"/>
  <c r="G5" i="213"/>
  <c r="H2" i="213"/>
  <c r="H1" i="213"/>
  <c r="M18" i="212"/>
  <c r="L18" i="212"/>
  <c r="K18" i="212"/>
  <c r="J18" i="212"/>
  <c r="I18" i="212"/>
  <c r="H18" i="212"/>
  <c r="G18" i="212"/>
  <c r="F18" i="212"/>
  <c r="E18" i="212"/>
  <c r="D18" i="212"/>
  <c r="M17" i="212"/>
  <c r="L17" i="212"/>
  <c r="K17" i="212"/>
  <c r="J17" i="212"/>
  <c r="I17" i="212"/>
  <c r="H17" i="212"/>
  <c r="G17" i="212"/>
  <c r="F17" i="212"/>
  <c r="E17" i="212"/>
  <c r="D17" i="212"/>
  <c r="M16" i="212"/>
  <c r="L16" i="212"/>
  <c r="K16" i="212"/>
  <c r="J16" i="212"/>
  <c r="I16" i="212"/>
  <c r="H16" i="212"/>
  <c r="G16" i="212"/>
  <c r="F16" i="212"/>
  <c r="E16" i="212"/>
  <c r="D16" i="212"/>
  <c r="M13" i="212"/>
  <c r="L13" i="212"/>
  <c r="I6" i="212" s="1"/>
  <c r="K13" i="212"/>
  <c r="I13" i="212"/>
  <c r="F13" i="212"/>
  <c r="E13" i="212"/>
  <c r="D13" i="212"/>
  <c r="G6" i="212"/>
  <c r="F6" i="212"/>
  <c r="I3" i="212"/>
  <c r="F3" i="212"/>
  <c r="C3" i="212"/>
  <c r="K15" i="218" l="1"/>
  <c r="I8" i="218" s="1"/>
  <c r="I7" i="218"/>
  <c r="E7" i="218"/>
  <c r="F7" i="218"/>
  <c r="F8" i="218"/>
  <c r="E8" i="218"/>
  <c r="G8" i="218"/>
  <c r="G7" i="218"/>
  <c r="D15" i="216"/>
  <c r="Q61" i="217"/>
  <c r="R53" i="217" s="1"/>
  <c r="P61" i="217"/>
  <c r="I14" i="216"/>
  <c r="I15" i="216" s="1"/>
  <c r="D2" i="217"/>
  <c r="Q52" i="217"/>
  <c r="R46" i="217" s="1"/>
  <c r="H14" i="216"/>
  <c r="H15" i="216" s="1"/>
  <c r="P52" i="217"/>
  <c r="Q75" i="217"/>
  <c r="R69" i="217" s="1"/>
  <c r="P75" i="217"/>
  <c r="M14" i="216"/>
  <c r="M15" i="216" s="1"/>
  <c r="Q11" i="217"/>
  <c r="R9" i="217" s="1"/>
  <c r="P11" i="217"/>
  <c r="E14" i="216"/>
  <c r="E15" i="216" s="1"/>
  <c r="Q68" i="217"/>
  <c r="R62" i="217" s="1"/>
  <c r="P68" i="217"/>
  <c r="J14" i="216"/>
  <c r="J15" i="216" s="1"/>
  <c r="Q37" i="217"/>
  <c r="R31" i="217" s="1"/>
  <c r="P37" i="217"/>
  <c r="K14" i="216"/>
  <c r="P45" i="217"/>
  <c r="Q45" i="217"/>
  <c r="R38" i="217" s="1"/>
  <c r="L14" i="216"/>
  <c r="L15" i="216" s="1"/>
  <c r="F14" i="216"/>
  <c r="F15" i="216" s="1"/>
  <c r="Q20" i="217"/>
  <c r="R12" i="217" s="1"/>
  <c r="P20" i="217"/>
  <c r="G14" i="216"/>
  <c r="G15" i="216" s="1"/>
  <c r="Q30" i="217"/>
  <c r="R21" i="217" s="1"/>
  <c r="P30" i="217"/>
  <c r="AA21" i="215"/>
  <c r="AB21" i="215"/>
  <c r="AC12" i="215" s="1"/>
  <c r="N21" i="215"/>
  <c r="Q63" i="215"/>
  <c r="P63" i="215"/>
  <c r="Q66" i="215"/>
  <c r="P66" i="215"/>
  <c r="Q23" i="215"/>
  <c r="P23" i="215"/>
  <c r="Q30" i="215"/>
  <c r="P30" i="215"/>
  <c r="Q56" i="215"/>
  <c r="P56" i="215"/>
  <c r="Q60" i="215"/>
  <c r="P60" i="215"/>
  <c r="Q32" i="215"/>
  <c r="P32" i="215"/>
  <c r="Q68" i="215"/>
  <c r="P68" i="215"/>
  <c r="AA48" i="215"/>
  <c r="AB48" i="215"/>
  <c r="AC40" i="215" s="1"/>
  <c r="N48" i="215"/>
  <c r="Q65" i="215"/>
  <c r="P65" i="215"/>
  <c r="N64" i="215"/>
  <c r="AB64" i="215"/>
  <c r="AC56" i="215" s="1"/>
  <c r="AA64" i="215"/>
  <c r="P62" i="215"/>
  <c r="Q62" i="215"/>
  <c r="Q52" i="215"/>
  <c r="P52" i="215"/>
  <c r="Q45" i="215"/>
  <c r="P45" i="215"/>
  <c r="P5" i="215"/>
  <c r="Q5" i="215"/>
  <c r="Q29" i="215"/>
  <c r="P29" i="215"/>
  <c r="K14" i="214"/>
  <c r="Q39" i="215"/>
  <c r="R32" i="215" s="1"/>
  <c r="P39" i="215"/>
  <c r="AB78" i="215"/>
  <c r="AC72" i="215" s="1"/>
  <c r="AA78" i="215"/>
  <c r="N78" i="215"/>
  <c r="Q27" i="215"/>
  <c r="P27" i="215"/>
  <c r="Q18" i="215"/>
  <c r="P18" i="215"/>
  <c r="Q7" i="215"/>
  <c r="P7" i="215"/>
  <c r="AB11" i="215"/>
  <c r="AC9" i="215" s="1"/>
  <c r="AA11" i="215"/>
  <c r="N11" i="215"/>
  <c r="P8" i="215"/>
  <c r="D14" i="214"/>
  <c r="Q8" i="215"/>
  <c r="R5" i="215" s="1"/>
  <c r="Q12" i="215"/>
  <c r="P12" i="215"/>
  <c r="P42" i="215"/>
  <c r="Q42" i="215"/>
  <c r="Q24" i="215"/>
  <c r="P24" i="215"/>
  <c r="Q35" i="215"/>
  <c r="P35" i="215"/>
  <c r="Q36" i="215"/>
  <c r="P36" i="215"/>
  <c r="Q73" i="215"/>
  <c r="P73" i="215"/>
  <c r="Q43" i="215"/>
  <c r="P43" i="215"/>
  <c r="Q51" i="215"/>
  <c r="P51" i="215"/>
  <c r="P70" i="215"/>
  <c r="Q70" i="215"/>
  <c r="Q10" i="215"/>
  <c r="P10" i="215"/>
  <c r="P14" i="215"/>
  <c r="Q14" i="215"/>
  <c r="Q77" i="215"/>
  <c r="P77" i="215"/>
  <c r="AA71" i="215"/>
  <c r="AB71" i="215"/>
  <c r="AC65" i="215" s="1"/>
  <c r="N71" i="215"/>
  <c r="P59" i="215"/>
  <c r="Q59" i="215"/>
  <c r="Q74" i="215"/>
  <c r="P74" i="215"/>
  <c r="Q17" i="215"/>
  <c r="P17" i="215"/>
  <c r="AB55" i="215"/>
  <c r="AC49" i="215" s="1"/>
  <c r="N55" i="215"/>
  <c r="AA55" i="215"/>
  <c r="Q9" i="215"/>
  <c r="P9" i="215"/>
  <c r="Q15" i="215"/>
  <c r="P15" i="215"/>
  <c r="P26" i="215"/>
  <c r="Q26" i="215"/>
  <c r="Q72" i="215"/>
  <c r="P72" i="215"/>
  <c r="Q31" i="215"/>
  <c r="R22" i="215" s="1"/>
  <c r="P31" i="215"/>
  <c r="G14" i="214"/>
  <c r="G15" i="214" s="1"/>
  <c r="Q33" i="215"/>
  <c r="P33" i="215"/>
  <c r="Q17" i="213"/>
  <c r="P17" i="213"/>
  <c r="Q15" i="213"/>
  <c r="P15" i="213"/>
  <c r="AB47" i="213"/>
  <c r="AA47" i="213"/>
  <c r="N47" i="213"/>
  <c r="M56" i="213"/>
  <c r="Q31" i="213"/>
  <c r="P31" i="213"/>
  <c r="P54" i="213"/>
  <c r="Q54" i="213"/>
  <c r="N63" i="213"/>
  <c r="AA63" i="213"/>
  <c r="AB63" i="213"/>
  <c r="M29" i="213"/>
  <c r="AB20" i="213"/>
  <c r="N20" i="213"/>
  <c r="AA20" i="213"/>
  <c r="AB26" i="213"/>
  <c r="N26" i="213"/>
  <c r="AA26" i="213"/>
  <c r="Q76" i="213"/>
  <c r="P76" i="213"/>
  <c r="M46" i="213"/>
  <c r="AB38" i="213"/>
  <c r="N38" i="213"/>
  <c r="AA38" i="213"/>
  <c r="AB73" i="213"/>
  <c r="AA73" i="213"/>
  <c r="N57" i="213"/>
  <c r="M64" i="213"/>
  <c r="N73" i="213"/>
  <c r="AA68" i="213"/>
  <c r="N5" i="213"/>
  <c r="M8" i="213"/>
  <c r="Q7" i="213"/>
  <c r="Q12" i="213"/>
  <c r="P12" i="213"/>
  <c r="N32" i="213"/>
  <c r="AA32" i="213"/>
  <c r="AA34" i="213"/>
  <c r="AB51" i="213"/>
  <c r="AA51" i="213"/>
  <c r="N55" i="213"/>
  <c r="AB55" i="213"/>
  <c r="Q18" i="213"/>
  <c r="N23" i="213"/>
  <c r="AB23" i="213"/>
  <c r="AA57" i="213"/>
  <c r="AB68" i="213"/>
  <c r="P45" i="213"/>
  <c r="AB57" i="213"/>
  <c r="Q41" i="213"/>
  <c r="N71" i="213"/>
  <c r="P13" i="213"/>
  <c r="AA27" i="213"/>
  <c r="Q21" i="213"/>
  <c r="P21" i="213"/>
  <c r="P36" i="213"/>
  <c r="AB50" i="213"/>
  <c r="AB60" i="213"/>
  <c r="AA60" i="213"/>
  <c r="AB69" i="213"/>
  <c r="AA69" i="213"/>
  <c r="AA9" i="213"/>
  <c r="AA16" i="213"/>
  <c r="AB71" i="213"/>
  <c r="AB16" i="213"/>
  <c r="Q65" i="213"/>
  <c r="AA65" i="213"/>
  <c r="Q67" i="213"/>
  <c r="AA74" i="213"/>
  <c r="AA7" i="213"/>
  <c r="N10" i="213"/>
  <c r="AB42" i="213"/>
  <c r="AA42" i="213"/>
  <c r="AB22" i="213"/>
  <c r="AA22" i="213"/>
  <c r="N33" i="213"/>
  <c r="N42" i="213"/>
  <c r="AB58" i="213"/>
  <c r="AB54" i="213"/>
  <c r="AA54" i="213"/>
  <c r="P68" i="213"/>
  <c r="Q68" i="213"/>
  <c r="AA52" i="213"/>
  <c r="AA11" i="213"/>
  <c r="AB27" i="213"/>
  <c r="AA43" i="213"/>
  <c r="AB43" i="213"/>
  <c r="AA50" i="213"/>
  <c r="N60" i="213"/>
  <c r="N69" i="213"/>
  <c r="Q74" i="213"/>
  <c r="AA36" i="213"/>
  <c r="AA72" i="213"/>
  <c r="AB34" i="213"/>
  <c r="N49" i="213"/>
  <c r="AA10" i="213"/>
  <c r="N52" i="213"/>
  <c r="AB72" i="213"/>
  <c r="M77" i="213"/>
  <c r="AB31" i="213"/>
  <c r="M37" i="213"/>
  <c r="AA31" i="213"/>
  <c r="N11" i="213"/>
  <c r="Q9" i="213"/>
  <c r="Q25" i="213"/>
  <c r="E6" i="212"/>
  <c r="AA18" i="213"/>
  <c r="AB18" i="213"/>
  <c r="AA23" i="213"/>
  <c r="N48" i="213"/>
  <c r="AA48" i="213"/>
  <c r="N14" i="213"/>
  <c r="AA14" i="213"/>
  <c r="AB48" i="213"/>
  <c r="N58" i="213"/>
  <c r="AB76" i="213"/>
  <c r="AA76" i="213"/>
  <c r="N39" i="213"/>
  <c r="AB39" i="213"/>
  <c r="Q51" i="213"/>
  <c r="P51" i="213"/>
  <c r="M70" i="213"/>
  <c r="AB17" i="213"/>
  <c r="AA17" i="213"/>
  <c r="N24" i="213"/>
  <c r="AB36" i="213"/>
  <c r="AA39" i="213"/>
  <c r="AB13" i="213"/>
  <c r="M19" i="213"/>
  <c r="AA13" i="213"/>
  <c r="AB24" i="213"/>
  <c r="AA49" i="213"/>
  <c r="O69" i="211"/>
  <c r="M69" i="211"/>
  <c r="N69" i="211" s="1"/>
  <c r="K69" i="211"/>
  <c r="V68" i="211"/>
  <c r="U68" i="211"/>
  <c r="O68" i="211"/>
  <c r="N68" i="211"/>
  <c r="M68" i="211"/>
  <c r="K68" i="211"/>
  <c r="G68" i="211"/>
  <c r="AB67" i="211"/>
  <c r="AA67" i="211"/>
  <c r="V67" i="211"/>
  <c r="U67" i="211"/>
  <c r="Q67" i="211"/>
  <c r="P67" i="211"/>
  <c r="O67" i="211"/>
  <c r="N67" i="211"/>
  <c r="M67" i="211"/>
  <c r="K67" i="211"/>
  <c r="G67" i="211"/>
  <c r="V66" i="211"/>
  <c r="U66" i="211"/>
  <c r="O66" i="211"/>
  <c r="N66" i="211"/>
  <c r="Q66" i="211" s="1"/>
  <c r="M66" i="211"/>
  <c r="K66" i="211"/>
  <c r="G66" i="211"/>
  <c r="AA65" i="211"/>
  <c r="V65" i="211"/>
  <c r="M65" i="211" s="1"/>
  <c r="U65" i="211"/>
  <c r="O65" i="211"/>
  <c r="K65" i="211"/>
  <c r="G65" i="211"/>
  <c r="AA64" i="211"/>
  <c r="X64" i="211"/>
  <c r="W64" i="211"/>
  <c r="V64" i="211"/>
  <c r="O64" i="211"/>
  <c r="N64" i="211"/>
  <c r="P64" i="211" s="1"/>
  <c r="M64" i="211"/>
  <c r="AB64" i="211" s="1"/>
  <c r="K64" i="211"/>
  <c r="G64" i="211"/>
  <c r="O63" i="211"/>
  <c r="K63" i="211"/>
  <c r="AB62" i="211"/>
  <c r="AA62" i="211"/>
  <c r="V62" i="211"/>
  <c r="U62" i="211"/>
  <c r="Q62" i="211"/>
  <c r="O62" i="211"/>
  <c r="M62" i="211"/>
  <c r="N62" i="211" s="1"/>
  <c r="P62" i="211" s="1"/>
  <c r="K62" i="211"/>
  <c r="G62" i="211"/>
  <c r="AB61" i="211"/>
  <c r="AA61" i="211"/>
  <c r="V61" i="211"/>
  <c r="U61" i="211"/>
  <c r="O61" i="211"/>
  <c r="M61" i="211"/>
  <c r="N61" i="211" s="1"/>
  <c r="K61" i="211"/>
  <c r="G61" i="211"/>
  <c r="AB60" i="211"/>
  <c r="AA60" i="211"/>
  <c r="V60" i="211"/>
  <c r="U60" i="211"/>
  <c r="O60" i="211"/>
  <c r="N60" i="211"/>
  <c r="M60" i="211"/>
  <c r="K60" i="211"/>
  <c r="G60" i="211"/>
  <c r="V59" i="211"/>
  <c r="U59" i="211"/>
  <c r="O59" i="211"/>
  <c r="N59" i="211"/>
  <c r="M59" i="211"/>
  <c r="K59" i="211"/>
  <c r="G59" i="211"/>
  <c r="AB58" i="211"/>
  <c r="V58" i="211"/>
  <c r="Q58" i="211"/>
  <c r="P58" i="211"/>
  <c r="O58" i="211"/>
  <c r="N58" i="211"/>
  <c r="M58" i="211"/>
  <c r="AA58" i="211" s="1"/>
  <c r="K58" i="211"/>
  <c r="G58" i="211"/>
  <c r="O57" i="211"/>
  <c r="N57" i="211"/>
  <c r="M57" i="211"/>
  <c r="K57" i="211"/>
  <c r="AB56" i="211"/>
  <c r="AA56" i="211"/>
  <c r="V56" i="211"/>
  <c r="U56" i="211"/>
  <c r="O56" i="211"/>
  <c r="N56" i="211"/>
  <c r="Q56" i="211" s="1"/>
  <c r="M56" i="211"/>
  <c r="K56" i="211"/>
  <c r="G56" i="211"/>
  <c r="V55" i="211"/>
  <c r="U55" i="211"/>
  <c r="P55" i="211"/>
  <c r="O55" i="211"/>
  <c r="N55" i="211"/>
  <c r="Q55" i="211" s="1"/>
  <c r="M55" i="211"/>
  <c r="K55" i="211"/>
  <c r="G55" i="211"/>
  <c r="V54" i="211"/>
  <c r="M54" i="211" s="1"/>
  <c r="U54" i="211"/>
  <c r="O54" i="211"/>
  <c r="K54" i="211"/>
  <c r="G54" i="211"/>
  <c r="V53" i="211"/>
  <c r="U53" i="211"/>
  <c r="O53" i="211"/>
  <c r="N53" i="211"/>
  <c r="P53" i="211" s="1"/>
  <c r="M53" i="211"/>
  <c r="K53" i="211"/>
  <c r="G53" i="211"/>
  <c r="AB52" i="211"/>
  <c r="AA52" i="211"/>
  <c r="V52" i="211"/>
  <c r="M52" i="211" s="1"/>
  <c r="N52" i="211" s="1"/>
  <c r="P52" i="211" s="1"/>
  <c r="U52" i="211"/>
  <c r="Q52" i="211"/>
  <c r="O52" i="211"/>
  <c r="K52" i="211"/>
  <c r="G52" i="211"/>
  <c r="AA51" i="211"/>
  <c r="V51" i="211"/>
  <c r="M51" i="211" s="1"/>
  <c r="U51" i="211"/>
  <c r="O51" i="211"/>
  <c r="K51" i="211"/>
  <c r="G51" i="211"/>
  <c r="AB50" i="211"/>
  <c r="AA50" i="211"/>
  <c r="V50" i="211"/>
  <c r="O50" i="211"/>
  <c r="M50" i="211"/>
  <c r="N50" i="211" s="1"/>
  <c r="K50" i="211"/>
  <c r="G50" i="211"/>
  <c r="O49" i="211"/>
  <c r="M49" i="211"/>
  <c r="N49" i="211" s="1"/>
  <c r="H14" i="210" s="1"/>
  <c r="H15" i="210" s="1"/>
  <c r="K49" i="211"/>
  <c r="AB48" i="211"/>
  <c r="AA48" i="211"/>
  <c r="V48" i="211"/>
  <c r="M48" i="211" s="1"/>
  <c r="N48" i="211" s="1"/>
  <c r="U48" i="211"/>
  <c r="O48" i="211"/>
  <c r="K48" i="211"/>
  <c r="G48" i="211"/>
  <c r="AB47" i="211"/>
  <c r="AA47" i="211"/>
  <c r="V47" i="211"/>
  <c r="U47" i="211"/>
  <c r="O47" i="211"/>
  <c r="M47" i="211"/>
  <c r="N47" i="211" s="1"/>
  <c r="K47" i="211"/>
  <c r="G47" i="211"/>
  <c r="AB46" i="211"/>
  <c r="V46" i="211"/>
  <c r="U46" i="211"/>
  <c r="O46" i="211"/>
  <c r="M46" i="211"/>
  <c r="K46" i="211"/>
  <c r="G46" i="211"/>
  <c r="AB45" i="211"/>
  <c r="AA45" i="211"/>
  <c r="V45" i="211"/>
  <c r="U45" i="211"/>
  <c r="O45" i="211"/>
  <c r="M45" i="211"/>
  <c r="N45" i="211" s="1"/>
  <c r="K45" i="211"/>
  <c r="G45" i="211"/>
  <c r="V44" i="211"/>
  <c r="U44" i="211"/>
  <c r="O44" i="211"/>
  <c r="N44" i="211"/>
  <c r="M44" i="211"/>
  <c r="K44" i="211"/>
  <c r="G44" i="211"/>
  <c r="AB43" i="211"/>
  <c r="V43" i="211"/>
  <c r="U43" i="211"/>
  <c r="Q43" i="211"/>
  <c r="P43" i="211"/>
  <c r="O43" i="211"/>
  <c r="N43" i="211"/>
  <c r="M43" i="211"/>
  <c r="AA43" i="211" s="1"/>
  <c r="K43" i="211"/>
  <c r="G43" i="211"/>
  <c r="X42" i="211"/>
  <c r="W42" i="211"/>
  <c r="V42" i="211"/>
  <c r="M42" i="211" s="1"/>
  <c r="O42" i="211"/>
  <c r="K42" i="211"/>
  <c r="G42" i="211"/>
  <c r="O41" i="211"/>
  <c r="K41" i="211"/>
  <c r="V40" i="211"/>
  <c r="M40" i="211" s="1"/>
  <c r="U40" i="211"/>
  <c r="Q40" i="211"/>
  <c r="P40" i="211"/>
  <c r="O40" i="211"/>
  <c r="N40" i="211"/>
  <c r="K40" i="211"/>
  <c r="G40" i="211"/>
  <c r="AB39" i="211"/>
  <c r="AA39" i="211"/>
  <c r="V39" i="211"/>
  <c r="M39" i="211" s="1"/>
  <c r="N39" i="211" s="1"/>
  <c r="U39" i="211"/>
  <c r="O39" i="211"/>
  <c r="K39" i="211"/>
  <c r="G39" i="211"/>
  <c r="AB38" i="211"/>
  <c r="AA38" i="211"/>
  <c r="V38" i="211"/>
  <c r="U38" i="211"/>
  <c r="Q38" i="211"/>
  <c r="P38" i="211"/>
  <c r="O38" i="211"/>
  <c r="M38" i="211"/>
  <c r="N38" i="211" s="1"/>
  <c r="K38" i="211"/>
  <c r="G38" i="211"/>
  <c r="AB37" i="211"/>
  <c r="AA37" i="211"/>
  <c r="V37" i="211"/>
  <c r="U37" i="211"/>
  <c r="O37" i="211"/>
  <c r="M37" i="211"/>
  <c r="N37" i="211" s="1"/>
  <c r="K37" i="211"/>
  <c r="G37" i="211"/>
  <c r="AB36" i="211"/>
  <c r="AA36" i="211"/>
  <c r="V36" i="211"/>
  <c r="U36" i="211"/>
  <c r="O36" i="211"/>
  <c r="N36" i="211"/>
  <c r="M36" i="211"/>
  <c r="K36" i="211"/>
  <c r="G36" i="211"/>
  <c r="V35" i="211"/>
  <c r="U35" i="211"/>
  <c r="O35" i="211"/>
  <c r="N35" i="211"/>
  <c r="M35" i="211"/>
  <c r="K35" i="211"/>
  <c r="G35" i="211"/>
  <c r="AB34" i="211"/>
  <c r="X34" i="211"/>
  <c r="W34" i="211"/>
  <c r="V34" i="211"/>
  <c r="M34" i="211" s="1"/>
  <c r="O34" i="211"/>
  <c r="K34" i="211"/>
  <c r="G34" i="211"/>
  <c r="O33" i="211"/>
  <c r="M33" i="211"/>
  <c r="N33" i="211" s="1"/>
  <c r="K33" i="211"/>
  <c r="V32" i="211"/>
  <c r="M32" i="211" s="1"/>
  <c r="U32" i="211"/>
  <c r="O32" i="211"/>
  <c r="K32" i="211"/>
  <c r="G32" i="211"/>
  <c r="V31" i="211"/>
  <c r="U31" i="211"/>
  <c r="O31" i="211"/>
  <c r="N31" i="211"/>
  <c r="P31" i="211" s="1"/>
  <c r="M31" i="211"/>
  <c r="K31" i="211"/>
  <c r="G31" i="211"/>
  <c r="AB30" i="211"/>
  <c r="AA30" i="211"/>
  <c r="V30" i="211"/>
  <c r="M30" i="211" s="1"/>
  <c r="N30" i="211" s="1"/>
  <c r="P30" i="211" s="1"/>
  <c r="U30" i="211"/>
  <c r="Q30" i="211"/>
  <c r="O30" i="211"/>
  <c r="K30" i="211"/>
  <c r="G30" i="211"/>
  <c r="AA29" i="211"/>
  <c r="V29" i="211"/>
  <c r="M29" i="211" s="1"/>
  <c r="U29" i="211"/>
  <c r="O29" i="211"/>
  <c r="K29" i="211"/>
  <c r="G29" i="211"/>
  <c r="AB28" i="211"/>
  <c r="AA28" i="211"/>
  <c r="X28" i="211"/>
  <c r="W28" i="211"/>
  <c r="V28" i="211"/>
  <c r="O28" i="211"/>
  <c r="N28" i="211"/>
  <c r="M28" i="211"/>
  <c r="K28" i="211"/>
  <c r="G28" i="211"/>
  <c r="O27" i="211"/>
  <c r="M27" i="211"/>
  <c r="AB27" i="211" s="1"/>
  <c r="AC19" i="211" s="1"/>
  <c r="K27" i="211"/>
  <c r="AB26" i="211"/>
  <c r="V26" i="211"/>
  <c r="U26" i="211"/>
  <c r="O26" i="211"/>
  <c r="M26" i="211"/>
  <c r="K26" i="211"/>
  <c r="G26" i="211"/>
  <c r="AB25" i="211"/>
  <c r="AA25" i="211"/>
  <c r="V25" i="211"/>
  <c r="U25" i="211"/>
  <c r="O25" i="211"/>
  <c r="M25" i="211"/>
  <c r="N25" i="211" s="1"/>
  <c r="K25" i="211"/>
  <c r="G25" i="211"/>
  <c r="V24" i="211"/>
  <c r="U24" i="211"/>
  <c r="O24" i="211"/>
  <c r="N24" i="211"/>
  <c r="Q24" i="211" s="1"/>
  <c r="M24" i="211"/>
  <c r="K24" i="211"/>
  <c r="G24" i="211"/>
  <c r="AB23" i="211"/>
  <c r="V23" i="211"/>
  <c r="U23" i="211"/>
  <c r="Q23" i="211"/>
  <c r="P23" i="211"/>
  <c r="O23" i="211"/>
  <c r="N23" i="211"/>
  <c r="M23" i="211"/>
  <c r="AA23" i="211" s="1"/>
  <c r="K23" i="211"/>
  <c r="G23" i="211"/>
  <c r="V22" i="211"/>
  <c r="U22" i="211"/>
  <c r="Q22" i="211"/>
  <c r="P22" i="211"/>
  <c r="O22" i="211"/>
  <c r="N22" i="211"/>
  <c r="M22" i="211"/>
  <c r="K22" i="211"/>
  <c r="G22" i="211"/>
  <c r="AA21" i="211"/>
  <c r="V21" i="211"/>
  <c r="M21" i="211" s="1"/>
  <c r="U21" i="211"/>
  <c r="O21" i="211"/>
  <c r="K21" i="211"/>
  <c r="G21" i="211"/>
  <c r="AA20" i="211"/>
  <c r="V20" i="211"/>
  <c r="M20" i="211" s="1"/>
  <c r="AB20" i="211" s="1"/>
  <c r="U20" i="211"/>
  <c r="Q20" i="211"/>
  <c r="P20" i="211"/>
  <c r="O20" i="211"/>
  <c r="N20" i="211"/>
  <c r="K20" i="211"/>
  <c r="G20" i="211"/>
  <c r="AB19" i="211"/>
  <c r="AA19" i="211"/>
  <c r="V19" i="211"/>
  <c r="M19" i="211" s="1"/>
  <c r="N19" i="211" s="1"/>
  <c r="O19" i="211"/>
  <c r="K19" i="211"/>
  <c r="G19" i="211"/>
  <c r="O18" i="211"/>
  <c r="K18" i="211"/>
  <c r="AB17" i="211"/>
  <c r="AA17" i="211"/>
  <c r="V17" i="211"/>
  <c r="M17" i="211" s="1"/>
  <c r="N17" i="211" s="1"/>
  <c r="U17" i="211"/>
  <c r="O17" i="211"/>
  <c r="K17" i="211"/>
  <c r="G17" i="211"/>
  <c r="AB16" i="211"/>
  <c r="AA16" i="211"/>
  <c r="V16" i="211"/>
  <c r="U16" i="211"/>
  <c r="Q16" i="211"/>
  <c r="P16" i="211"/>
  <c r="O16" i="211"/>
  <c r="M16" i="211"/>
  <c r="N16" i="211" s="1"/>
  <c r="K16" i="211"/>
  <c r="G16" i="211"/>
  <c r="AB15" i="211"/>
  <c r="AA15" i="211"/>
  <c r="V15" i="211"/>
  <c r="U15" i="211"/>
  <c r="O15" i="211"/>
  <c r="M15" i="211"/>
  <c r="N15" i="211" s="1"/>
  <c r="K15" i="211"/>
  <c r="G15" i="211"/>
  <c r="AB14" i="211"/>
  <c r="AA14" i="211"/>
  <c r="V14" i="211"/>
  <c r="U14" i="211"/>
  <c r="O14" i="211"/>
  <c r="N14" i="211"/>
  <c r="M14" i="211"/>
  <c r="K14" i="211"/>
  <c r="G14" i="211"/>
  <c r="V13" i="211"/>
  <c r="U13" i="211"/>
  <c r="O13" i="211"/>
  <c r="N13" i="211"/>
  <c r="M13" i="211"/>
  <c r="K13" i="211"/>
  <c r="G13" i="211"/>
  <c r="AB12" i="211"/>
  <c r="V12" i="211"/>
  <c r="Q12" i="211"/>
  <c r="P12" i="211"/>
  <c r="O12" i="211"/>
  <c r="N12" i="211"/>
  <c r="M12" i="211"/>
  <c r="AA12" i="211" s="1"/>
  <c r="K12" i="211"/>
  <c r="G12" i="211"/>
  <c r="O11" i="211"/>
  <c r="N11" i="211"/>
  <c r="Q11" i="211" s="1"/>
  <c r="R9" i="211" s="1"/>
  <c r="M11" i="211"/>
  <c r="K11" i="211"/>
  <c r="AB10" i="211"/>
  <c r="AA10" i="211"/>
  <c r="V10" i="211"/>
  <c r="U10" i="211"/>
  <c r="O10" i="211"/>
  <c r="N10" i="211"/>
  <c r="Q10" i="211" s="1"/>
  <c r="M10" i="211"/>
  <c r="K10" i="211"/>
  <c r="G10" i="211"/>
  <c r="X9" i="211"/>
  <c r="W9" i="211"/>
  <c r="V9" i="211"/>
  <c r="M9" i="211" s="1"/>
  <c r="Q9" i="211"/>
  <c r="P9" i="211"/>
  <c r="O9" i="211"/>
  <c r="N9" i="211"/>
  <c r="K9" i="211"/>
  <c r="G9" i="211"/>
  <c r="O8" i="211"/>
  <c r="K8" i="211"/>
  <c r="V7" i="211"/>
  <c r="U7" i="211"/>
  <c r="O7" i="211"/>
  <c r="N7" i="211"/>
  <c r="Q7" i="211" s="1"/>
  <c r="M7" i="211"/>
  <c r="K7" i="211"/>
  <c r="G7" i="211"/>
  <c r="AB6" i="211"/>
  <c r="AA6" i="211"/>
  <c r="V6" i="211"/>
  <c r="M6" i="211" s="1"/>
  <c r="N6" i="211" s="1"/>
  <c r="P6" i="211" s="1"/>
  <c r="U6" i="211"/>
  <c r="Q6" i="211"/>
  <c r="O6" i="211"/>
  <c r="K6" i="211"/>
  <c r="G6" i="211"/>
  <c r="AB5" i="211"/>
  <c r="AA5" i="211"/>
  <c r="V5" i="211"/>
  <c r="O5" i="211"/>
  <c r="M5" i="211"/>
  <c r="K5" i="211"/>
  <c r="G5" i="211"/>
  <c r="H2" i="211"/>
  <c r="H1" i="211"/>
  <c r="M18" i="210"/>
  <c r="L18" i="210"/>
  <c r="K18" i="210"/>
  <c r="J18" i="210"/>
  <c r="I18" i="210"/>
  <c r="H18" i="210"/>
  <c r="G18" i="210"/>
  <c r="F18" i="210"/>
  <c r="E18" i="210"/>
  <c r="D18" i="210"/>
  <c r="M17" i="210"/>
  <c r="L17" i="210"/>
  <c r="K17" i="210"/>
  <c r="J17" i="210"/>
  <c r="I17" i="210"/>
  <c r="H17" i="210"/>
  <c r="G17" i="210"/>
  <c r="F17" i="210"/>
  <c r="E17" i="210"/>
  <c r="D17" i="210"/>
  <c r="M16" i="210"/>
  <c r="L16" i="210"/>
  <c r="K16" i="210"/>
  <c r="J16" i="210"/>
  <c r="I16" i="210"/>
  <c r="H16" i="210"/>
  <c r="G16" i="210"/>
  <c r="F16" i="210"/>
  <c r="E16" i="210"/>
  <c r="D16" i="210"/>
  <c r="M13" i="210"/>
  <c r="L13" i="210"/>
  <c r="K13" i="210"/>
  <c r="J13" i="210"/>
  <c r="I13" i="210"/>
  <c r="H13" i="210"/>
  <c r="G13" i="210"/>
  <c r="F13" i="210"/>
  <c r="E13" i="210"/>
  <c r="D13" i="210"/>
  <c r="I6" i="210"/>
  <c r="G6" i="210"/>
  <c r="F6" i="210"/>
  <c r="E6" i="210"/>
  <c r="I3" i="210"/>
  <c r="F3" i="210"/>
  <c r="C3" i="210"/>
  <c r="K15" i="216" l="1"/>
  <c r="I8" i="216" s="1"/>
  <c r="I7" i="216"/>
  <c r="E7" i="216"/>
  <c r="F7" i="216"/>
  <c r="G7" i="216"/>
  <c r="G8" i="216"/>
  <c r="F8" i="216"/>
  <c r="E8" i="216"/>
  <c r="D15" i="214"/>
  <c r="H14" i="214"/>
  <c r="H15" i="214" s="1"/>
  <c r="Q55" i="215"/>
  <c r="R49" i="215" s="1"/>
  <c r="P55" i="215"/>
  <c r="P64" i="215"/>
  <c r="I14" i="214"/>
  <c r="I15" i="214" s="1"/>
  <c r="Q64" i="215"/>
  <c r="R56" i="215" s="1"/>
  <c r="P78" i="215"/>
  <c r="M14" i="214"/>
  <c r="M15" i="214" s="1"/>
  <c r="Q78" i="215"/>
  <c r="R72" i="215" s="1"/>
  <c r="Q21" i="215"/>
  <c r="R12" i="215" s="1"/>
  <c r="F14" i="214"/>
  <c r="F15" i="214" s="1"/>
  <c r="P21" i="215"/>
  <c r="Q11" i="215"/>
  <c r="R9" i="215" s="1"/>
  <c r="P11" i="215"/>
  <c r="E14" i="214"/>
  <c r="E15" i="214" s="1"/>
  <c r="Q71" i="215"/>
  <c r="R65" i="215" s="1"/>
  <c r="J14" i="214"/>
  <c r="J15" i="214" s="1"/>
  <c r="P71" i="215"/>
  <c r="Q48" i="215"/>
  <c r="R40" i="215" s="1"/>
  <c r="P48" i="215"/>
  <c r="L14" i="214"/>
  <c r="L15" i="214" s="1"/>
  <c r="K15" i="214"/>
  <c r="Q14" i="213"/>
  <c r="P14" i="213"/>
  <c r="P5" i="213"/>
  <c r="Q5" i="213"/>
  <c r="Q69" i="213"/>
  <c r="P69" i="213"/>
  <c r="Q73" i="213"/>
  <c r="P73" i="213"/>
  <c r="Q24" i="213"/>
  <c r="P24" i="213"/>
  <c r="Q23" i="213"/>
  <c r="P23" i="213"/>
  <c r="Q38" i="213"/>
  <c r="P38" i="213"/>
  <c r="AA37" i="213"/>
  <c r="AB37" i="213"/>
  <c r="AC30" i="213" s="1"/>
  <c r="N37" i="213"/>
  <c r="Q55" i="213"/>
  <c r="P55" i="213"/>
  <c r="AB46" i="213"/>
  <c r="AC38" i="213" s="1"/>
  <c r="AA46" i="213"/>
  <c r="N46" i="213"/>
  <c r="Q33" i="213"/>
  <c r="P33" i="213"/>
  <c r="N29" i="213"/>
  <c r="AB29" i="213"/>
  <c r="AC20" i="213" s="1"/>
  <c r="AA29" i="213"/>
  <c r="P10" i="213"/>
  <c r="Q10" i="213"/>
  <c r="Q48" i="213"/>
  <c r="P48" i="213"/>
  <c r="Q63" i="213"/>
  <c r="P63" i="213"/>
  <c r="P11" i="213"/>
  <c r="E14" i="212"/>
  <c r="E15" i="212" s="1"/>
  <c r="Q11" i="213"/>
  <c r="R9" i="213" s="1"/>
  <c r="Q32" i="213"/>
  <c r="P32" i="213"/>
  <c r="P58" i="213"/>
  <c r="Q58" i="213"/>
  <c r="Q20" i="213"/>
  <c r="P20" i="213"/>
  <c r="AB8" i="213"/>
  <c r="AC5" i="213" s="1"/>
  <c r="AA8" i="213"/>
  <c r="N8" i="213"/>
  <c r="P71" i="213"/>
  <c r="Q71" i="213"/>
  <c r="AB64" i="213"/>
  <c r="AC57" i="213" s="1"/>
  <c r="AA64" i="213"/>
  <c r="N64" i="213"/>
  <c r="P57" i="213"/>
  <c r="Q57" i="213"/>
  <c r="AB56" i="213"/>
  <c r="AC47" i="213" s="1"/>
  <c r="AA56" i="213"/>
  <c r="N56" i="213"/>
  <c r="AA70" i="213"/>
  <c r="N70" i="213"/>
  <c r="AB70" i="213"/>
  <c r="AC65" i="213" s="1"/>
  <c r="AB77" i="213"/>
  <c r="AC71" i="213" s="1"/>
  <c r="AA77" i="213"/>
  <c r="N77" i="213"/>
  <c r="Q49" i="213"/>
  <c r="P49" i="213"/>
  <c r="AA19" i="213"/>
  <c r="AB19" i="213"/>
  <c r="AC12" i="213" s="1"/>
  <c r="N19" i="213"/>
  <c r="Q60" i="213"/>
  <c r="P60" i="213"/>
  <c r="P47" i="213"/>
  <c r="Q47" i="213"/>
  <c r="Q39" i="213"/>
  <c r="P39" i="213"/>
  <c r="P52" i="213"/>
  <c r="Q52" i="213"/>
  <c r="Q42" i="213"/>
  <c r="P42" i="213"/>
  <c r="Q26" i="213"/>
  <c r="P26" i="213"/>
  <c r="K14" i="210"/>
  <c r="P33" i="211"/>
  <c r="Q33" i="211"/>
  <c r="R28" i="211" s="1"/>
  <c r="P47" i="211"/>
  <c r="Q47" i="211"/>
  <c r="Q45" i="211"/>
  <c r="P45" i="211"/>
  <c r="Q25" i="211"/>
  <c r="P25" i="211"/>
  <c r="M14" i="210"/>
  <c r="M15" i="210" s="1"/>
  <c r="Q69" i="211"/>
  <c r="R64" i="211" s="1"/>
  <c r="P69" i="211"/>
  <c r="P7" i="211"/>
  <c r="Q31" i="211"/>
  <c r="P24" i="211"/>
  <c r="P56" i="211"/>
  <c r="Q53" i="211"/>
  <c r="N27" i="211"/>
  <c r="G14" i="210" s="1"/>
  <c r="G15" i="210" s="1"/>
  <c r="P66" i="211"/>
  <c r="P10" i="211"/>
  <c r="P49" i="211"/>
  <c r="Q64" i="211"/>
  <c r="AA27" i="211"/>
  <c r="Q49" i="211"/>
  <c r="R42" i="211" s="1"/>
  <c r="AA49" i="211"/>
  <c r="AB49" i="211"/>
  <c r="AC42" i="211" s="1"/>
  <c r="P11" i="211"/>
  <c r="E14" i="210"/>
  <c r="E15" i="210" s="1"/>
  <c r="N5" i="211"/>
  <c r="M8" i="211"/>
  <c r="AB7" i="211"/>
  <c r="AA7" i="211"/>
  <c r="AB9" i="211"/>
  <c r="AA9" i="211"/>
  <c r="AB11" i="211"/>
  <c r="AC9" i="211" s="1"/>
  <c r="AA11" i="211"/>
  <c r="AB13" i="211"/>
  <c r="AA13" i="211"/>
  <c r="P13" i="211"/>
  <c r="Q13" i="211"/>
  <c r="Q14" i="211"/>
  <c r="P14" i="211"/>
  <c r="P15" i="211"/>
  <c r="Q15" i="211"/>
  <c r="Q17" i="211"/>
  <c r="P17" i="211"/>
  <c r="Q19" i="211"/>
  <c r="P19" i="211"/>
  <c r="AB21" i="211"/>
  <c r="N21" i="211"/>
  <c r="AB22" i="211"/>
  <c r="AA22" i="211"/>
  <c r="AB24" i="211"/>
  <c r="AA24" i="211"/>
  <c r="AA26" i="211"/>
  <c r="N26" i="211"/>
  <c r="Q27" i="211"/>
  <c r="R19" i="211" s="1"/>
  <c r="Q28" i="211"/>
  <c r="P28" i="211"/>
  <c r="N29" i="211"/>
  <c r="AB29" i="211"/>
  <c r="AB31" i="211"/>
  <c r="AA31" i="211"/>
  <c r="AB32" i="211"/>
  <c r="AA32" i="211"/>
  <c r="N32" i="211"/>
  <c r="AB33" i="211"/>
  <c r="AC28" i="211" s="1"/>
  <c r="AA33" i="211"/>
  <c r="AA34" i="211"/>
  <c r="M41" i="211"/>
  <c r="N34" i="211"/>
  <c r="AB35" i="211"/>
  <c r="AA35" i="211"/>
  <c r="Q35" i="211"/>
  <c r="P35" i="211"/>
  <c r="Q36" i="211"/>
  <c r="P36" i="211"/>
  <c r="Q37" i="211"/>
  <c r="P37" i="211"/>
  <c r="Q39" i="211"/>
  <c r="P39" i="211"/>
  <c r="AB40" i="211"/>
  <c r="AA40" i="211"/>
  <c r="N42" i="211"/>
  <c r="AB42" i="211"/>
  <c r="AA42" i="211"/>
  <c r="AA44" i="211"/>
  <c r="AB44" i="211"/>
  <c r="P44" i="211"/>
  <c r="Q44" i="211"/>
  <c r="AA46" i="211"/>
  <c r="N46" i="211"/>
  <c r="P48" i="211"/>
  <c r="Q48" i="211"/>
  <c r="Q50" i="211"/>
  <c r="P50" i="211"/>
  <c r="N51" i="211"/>
  <c r="AB51" i="211"/>
  <c r="AB53" i="211"/>
  <c r="AA53" i="211"/>
  <c r="AB54" i="211"/>
  <c r="AA54" i="211"/>
  <c r="N54" i="211"/>
  <c r="AB55" i="211"/>
  <c r="AA55" i="211"/>
  <c r="AB57" i="211"/>
  <c r="AC50" i="211" s="1"/>
  <c r="AA57" i="211"/>
  <c r="I14" i="210"/>
  <c r="I15" i="210" s="1"/>
  <c r="P57" i="211"/>
  <c r="Q57" i="211"/>
  <c r="R50" i="211" s="1"/>
  <c r="AB59" i="211"/>
  <c r="M63" i="211"/>
  <c r="AB63" i="211" s="1"/>
  <c r="AC58" i="211" s="1"/>
  <c r="AA59" i="211"/>
  <c r="Q59" i="211"/>
  <c r="P59" i="211"/>
  <c r="Q60" i="211"/>
  <c r="P60" i="211"/>
  <c r="Q61" i="211"/>
  <c r="P61" i="211"/>
  <c r="AB65" i="211"/>
  <c r="N65" i="211"/>
  <c r="AB66" i="211"/>
  <c r="AA66" i="211"/>
  <c r="AA68" i="211"/>
  <c r="AB68" i="211"/>
  <c r="P68" i="211"/>
  <c r="Q68" i="211"/>
  <c r="AB69" i="211"/>
  <c r="AC64" i="211" s="1"/>
  <c r="AA69" i="211"/>
  <c r="M18" i="211"/>
  <c r="M18" i="209"/>
  <c r="L18" i="209"/>
  <c r="K18" i="209"/>
  <c r="J18" i="209"/>
  <c r="I18" i="209"/>
  <c r="H18" i="209"/>
  <c r="G18" i="209"/>
  <c r="F18" i="209"/>
  <c r="E18" i="209"/>
  <c r="D18" i="209"/>
  <c r="M17" i="209"/>
  <c r="L17" i="209"/>
  <c r="K17" i="209"/>
  <c r="J17" i="209"/>
  <c r="I17" i="209"/>
  <c r="H17" i="209"/>
  <c r="G17" i="209"/>
  <c r="F17" i="209"/>
  <c r="E17" i="209"/>
  <c r="D17" i="209"/>
  <c r="M16" i="209"/>
  <c r="L16" i="209"/>
  <c r="K16" i="209"/>
  <c r="J16" i="209"/>
  <c r="I16" i="209"/>
  <c r="H16" i="209"/>
  <c r="G16" i="209"/>
  <c r="F16" i="209"/>
  <c r="E16" i="209"/>
  <c r="D16" i="209"/>
  <c r="M14" i="209"/>
  <c r="M15" i="209" s="1"/>
  <c r="L14" i="209"/>
  <c r="E7" i="209" s="1"/>
  <c r="K14" i="209"/>
  <c r="J14" i="209"/>
  <c r="I14" i="209"/>
  <c r="H14" i="209"/>
  <c r="G14" i="209"/>
  <c r="F14" i="209"/>
  <c r="F15" i="209" s="1"/>
  <c r="E14" i="209"/>
  <c r="E15" i="209" s="1"/>
  <c r="D14" i="209"/>
  <c r="D15" i="209" s="1"/>
  <c r="G8" i="209" s="1"/>
  <c r="M13" i="209"/>
  <c r="L13" i="209"/>
  <c r="K13" i="209"/>
  <c r="K15" i="209" s="1"/>
  <c r="J13" i="209"/>
  <c r="J15" i="209" s="1"/>
  <c r="I13" i="209"/>
  <c r="H13" i="209"/>
  <c r="G13" i="209"/>
  <c r="F13" i="209"/>
  <c r="E13" i="209"/>
  <c r="D13" i="209"/>
  <c r="I3" i="209"/>
  <c r="F3" i="209"/>
  <c r="C3" i="209"/>
  <c r="G15" i="209"/>
  <c r="I15" i="209"/>
  <c r="H15" i="209"/>
  <c r="I8" i="214" l="1"/>
  <c r="I7" i="214"/>
  <c r="E7" i="214"/>
  <c r="F7" i="214"/>
  <c r="G7" i="214"/>
  <c r="F8" i="214"/>
  <c r="E8" i="214"/>
  <c r="G8" i="214"/>
  <c r="P37" i="213"/>
  <c r="Q37" i="213"/>
  <c r="R30" i="213" s="1"/>
  <c r="K14" i="212"/>
  <c r="Q56" i="213"/>
  <c r="R47" i="213" s="1"/>
  <c r="P56" i="213"/>
  <c r="H14" i="212"/>
  <c r="H15" i="212" s="1"/>
  <c r="Q64" i="213"/>
  <c r="R57" i="213" s="1"/>
  <c r="I14" i="212"/>
  <c r="I15" i="212" s="1"/>
  <c r="P64" i="213"/>
  <c r="Q19" i="213"/>
  <c r="R12" i="213" s="1"/>
  <c r="P19" i="213"/>
  <c r="F14" i="212"/>
  <c r="F15" i="212" s="1"/>
  <c r="Q8" i="213"/>
  <c r="R5" i="213" s="1"/>
  <c r="D14" i="212"/>
  <c r="P8" i="213"/>
  <c r="G14" i="212"/>
  <c r="G15" i="212" s="1"/>
  <c r="P29" i="213"/>
  <c r="Q29" i="213"/>
  <c r="R20" i="213" s="1"/>
  <c r="Q70" i="213"/>
  <c r="R65" i="213" s="1"/>
  <c r="P70" i="213"/>
  <c r="J14" i="212"/>
  <c r="J15" i="212" s="1"/>
  <c r="Q46" i="213"/>
  <c r="R38" i="213" s="1"/>
  <c r="P46" i="213"/>
  <c r="L14" i="212"/>
  <c r="L15" i="212" s="1"/>
  <c r="P77" i="213"/>
  <c r="Q77" i="213"/>
  <c r="R71" i="213" s="1"/>
  <c r="M14" i="212"/>
  <c r="M15" i="212" s="1"/>
  <c r="P5" i="211"/>
  <c r="Q5" i="211"/>
  <c r="Q32" i="211"/>
  <c r="P32" i="211"/>
  <c r="Q34" i="211"/>
  <c r="P34" i="211"/>
  <c r="N18" i="211"/>
  <c r="AB18" i="211"/>
  <c r="AC12" i="211" s="1"/>
  <c r="AA18" i="211"/>
  <c r="N41" i="211"/>
  <c r="Q41" i="211" s="1"/>
  <c r="R34" i="211" s="1"/>
  <c r="AB41" i="211"/>
  <c r="AC34" i="211" s="1"/>
  <c r="AA41" i="211"/>
  <c r="Q21" i="211"/>
  <c r="P21" i="211"/>
  <c r="N8" i="211"/>
  <c r="AB8" i="211"/>
  <c r="AC5" i="211" s="1"/>
  <c r="AA8" i="211"/>
  <c r="Q42" i="211"/>
  <c r="P42" i="211"/>
  <c r="Q54" i="211"/>
  <c r="P54" i="211"/>
  <c r="Q65" i="211"/>
  <c r="P65" i="211"/>
  <c r="P29" i="211"/>
  <c r="Q29" i="211"/>
  <c r="Q51" i="211"/>
  <c r="P51" i="211"/>
  <c r="P27" i="211"/>
  <c r="K15" i="210"/>
  <c r="AA63" i="211"/>
  <c r="N63" i="211"/>
  <c r="Q46" i="211"/>
  <c r="P46" i="211"/>
  <c r="P41" i="211"/>
  <c r="L14" i="210"/>
  <c r="L15" i="210" s="1"/>
  <c r="Q26" i="211"/>
  <c r="P26" i="211"/>
  <c r="I8" i="209"/>
  <c r="L15" i="209"/>
  <c r="G6" i="209"/>
  <c r="I6" i="209"/>
  <c r="E8" i="209"/>
  <c r="F7" i="209"/>
  <c r="G7" i="209"/>
  <c r="I7" i="209"/>
  <c r="F8" i="209"/>
  <c r="E6" i="209"/>
  <c r="F6" i="209"/>
  <c r="M18" i="208"/>
  <c r="L18" i="208"/>
  <c r="K18" i="208"/>
  <c r="J18" i="208"/>
  <c r="I18" i="208"/>
  <c r="H18" i="208"/>
  <c r="G18" i="208"/>
  <c r="F18" i="208"/>
  <c r="E18" i="208"/>
  <c r="D18" i="208"/>
  <c r="M17" i="208"/>
  <c r="L17" i="208"/>
  <c r="K17" i="208"/>
  <c r="J17" i="208"/>
  <c r="I17" i="208"/>
  <c r="H17" i="208"/>
  <c r="G17" i="208"/>
  <c r="F17" i="208"/>
  <c r="E17" i="208"/>
  <c r="D17" i="208"/>
  <c r="M16" i="208"/>
  <c r="L16" i="208"/>
  <c r="K16" i="208"/>
  <c r="J16" i="208"/>
  <c r="I16" i="208"/>
  <c r="H16" i="208"/>
  <c r="G16" i="208"/>
  <c r="F16" i="208"/>
  <c r="E16" i="208"/>
  <c r="D16" i="208"/>
  <c r="M14" i="208"/>
  <c r="M15" i="208" s="1"/>
  <c r="L14" i="208"/>
  <c r="E7" i="208" s="1"/>
  <c r="K14" i="208"/>
  <c r="J14" i="208"/>
  <c r="I14" i="208"/>
  <c r="H14" i="208"/>
  <c r="G14" i="208"/>
  <c r="F14" i="208"/>
  <c r="F15" i="208" s="1"/>
  <c r="E14" i="208"/>
  <c r="E15" i="208" s="1"/>
  <c r="D14" i="208"/>
  <c r="D15" i="208" s="1"/>
  <c r="M13" i="208"/>
  <c r="L13" i="208"/>
  <c r="K13" i="208"/>
  <c r="K15" i="208" s="1"/>
  <c r="J13" i="208"/>
  <c r="J15" i="208" s="1"/>
  <c r="I13" i="208"/>
  <c r="H13" i="208"/>
  <c r="G13" i="208"/>
  <c r="F13" i="208"/>
  <c r="E13" i="208"/>
  <c r="D13" i="208"/>
  <c r="I3" i="208"/>
  <c r="F3" i="208"/>
  <c r="C3" i="208"/>
  <c r="G15" i="208"/>
  <c r="I15" i="208"/>
  <c r="H15" i="208"/>
  <c r="D15" i="212" l="1"/>
  <c r="G7" i="212"/>
  <c r="F7" i="212"/>
  <c r="E7" i="212"/>
  <c r="I7" i="212"/>
  <c r="K15" i="212"/>
  <c r="I8" i="212" s="1"/>
  <c r="D14" i="210"/>
  <c r="Q8" i="211"/>
  <c r="R5" i="211" s="1"/>
  <c r="P8" i="211"/>
  <c r="I8" i="210"/>
  <c r="I7" i="210"/>
  <c r="Q18" i="211"/>
  <c r="R12" i="211" s="1"/>
  <c r="P18" i="211"/>
  <c r="F14" i="210"/>
  <c r="F15" i="210" s="1"/>
  <c r="P63" i="211"/>
  <c r="Q63" i="211"/>
  <c r="R58" i="211" s="1"/>
  <c r="J14" i="210"/>
  <c r="J15" i="210" s="1"/>
  <c r="G8" i="208"/>
  <c r="L15" i="208"/>
  <c r="I8" i="208" s="1"/>
  <c r="G6" i="208"/>
  <c r="I6" i="208"/>
  <c r="E8" i="208"/>
  <c r="F7" i="208"/>
  <c r="G7" i="208"/>
  <c r="I7" i="208"/>
  <c r="F8" i="208"/>
  <c r="E6" i="208"/>
  <c r="F6" i="208"/>
  <c r="O70" i="207"/>
  <c r="K70" i="207"/>
  <c r="V69" i="207"/>
  <c r="U69" i="207"/>
  <c r="O69" i="207"/>
  <c r="M69" i="207"/>
  <c r="N69" i="207" s="1"/>
  <c r="P69" i="207" s="1"/>
  <c r="K69" i="207"/>
  <c r="G69" i="207"/>
  <c r="AB68" i="207"/>
  <c r="V68" i="207"/>
  <c r="U68" i="207"/>
  <c r="P68" i="207"/>
  <c r="O68" i="207"/>
  <c r="M68" i="207"/>
  <c r="N68" i="207" s="1"/>
  <c r="Q68" i="207" s="1"/>
  <c r="K68" i="207"/>
  <c r="G68" i="207"/>
  <c r="AA67" i="207"/>
  <c r="V67" i="207"/>
  <c r="U67" i="207"/>
  <c r="O67" i="207"/>
  <c r="M67" i="207"/>
  <c r="N67" i="207" s="1"/>
  <c r="K67" i="207"/>
  <c r="G67" i="207"/>
  <c r="AB66" i="207"/>
  <c r="AA66" i="207"/>
  <c r="V66" i="207"/>
  <c r="U66" i="207"/>
  <c r="O66" i="207"/>
  <c r="N66" i="207"/>
  <c r="M66" i="207"/>
  <c r="K66" i="207"/>
  <c r="G66" i="207"/>
  <c r="AB65" i="207"/>
  <c r="X65" i="207"/>
  <c r="W65" i="207"/>
  <c r="V65" i="207"/>
  <c r="P65" i="207"/>
  <c r="O65" i="207"/>
  <c r="M65" i="207"/>
  <c r="N65" i="207" s="1"/>
  <c r="Q65" i="207" s="1"/>
  <c r="K65" i="207"/>
  <c r="G65" i="207"/>
  <c r="O64" i="207"/>
  <c r="M64" i="207"/>
  <c r="K64" i="207"/>
  <c r="V63" i="207"/>
  <c r="U63" i="207"/>
  <c r="O63" i="207"/>
  <c r="M63" i="207"/>
  <c r="AB63" i="207" s="1"/>
  <c r="K63" i="207"/>
  <c r="G63" i="207"/>
  <c r="AB62" i="207"/>
  <c r="AA62" i="207"/>
  <c r="V62" i="207"/>
  <c r="U62" i="207"/>
  <c r="O62" i="207"/>
  <c r="M62" i="207"/>
  <c r="N62" i="207" s="1"/>
  <c r="K62" i="207"/>
  <c r="G62" i="207"/>
  <c r="AB61" i="207"/>
  <c r="AA61" i="207"/>
  <c r="V61" i="207"/>
  <c r="U61" i="207"/>
  <c r="Q61" i="207"/>
  <c r="P61" i="207"/>
  <c r="O61" i="207"/>
  <c r="N61" i="207"/>
  <c r="M61" i="207"/>
  <c r="K61" i="207"/>
  <c r="G61" i="207"/>
  <c r="AB60" i="207"/>
  <c r="AA60" i="207"/>
  <c r="V60" i="207"/>
  <c r="U60" i="207"/>
  <c r="Q60" i="207"/>
  <c r="P60" i="207"/>
  <c r="O60" i="207"/>
  <c r="N60" i="207"/>
  <c r="M60" i="207"/>
  <c r="K60" i="207"/>
  <c r="G60" i="207"/>
  <c r="AB59" i="207"/>
  <c r="AA59" i="207"/>
  <c r="V59" i="207"/>
  <c r="U59" i="207"/>
  <c r="O59" i="207"/>
  <c r="N59" i="207"/>
  <c r="Q59" i="207" s="1"/>
  <c r="M59" i="207"/>
  <c r="K59" i="207"/>
  <c r="G59" i="207"/>
  <c r="AB58" i="207"/>
  <c r="AA58" i="207"/>
  <c r="V58" i="207"/>
  <c r="O58" i="207"/>
  <c r="N58" i="207"/>
  <c r="Q58" i="207" s="1"/>
  <c r="M58" i="207"/>
  <c r="K58" i="207"/>
  <c r="G58" i="207"/>
  <c r="O57" i="207"/>
  <c r="K57" i="207"/>
  <c r="AB56" i="207"/>
  <c r="AA56" i="207"/>
  <c r="V56" i="207"/>
  <c r="U56" i="207"/>
  <c r="O56" i="207"/>
  <c r="N56" i="207"/>
  <c r="M56" i="207"/>
  <c r="K56" i="207"/>
  <c r="G56" i="207"/>
  <c r="V55" i="207"/>
  <c r="U55" i="207"/>
  <c r="O55" i="207"/>
  <c r="M55" i="207"/>
  <c r="K55" i="207"/>
  <c r="G55" i="207"/>
  <c r="AB54" i="207"/>
  <c r="AA54" i="207"/>
  <c r="V54" i="207"/>
  <c r="U54" i="207"/>
  <c r="O54" i="207"/>
  <c r="N54" i="207"/>
  <c r="Q54" i="207" s="1"/>
  <c r="M54" i="207"/>
  <c r="K54" i="207"/>
  <c r="G54" i="207"/>
  <c r="V53" i="207"/>
  <c r="U53" i="207"/>
  <c r="O53" i="207"/>
  <c r="M53" i="207"/>
  <c r="AB53" i="207" s="1"/>
  <c r="K53" i="207"/>
  <c r="G53" i="207"/>
  <c r="AB52" i="207"/>
  <c r="AA52" i="207"/>
  <c r="V52" i="207"/>
  <c r="U52" i="207"/>
  <c r="O52" i="207"/>
  <c r="M52" i="207"/>
  <c r="N52" i="207" s="1"/>
  <c r="K52" i="207"/>
  <c r="G52" i="207"/>
  <c r="AB51" i="207"/>
  <c r="AA51" i="207"/>
  <c r="V51" i="207"/>
  <c r="U51" i="207"/>
  <c r="Q51" i="207"/>
  <c r="P51" i="207"/>
  <c r="O51" i="207"/>
  <c r="N51" i="207"/>
  <c r="M51" i="207"/>
  <c r="K51" i="207"/>
  <c r="G51" i="207"/>
  <c r="AB50" i="207"/>
  <c r="AA50" i="207"/>
  <c r="V50" i="207"/>
  <c r="Q50" i="207"/>
  <c r="P50" i="207"/>
  <c r="O50" i="207"/>
  <c r="N50" i="207"/>
  <c r="M50" i="207"/>
  <c r="K50" i="207"/>
  <c r="G50" i="207"/>
  <c r="O49" i="207"/>
  <c r="K49" i="207"/>
  <c r="AB48" i="207"/>
  <c r="V48" i="207"/>
  <c r="U48" i="207"/>
  <c r="P48" i="207"/>
  <c r="O48" i="207"/>
  <c r="M48" i="207"/>
  <c r="N48" i="207" s="1"/>
  <c r="Q48" i="207" s="1"/>
  <c r="K48" i="207"/>
  <c r="G48" i="207"/>
  <c r="AA47" i="207"/>
  <c r="V47" i="207"/>
  <c r="U47" i="207"/>
  <c r="O47" i="207"/>
  <c r="M47" i="207"/>
  <c r="N47" i="207" s="1"/>
  <c r="K47" i="207"/>
  <c r="G47" i="207"/>
  <c r="AB46" i="207"/>
  <c r="AA46" i="207"/>
  <c r="V46" i="207"/>
  <c r="U46" i="207"/>
  <c r="O46" i="207"/>
  <c r="N46" i="207"/>
  <c r="M46" i="207"/>
  <c r="K46" i="207"/>
  <c r="G46" i="207"/>
  <c r="V45" i="207"/>
  <c r="U45" i="207"/>
  <c r="O45" i="207"/>
  <c r="M45" i="207"/>
  <c r="K45" i="207"/>
  <c r="G45" i="207"/>
  <c r="AB44" i="207"/>
  <c r="AA44" i="207"/>
  <c r="V44" i="207"/>
  <c r="U44" i="207"/>
  <c r="O44" i="207"/>
  <c r="N44" i="207"/>
  <c r="Q44" i="207" s="1"/>
  <c r="M44" i="207"/>
  <c r="K44" i="207"/>
  <c r="G44" i="207"/>
  <c r="V43" i="207"/>
  <c r="U43" i="207"/>
  <c r="O43" i="207"/>
  <c r="M43" i="207"/>
  <c r="AB43" i="207" s="1"/>
  <c r="K43" i="207"/>
  <c r="G43" i="207"/>
  <c r="X42" i="207"/>
  <c r="W42" i="207"/>
  <c r="V42" i="207"/>
  <c r="O42" i="207"/>
  <c r="M42" i="207"/>
  <c r="K42" i="207"/>
  <c r="G42" i="207"/>
  <c r="O41" i="207"/>
  <c r="K41" i="207"/>
  <c r="AB40" i="207"/>
  <c r="AA40" i="207"/>
  <c r="V40" i="207"/>
  <c r="U40" i="207"/>
  <c r="Q40" i="207"/>
  <c r="P40" i="207"/>
  <c r="O40" i="207"/>
  <c r="N40" i="207"/>
  <c r="M40" i="207"/>
  <c r="K40" i="207"/>
  <c r="G40" i="207"/>
  <c r="AB39" i="207"/>
  <c r="AA39" i="207"/>
  <c r="V39" i="207"/>
  <c r="U39" i="207"/>
  <c r="O39" i="207"/>
  <c r="N39" i="207"/>
  <c r="Q39" i="207" s="1"/>
  <c r="M39" i="207"/>
  <c r="K39" i="207"/>
  <c r="G39" i="207"/>
  <c r="V38" i="207"/>
  <c r="U38" i="207"/>
  <c r="O38" i="207"/>
  <c r="M38" i="207"/>
  <c r="N38" i="207" s="1"/>
  <c r="K38" i="207"/>
  <c r="G38" i="207"/>
  <c r="V37" i="207"/>
  <c r="U37" i="207"/>
  <c r="O37" i="207"/>
  <c r="M37" i="207"/>
  <c r="N37" i="207" s="1"/>
  <c r="P37" i="207" s="1"/>
  <c r="K37" i="207"/>
  <c r="G37" i="207"/>
  <c r="AB36" i="207"/>
  <c r="V36" i="207"/>
  <c r="U36" i="207"/>
  <c r="Q36" i="207"/>
  <c r="P36" i="207"/>
  <c r="O36" i="207"/>
  <c r="M36" i="207"/>
  <c r="N36" i="207" s="1"/>
  <c r="K36" i="207"/>
  <c r="G36" i="207"/>
  <c r="X35" i="207"/>
  <c r="W35" i="207"/>
  <c r="V35" i="207"/>
  <c r="O35" i="207"/>
  <c r="M35" i="207"/>
  <c r="N35" i="207" s="1"/>
  <c r="K35" i="207"/>
  <c r="G35" i="207"/>
  <c r="O34" i="207"/>
  <c r="K34" i="207"/>
  <c r="V33" i="207"/>
  <c r="U33" i="207"/>
  <c r="O33" i="207"/>
  <c r="M33" i="207"/>
  <c r="N33" i="207" s="1"/>
  <c r="K33" i="207"/>
  <c r="G33" i="207"/>
  <c r="AB32" i="207"/>
  <c r="AA32" i="207"/>
  <c r="V32" i="207"/>
  <c r="U32" i="207"/>
  <c r="O32" i="207"/>
  <c r="N32" i="207"/>
  <c r="Q32" i="207" s="1"/>
  <c r="M32" i="207"/>
  <c r="K32" i="207"/>
  <c r="G32" i="207"/>
  <c r="V31" i="207"/>
  <c r="U31" i="207"/>
  <c r="O31" i="207"/>
  <c r="M31" i="207"/>
  <c r="AB31" i="207" s="1"/>
  <c r="K31" i="207"/>
  <c r="G31" i="207"/>
  <c r="AA30" i="207"/>
  <c r="V30" i="207"/>
  <c r="U30" i="207"/>
  <c r="O30" i="207"/>
  <c r="M30" i="207"/>
  <c r="AB30" i="207" s="1"/>
  <c r="K30" i="207"/>
  <c r="G30" i="207"/>
  <c r="AB29" i="207"/>
  <c r="V29" i="207"/>
  <c r="U29" i="207"/>
  <c r="Q29" i="207"/>
  <c r="P29" i="207"/>
  <c r="O29" i="207"/>
  <c r="N29" i="207"/>
  <c r="M29" i="207"/>
  <c r="AA29" i="207" s="1"/>
  <c r="K29" i="207"/>
  <c r="G29" i="207"/>
  <c r="AB28" i="207"/>
  <c r="X28" i="207"/>
  <c r="W28" i="207"/>
  <c r="V28" i="207"/>
  <c r="O28" i="207"/>
  <c r="M28" i="207"/>
  <c r="AA28" i="207" s="1"/>
  <c r="K28" i="207"/>
  <c r="G28" i="207"/>
  <c r="O27" i="207"/>
  <c r="K27" i="207"/>
  <c r="V26" i="207"/>
  <c r="U26" i="207"/>
  <c r="O26" i="207"/>
  <c r="M26" i="207"/>
  <c r="N26" i="207" s="1"/>
  <c r="K26" i="207"/>
  <c r="G26" i="207"/>
  <c r="V25" i="207"/>
  <c r="U25" i="207"/>
  <c r="O25" i="207"/>
  <c r="M25" i="207"/>
  <c r="N25" i="207" s="1"/>
  <c r="P25" i="207" s="1"/>
  <c r="K25" i="207"/>
  <c r="G25" i="207"/>
  <c r="AB24" i="207"/>
  <c r="V24" i="207"/>
  <c r="U24" i="207"/>
  <c r="Q24" i="207"/>
  <c r="P24" i="207"/>
  <c r="O24" i="207"/>
  <c r="M24" i="207"/>
  <c r="N24" i="207" s="1"/>
  <c r="K24" i="207"/>
  <c r="G24" i="207"/>
  <c r="AA23" i="207"/>
  <c r="V23" i="207"/>
  <c r="U23" i="207"/>
  <c r="O23" i="207"/>
  <c r="M23" i="207"/>
  <c r="N23" i="207" s="1"/>
  <c r="Q23" i="207" s="1"/>
  <c r="K23" i="207"/>
  <c r="G23" i="207"/>
  <c r="AB22" i="207"/>
  <c r="AA22" i="207"/>
  <c r="V22" i="207"/>
  <c r="U22" i="207"/>
  <c r="O22" i="207"/>
  <c r="N22" i="207"/>
  <c r="M22" i="207"/>
  <c r="K22" i="207"/>
  <c r="G22" i="207"/>
  <c r="V21" i="207"/>
  <c r="U21" i="207"/>
  <c r="O21" i="207"/>
  <c r="M21" i="207"/>
  <c r="K21" i="207"/>
  <c r="G21" i="207"/>
  <c r="AB20" i="207"/>
  <c r="AA20" i="207"/>
  <c r="V20" i="207"/>
  <c r="U20" i="207"/>
  <c r="O20" i="207"/>
  <c r="N20" i="207"/>
  <c r="Q20" i="207" s="1"/>
  <c r="M20" i="207"/>
  <c r="K20" i="207"/>
  <c r="G20" i="207"/>
  <c r="AB19" i="207"/>
  <c r="AA19" i="207"/>
  <c r="V19" i="207"/>
  <c r="O19" i="207"/>
  <c r="N19" i="207"/>
  <c r="Q19" i="207" s="1"/>
  <c r="M19" i="207"/>
  <c r="K19" i="207"/>
  <c r="G19" i="207"/>
  <c r="O18" i="207"/>
  <c r="K18" i="207"/>
  <c r="AB17" i="207"/>
  <c r="AA17" i="207"/>
  <c r="V17" i="207"/>
  <c r="U17" i="207"/>
  <c r="O17" i="207"/>
  <c r="N17" i="207"/>
  <c r="Q17" i="207" s="1"/>
  <c r="M17" i="207"/>
  <c r="K17" i="207"/>
  <c r="G17" i="207"/>
  <c r="V16" i="207"/>
  <c r="U16" i="207"/>
  <c r="O16" i="207"/>
  <c r="M16" i="207"/>
  <c r="N16" i="207" s="1"/>
  <c r="K16" i="207"/>
  <c r="G16" i="207"/>
  <c r="V15" i="207"/>
  <c r="M15" i="207" s="1"/>
  <c r="U15" i="207"/>
  <c r="O15" i="207"/>
  <c r="K15" i="207"/>
  <c r="G15" i="207"/>
  <c r="AB14" i="207"/>
  <c r="V14" i="207"/>
  <c r="U14" i="207"/>
  <c r="Q14" i="207"/>
  <c r="O14" i="207"/>
  <c r="M14" i="207"/>
  <c r="N14" i="207" s="1"/>
  <c r="P14" i="207" s="1"/>
  <c r="K14" i="207"/>
  <c r="G14" i="207"/>
  <c r="AA13" i="207"/>
  <c r="V13" i="207"/>
  <c r="U13" i="207"/>
  <c r="P13" i="207"/>
  <c r="O13" i="207"/>
  <c r="M13" i="207"/>
  <c r="N13" i="207" s="1"/>
  <c r="Q13" i="207" s="1"/>
  <c r="K13" i="207"/>
  <c r="G13" i="207"/>
  <c r="AA12" i="207"/>
  <c r="V12" i="207"/>
  <c r="O12" i="207"/>
  <c r="M12" i="207"/>
  <c r="N12" i="207" s="1"/>
  <c r="Q12" i="207" s="1"/>
  <c r="K12" i="207"/>
  <c r="G12" i="207"/>
  <c r="O11" i="207"/>
  <c r="M11" i="207"/>
  <c r="K11" i="207"/>
  <c r="AA10" i="207"/>
  <c r="V10" i="207"/>
  <c r="U10" i="207"/>
  <c r="O10" i="207"/>
  <c r="M10" i="207"/>
  <c r="AB10" i="207" s="1"/>
  <c r="K10" i="207"/>
  <c r="G10" i="207"/>
  <c r="AB9" i="207"/>
  <c r="AA9" i="207"/>
  <c r="X9" i="207"/>
  <c r="W9" i="207"/>
  <c r="V9" i="207"/>
  <c r="O9" i="207"/>
  <c r="N9" i="207"/>
  <c r="Q9" i="207" s="1"/>
  <c r="M9" i="207"/>
  <c r="K9" i="207"/>
  <c r="G9" i="207"/>
  <c r="O8" i="207"/>
  <c r="K8" i="207"/>
  <c r="AB7" i="207"/>
  <c r="AA7" i="207"/>
  <c r="V7" i="207"/>
  <c r="U7" i="207"/>
  <c r="O7" i="207"/>
  <c r="N7" i="207"/>
  <c r="M7" i="207"/>
  <c r="K7" i="207"/>
  <c r="G7" i="207"/>
  <c r="V6" i="207"/>
  <c r="U6" i="207"/>
  <c r="O6" i="207"/>
  <c r="M6" i="207"/>
  <c r="K6" i="207"/>
  <c r="G6" i="207"/>
  <c r="V5" i="207"/>
  <c r="O5" i="207"/>
  <c r="M5" i="207"/>
  <c r="K5" i="207"/>
  <c r="G5" i="207"/>
  <c r="H2" i="207"/>
  <c r="H1" i="207"/>
  <c r="F1" i="207"/>
  <c r="D1" i="207"/>
  <c r="G8" i="212" l="1"/>
  <c r="E8" i="212"/>
  <c r="F8" i="212"/>
  <c r="G7" i="210"/>
  <c r="E7" i="210"/>
  <c r="F7" i="210"/>
  <c r="D15" i="210"/>
  <c r="Q33" i="207"/>
  <c r="P33" i="207"/>
  <c r="P23" i="207"/>
  <c r="AB11" i="207"/>
  <c r="AC9" i="207" s="1"/>
  <c r="AA11" i="207"/>
  <c r="N11" i="207"/>
  <c r="Q26" i="207"/>
  <c r="P26" i="207"/>
  <c r="N6" i="207"/>
  <c r="AB6" i="207"/>
  <c r="AA6" i="207"/>
  <c r="AB33" i="207"/>
  <c r="AA33" i="207"/>
  <c r="Q56" i="207"/>
  <c r="P56" i="207"/>
  <c r="F2" i="207"/>
  <c r="AB42" i="207"/>
  <c r="AA42" i="207"/>
  <c r="M49" i="207"/>
  <c r="N42" i="207"/>
  <c r="Q62" i="207"/>
  <c r="P62" i="207"/>
  <c r="AB64" i="207"/>
  <c r="AC58" i="207" s="1"/>
  <c r="AA64" i="207"/>
  <c r="N64" i="207"/>
  <c r="AB55" i="207"/>
  <c r="AA55" i="207"/>
  <c r="N55" i="207"/>
  <c r="Q66" i="207"/>
  <c r="P66" i="207"/>
  <c r="N5" i="207"/>
  <c r="M8" i="207"/>
  <c r="AB5" i="207"/>
  <c r="AA5" i="207"/>
  <c r="N15" i="207"/>
  <c r="AB15" i="207"/>
  <c r="AA15" i="207"/>
  <c r="Q25" i="207"/>
  <c r="Q52" i="207"/>
  <c r="P52" i="207"/>
  <c r="Q69" i="207"/>
  <c r="P12" i="207"/>
  <c r="Q7" i="207"/>
  <c r="P7" i="207"/>
  <c r="AB21" i="207"/>
  <c r="AA21" i="207"/>
  <c r="M27" i="207"/>
  <c r="Q46" i="207"/>
  <c r="P46" i="207"/>
  <c r="Q22" i="207"/>
  <c r="P22" i="207"/>
  <c r="Q47" i="207"/>
  <c r="P47" i="207"/>
  <c r="Q37" i="207"/>
  <c r="N21" i="207"/>
  <c r="AB45" i="207"/>
  <c r="AA45" i="207"/>
  <c r="N45" i="207"/>
  <c r="Q67" i="207"/>
  <c r="P67" i="207"/>
  <c r="Q16" i="207"/>
  <c r="P16" i="207"/>
  <c r="Q35" i="207"/>
  <c r="P35" i="207"/>
  <c r="Q38" i="207"/>
  <c r="P38" i="207"/>
  <c r="AA16" i="207"/>
  <c r="AA26" i="207"/>
  <c r="AA38" i="207"/>
  <c r="AB16" i="207"/>
  <c r="AA25" i="207"/>
  <c r="AB26" i="207"/>
  <c r="N28" i="207"/>
  <c r="N31" i="207"/>
  <c r="AA37" i="207"/>
  <c r="AB38" i="207"/>
  <c r="M41" i="207"/>
  <c r="N43" i="207"/>
  <c r="N53" i="207"/>
  <c r="N63" i="207"/>
  <c r="AA69" i="207"/>
  <c r="P9" i="207"/>
  <c r="N10" i="207"/>
  <c r="AA14" i="207"/>
  <c r="M18" i="207"/>
  <c r="P19" i="207"/>
  <c r="P20" i="207"/>
  <c r="AA24" i="207"/>
  <c r="AB25" i="207"/>
  <c r="N30" i="207"/>
  <c r="P32" i="207"/>
  <c r="AA35" i="207"/>
  <c r="AA36" i="207"/>
  <c r="AB37" i="207"/>
  <c r="P44" i="207"/>
  <c r="AA48" i="207"/>
  <c r="P54" i="207"/>
  <c r="AA68" i="207"/>
  <c r="AB69" i="207"/>
  <c r="AB35" i="207"/>
  <c r="AB12" i="207"/>
  <c r="AB13" i="207"/>
  <c r="AB23" i="207"/>
  <c r="AB47" i="207"/>
  <c r="AA65" i="207"/>
  <c r="AB67" i="207"/>
  <c r="M70" i="207"/>
  <c r="P17" i="207"/>
  <c r="AA31" i="207"/>
  <c r="P39" i="207"/>
  <c r="AA43" i="207"/>
  <c r="AA53" i="207"/>
  <c r="M57" i="207"/>
  <c r="P58" i="207"/>
  <c r="P59" i="207"/>
  <c r="AA63" i="207"/>
  <c r="M34" i="207"/>
  <c r="O73" i="205"/>
  <c r="K73" i="205"/>
  <c r="V72" i="205"/>
  <c r="M72" i="205" s="1"/>
  <c r="U72" i="205"/>
  <c r="O72" i="205"/>
  <c r="K72" i="205"/>
  <c r="G72" i="205"/>
  <c r="X71" i="205"/>
  <c r="W71" i="205"/>
  <c r="V71" i="205"/>
  <c r="M71" i="205" s="1"/>
  <c r="U71" i="205"/>
  <c r="O71" i="205"/>
  <c r="K71" i="205"/>
  <c r="G71" i="205"/>
  <c r="V70" i="205"/>
  <c r="M70" i="205" s="1"/>
  <c r="U70" i="205"/>
  <c r="O70" i="205"/>
  <c r="K70" i="205"/>
  <c r="G70" i="205"/>
  <c r="V69" i="205"/>
  <c r="M69" i="205" s="1"/>
  <c r="U69" i="205"/>
  <c r="O69" i="205"/>
  <c r="K69" i="205"/>
  <c r="G69" i="205"/>
  <c r="V68" i="205"/>
  <c r="U68" i="205"/>
  <c r="O68" i="205"/>
  <c r="N68" i="205"/>
  <c r="Q68" i="205" s="1"/>
  <c r="M68" i="205"/>
  <c r="AB68" i="205" s="1"/>
  <c r="K68" i="205"/>
  <c r="G68" i="205"/>
  <c r="X67" i="205"/>
  <c r="W67" i="205"/>
  <c r="V67" i="205"/>
  <c r="M67" i="205" s="1"/>
  <c r="O67" i="205"/>
  <c r="K67" i="205"/>
  <c r="G67" i="205"/>
  <c r="O66" i="205"/>
  <c r="K66" i="205"/>
  <c r="V65" i="205"/>
  <c r="U65" i="205"/>
  <c r="O65" i="205"/>
  <c r="M65" i="205"/>
  <c r="AB65" i="205" s="1"/>
  <c r="K65" i="205"/>
  <c r="G65" i="205"/>
  <c r="AB64" i="205"/>
  <c r="V64" i="205"/>
  <c r="U64" i="205"/>
  <c r="O64" i="205"/>
  <c r="M64" i="205"/>
  <c r="AA64" i="205" s="1"/>
  <c r="K64" i="205"/>
  <c r="G64" i="205"/>
  <c r="AB63" i="205"/>
  <c r="AA63" i="205"/>
  <c r="V63" i="205"/>
  <c r="U63" i="205"/>
  <c r="O63" i="205"/>
  <c r="M63" i="205"/>
  <c r="N63" i="205" s="1"/>
  <c r="K63" i="205"/>
  <c r="G63" i="205"/>
  <c r="V62" i="205"/>
  <c r="M62" i="205" s="1"/>
  <c r="U62" i="205"/>
  <c r="O62" i="205"/>
  <c r="K62" i="205"/>
  <c r="G62" i="205"/>
  <c r="V61" i="205"/>
  <c r="M61" i="205" s="1"/>
  <c r="U61" i="205"/>
  <c r="O61" i="205"/>
  <c r="K61" i="205"/>
  <c r="G61" i="205"/>
  <c r="V60" i="205"/>
  <c r="M60" i="205" s="1"/>
  <c r="O60" i="205"/>
  <c r="K60" i="205"/>
  <c r="G60" i="205"/>
  <c r="O59" i="205"/>
  <c r="K59" i="205"/>
  <c r="V58" i="205"/>
  <c r="U58" i="205"/>
  <c r="O58" i="205"/>
  <c r="N58" i="205"/>
  <c r="Q58" i="205" s="1"/>
  <c r="M58" i="205"/>
  <c r="AB58" i="205" s="1"/>
  <c r="K58" i="205"/>
  <c r="G58" i="205"/>
  <c r="V57" i="205"/>
  <c r="U57" i="205"/>
  <c r="O57" i="205"/>
  <c r="M57" i="205"/>
  <c r="N57" i="205" s="1"/>
  <c r="K57" i="205"/>
  <c r="G57" i="205"/>
  <c r="V56" i="205"/>
  <c r="U56" i="205"/>
  <c r="O56" i="205"/>
  <c r="M56" i="205"/>
  <c r="AB56" i="205" s="1"/>
  <c r="K56" i="205"/>
  <c r="G56" i="205"/>
  <c r="V55" i="205"/>
  <c r="U55" i="205"/>
  <c r="O55" i="205"/>
  <c r="M55" i="205"/>
  <c r="AB55" i="205" s="1"/>
  <c r="K55" i="205"/>
  <c r="G55" i="205"/>
  <c r="AB54" i="205"/>
  <c r="V54" i="205"/>
  <c r="U54" i="205"/>
  <c r="O54" i="205"/>
  <c r="M54" i="205"/>
  <c r="AA54" i="205" s="1"/>
  <c r="K54" i="205"/>
  <c r="G54" i="205"/>
  <c r="AB53" i="205"/>
  <c r="AA53" i="205"/>
  <c r="V53" i="205"/>
  <c r="U53" i="205"/>
  <c r="O53" i="205"/>
  <c r="M53" i="205"/>
  <c r="N53" i="205" s="1"/>
  <c r="K53" i="205"/>
  <c r="G53" i="205"/>
  <c r="AB52" i="205"/>
  <c r="AA52" i="205"/>
  <c r="V52" i="205"/>
  <c r="O52" i="205"/>
  <c r="M52" i="205"/>
  <c r="M59" i="205" s="1"/>
  <c r="K52" i="205"/>
  <c r="G52" i="205"/>
  <c r="O51" i="205"/>
  <c r="K51" i="205"/>
  <c r="V50" i="205"/>
  <c r="M50" i="205" s="1"/>
  <c r="U50" i="205"/>
  <c r="O50" i="205"/>
  <c r="K50" i="205"/>
  <c r="G50" i="205"/>
  <c r="V49" i="205"/>
  <c r="M49" i="205" s="1"/>
  <c r="U49" i="205"/>
  <c r="O49" i="205"/>
  <c r="K49" i="205"/>
  <c r="G49" i="205"/>
  <c r="V48" i="205"/>
  <c r="U48" i="205"/>
  <c r="O48" i="205"/>
  <c r="N48" i="205"/>
  <c r="Q48" i="205" s="1"/>
  <c r="M48" i="205"/>
  <c r="AB48" i="205" s="1"/>
  <c r="K48" i="205"/>
  <c r="G48" i="205"/>
  <c r="V47" i="205"/>
  <c r="U47" i="205"/>
  <c r="O47" i="205"/>
  <c r="M47" i="205"/>
  <c r="N47" i="205" s="1"/>
  <c r="K47" i="205"/>
  <c r="G47" i="205"/>
  <c r="V46" i="205"/>
  <c r="U46" i="205"/>
  <c r="O46" i="205"/>
  <c r="M46" i="205"/>
  <c r="AB46" i="205" s="1"/>
  <c r="K46" i="205"/>
  <c r="G46" i="205"/>
  <c r="V45" i="205"/>
  <c r="U45" i="205"/>
  <c r="O45" i="205"/>
  <c r="M45" i="205"/>
  <c r="AB45" i="205" s="1"/>
  <c r="K45" i="205"/>
  <c r="G45" i="205"/>
  <c r="X44" i="205"/>
  <c r="W44" i="205"/>
  <c r="V44" i="205"/>
  <c r="O44" i="205"/>
  <c r="M44" i="205"/>
  <c r="N44" i="205" s="1"/>
  <c r="K44" i="205"/>
  <c r="G44" i="205"/>
  <c r="O43" i="205"/>
  <c r="K43" i="205"/>
  <c r="V42" i="205"/>
  <c r="M42" i="205" s="1"/>
  <c r="U42" i="205"/>
  <c r="O42" i="205"/>
  <c r="K42" i="205"/>
  <c r="G42" i="205"/>
  <c r="AB41" i="205"/>
  <c r="AA41" i="205"/>
  <c r="X41" i="205"/>
  <c r="W41" i="205"/>
  <c r="V41" i="205"/>
  <c r="U41" i="205"/>
  <c r="O41" i="205"/>
  <c r="M41" i="205"/>
  <c r="N41" i="205" s="1"/>
  <c r="K41" i="205"/>
  <c r="G41" i="205"/>
  <c r="V40" i="205"/>
  <c r="M40" i="205" s="1"/>
  <c r="U40" i="205"/>
  <c r="O40" i="205"/>
  <c r="K40" i="205"/>
  <c r="G40" i="205"/>
  <c r="V39" i="205"/>
  <c r="M39" i="205" s="1"/>
  <c r="U39" i="205"/>
  <c r="O39" i="205"/>
  <c r="K39" i="205"/>
  <c r="G39" i="205"/>
  <c r="V38" i="205"/>
  <c r="M38" i="205" s="1"/>
  <c r="U38" i="205"/>
  <c r="O38" i="205"/>
  <c r="K38" i="205"/>
  <c r="G38" i="205"/>
  <c r="V37" i="205"/>
  <c r="M37" i="205" s="1"/>
  <c r="U37" i="205"/>
  <c r="O37" i="205"/>
  <c r="K37" i="205"/>
  <c r="G37" i="205"/>
  <c r="X36" i="205"/>
  <c r="W36" i="205"/>
  <c r="V36" i="205"/>
  <c r="M36" i="205" s="1"/>
  <c r="O36" i="205"/>
  <c r="K36" i="205"/>
  <c r="G36" i="205"/>
  <c r="O35" i="205"/>
  <c r="K35" i="205"/>
  <c r="V34" i="205"/>
  <c r="U34" i="205"/>
  <c r="O34" i="205"/>
  <c r="N34" i="205"/>
  <c r="Q34" i="205" s="1"/>
  <c r="M34" i="205"/>
  <c r="AB34" i="205" s="1"/>
  <c r="K34" i="205"/>
  <c r="G34" i="205"/>
  <c r="X33" i="205"/>
  <c r="W33" i="205"/>
  <c r="V33" i="205"/>
  <c r="M33" i="205" s="1"/>
  <c r="U33" i="205"/>
  <c r="O33" i="205"/>
  <c r="K33" i="205"/>
  <c r="G33" i="205"/>
  <c r="V32" i="205"/>
  <c r="U32" i="205"/>
  <c r="O32" i="205"/>
  <c r="N32" i="205"/>
  <c r="Q32" i="205" s="1"/>
  <c r="M32" i="205"/>
  <c r="AB32" i="205" s="1"/>
  <c r="K32" i="205"/>
  <c r="G32" i="205"/>
  <c r="V31" i="205"/>
  <c r="U31" i="205"/>
  <c r="O31" i="205"/>
  <c r="M31" i="205"/>
  <c r="N31" i="205" s="1"/>
  <c r="K31" i="205"/>
  <c r="G31" i="205"/>
  <c r="V30" i="205"/>
  <c r="U30" i="205"/>
  <c r="O30" i="205"/>
  <c r="M30" i="205"/>
  <c r="AB30" i="205" s="1"/>
  <c r="K30" i="205"/>
  <c r="G30" i="205"/>
  <c r="V29" i="205"/>
  <c r="U29" i="205"/>
  <c r="O29" i="205"/>
  <c r="M29" i="205"/>
  <c r="AB29" i="205" s="1"/>
  <c r="K29" i="205"/>
  <c r="G29" i="205"/>
  <c r="X28" i="205"/>
  <c r="W28" i="205"/>
  <c r="V28" i="205"/>
  <c r="O28" i="205"/>
  <c r="M28" i="205"/>
  <c r="N28" i="205" s="1"/>
  <c r="K28" i="205"/>
  <c r="G28" i="205"/>
  <c r="O27" i="205"/>
  <c r="K27" i="205"/>
  <c r="V26" i="205"/>
  <c r="M26" i="205" s="1"/>
  <c r="U26" i="205"/>
  <c r="O26" i="205"/>
  <c r="K26" i="205"/>
  <c r="G26" i="205"/>
  <c r="V25" i="205"/>
  <c r="M25" i="205" s="1"/>
  <c r="U25" i="205"/>
  <c r="O25" i="205"/>
  <c r="K25" i="205"/>
  <c r="G25" i="205"/>
  <c r="V24" i="205"/>
  <c r="M24" i="205" s="1"/>
  <c r="U24" i="205"/>
  <c r="O24" i="205"/>
  <c r="K24" i="205"/>
  <c r="G24" i="205"/>
  <c r="V23" i="205"/>
  <c r="M23" i="205" s="1"/>
  <c r="U23" i="205"/>
  <c r="O23" i="205"/>
  <c r="K23" i="205"/>
  <c r="G23" i="205"/>
  <c r="V22" i="205"/>
  <c r="M22" i="205" s="1"/>
  <c r="U22" i="205"/>
  <c r="O22" i="205"/>
  <c r="K22" i="205"/>
  <c r="G22" i="205"/>
  <c r="V21" i="205"/>
  <c r="M21" i="205" s="1"/>
  <c r="U21" i="205"/>
  <c r="O21" i="205"/>
  <c r="K21" i="205"/>
  <c r="G21" i="205"/>
  <c r="V20" i="205"/>
  <c r="U20" i="205"/>
  <c r="O20" i="205"/>
  <c r="N20" i="205"/>
  <c r="Q20" i="205" s="1"/>
  <c r="M20" i="205"/>
  <c r="AB20" i="205" s="1"/>
  <c r="K20" i="205"/>
  <c r="G20" i="205"/>
  <c r="V19" i="205"/>
  <c r="O19" i="205"/>
  <c r="N19" i="205"/>
  <c r="Q19" i="205" s="1"/>
  <c r="M19" i="205"/>
  <c r="AB19" i="205" s="1"/>
  <c r="K19" i="205"/>
  <c r="G19" i="205"/>
  <c r="O18" i="205"/>
  <c r="K18" i="205"/>
  <c r="AB17" i="205"/>
  <c r="AA17" i="205"/>
  <c r="V17" i="205"/>
  <c r="U17" i="205"/>
  <c r="O17" i="205"/>
  <c r="M17" i="205"/>
  <c r="N17" i="205" s="1"/>
  <c r="K17" i="205"/>
  <c r="G17" i="205"/>
  <c r="V16" i="205"/>
  <c r="M16" i="205" s="1"/>
  <c r="U16" i="205"/>
  <c r="O16" i="205"/>
  <c r="K16" i="205"/>
  <c r="G16" i="205"/>
  <c r="V15" i="205"/>
  <c r="M15" i="205" s="1"/>
  <c r="U15" i="205"/>
  <c r="O15" i="205"/>
  <c r="K15" i="205"/>
  <c r="G15" i="205"/>
  <c r="V14" i="205"/>
  <c r="M14" i="205" s="1"/>
  <c r="U14" i="205"/>
  <c r="O14" i="205"/>
  <c r="K14" i="205"/>
  <c r="G14" i="205"/>
  <c r="V13" i="205"/>
  <c r="M13" i="205" s="1"/>
  <c r="U13" i="205"/>
  <c r="O13" i="205"/>
  <c r="K13" i="205"/>
  <c r="G13" i="205"/>
  <c r="V12" i="205"/>
  <c r="M12" i="205" s="1"/>
  <c r="O12" i="205"/>
  <c r="K12" i="205"/>
  <c r="G12" i="205"/>
  <c r="O11" i="205"/>
  <c r="K11" i="205"/>
  <c r="V10" i="205"/>
  <c r="U10" i="205"/>
  <c r="O10" i="205"/>
  <c r="M10" i="205"/>
  <c r="AB10" i="205" s="1"/>
  <c r="K10" i="205"/>
  <c r="G10" i="205"/>
  <c r="X9" i="205"/>
  <c r="W9" i="205"/>
  <c r="V9" i="205"/>
  <c r="O9" i="205"/>
  <c r="N9" i="205"/>
  <c r="Q9" i="205" s="1"/>
  <c r="M9" i="205"/>
  <c r="M11" i="205" s="1"/>
  <c r="K9" i="205"/>
  <c r="G9" i="205"/>
  <c r="O8" i="205"/>
  <c r="K8" i="205"/>
  <c r="AB7" i="205"/>
  <c r="AA7" i="205"/>
  <c r="V7" i="205"/>
  <c r="U7" i="205"/>
  <c r="O7" i="205"/>
  <c r="M7" i="205"/>
  <c r="N7" i="205" s="1"/>
  <c r="K7" i="205"/>
  <c r="G7" i="205"/>
  <c r="V6" i="205"/>
  <c r="M6" i="205" s="1"/>
  <c r="U6" i="205"/>
  <c r="O6" i="205"/>
  <c r="K6" i="205"/>
  <c r="G6" i="205"/>
  <c r="V5" i="205"/>
  <c r="M5" i="205" s="1"/>
  <c r="O5" i="205"/>
  <c r="K5" i="205"/>
  <c r="G5" i="205"/>
  <c r="F1" i="205" s="1"/>
  <c r="H2" i="205"/>
  <c r="H1" i="205"/>
  <c r="D1" i="205"/>
  <c r="F8" i="210" l="1"/>
  <c r="E8" i="210"/>
  <c r="G8" i="210"/>
  <c r="Q53" i="207"/>
  <c r="P53" i="207"/>
  <c r="AB8" i="207"/>
  <c r="AC5" i="207" s="1"/>
  <c r="AA8" i="207"/>
  <c r="N8" i="207"/>
  <c r="Q5" i="207"/>
  <c r="P5" i="207"/>
  <c r="AB70" i="207"/>
  <c r="AC65" i="207" s="1"/>
  <c r="AA70" i="207"/>
  <c r="N70" i="207"/>
  <c r="Q10" i="207"/>
  <c r="P10" i="207"/>
  <c r="AB27" i="207"/>
  <c r="AC19" i="207" s="1"/>
  <c r="AA27" i="207"/>
  <c r="N27" i="207"/>
  <c r="P15" i="207"/>
  <c r="Q15" i="207"/>
  <c r="N34" i="207"/>
  <c r="AB34" i="207"/>
  <c r="AC28" i="207" s="1"/>
  <c r="AA34" i="207"/>
  <c r="Q45" i="207"/>
  <c r="P45" i="207"/>
  <c r="Q63" i="207"/>
  <c r="P63" i="207"/>
  <c r="Q42" i="207"/>
  <c r="P42" i="207"/>
  <c r="Q30" i="207"/>
  <c r="P30" i="207"/>
  <c r="Q21" i="207"/>
  <c r="P21" i="207"/>
  <c r="Q6" i="207"/>
  <c r="P6" i="207"/>
  <c r="N57" i="207"/>
  <c r="AB57" i="207"/>
  <c r="AC50" i="207" s="1"/>
  <c r="AA57" i="207"/>
  <c r="AB18" i="207"/>
  <c r="AC12" i="207" s="1"/>
  <c r="AA18" i="207"/>
  <c r="N18" i="207"/>
  <c r="Q28" i="207"/>
  <c r="P28" i="207"/>
  <c r="Q43" i="207"/>
  <c r="P43" i="207"/>
  <c r="N49" i="207"/>
  <c r="AB49" i="207"/>
  <c r="AC42" i="207" s="1"/>
  <c r="AA49" i="207"/>
  <c r="AB41" i="207"/>
  <c r="AC35" i="207" s="1"/>
  <c r="AA41" i="207"/>
  <c r="N41" i="207"/>
  <c r="Q55" i="207"/>
  <c r="P55" i="207"/>
  <c r="Q11" i="207"/>
  <c r="R9" i="207" s="1"/>
  <c r="P11" i="207"/>
  <c r="Q31" i="207"/>
  <c r="P31" i="207"/>
  <c r="Q64" i="207"/>
  <c r="R58" i="207" s="1"/>
  <c r="P64" i="207"/>
  <c r="N14" i="205"/>
  <c r="AB14" i="205"/>
  <c r="AA14" i="205"/>
  <c r="N23" i="205"/>
  <c r="AB23" i="205"/>
  <c r="AA23" i="205"/>
  <c r="AA16" i="205"/>
  <c r="AB16" i="205"/>
  <c r="N16" i="205"/>
  <c r="Q41" i="205"/>
  <c r="P41" i="205"/>
  <c r="Q7" i="205"/>
  <c r="P7" i="205"/>
  <c r="F2" i="205"/>
  <c r="N21" i="205"/>
  <c r="AB21" i="205"/>
  <c r="AA21" i="205"/>
  <c r="Q63" i="205"/>
  <c r="P63" i="205"/>
  <c r="N67" i="205"/>
  <c r="M73" i="205"/>
  <c r="AB67" i="205"/>
  <c r="AA67" i="205"/>
  <c r="N71" i="205"/>
  <c r="AB71" i="205"/>
  <c r="AA71" i="205"/>
  <c r="AA42" i="205"/>
  <c r="AB42" i="205"/>
  <c r="N42" i="205"/>
  <c r="N49" i="205"/>
  <c r="AB49" i="205"/>
  <c r="AA49" i="205"/>
  <c r="AA39" i="205"/>
  <c r="N39" i="205"/>
  <c r="AB39" i="205"/>
  <c r="AA26" i="205"/>
  <c r="AB26" i="205"/>
  <c r="N26" i="205"/>
  <c r="Q31" i="205"/>
  <c r="P31" i="205"/>
  <c r="Q44" i="205"/>
  <c r="P44" i="205"/>
  <c r="N37" i="205"/>
  <c r="AB37" i="205"/>
  <c r="AA37" i="205"/>
  <c r="N69" i="205"/>
  <c r="AB69" i="205"/>
  <c r="AA69" i="205"/>
  <c r="AA25" i="205"/>
  <c r="N25" i="205"/>
  <c r="AB25" i="205"/>
  <c r="Q47" i="205"/>
  <c r="P47" i="205"/>
  <c r="Q17" i="205"/>
  <c r="P17" i="205"/>
  <c r="M66" i="205"/>
  <c r="AA60" i="205"/>
  <c r="N60" i="205"/>
  <c r="AB60" i="205"/>
  <c r="N12" i="205"/>
  <c r="AB12" i="205"/>
  <c r="AA12" i="205"/>
  <c r="M18" i="205"/>
  <c r="AA5" i="205"/>
  <c r="AB5" i="205"/>
  <c r="N5" i="205"/>
  <c r="M8" i="205"/>
  <c r="N24" i="205"/>
  <c r="AB24" i="205"/>
  <c r="AA24" i="205"/>
  <c r="N22" i="205"/>
  <c r="AB22" i="205"/>
  <c r="AA22" i="205"/>
  <c r="AA40" i="205"/>
  <c r="AB40" i="205"/>
  <c r="N40" i="205"/>
  <c r="AA6" i="205"/>
  <c r="AB6" i="205"/>
  <c r="N6" i="205"/>
  <c r="Q28" i="205"/>
  <c r="P28" i="205"/>
  <c r="AA15" i="205"/>
  <c r="N15" i="205"/>
  <c r="AB15" i="205"/>
  <c r="N33" i="205"/>
  <c r="AB33" i="205"/>
  <c r="AA33" i="205"/>
  <c r="N50" i="205"/>
  <c r="AB50" i="205"/>
  <c r="AA50" i="205"/>
  <c r="Q53" i="205"/>
  <c r="P53" i="205"/>
  <c r="AA61" i="205"/>
  <c r="N61" i="205"/>
  <c r="AB61" i="205"/>
  <c r="N13" i="205"/>
  <c r="AB13" i="205"/>
  <c r="AA13" i="205"/>
  <c r="N11" i="205"/>
  <c r="AB11" i="205"/>
  <c r="AC9" i="205" s="1"/>
  <c r="AA11" i="205"/>
  <c r="N36" i="205"/>
  <c r="AB36" i="205"/>
  <c r="M43" i="205"/>
  <c r="AA36" i="205"/>
  <c r="N38" i="205"/>
  <c r="AB38" i="205"/>
  <c r="AA38" i="205"/>
  <c r="Q57" i="205"/>
  <c r="P57" i="205"/>
  <c r="N70" i="205"/>
  <c r="AB70" i="205"/>
  <c r="AA70" i="205"/>
  <c r="N72" i="205"/>
  <c r="AB72" i="205"/>
  <c r="AA72" i="205"/>
  <c r="N59" i="205"/>
  <c r="AB59" i="205"/>
  <c r="AC52" i="205" s="1"/>
  <c r="AA59" i="205"/>
  <c r="AA62" i="205"/>
  <c r="AB62" i="205"/>
  <c r="N62" i="205"/>
  <c r="P9" i="205"/>
  <c r="N10" i="205"/>
  <c r="P19" i="205"/>
  <c r="P20" i="205"/>
  <c r="N30" i="205"/>
  <c r="P32" i="205"/>
  <c r="P34" i="205"/>
  <c r="N46" i="205"/>
  <c r="P48" i="205"/>
  <c r="N56" i="205"/>
  <c r="P58" i="205"/>
  <c r="P68" i="205"/>
  <c r="M27" i="205"/>
  <c r="N29" i="205"/>
  <c r="N45" i="205"/>
  <c r="N55" i="205"/>
  <c r="N65" i="205"/>
  <c r="N54" i="205"/>
  <c r="N64" i="205"/>
  <c r="N52" i="205"/>
  <c r="AA19" i="205"/>
  <c r="AA20" i="205"/>
  <c r="AA32" i="205"/>
  <c r="AA34" i="205"/>
  <c r="AA48" i="205"/>
  <c r="AA58" i="205"/>
  <c r="AA68" i="205"/>
  <c r="AA31" i="205"/>
  <c r="AA47" i="205"/>
  <c r="M51" i="205"/>
  <c r="AA57" i="205"/>
  <c r="AA9" i="205"/>
  <c r="AA10" i="205"/>
  <c r="AA30" i="205"/>
  <c r="AB31" i="205"/>
  <c r="AA46" i="205"/>
  <c r="AB47" i="205"/>
  <c r="AA56" i="205"/>
  <c r="AB57" i="205"/>
  <c r="AB9" i="205"/>
  <c r="AA28" i="205"/>
  <c r="AA29" i="205"/>
  <c r="M35" i="205"/>
  <c r="AA44" i="205"/>
  <c r="AA45" i="205"/>
  <c r="AA55" i="205"/>
  <c r="AA65" i="205"/>
  <c r="AB28" i="205"/>
  <c r="AB44" i="205"/>
  <c r="W67" i="203"/>
  <c r="X67" i="203"/>
  <c r="O72" i="203"/>
  <c r="K72" i="203"/>
  <c r="V71" i="203"/>
  <c r="M71" i="203" s="1"/>
  <c r="U71" i="203"/>
  <c r="O71" i="203"/>
  <c r="K71" i="203"/>
  <c r="G71" i="203"/>
  <c r="AB70" i="203"/>
  <c r="AA70" i="203"/>
  <c r="V70" i="203"/>
  <c r="U70" i="203"/>
  <c r="Q70" i="203"/>
  <c r="O70" i="203"/>
  <c r="N70" i="203"/>
  <c r="P70" i="203" s="1"/>
  <c r="M70" i="203"/>
  <c r="K70" i="203"/>
  <c r="G70" i="203"/>
  <c r="AB69" i="203"/>
  <c r="AA69" i="203"/>
  <c r="V69" i="203"/>
  <c r="U69" i="203"/>
  <c r="O69" i="203"/>
  <c r="M69" i="203"/>
  <c r="N69" i="203" s="1"/>
  <c r="K69" i="203"/>
  <c r="G69" i="203"/>
  <c r="AB68" i="203"/>
  <c r="AA68" i="203"/>
  <c r="V68" i="203"/>
  <c r="U68" i="203"/>
  <c r="O68" i="203"/>
  <c r="M68" i="203"/>
  <c r="N68" i="203" s="1"/>
  <c r="K68" i="203"/>
  <c r="G68" i="203"/>
  <c r="AB67" i="203"/>
  <c r="AA67" i="203"/>
  <c r="V67" i="203"/>
  <c r="O67" i="203"/>
  <c r="M67" i="203"/>
  <c r="N67" i="203" s="1"/>
  <c r="K67" i="203"/>
  <c r="G67" i="203"/>
  <c r="O66" i="203"/>
  <c r="K66" i="203"/>
  <c r="J13" i="202" s="1"/>
  <c r="AB65" i="203"/>
  <c r="AA65" i="203"/>
  <c r="V65" i="203"/>
  <c r="U65" i="203"/>
  <c r="O65" i="203"/>
  <c r="N65" i="203"/>
  <c r="Q65" i="203" s="1"/>
  <c r="M65" i="203"/>
  <c r="K65" i="203"/>
  <c r="G65" i="203"/>
  <c r="AB64" i="203"/>
  <c r="AA64" i="203"/>
  <c r="V64" i="203"/>
  <c r="U64" i="203"/>
  <c r="O64" i="203"/>
  <c r="N64" i="203"/>
  <c r="Q64" i="203" s="1"/>
  <c r="M64" i="203"/>
  <c r="K64" i="203"/>
  <c r="G64" i="203"/>
  <c r="AB63" i="203"/>
  <c r="AA63" i="203"/>
  <c r="V63" i="203"/>
  <c r="U63" i="203"/>
  <c r="Q63" i="203"/>
  <c r="O63" i="203"/>
  <c r="N63" i="203"/>
  <c r="P63" i="203" s="1"/>
  <c r="M63" i="203"/>
  <c r="K63" i="203"/>
  <c r="G63" i="203"/>
  <c r="V62" i="203"/>
  <c r="M62" i="203" s="1"/>
  <c r="U62" i="203"/>
  <c r="O62" i="203"/>
  <c r="K62" i="203"/>
  <c r="G62" i="203"/>
  <c r="V61" i="203"/>
  <c r="M61" i="203" s="1"/>
  <c r="U61" i="203"/>
  <c r="O61" i="203"/>
  <c r="K61" i="203"/>
  <c r="G61" i="203"/>
  <c r="V60" i="203"/>
  <c r="M60" i="203" s="1"/>
  <c r="O60" i="203"/>
  <c r="K60" i="203"/>
  <c r="G60" i="203"/>
  <c r="O59" i="203"/>
  <c r="K59" i="203"/>
  <c r="V58" i="203"/>
  <c r="U58" i="203"/>
  <c r="O58" i="203"/>
  <c r="M58" i="203"/>
  <c r="AB58" i="203" s="1"/>
  <c r="K58" i="203"/>
  <c r="G58" i="203"/>
  <c r="V57" i="203"/>
  <c r="U57" i="203"/>
  <c r="O57" i="203"/>
  <c r="M57" i="203"/>
  <c r="AB57" i="203" s="1"/>
  <c r="K57" i="203"/>
  <c r="G57" i="203"/>
  <c r="AA56" i="203"/>
  <c r="V56" i="203"/>
  <c r="U56" i="203"/>
  <c r="O56" i="203"/>
  <c r="N56" i="203"/>
  <c r="Q56" i="203" s="1"/>
  <c r="M56" i="203"/>
  <c r="AB56" i="203" s="1"/>
  <c r="K56" i="203"/>
  <c r="P56" i="203" s="1"/>
  <c r="G56" i="203"/>
  <c r="AB55" i="203"/>
  <c r="AA55" i="203"/>
  <c r="V55" i="203"/>
  <c r="U55" i="203"/>
  <c r="O55" i="203"/>
  <c r="N55" i="203"/>
  <c r="Q55" i="203" s="1"/>
  <c r="M55" i="203"/>
  <c r="K55" i="203"/>
  <c r="G55" i="203"/>
  <c r="AB54" i="203"/>
  <c r="AA54" i="203"/>
  <c r="V54" i="203"/>
  <c r="U54" i="203"/>
  <c r="O54" i="203"/>
  <c r="N54" i="203"/>
  <c r="Q54" i="203" s="1"/>
  <c r="M54" i="203"/>
  <c r="K54" i="203"/>
  <c r="G54" i="203"/>
  <c r="AB53" i="203"/>
  <c r="AA53" i="203"/>
  <c r="V53" i="203"/>
  <c r="U53" i="203"/>
  <c r="Q53" i="203"/>
  <c r="O53" i="203"/>
  <c r="N53" i="203"/>
  <c r="P53" i="203" s="1"/>
  <c r="M53" i="203"/>
  <c r="K53" i="203"/>
  <c r="G53" i="203"/>
  <c r="V52" i="203"/>
  <c r="M52" i="203" s="1"/>
  <c r="U52" i="203"/>
  <c r="O52" i="203"/>
  <c r="K52" i="203"/>
  <c r="G52" i="203"/>
  <c r="V51" i="203"/>
  <c r="M51" i="203" s="1"/>
  <c r="O51" i="203"/>
  <c r="K51" i="203"/>
  <c r="G51" i="203"/>
  <c r="O50" i="203"/>
  <c r="K50" i="203"/>
  <c r="AB49" i="203"/>
  <c r="AA49" i="203"/>
  <c r="V49" i="203"/>
  <c r="U49" i="203"/>
  <c r="O49" i="203"/>
  <c r="N49" i="203"/>
  <c r="Q49" i="203" s="1"/>
  <c r="M49" i="203"/>
  <c r="K49" i="203"/>
  <c r="G49" i="203"/>
  <c r="V48" i="203"/>
  <c r="U48" i="203"/>
  <c r="O48" i="203"/>
  <c r="M48" i="203"/>
  <c r="AB48" i="203" s="1"/>
  <c r="K48" i="203"/>
  <c r="G48" i="203"/>
  <c r="V47" i="203"/>
  <c r="U47" i="203"/>
  <c r="O47" i="203"/>
  <c r="M47" i="203"/>
  <c r="M50" i="203" s="1"/>
  <c r="K47" i="203"/>
  <c r="G47" i="203"/>
  <c r="AA46" i="203"/>
  <c r="V46" i="203"/>
  <c r="U46" i="203"/>
  <c r="O46" i="203"/>
  <c r="N46" i="203"/>
  <c r="Q46" i="203" s="1"/>
  <c r="M46" i="203"/>
  <c r="AB46" i="203" s="1"/>
  <c r="K46" i="203"/>
  <c r="P46" i="203" s="1"/>
  <c r="G46" i="203"/>
  <c r="AB45" i="203"/>
  <c r="AA45" i="203"/>
  <c r="V45" i="203"/>
  <c r="U45" i="203"/>
  <c r="O45" i="203"/>
  <c r="N45" i="203"/>
  <c r="Q45" i="203" s="1"/>
  <c r="M45" i="203"/>
  <c r="K45" i="203"/>
  <c r="G45" i="203"/>
  <c r="AB44" i="203"/>
  <c r="AA44" i="203"/>
  <c r="V44" i="203"/>
  <c r="U44" i="203"/>
  <c r="O44" i="203"/>
  <c r="N44" i="203"/>
  <c r="Q44" i="203" s="1"/>
  <c r="M44" i="203"/>
  <c r="K44" i="203"/>
  <c r="G44" i="203"/>
  <c r="AB43" i="203"/>
  <c r="X43" i="203"/>
  <c r="W43" i="203"/>
  <c r="V43" i="203"/>
  <c r="O43" i="203"/>
  <c r="N43" i="203"/>
  <c r="Q43" i="203" s="1"/>
  <c r="M43" i="203"/>
  <c r="AA43" i="203" s="1"/>
  <c r="K43" i="203"/>
  <c r="P43" i="203" s="1"/>
  <c r="G43" i="203"/>
  <c r="O42" i="203"/>
  <c r="K42" i="203"/>
  <c r="V41" i="203"/>
  <c r="M41" i="203" s="1"/>
  <c r="U41" i="203"/>
  <c r="O41" i="203"/>
  <c r="K41" i="203"/>
  <c r="G41" i="203"/>
  <c r="AB40" i="203"/>
  <c r="AA40" i="203"/>
  <c r="V40" i="203"/>
  <c r="U40" i="203"/>
  <c r="Q40" i="203"/>
  <c r="O40" i="203"/>
  <c r="N40" i="203"/>
  <c r="P40" i="203" s="1"/>
  <c r="M40" i="203"/>
  <c r="K40" i="203"/>
  <c r="G40" i="203"/>
  <c r="AB39" i="203"/>
  <c r="AA39" i="203"/>
  <c r="V39" i="203"/>
  <c r="U39" i="203"/>
  <c r="O39" i="203"/>
  <c r="M39" i="203"/>
  <c r="N39" i="203" s="1"/>
  <c r="K39" i="203"/>
  <c r="G39" i="203"/>
  <c r="AB38" i="203"/>
  <c r="AA38" i="203"/>
  <c r="V38" i="203"/>
  <c r="U38" i="203"/>
  <c r="O38" i="203"/>
  <c r="M38" i="203"/>
  <c r="N38" i="203" s="1"/>
  <c r="K38" i="203"/>
  <c r="G38" i="203"/>
  <c r="AB37" i="203"/>
  <c r="AA37" i="203"/>
  <c r="V37" i="203"/>
  <c r="U37" i="203"/>
  <c r="O37" i="203"/>
  <c r="N37" i="203"/>
  <c r="Q37" i="203" s="1"/>
  <c r="M37" i="203"/>
  <c r="K37" i="203"/>
  <c r="G37" i="203"/>
  <c r="V36" i="203"/>
  <c r="U36" i="203"/>
  <c r="O36" i="203"/>
  <c r="M36" i="203"/>
  <c r="N36" i="203" s="1"/>
  <c r="K36" i="203"/>
  <c r="G36" i="203"/>
  <c r="AB35" i="203"/>
  <c r="AA35" i="203"/>
  <c r="X35" i="203"/>
  <c r="W35" i="203"/>
  <c r="V35" i="203"/>
  <c r="O35" i="203"/>
  <c r="M35" i="203"/>
  <c r="N35" i="203" s="1"/>
  <c r="K35" i="203"/>
  <c r="G35" i="203"/>
  <c r="O34" i="203"/>
  <c r="K34" i="203"/>
  <c r="K13" i="202" s="1"/>
  <c r="I6" i="202" s="1"/>
  <c r="V33" i="203"/>
  <c r="U33" i="203"/>
  <c r="O33" i="203"/>
  <c r="M33" i="203"/>
  <c r="AB33" i="203" s="1"/>
  <c r="K33" i="203"/>
  <c r="G33" i="203"/>
  <c r="AB32" i="203"/>
  <c r="AA32" i="203"/>
  <c r="V32" i="203"/>
  <c r="U32" i="203"/>
  <c r="O32" i="203"/>
  <c r="N32" i="203"/>
  <c r="Q32" i="203" s="1"/>
  <c r="M32" i="203"/>
  <c r="K32" i="203"/>
  <c r="G32" i="203"/>
  <c r="AB31" i="203"/>
  <c r="AA31" i="203"/>
  <c r="V31" i="203"/>
  <c r="U31" i="203"/>
  <c r="Q31" i="203"/>
  <c r="O31" i="203"/>
  <c r="N31" i="203"/>
  <c r="P31" i="203" s="1"/>
  <c r="M31" i="203"/>
  <c r="K31" i="203"/>
  <c r="G31" i="203"/>
  <c r="V30" i="203"/>
  <c r="M30" i="203" s="1"/>
  <c r="U30" i="203"/>
  <c r="O30" i="203"/>
  <c r="K30" i="203"/>
  <c r="G30" i="203"/>
  <c r="AB29" i="203"/>
  <c r="AA29" i="203"/>
  <c r="X29" i="203"/>
  <c r="W29" i="203"/>
  <c r="V29" i="203"/>
  <c r="O29" i="203"/>
  <c r="N29" i="203"/>
  <c r="Q29" i="203" s="1"/>
  <c r="M29" i="203"/>
  <c r="K29" i="203"/>
  <c r="G29" i="203"/>
  <c r="O28" i="203"/>
  <c r="K28" i="203"/>
  <c r="V27" i="203"/>
  <c r="M27" i="203" s="1"/>
  <c r="U27" i="203"/>
  <c r="O27" i="203"/>
  <c r="K27" i="203"/>
  <c r="G27" i="203"/>
  <c r="AB26" i="203"/>
  <c r="AA26" i="203"/>
  <c r="V26" i="203"/>
  <c r="U26" i="203"/>
  <c r="O26" i="203"/>
  <c r="M26" i="203"/>
  <c r="N26" i="203" s="1"/>
  <c r="K26" i="203"/>
  <c r="G26" i="203"/>
  <c r="AB25" i="203"/>
  <c r="AA25" i="203"/>
  <c r="V25" i="203"/>
  <c r="U25" i="203"/>
  <c r="O25" i="203"/>
  <c r="N25" i="203"/>
  <c r="Q25" i="203" s="1"/>
  <c r="M25" i="203"/>
  <c r="K25" i="203"/>
  <c r="G25" i="203"/>
  <c r="V24" i="203"/>
  <c r="U24" i="203"/>
  <c r="O24" i="203"/>
  <c r="M24" i="203"/>
  <c r="N24" i="203" s="1"/>
  <c r="K24" i="203"/>
  <c r="G24" i="203"/>
  <c r="V23" i="203"/>
  <c r="U23" i="203"/>
  <c r="O23" i="203"/>
  <c r="M23" i="203"/>
  <c r="AB23" i="203" s="1"/>
  <c r="K23" i="203"/>
  <c r="G23" i="203"/>
  <c r="AA22" i="203"/>
  <c r="V22" i="203"/>
  <c r="U22" i="203"/>
  <c r="O22" i="203"/>
  <c r="N22" i="203"/>
  <c r="Q22" i="203" s="1"/>
  <c r="M22" i="203"/>
  <c r="AB22" i="203" s="1"/>
  <c r="K22" i="203"/>
  <c r="G22" i="203"/>
  <c r="V21" i="203"/>
  <c r="U21" i="203"/>
  <c r="O21" i="203"/>
  <c r="M21" i="203"/>
  <c r="AB21" i="203" s="1"/>
  <c r="K21" i="203"/>
  <c r="G21" i="203"/>
  <c r="F1" i="203" s="1"/>
  <c r="AB20" i="203"/>
  <c r="AA20" i="203"/>
  <c r="V20" i="203"/>
  <c r="U20" i="203"/>
  <c r="O20" i="203"/>
  <c r="N20" i="203"/>
  <c r="Q20" i="203" s="1"/>
  <c r="M20" i="203"/>
  <c r="K20" i="203"/>
  <c r="G20" i="203"/>
  <c r="AB19" i="203"/>
  <c r="AA19" i="203"/>
  <c r="V19" i="203"/>
  <c r="O19" i="203"/>
  <c r="N19" i="203"/>
  <c r="Q19" i="203" s="1"/>
  <c r="M19" i="203"/>
  <c r="K19" i="203"/>
  <c r="G19" i="203"/>
  <c r="O18" i="203"/>
  <c r="K18" i="203"/>
  <c r="V17" i="203"/>
  <c r="M17" i="203" s="1"/>
  <c r="U17" i="203"/>
  <c r="O17" i="203"/>
  <c r="K17" i="203"/>
  <c r="G17" i="203"/>
  <c r="AB16" i="203"/>
  <c r="AA16" i="203"/>
  <c r="V16" i="203"/>
  <c r="U16" i="203"/>
  <c r="O16" i="203"/>
  <c r="M16" i="203"/>
  <c r="N16" i="203" s="1"/>
  <c r="K16" i="203"/>
  <c r="G16" i="203"/>
  <c r="AB15" i="203"/>
  <c r="AA15" i="203"/>
  <c r="V15" i="203"/>
  <c r="U15" i="203"/>
  <c r="O15" i="203"/>
  <c r="N15" i="203"/>
  <c r="Q15" i="203" s="1"/>
  <c r="M15" i="203"/>
  <c r="K15" i="203"/>
  <c r="G15" i="203"/>
  <c r="V14" i="203"/>
  <c r="U14" i="203"/>
  <c r="O14" i="203"/>
  <c r="M14" i="203"/>
  <c r="AB14" i="203" s="1"/>
  <c r="K14" i="203"/>
  <c r="G14" i="203"/>
  <c r="V13" i="203"/>
  <c r="U13" i="203"/>
  <c r="O13" i="203"/>
  <c r="M13" i="203"/>
  <c r="AB13" i="203" s="1"/>
  <c r="K13" i="203"/>
  <c r="G13" i="203"/>
  <c r="V12" i="203"/>
  <c r="O12" i="203"/>
  <c r="M12" i="203"/>
  <c r="AB12" i="203" s="1"/>
  <c r="K12" i="203"/>
  <c r="G12" i="203"/>
  <c r="O11" i="203"/>
  <c r="K11" i="203"/>
  <c r="V10" i="203"/>
  <c r="M10" i="203" s="1"/>
  <c r="U10" i="203"/>
  <c r="O10" i="203"/>
  <c r="K10" i="203"/>
  <c r="G10" i="203"/>
  <c r="AB9" i="203"/>
  <c r="AA9" i="203"/>
  <c r="X9" i="203"/>
  <c r="W9" i="203"/>
  <c r="V9" i="203"/>
  <c r="O9" i="203"/>
  <c r="N9" i="203"/>
  <c r="Q9" i="203" s="1"/>
  <c r="M9" i="203"/>
  <c r="K9" i="203"/>
  <c r="G9" i="203"/>
  <c r="O8" i="203"/>
  <c r="K8" i="203"/>
  <c r="V7" i="203"/>
  <c r="M7" i="203" s="1"/>
  <c r="U7" i="203"/>
  <c r="O7" i="203"/>
  <c r="K7" i="203"/>
  <c r="G7" i="203"/>
  <c r="AB6" i="203"/>
  <c r="AA6" i="203"/>
  <c r="V6" i="203"/>
  <c r="U6" i="203"/>
  <c r="O6" i="203"/>
  <c r="M6" i="203"/>
  <c r="N6" i="203" s="1"/>
  <c r="K6" i="203"/>
  <c r="G6" i="203"/>
  <c r="AB5" i="203"/>
  <c r="AA5" i="203"/>
  <c r="V5" i="203"/>
  <c r="O5" i="203"/>
  <c r="M5" i="203"/>
  <c r="N5" i="203" s="1"/>
  <c r="K5" i="203"/>
  <c r="G5" i="203"/>
  <c r="H2" i="203"/>
  <c r="H1" i="203"/>
  <c r="D1" i="203"/>
  <c r="M18" i="202"/>
  <c r="L18" i="202"/>
  <c r="K18" i="202"/>
  <c r="J18" i="202"/>
  <c r="I18" i="202"/>
  <c r="H18" i="202"/>
  <c r="G18" i="202"/>
  <c r="F18" i="202"/>
  <c r="E18" i="202"/>
  <c r="D18" i="202"/>
  <c r="M17" i="202"/>
  <c r="L17" i="202"/>
  <c r="K17" i="202"/>
  <c r="J17" i="202"/>
  <c r="I17" i="202"/>
  <c r="H17" i="202"/>
  <c r="G17" i="202"/>
  <c r="F17" i="202"/>
  <c r="E17" i="202"/>
  <c r="D17" i="202"/>
  <c r="M16" i="202"/>
  <c r="L16" i="202"/>
  <c r="K16" i="202"/>
  <c r="J16" i="202"/>
  <c r="I16" i="202"/>
  <c r="H16" i="202"/>
  <c r="G16" i="202"/>
  <c r="F16" i="202"/>
  <c r="E16" i="202"/>
  <c r="D16" i="202"/>
  <c r="M13" i="202"/>
  <c r="L13" i="202"/>
  <c r="I13" i="202"/>
  <c r="H13" i="202"/>
  <c r="G13" i="202"/>
  <c r="F13" i="202"/>
  <c r="E13" i="202"/>
  <c r="D13" i="202"/>
  <c r="F3" i="202"/>
  <c r="C3" i="202"/>
  <c r="Q18" i="207" l="1"/>
  <c r="R12" i="207" s="1"/>
  <c r="P18" i="207"/>
  <c r="Q41" i="207"/>
  <c r="R35" i="207" s="1"/>
  <c r="P41" i="207"/>
  <c r="Q70" i="207"/>
  <c r="R65" i="207" s="1"/>
  <c r="P70" i="207"/>
  <c r="Q49" i="207"/>
  <c r="R42" i="207" s="1"/>
  <c r="P49" i="207"/>
  <c r="Q34" i="207"/>
  <c r="R28" i="207" s="1"/>
  <c r="P34" i="207"/>
  <c r="Q8" i="207"/>
  <c r="R5" i="207" s="1"/>
  <c r="D2" i="207"/>
  <c r="P8" i="207"/>
  <c r="Q57" i="207"/>
  <c r="R50" i="207" s="1"/>
  <c r="P57" i="207"/>
  <c r="Q27" i="207"/>
  <c r="R19" i="207" s="1"/>
  <c r="P27" i="207"/>
  <c r="P22" i="205"/>
  <c r="Q22" i="205"/>
  <c r="P69" i="205"/>
  <c r="Q69" i="205"/>
  <c r="Q36" i="205"/>
  <c r="P36" i="205"/>
  <c r="Q24" i="205"/>
  <c r="P24" i="205"/>
  <c r="AA51" i="205"/>
  <c r="AB51" i="205"/>
  <c r="AC44" i="205" s="1"/>
  <c r="N51" i="205"/>
  <c r="Q45" i="205"/>
  <c r="P45" i="205"/>
  <c r="Q30" i="205"/>
  <c r="P30" i="205"/>
  <c r="Q55" i="205"/>
  <c r="P55" i="205"/>
  <c r="Q16" i="205"/>
  <c r="P16" i="205"/>
  <c r="Q10" i="205"/>
  <c r="P10" i="205"/>
  <c r="Q6" i="205"/>
  <c r="P6" i="205"/>
  <c r="Q37" i="205"/>
  <c r="P37" i="205"/>
  <c r="P70" i="205"/>
  <c r="Q70" i="205"/>
  <c r="P49" i="205"/>
  <c r="Q49" i="205"/>
  <c r="Q62" i="205"/>
  <c r="P62" i="205"/>
  <c r="AB18" i="205"/>
  <c r="AC12" i="205" s="1"/>
  <c r="AA18" i="205"/>
  <c r="N18" i="205"/>
  <c r="Q23" i="205"/>
  <c r="P23" i="205"/>
  <c r="Q54" i="205"/>
  <c r="P54" i="205"/>
  <c r="Q39" i="205"/>
  <c r="P39" i="205"/>
  <c r="P72" i="205"/>
  <c r="Q72" i="205"/>
  <c r="N66" i="205"/>
  <c r="AB66" i="205"/>
  <c r="AC60" i="205" s="1"/>
  <c r="AA66" i="205"/>
  <c r="AB8" i="205"/>
  <c r="AC5" i="205" s="1"/>
  <c r="AA8" i="205"/>
  <c r="N8" i="205"/>
  <c r="AB27" i="205"/>
  <c r="AC19" i="205" s="1"/>
  <c r="AA27" i="205"/>
  <c r="N27" i="205"/>
  <c r="Q42" i="205"/>
  <c r="P42" i="205"/>
  <c r="Q40" i="205"/>
  <c r="P40" i="205"/>
  <c r="Q56" i="205"/>
  <c r="P56" i="205"/>
  <c r="Q13" i="205"/>
  <c r="P13" i="205"/>
  <c r="Q15" i="205"/>
  <c r="P15" i="205"/>
  <c r="Q25" i="205"/>
  <c r="P25" i="205"/>
  <c r="Q26" i="205"/>
  <c r="P26" i="205"/>
  <c r="AB43" i="205"/>
  <c r="AC36" i="205" s="1"/>
  <c r="AA43" i="205"/>
  <c r="N43" i="205"/>
  <c r="Q65" i="205"/>
  <c r="P65" i="205"/>
  <c r="Q60" i="205"/>
  <c r="P60" i="205"/>
  <c r="AA73" i="205"/>
  <c r="AB73" i="205"/>
  <c r="AC67" i="205" s="1"/>
  <c r="N73" i="205"/>
  <c r="Q52" i="205"/>
  <c r="P52" i="205"/>
  <c r="Q46" i="205"/>
  <c r="P46" i="205"/>
  <c r="Q38" i="205"/>
  <c r="P38" i="205"/>
  <c r="Q61" i="205"/>
  <c r="P61" i="205"/>
  <c r="P67" i="205"/>
  <c r="Q67" i="205"/>
  <c r="Q29" i="205"/>
  <c r="P29" i="205"/>
  <c r="P50" i="205"/>
  <c r="Q50" i="205"/>
  <c r="Q11" i="205"/>
  <c r="R9" i="205" s="1"/>
  <c r="P11" i="205"/>
  <c r="Q5" i="205"/>
  <c r="P5" i="205"/>
  <c r="P33" i="205"/>
  <c r="Q33" i="205"/>
  <c r="P21" i="205"/>
  <c r="Q21" i="205"/>
  <c r="N35" i="205"/>
  <c r="AB35" i="205"/>
  <c r="AC28" i="205" s="1"/>
  <c r="AA35" i="205"/>
  <c r="Q64" i="205"/>
  <c r="P64" i="205"/>
  <c r="P59" i="205"/>
  <c r="Q59" i="205"/>
  <c r="R52" i="205" s="1"/>
  <c r="Q12" i="205"/>
  <c r="P12" i="205"/>
  <c r="Q71" i="205"/>
  <c r="P71" i="205"/>
  <c r="Q14" i="205"/>
  <c r="P14" i="205"/>
  <c r="Q39" i="203"/>
  <c r="P39" i="203"/>
  <c r="Q36" i="203"/>
  <c r="P36" i="203"/>
  <c r="P68" i="203"/>
  <c r="Q68" i="203"/>
  <c r="AA62" i="203"/>
  <c r="N62" i="203"/>
  <c r="AB62" i="203"/>
  <c r="Q69" i="203"/>
  <c r="P69" i="203"/>
  <c r="N60" i="203"/>
  <c r="M66" i="203"/>
  <c r="AB60" i="203"/>
  <c r="AA60" i="203"/>
  <c r="P16" i="203"/>
  <c r="Q16" i="203"/>
  <c r="Q24" i="203"/>
  <c r="P24" i="203"/>
  <c r="P35" i="203"/>
  <c r="Q35" i="203"/>
  <c r="P38" i="203"/>
  <c r="Q38" i="203"/>
  <c r="N61" i="203"/>
  <c r="AB61" i="203"/>
  <c r="AA61" i="203"/>
  <c r="P5" i="203"/>
  <c r="Q5" i="203"/>
  <c r="P26" i="203"/>
  <c r="Q26" i="203"/>
  <c r="N41" i="203"/>
  <c r="AB41" i="203"/>
  <c r="AA41" i="203"/>
  <c r="N17" i="203"/>
  <c r="AB17" i="203"/>
  <c r="AA17" i="203"/>
  <c r="N30" i="203"/>
  <c r="M34" i="203"/>
  <c r="AA30" i="203"/>
  <c r="AB30" i="203"/>
  <c r="G6" i="202"/>
  <c r="N7" i="203"/>
  <c r="M8" i="203"/>
  <c r="AB7" i="203"/>
  <c r="AA7" i="203"/>
  <c r="N50" i="203"/>
  <c r="AB50" i="203"/>
  <c r="AC43" i="203" s="1"/>
  <c r="AA50" i="203"/>
  <c r="M59" i="203"/>
  <c r="N51" i="203"/>
  <c r="AA51" i="203"/>
  <c r="AB51" i="203"/>
  <c r="P6" i="203"/>
  <c r="Q6" i="203"/>
  <c r="N10" i="203"/>
  <c r="AA10" i="203"/>
  <c r="M11" i="203"/>
  <c r="AB10" i="203"/>
  <c r="N27" i="203"/>
  <c r="AB27" i="203"/>
  <c r="AA27" i="203"/>
  <c r="AA52" i="203"/>
  <c r="N52" i="203"/>
  <c r="AB52" i="203"/>
  <c r="N71" i="203"/>
  <c r="M72" i="203"/>
  <c r="AB71" i="203"/>
  <c r="AA71" i="203"/>
  <c r="I3" i="202"/>
  <c r="F2" i="203"/>
  <c r="P67" i="203"/>
  <c r="Q67" i="203"/>
  <c r="N12" i="203"/>
  <c r="N13" i="203"/>
  <c r="P15" i="203"/>
  <c r="N23" i="203"/>
  <c r="P25" i="203"/>
  <c r="P37" i="203"/>
  <c r="N47" i="203"/>
  <c r="P49" i="203"/>
  <c r="N57" i="203"/>
  <c r="E6" i="202"/>
  <c r="N21" i="203"/>
  <c r="N33" i="203"/>
  <c r="N14" i="203"/>
  <c r="N48" i="203"/>
  <c r="N58" i="203"/>
  <c r="P22" i="203"/>
  <c r="M42" i="203"/>
  <c r="P45" i="203"/>
  <c r="P55" i="203"/>
  <c r="P65" i="203"/>
  <c r="P9" i="203"/>
  <c r="AA14" i="203"/>
  <c r="M18" i="203"/>
  <c r="P19" i="203"/>
  <c r="P20" i="203"/>
  <c r="AA24" i="203"/>
  <c r="M28" i="203"/>
  <c r="P29" i="203"/>
  <c r="P32" i="203"/>
  <c r="AA36" i="203"/>
  <c r="P44" i="203"/>
  <c r="AA48" i="203"/>
  <c r="P54" i="203"/>
  <c r="AA58" i="203"/>
  <c r="P64" i="203"/>
  <c r="F6" i="202"/>
  <c r="AA12" i="203"/>
  <c r="AA13" i="203"/>
  <c r="AA23" i="203"/>
  <c r="AB24" i="203"/>
  <c r="AB36" i="203"/>
  <c r="AA47" i="203"/>
  <c r="AA57" i="203"/>
  <c r="AB47" i="203"/>
  <c r="AA21" i="203"/>
  <c r="AA33" i="203"/>
  <c r="O77" i="201"/>
  <c r="K77" i="201"/>
  <c r="AB76" i="201"/>
  <c r="AA76" i="201"/>
  <c r="V76" i="201"/>
  <c r="U76" i="201"/>
  <c r="O76" i="201"/>
  <c r="N76" i="201"/>
  <c r="M76" i="201"/>
  <c r="K76" i="201"/>
  <c r="G76" i="201"/>
  <c r="AB75" i="201"/>
  <c r="X75" i="201"/>
  <c r="W75" i="201"/>
  <c r="V75" i="201"/>
  <c r="U75" i="201"/>
  <c r="O75" i="201"/>
  <c r="N75" i="201"/>
  <c r="M75" i="201"/>
  <c r="AA75" i="201" s="1"/>
  <c r="K75" i="201"/>
  <c r="G75" i="201"/>
  <c r="V74" i="201"/>
  <c r="M74" i="201" s="1"/>
  <c r="U74" i="201"/>
  <c r="Q74" i="201"/>
  <c r="P74" i="201"/>
  <c r="O74" i="201"/>
  <c r="N74" i="201"/>
  <c r="K74" i="201"/>
  <c r="G74" i="201"/>
  <c r="V73" i="201"/>
  <c r="M73" i="201" s="1"/>
  <c r="U73" i="201"/>
  <c r="P73" i="201"/>
  <c r="O73" i="201"/>
  <c r="N73" i="201"/>
  <c r="Q73" i="201" s="1"/>
  <c r="K73" i="201"/>
  <c r="G73" i="201"/>
  <c r="AA72" i="201"/>
  <c r="V72" i="201"/>
  <c r="M72" i="201" s="1"/>
  <c r="U72" i="201"/>
  <c r="O72" i="201"/>
  <c r="K72" i="201"/>
  <c r="G72" i="201"/>
  <c r="X71" i="201"/>
  <c r="W71" i="201"/>
  <c r="V71" i="201"/>
  <c r="O71" i="201"/>
  <c r="N71" i="201"/>
  <c r="M71" i="201"/>
  <c r="K71" i="201"/>
  <c r="G71" i="201"/>
  <c r="O70" i="201"/>
  <c r="K70" i="201"/>
  <c r="V69" i="201"/>
  <c r="U69" i="201"/>
  <c r="O69" i="201"/>
  <c r="M69" i="201"/>
  <c r="AA69" i="201" s="1"/>
  <c r="K69" i="201"/>
  <c r="G69" i="201"/>
  <c r="AB68" i="201"/>
  <c r="AA68" i="201"/>
  <c r="V68" i="201"/>
  <c r="U68" i="201"/>
  <c r="O68" i="201"/>
  <c r="M68" i="201"/>
  <c r="N68" i="201" s="1"/>
  <c r="K68" i="201"/>
  <c r="G68" i="201"/>
  <c r="AB67" i="201"/>
  <c r="AA67" i="201"/>
  <c r="V67" i="201"/>
  <c r="U67" i="201"/>
  <c r="O67" i="201"/>
  <c r="N67" i="201"/>
  <c r="M67" i="201"/>
  <c r="K67" i="201"/>
  <c r="G67" i="201"/>
  <c r="V66" i="201"/>
  <c r="U66" i="201"/>
  <c r="O66" i="201"/>
  <c r="M66" i="201"/>
  <c r="K66" i="201"/>
  <c r="G66" i="201"/>
  <c r="V65" i="201"/>
  <c r="U65" i="201"/>
  <c r="O65" i="201"/>
  <c r="N65" i="201"/>
  <c r="P65" i="201" s="1"/>
  <c r="M65" i="201"/>
  <c r="K65" i="201"/>
  <c r="G65" i="201"/>
  <c r="V64" i="201"/>
  <c r="M64" i="201" s="1"/>
  <c r="P64" i="201"/>
  <c r="O64" i="201"/>
  <c r="N64" i="201"/>
  <c r="Q64" i="201" s="1"/>
  <c r="K64" i="201"/>
  <c r="G64" i="201"/>
  <c r="Q63" i="201"/>
  <c r="R56" i="201" s="1"/>
  <c r="P63" i="201"/>
  <c r="O63" i="201"/>
  <c r="N63" i="201"/>
  <c r="K63" i="201"/>
  <c r="V62" i="201"/>
  <c r="U62" i="201"/>
  <c r="O62" i="201"/>
  <c r="N62" i="201"/>
  <c r="P62" i="201" s="1"/>
  <c r="M62" i="201"/>
  <c r="K62" i="201"/>
  <c r="G62" i="201"/>
  <c r="V61" i="201"/>
  <c r="M61" i="201" s="1"/>
  <c r="U61" i="201"/>
  <c r="O61" i="201"/>
  <c r="K61" i="201"/>
  <c r="G61" i="201"/>
  <c r="AA60" i="201"/>
  <c r="V60" i="201"/>
  <c r="M60" i="201" s="1"/>
  <c r="U60" i="201"/>
  <c r="O60" i="201"/>
  <c r="K60" i="201"/>
  <c r="G60" i="201"/>
  <c r="AB59" i="201"/>
  <c r="AA59" i="201"/>
  <c r="V59" i="201"/>
  <c r="M59" i="201" s="1"/>
  <c r="N59" i="201" s="1"/>
  <c r="P59" i="201" s="1"/>
  <c r="U59" i="201"/>
  <c r="Q59" i="201"/>
  <c r="O59" i="201"/>
  <c r="K59" i="201"/>
  <c r="G59" i="201"/>
  <c r="AB58" i="201"/>
  <c r="AA58" i="201"/>
  <c r="V58" i="201"/>
  <c r="M58" i="201" s="1"/>
  <c r="N58" i="201" s="1"/>
  <c r="P58" i="201" s="1"/>
  <c r="U58" i="201"/>
  <c r="Q58" i="201"/>
  <c r="O58" i="201"/>
  <c r="K58" i="201"/>
  <c r="G58" i="201"/>
  <c r="AB57" i="201"/>
  <c r="AA57" i="201"/>
  <c r="V57" i="201"/>
  <c r="U57" i="201"/>
  <c r="O57" i="201"/>
  <c r="N57" i="201"/>
  <c r="M57" i="201"/>
  <c r="K57" i="201"/>
  <c r="G57" i="201"/>
  <c r="AC56" i="201"/>
  <c r="AB56" i="201"/>
  <c r="AA56" i="201"/>
  <c r="V56" i="201"/>
  <c r="O56" i="201"/>
  <c r="N56" i="201"/>
  <c r="M56" i="201"/>
  <c r="M63" i="201" s="1"/>
  <c r="AB63" i="201" s="1"/>
  <c r="K56" i="201"/>
  <c r="G56" i="201"/>
  <c r="O55" i="201"/>
  <c r="M55" i="201"/>
  <c r="N55" i="201" s="1"/>
  <c r="H14" i="200" s="1"/>
  <c r="H15" i="200" s="1"/>
  <c r="K55" i="201"/>
  <c r="AB54" i="201"/>
  <c r="AA54" i="201"/>
  <c r="V54" i="201"/>
  <c r="U54" i="201"/>
  <c r="O54" i="201"/>
  <c r="N54" i="201"/>
  <c r="M54" i="201"/>
  <c r="K54" i="201"/>
  <c r="G54" i="201"/>
  <c r="AB53" i="201"/>
  <c r="X53" i="201"/>
  <c r="W53" i="201"/>
  <c r="V53" i="201"/>
  <c r="U53" i="201"/>
  <c r="Q53" i="201"/>
  <c r="P53" i="201"/>
  <c r="O53" i="201"/>
  <c r="N53" i="201"/>
  <c r="M53" i="201"/>
  <c r="AA53" i="201" s="1"/>
  <c r="K53" i="201"/>
  <c r="G53" i="201"/>
  <c r="V52" i="201"/>
  <c r="M52" i="201" s="1"/>
  <c r="U52" i="201"/>
  <c r="Q52" i="201"/>
  <c r="P52" i="201"/>
  <c r="O52" i="201"/>
  <c r="N52" i="201"/>
  <c r="K52" i="201"/>
  <c r="G52" i="201"/>
  <c r="AA51" i="201"/>
  <c r="V51" i="201"/>
  <c r="M51" i="201" s="1"/>
  <c r="AB51" i="201" s="1"/>
  <c r="U51" i="201"/>
  <c r="O51" i="201"/>
  <c r="N51" i="201"/>
  <c r="Q51" i="201" s="1"/>
  <c r="K51" i="201"/>
  <c r="G51" i="201"/>
  <c r="AA50" i="201"/>
  <c r="V50" i="201"/>
  <c r="M50" i="201" s="1"/>
  <c r="U50" i="201"/>
  <c r="O50" i="201"/>
  <c r="K50" i="201"/>
  <c r="G50" i="201"/>
  <c r="AB49" i="201"/>
  <c r="AA49" i="201"/>
  <c r="V49" i="201"/>
  <c r="M49" i="201" s="1"/>
  <c r="N49" i="201" s="1"/>
  <c r="U49" i="201"/>
  <c r="Q49" i="201"/>
  <c r="P49" i="201"/>
  <c r="O49" i="201"/>
  <c r="K49" i="201"/>
  <c r="G49" i="201"/>
  <c r="AB48" i="201"/>
  <c r="AA48" i="201"/>
  <c r="V48" i="201"/>
  <c r="U48" i="201"/>
  <c r="O48" i="201"/>
  <c r="M48" i="201"/>
  <c r="N48" i="201" s="1"/>
  <c r="K48" i="201"/>
  <c r="G48" i="201"/>
  <c r="AB47" i="201"/>
  <c r="AA47" i="201"/>
  <c r="X47" i="201"/>
  <c r="W47" i="201"/>
  <c r="V47" i="201"/>
  <c r="P47" i="201"/>
  <c r="O47" i="201"/>
  <c r="N47" i="201"/>
  <c r="Q47" i="201" s="1"/>
  <c r="M47" i="201"/>
  <c r="K47" i="201"/>
  <c r="G47" i="201"/>
  <c r="O46" i="201"/>
  <c r="K46" i="201"/>
  <c r="AB45" i="201"/>
  <c r="AA45" i="201"/>
  <c r="V45" i="201"/>
  <c r="U45" i="201"/>
  <c r="O45" i="201"/>
  <c r="N45" i="201"/>
  <c r="M45" i="201"/>
  <c r="K45" i="201"/>
  <c r="G45" i="201"/>
  <c r="V44" i="201"/>
  <c r="U44" i="201"/>
  <c r="Q44" i="201"/>
  <c r="P44" i="201"/>
  <c r="O44" i="201"/>
  <c r="N44" i="201"/>
  <c r="M44" i="201"/>
  <c r="K44" i="201"/>
  <c r="G44" i="201"/>
  <c r="V43" i="201"/>
  <c r="U43" i="201"/>
  <c r="O43" i="201"/>
  <c r="N43" i="201"/>
  <c r="P43" i="201" s="1"/>
  <c r="M43" i="201"/>
  <c r="K43" i="201"/>
  <c r="G43" i="201"/>
  <c r="V42" i="201"/>
  <c r="U42" i="201"/>
  <c r="O42" i="201"/>
  <c r="M42" i="201"/>
  <c r="N42" i="201" s="1"/>
  <c r="K42" i="201"/>
  <c r="G42" i="201"/>
  <c r="V41" i="201"/>
  <c r="M41" i="201" s="1"/>
  <c r="U41" i="201"/>
  <c r="O41" i="201"/>
  <c r="K41" i="201"/>
  <c r="G41" i="201"/>
  <c r="X40" i="201"/>
  <c r="W40" i="201"/>
  <c r="V40" i="201"/>
  <c r="O40" i="201"/>
  <c r="M40" i="201"/>
  <c r="N40" i="201" s="1"/>
  <c r="K40" i="201"/>
  <c r="G40" i="201"/>
  <c r="O39" i="201"/>
  <c r="K39" i="201"/>
  <c r="AB38" i="201"/>
  <c r="AA38" i="201"/>
  <c r="V38" i="201"/>
  <c r="U38" i="201"/>
  <c r="Q38" i="201"/>
  <c r="O38" i="201"/>
  <c r="M38" i="201"/>
  <c r="N38" i="201" s="1"/>
  <c r="P38" i="201" s="1"/>
  <c r="K38" i="201"/>
  <c r="G38" i="201"/>
  <c r="AB37" i="201"/>
  <c r="AA37" i="201"/>
  <c r="V37" i="201"/>
  <c r="U37" i="201"/>
  <c r="O37" i="201"/>
  <c r="M37" i="201"/>
  <c r="N37" i="201" s="1"/>
  <c r="K37" i="201"/>
  <c r="G37" i="201"/>
  <c r="AB36" i="201"/>
  <c r="AA36" i="201"/>
  <c r="X36" i="201"/>
  <c r="W36" i="201"/>
  <c r="V36" i="201"/>
  <c r="U36" i="201"/>
  <c r="O36" i="201"/>
  <c r="N36" i="201"/>
  <c r="P36" i="201" s="1"/>
  <c r="M36" i="201"/>
  <c r="K36" i="201"/>
  <c r="G36" i="201"/>
  <c r="V35" i="201"/>
  <c r="U35" i="201"/>
  <c r="O35" i="201"/>
  <c r="N35" i="201"/>
  <c r="Q35" i="201" s="1"/>
  <c r="M35" i="201"/>
  <c r="K35" i="201"/>
  <c r="G35" i="201"/>
  <c r="V34" i="201"/>
  <c r="M34" i="201" s="1"/>
  <c r="U34" i="201"/>
  <c r="Q34" i="201"/>
  <c r="P34" i="201"/>
  <c r="O34" i="201"/>
  <c r="N34" i="201"/>
  <c r="K34" i="201"/>
  <c r="G34" i="201"/>
  <c r="AA33" i="201"/>
  <c r="V33" i="201"/>
  <c r="M33" i="201" s="1"/>
  <c r="AB33" i="201" s="1"/>
  <c r="U33" i="201"/>
  <c r="Q33" i="201"/>
  <c r="P33" i="201"/>
  <c r="O33" i="201"/>
  <c r="N33" i="201"/>
  <c r="K33" i="201"/>
  <c r="G33" i="201"/>
  <c r="AB32" i="201"/>
  <c r="AA32" i="201"/>
  <c r="V32" i="201"/>
  <c r="M32" i="201" s="1"/>
  <c r="N32" i="201" s="1"/>
  <c r="U32" i="201"/>
  <c r="Q32" i="201"/>
  <c r="P32" i="201"/>
  <c r="O32" i="201"/>
  <c r="K32" i="201"/>
  <c r="G32" i="201"/>
  <c r="AB31" i="201"/>
  <c r="AA31" i="201"/>
  <c r="X31" i="201"/>
  <c r="W31" i="201"/>
  <c r="V31" i="201"/>
  <c r="O31" i="201"/>
  <c r="M31" i="201"/>
  <c r="N31" i="201" s="1"/>
  <c r="K31" i="201"/>
  <c r="G31" i="201"/>
  <c r="O30" i="201"/>
  <c r="M30" i="201"/>
  <c r="AA30" i="201" s="1"/>
  <c r="K30" i="201"/>
  <c r="AB29" i="201"/>
  <c r="AA29" i="201"/>
  <c r="V29" i="201"/>
  <c r="U29" i="201"/>
  <c r="O29" i="201"/>
  <c r="N29" i="201"/>
  <c r="M29" i="201"/>
  <c r="K29" i="201"/>
  <c r="G29" i="201"/>
  <c r="AB28" i="201"/>
  <c r="AA28" i="201"/>
  <c r="V28" i="201"/>
  <c r="U28" i="201"/>
  <c r="O28" i="201"/>
  <c r="N28" i="201"/>
  <c r="M28" i="201"/>
  <c r="K28" i="201"/>
  <c r="G28" i="201"/>
  <c r="AB27" i="201"/>
  <c r="AA27" i="201"/>
  <c r="V27" i="201"/>
  <c r="U27" i="201"/>
  <c r="O27" i="201"/>
  <c r="N27" i="201"/>
  <c r="Q27" i="201" s="1"/>
  <c r="M27" i="201"/>
  <c r="K27" i="201"/>
  <c r="G27" i="201"/>
  <c r="V26" i="201"/>
  <c r="U26" i="201"/>
  <c r="Q26" i="201"/>
  <c r="P26" i="201"/>
  <c r="O26" i="201"/>
  <c r="N26" i="201"/>
  <c r="M26" i="201"/>
  <c r="K26" i="201"/>
  <c r="G26" i="201"/>
  <c r="V25" i="201"/>
  <c r="U25" i="201"/>
  <c r="O25" i="201"/>
  <c r="N25" i="201"/>
  <c r="Q25" i="201" s="1"/>
  <c r="M25" i="201"/>
  <c r="K25" i="201"/>
  <c r="G25" i="201"/>
  <c r="V24" i="201"/>
  <c r="U24" i="201"/>
  <c r="O24" i="201"/>
  <c r="M24" i="201"/>
  <c r="N24" i="201" s="1"/>
  <c r="K24" i="201"/>
  <c r="G24" i="201"/>
  <c r="AA23" i="201"/>
  <c r="V23" i="201"/>
  <c r="M23" i="201" s="1"/>
  <c r="U23" i="201"/>
  <c r="O23" i="201"/>
  <c r="K23" i="201"/>
  <c r="G23" i="201"/>
  <c r="AB22" i="201"/>
  <c r="AA22" i="201"/>
  <c r="V22" i="201"/>
  <c r="M22" i="201" s="1"/>
  <c r="N22" i="201" s="1"/>
  <c r="Q22" i="201"/>
  <c r="P22" i="201"/>
  <c r="O22" i="201"/>
  <c r="K22" i="201"/>
  <c r="G22" i="201"/>
  <c r="O21" i="201"/>
  <c r="K21" i="201"/>
  <c r="AB20" i="201"/>
  <c r="AA20" i="201"/>
  <c r="V20" i="201"/>
  <c r="M20" i="201" s="1"/>
  <c r="N20" i="201" s="1"/>
  <c r="U20" i="201"/>
  <c r="Q20" i="201"/>
  <c r="P20" i="201"/>
  <c r="O20" i="201"/>
  <c r="K20" i="201"/>
  <c r="G20" i="201"/>
  <c r="AB19" i="201"/>
  <c r="AA19" i="201"/>
  <c r="V19" i="201"/>
  <c r="M19" i="201" s="1"/>
  <c r="N19" i="201" s="1"/>
  <c r="P19" i="201" s="1"/>
  <c r="U19" i="201"/>
  <c r="Q19" i="201"/>
  <c r="O19" i="201"/>
  <c r="K19" i="201"/>
  <c r="G19" i="201"/>
  <c r="AB18" i="201"/>
  <c r="AA18" i="201"/>
  <c r="X18" i="201"/>
  <c r="W18" i="201"/>
  <c r="V18" i="201"/>
  <c r="U18" i="201"/>
  <c r="O18" i="201"/>
  <c r="N18" i="201"/>
  <c r="M18" i="201"/>
  <c r="K18" i="201"/>
  <c r="G18" i="201"/>
  <c r="AB17" i="201"/>
  <c r="V17" i="201"/>
  <c r="U17" i="201"/>
  <c r="P17" i="201"/>
  <c r="O17" i="201"/>
  <c r="N17" i="201"/>
  <c r="Q17" i="201" s="1"/>
  <c r="M17" i="201"/>
  <c r="AA17" i="201" s="1"/>
  <c r="K17" i="201"/>
  <c r="G17" i="201"/>
  <c r="AB16" i="201"/>
  <c r="V16" i="201"/>
  <c r="U16" i="201"/>
  <c r="O16" i="201"/>
  <c r="N16" i="201"/>
  <c r="Q16" i="201" s="1"/>
  <c r="M16" i="201"/>
  <c r="AA16" i="201" s="1"/>
  <c r="K16" i="201"/>
  <c r="G16" i="201"/>
  <c r="V15" i="201"/>
  <c r="U15" i="201"/>
  <c r="Q15" i="201"/>
  <c r="P15" i="201"/>
  <c r="O15" i="201"/>
  <c r="N15" i="201"/>
  <c r="M15" i="201"/>
  <c r="K15" i="201"/>
  <c r="G15" i="201"/>
  <c r="V14" i="201"/>
  <c r="M14" i="201" s="1"/>
  <c r="U14" i="201"/>
  <c r="Q14" i="201"/>
  <c r="P14" i="201"/>
  <c r="O14" i="201"/>
  <c r="N14" i="201"/>
  <c r="K14" i="201"/>
  <c r="G14" i="201"/>
  <c r="AB13" i="201"/>
  <c r="AA13" i="201"/>
  <c r="V13" i="201"/>
  <c r="M13" i="201" s="1"/>
  <c r="O13" i="201"/>
  <c r="K13" i="201"/>
  <c r="G13" i="201"/>
  <c r="AB12" i="201"/>
  <c r="AA12" i="201"/>
  <c r="Q12" i="201"/>
  <c r="R10" i="201" s="1"/>
  <c r="O12" i="201"/>
  <c r="K12" i="201"/>
  <c r="AA11" i="201"/>
  <c r="V11" i="201"/>
  <c r="M11" i="201" s="1"/>
  <c r="AB11" i="201" s="1"/>
  <c r="U11" i="201"/>
  <c r="Q11" i="201"/>
  <c r="P11" i="201"/>
  <c r="O11" i="201"/>
  <c r="N11" i="201"/>
  <c r="K11" i="201"/>
  <c r="G11" i="201"/>
  <c r="AC10" i="201"/>
  <c r="AB10" i="201"/>
  <c r="AA10" i="201"/>
  <c r="X10" i="201"/>
  <c r="W10" i="201"/>
  <c r="V10" i="201"/>
  <c r="O10" i="201"/>
  <c r="N10" i="201"/>
  <c r="M10" i="201"/>
  <c r="M12" i="201" s="1"/>
  <c r="N12" i="201" s="1"/>
  <c r="E14" i="200" s="1"/>
  <c r="K10" i="201"/>
  <c r="G10" i="201"/>
  <c r="O9" i="201"/>
  <c r="K9" i="201"/>
  <c r="V8" i="201"/>
  <c r="U8" i="201"/>
  <c r="O8" i="201"/>
  <c r="M8" i="201"/>
  <c r="N8" i="201" s="1"/>
  <c r="K8" i="201"/>
  <c r="G8" i="201"/>
  <c r="AB7" i="201"/>
  <c r="AA7" i="201"/>
  <c r="X7" i="201"/>
  <c r="W7" i="201"/>
  <c r="V7" i="201"/>
  <c r="U7" i="201"/>
  <c r="O7" i="201"/>
  <c r="N7" i="201"/>
  <c r="Q7" i="201" s="1"/>
  <c r="M7" i="201"/>
  <c r="K7" i="201"/>
  <c r="G7" i="201"/>
  <c r="V6" i="201"/>
  <c r="U6" i="201"/>
  <c r="O6" i="201"/>
  <c r="N6" i="201"/>
  <c r="Q6" i="201" s="1"/>
  <c r="M6" i="201"/>
  <c r="K6" i="201"/>
  <c r="G6" i="201"/>
  <c r="V5" i="201"/>
  <c r="M5" i="201" s="1"/>
  <c r="Q5" i="201"/>
  <c r="P5" i="201"/>
  <c r="O5" i="201"/>
  <c r="N5" i="201"/>
  <c r="K5" i="201"/>
  <c r="G5" i="201"/>
  <c r="H2" i="201"/>
  <c r="H1" i="201"/>
  <c r="M18" i="200"/>
  <c r="L18" i="200"/>
  <c r="K18" i="200"/>
  <c r="J18" i="200"/>
  <c r="I18" i="200"/>
  <c r="H18" i="200"/>
  <c r="G18" i="200"/>
  <c r="F18" i="200"/>
  <c r="E18" i="200"/>
  <c r="D18" i="200"/>
  <c r="M17" i="200"/>
  <c r="L17" i="200"/>
  <c r="K17" i="200"/>
  <c r="J17" i="200"/>
  <c r="I17" i="200"/>
  <c r="H17" i="200"/>
  <c r="G17" i="200"/>
  <c r="F17" i="200"/>
  <c r="E17" i="200"/>
  <c r="D17" i="200"/>
  <c r="M16" i="200"/>
  <c r="L16" i="200"/>
  <c r="K16" i="200"/>
  <c r="J16" i="200"/>
  <c r="I16" i="200"/>
  <c r="H16" i="200"/>
  <c r="G16" i="200"/>
  <c r="F16" i="200"/>
  <c r="E16" i="200"/>
  <c r="D16" i="200"/>
  <c r="E15" i="200"/>
  <c r="I14" i="200"/>
  <c r="I15" i="200" s="1"/>
  <c r="M13" i="200"/>
  <c r="L13" i="200"/>
  <c r="K13" i="200"/>
  <c r="I6" i="200" s="1"/>
  <c r="J13" i="200"/>
  <c r="I13" i="200"/>
  <c r="H13" i="200"/>
  <c r="G13" i="200"/>
  <c r="F13" i="200"/>
  <c r="E13" i="200"/>
  <c r="D13" i="200"/>
  <c r="G6" i="200"/>
  <c r="F6" i="200"/>
  <c r="E6" i="200"/>
  <c r="I3" i="200"/>
  <c r="F3" i="200"/>
  <c r="C3" i="200"/>
  <c r="Q51" i="205" l="1"/>
  <c r="R44" i="205" s="1"/>
  <c r="P51" i="205"/>
  <c r="D2" i="205"/>
  <c r="Q8" i="205"/>
  <c r="R5" i="205" s="1"/>
  <c r="P8" i="205"/>
  <c r="Q43" i="205"/>
  <c r="R36" i="205" s="1"/>
  <c r="P43" i="205"/>
  <c r="Q66" i="205"/>
  <c r="R60" i="205" s="1"/>
  <c r="P66" i="205"/>
  <c r="Q18" i="205"/>
  <c r="R12" i="205" s="1"/>
  <c r="P18" i="205"/>
  <c r="P35" i="205"/>
  <c r="Q35" i="205"/>
  <c r="R28" i="205" s="1"/>
  <c r="Q73" i="205"/>
  <c r="R67" i="205" s="1"/>
  <c r="P73" i="205"/>
  <c r="Q27" i="205"/>
  <c r="R19" i="205" s="1"/>
  <c r="P27" i="205"/>
  <c r="Q62" i="203"/>
  <c r="P62" i="203"/>
  <c r="Q47" i="203"/>
  <c r="P47" i="203"/>
  <c r="Q10" i="203"/>
  <c r="P10" i="203"/>
  <c r="AA8" i="203"/>
  <c r="N8" i="203"/>
  <c r="AB8" i="203"/>
  <c r="AC5" i="203" s="1"/>
  <c r="Q41" i="203"/>
  <c r="P41" i="203"/>
  <c r="AB72" i="203"/>
  <c r="AC67" i="203" s="1"/>
  <c r="AA72" i="203"/>
  <c r="N72" i="203"/>
  <c r="Q7" i="203"/>
  <c r="P7" i="203"/>
  <c r="Q60" i="203"/>
  <c r="P60" i="203"/>
  <c r="P50" i="203"/>
  <c r="H14" i="202"/>
  <c r="H15" i="202" s="1"/>
  <c r="Q50" i="203"/>
  <c r="R43" i="203" s="1"/>
  <c r="Q57" i="203"/>
  <c r="P57" i="203"/>
  <c r="AB42" i="203"/>
  <c r="AC35" i="203" s="1"/>
  <c r="AA42" i="203"/>
  <c r="N42" i="203"/>
  <c r="Q23" i="203"/>
  <c r="P23" i="203"/>
  <c r="N18" i="203"/>
  <c r="AA18" i="203"/>
  <c r="AB18" i="203"/>
  <c r="AC12" i="203" s="1"/>
  <c r="Q17" i="203"/>
  <c r="P17" i="203"/>
  <c r="AB11" i="203"/>
  <c r="AC9" i="203" s="1"/>
  <c r="AA11" i="203"/>
  <c r="N11" i="203"/>
  <c r="Q71" i="203"/>
  <c r="P71" i="203"/>
  <c r="AB28" i="203"/>
  <c r="AC19" i="203" s="1"/>
  <c r="N28" i="203"/>
  <c r="AA28" i="203"/>
  <c r="Q58" i="203"/>
  <c r="P58" i="203"/>
  <c r="Q52" i="203"/>
  <c r="P52" i="203"/>
  <c r="Q33" i="203"/>
  <c r="P33" i="203"/>
  <c r="Q61" i="203"/>
  <c r="P61" i="203"/>
  <c r="Q21" i="203"/>
  <c r="P21" i="203"/>
  <c r="Q27" i="203"/>
  <c r="P27" i="203"/>
  <c r="Q48" i="203"/>
  <c r="P48" i="203"/>
  <c r="Q13" i="203"/>
  <c r="P13" i="203"/>
  <c r="Q51" i="203"/>
  <c r="P51" i="203"/>
  <c r="AB34" i="203"/>
  <c r="AC29" i="203" s="1"/>
  <c r="AA34" i="203"/>
  <c r="N34" i="203"/>
  <c r="Q14" i="203"/>
  <c r="P14" i="203"/>
  <c r="Q12" i="203"/>
  <c r="P12" i="203"/>
  <c r="N59" i="203"/>
  <c r="AB59" i="203"/>
  <c r="AC51" i="203" s="1"/>
  <c r="AA59" i="203"/>
  <c r="Q30" i="203"/>
  <c r="P30" i="203"/>
  <c r="AB66" i="203"/>
  <c r="AC60" i="203" s="1"/>
  <c r="AA66" i="203"/>
  <c r="N66" i="203"/>
  <c r="Q42" i="201"/>
  <c r="P42" i="201"/>
  <c r="Q24" i="201"/>
  <c r="P24" i="201"/>
  <c r="P6" i="201"/>
  <c r="AB8" i="201"/>
  <c r="AB40" i="201"/>
  <c r="P27" i="201"/>
  <c r="Q36" i="201"/>
  <c r="M39" i="201"/>
  <c r="P12" i="201"/>
  <c r="AB30" i="201"/>
  <c r="AC22" i="201" s="1"/>
  <c r="N30" i="201"/>
  <c r="M46" i="201"/>
  <c r="N46" i="201" s="1"/>
  <c r="P25" i="201"/>
  <c r="Q62" i="201"/>
  <c r="Q43" i="201"/>
  <c r="Q65" i="201"/>
  <c r="AA8" i="201"/>
  <c r="AA40" i="201"/>
  <c r="M9" i="201"/>
  <c r="P16" i="201"/>
  <c r="P7" i="201"/>
  <c r="P35" i="201"/>
  <c r="P51" i="201"/>
  <c r="AA63" i="201"/>
  <c r="AB5" i="201"/>
  <c r="AA5" i="201"/>
  <c r="AB6" i="201"/>
  <c r="AA6" i="201"/>
  <c r="Q8" i="201"/>
  <c r="P8" i="201"/>
  <c r="Q10" i="201"/>
  <c r="P10" i="201"/>
  <c r="M21" i="201"/>
  <c r="N13" i="201"/>
  <c r="AB14" i="201"/>
  <c r="AA14" i="201"/>
  <c r="AB15" i="201"/>
  <c r="AA15" i="201"/>
  <c r="Q18" i="201"/>
  <c r="P18" i="201"/>
  <c r="N23" i="201"/>
  <c r="AB23" i="201"/>
  <c r="AB24" i="201"/>
  <c r="AA24" i="201"/>
  <c r="AB25" i="201"/>
  <c r="AA25" i="201"/>
  <c r="AB26" i="201"/>
  <c r="AA26" i="201"/>
  <c r="Q28" i="201"/>
  <c r="P28" i="201"/>
  <c r="Q29" i="201"/>
  <c r="P29" i="201"/>
  <c r="Q30" i="201"/>
  <c r="R22" i="201" s="1"/>
  <c r="P30" i="201"/>
  <c r="G14" i="200"/>
  <c r="G15" i="200" s="1"/>
  <c r="Q31" i="201"/>
  <c r="P31" i="201"/>
  <c r="AB34" i="201"/>
  <c r="AA34" i="201"/>
  <c r="AB35" i="201"/>
  <c r="AA35" i="201"/>
  <c r="Q37" i="201"/>
  <c r="P37" i="201"/>
  <c r="Q40" i="201"/>
  <c r="P40" i="201"/>
  <c r="N41" i="201"/>
  <c r="AB41" i="201"/>
  <c r="AA41" i="201"/>
  <c r="AB42" i="201"/>
  <c r="AA42" i="201"/>
  <c r="AB43" i="201"/>
  <c r="AA43" i="201"/>
  <c r="AB44" i="201"/>
  <c r="AA44" i="201"/>
  <c r="Q45" i="201"/>
  <c r="P45" i="201"/>
  <c r="Q48" i="201"/>
  <c r="P48" i="201"/>
  <c r="N50" i="201"/>
  <c r="AB50" i="201"/>
  <c r="AB52" i="201"/>
  <c r="AA52" i="201"/>
  <c r="Q54" i="201"/>
  <c r="P54" i="201"/>
  <c r="AB55" i="201"/>
  <c r="AC47" i="201" s="1"/>
  <c r="AA55" i="201"/>
  <c r="Q55" i="201"/>
  <c r="R47" i="201" s="1"/>
  <c r="P55" i="201"/>
  <c r="Q56" i="201"/>
  <c r="P56" i="201"/>
  <c r="Q57" i="201"/>
  <c r="P57" i="201"/>
  <c r="AB60" i="201"/>
  <c r="N60" i="201"/>
  <c r="N61" i="201"/>
  <c r="AB61" i="201"/>
  <c r="AA61" i="201"/>
  <c r="AB62" i="201"/>
  <c r="AA62" i="201"/>
  <c r="AB64" i="201"/>
  <c r="AA64" i="201"/>
  <c r="M70" i="201"/>
  <c r="AB70" i="201" s="1"/>
  <c r="AC64" i="201" s="1"/>
  <c r="AB65" i="201"/>
  <c r="AA65" i="201"/>
  <c r="AB66" i="201"/>
  <c r="AA66" i="201"/>
  <c r="N66" i="201"/>
  <c r="Q67" i="201"/>
  <c r="P67" i="201"/>
  <c r="Q68" i="201"/>
  <c r="P68" i="201"/>
  <c r="AB69" i="201"/>
  <c r="N69" i="201"/>
  <c r="M77" i="201"/>
  <c r="AB71" i="201"/>
  <c r="AA71" i="201"/>
  <c r="Q71" i="201"/>
  <c r="P71" i="201"/>
  <c r="N72" i="201"/>
  <c r="AB72" i="201"/>
  <c r="AB73" i="201"/>
  <c r="AA73" i="201"/>
  <c r="AB74" i="201"/>
  <c r="AA74" i="201"/>
  <c r="Q75" i="201"/>
  <c r="P75" i="201"/>
  <c r="Q76" i="201"/>
  <c r="P76" i="201"/>
  <c r="O78" i="199"/>
  <c r="K78" i="199"/>
  <c r="V77" i="199"/>
  <c r="U77" i="199"/>
  <c r="O77" i="199"/>
  <c r="N77" i="199"/>
  <c r="Q77" i="199" s="1"/>
  <c r="M77" i="199"/>
  <c r="K77" i="199"/>
  <c r="G77" i="199"/>
  <c r="AB76" i="199"/>
  <c r="AA76" i="199"/>
  <c r="V76" i="199"/>
  <c r="U76" i="199"/>
  <c r="O76" i="199"/>
  <c r="N76" i="199"/>
  <c r="Q76" i="199" s="1"/>
  <c r="M76" i="199"/>
  <c r="K76" i="199"/>
  <c r="G76" i="199"/>
  <c r="AA75" i="199"/>
  <c r="X75" i="199"/>
  <c r="W75" i="199"/>
  <c r="V75" i="199"/>
  <c r="M75" i="199" s="1"/>
  <c r="AB75" i="199" s="1"/>
  <c r="U75" i="199"/>
  <c r="Q75" i="199"/>
  <c r="P75" i="199"/>
  <c r="O75" i="199"/>
  <c r="N75" i="199"/>
  <c r="K75" i="199"/>
  <c r="G75" i="199"/>
  <c r="V74" i="199"/>
  <c r="U74" i="199"/>
  <c r="O74" i="199"/>
  <c r="M74" i="199"/>
  <c r="K74" i="199"/>
  <c r="G74" i="199"/>
  <c r="AB73" i="199"/>
  <c r="AA73" i="199"/>
  <c r="V73" i="199"/>
  <c r="M73" i="199" s="1"/>
  <c r="N73" i="199" s="1"/>
  <c r="U73" i="199"/>
  <c r="Q73" i="199"/>
  <c r="P73" i="199"/>
  <c r="O73" i="199"/>
  <c r="K73" i="199"/>
  <c r="G73" i="199"/>
  <c r="V72" i="199"/>
  <c r="U72" i="199"/>
  <c r="O72" i="199"/>
  <c r="N72" i="199"/>
  <c r="M72" i="199"/>
  <c r="K72" i="199"/>
  <c r="G72" i="199"/>
  <c r="AB71" i="199"/>
  <c r="AA71" i="199"/>
  <c r="X71" i="199"/>
  <c r="W71" i="199"/>
  <c r="V71" i="199"/>
  <c r="O71" i="199"/>
  <c r="N71" i="199"/>
  <c r="Q71" i="199" s="1"/>
  <c r="M71" i="199"/>
  <c r="K71" i="199"/>
  <c r="G71" i="199"/>
  <c r="O70" i="199"/>
  <c r="M70" i="199"/>
  <c r="AB70" i="199" s="1"/>
  <c r="K70" i="199"/>
  <c r="J13" i="198" s="1"/>
  <c r="AB69" i="199"/>
  <c r="AA69" i="199"/>
  <c r="V69" i="199"/>
  <c r="U69" i="199"/>
  <c r="O69" i="199"/>
  <c r="M69" i="199"/>
  <c r="N69" i="199" s="1"/>
  <c r="K69" i="199"/>
  <c r="G69" i="199"/>
  <c r="V68" i="199"/>
  <c r="U68" i="199"/>
  <c r="O68" i="199"/>
  <c r="M68" i="199"/>
  <c r="N68" i="199" s="1"/>
  <c r="K68" i="199"/>
  <c r="G68" i="199"/>
  <c r="V67" i="199"/>
  <c r="U67" i="199"/>
  <c r="O67" i="199"/>
  <c r="M67" i="199"/>
  <c r="AB67" i="199" s="1"/>
  <c r="K67" i="199"/>
  <c r="G67" i="199"/>
  <c r="AB66" i="199"/>
  <c r="AA66" i="199"/>
  <c r="V66" i="199"/>
  <c r="U66" i="199"/>
  <c r="O66" i="199"/>
  <c r="M66" i="199"/>
  <c r="N66" i="199" s="1"/>
  <c r="K66" i="199"/>
  <c r="G66" i="199"/>
  <c r="V65" i="199"/>
  <c r="U65" i="199"/>
  <c r="O65" i="199"/>
  <c r="M65" i="199"/>
  <c r="AB65" i="199" s="1"/>
  <c r="K65" i="199"/>
  <c r="G65" i="199"/>
  <c r="AC64" i="199"/>
  <c r="AB64" i="199"/>
  <c r="AA64" i="199"/>
  <c r="V64" i="199"/>
  <c r="M64" i="199" s="1"/>
  <c r="N64" i="199" s="1"/>
  <c r="Q64" i="199"/>
  <c r="P64" i="199"/>
  <c r="O64" i="199"/>
  <c r="K64" i="199"/>
  <c r="G64" i="199"/>
  <c r="O63" i="199"/>
  <c r="M63" i="199"/>
  <c r="K63" i="199"/>
  <c r="AB62" i="199"/>
  <c r="AA62" i="199"/>
  <c r="V62" i="199"/>
  <c r="M62" i="199" s="1"/>
  <c r="N62" i="199" s="1"/>
  <c r="U62" i="199"/>
  <c r="Q62" i="199"/>
  <c r="P62" i="199"/>
  <c r="O62" i="199"/>
  <c r="K62" i="199"/>
  <c r="G62" i="199"/>
  <c r="V61" i="199"/>
  <c r="U61" i="199"/>
  <c r="O61" i="199"/>
  <c r="N61" i="199"/>
  <c r="M61" i="199"/>
  <c r="K61" i="199"/>
  <c r="G61" i="199"/>
  <c r="AB60" i="199"/>
  <c r="AA60" i="199"/>
  <c r="V60" i="199"/>
  <c r="M60" i="199" s="1"/>
  <c r="N60" i="199" s="1"/>
  <c r="P60" i="199" s="1"/>
  <c r="U60" i="199"/>
  <c r="Q60" i="199"/>
  <c r="O60" i="199"/>
  <c r="K60" i="199"/>
  <c r="G60" i="199"/>
  <c r="V59" i="199"/>
  <c r="U59" i="199"/>
  <c r="O59" i="199"/>
  <c r="N59" i="199"/>
  <c r="Q59" i="199" s="1"/>
  <c r="M59" i="199"/>
  <c r="K59" i="199"/>
  <c r="G59" i="199"/>
  <c r="AB58" i="199"/>
  <c r="AA58" i="199"/>
  <c r="V58" i="199"/>
  <c r="M58" i="199" s="1"/>
  <c r="N58" i="199" s="1"/>
  <c r="U58" i="199"/>
  <c r="O58" i="199"/>
  <c r="K58" i="199"/>
  <c r="G58" i="199"/>
  <c r="V57" i="199"/>
  <c r="U57" i="199"/>
  <c r="P57" i="199"/>
  <c r="O57" i="199"/>
  <c r="N57" i="199"/>
  <c r="Q57" i="199" s="1"/>
  <c r="M57" i="199"/>
  <c r="K57" i="199"/>
  <c r="G57" i="199"/>
  <c r="V56" i="199"/>
  <c r="O56" i="199"/>
  <c r="M56" i="199"/>
  <c r="AB56" i="199" s="1"/>
  <c r="K56" i="199"/>
  <c r="G56" i="199"/>
  <c r="AB55" i="199"/>
  <c r="AC49" i="199" s="1"/>
  <c r="AA55" i="199"/>
  <c r="O55" i="199"/>
  <c r="M55" i="199"/>
  <c r="N55" i="199" s="1"/>
  <c r="K55" i="199"/>
  <c r="AB54" i="199"/>
  <c r="AA54" i="199"/>
  <c r="V54" i="199"/>
  <c r="U54" i="199"/>
  <c r="O54" i="199"/>
  <c r="N54" i="199"/>
  <c r="Q54" i="199" s="1"/>
  <c r="M54" i="199"/>
  <c r="K54" i="199"/>
  <c r="G54" i="199"/>
  <c r="AA53" i="199"/>
  <c r="V53" i="199"/>
  <c r="U53" i="199"/>
  <c r="O53" i="199"/>
  <c r="M53" i="199"/>
  <c r="AB53" i="199" s="1"/>
  <c r="K53" i="199"/>
  <c r="G53" i="199"/>
  <c r="V52" i="199"/>
  <c r="U52" i="199"/>
  <c r="O52" i="199"/>
  <c r="M52" i="199"/>
  <c r="AB52" i="199" s="1"/>
  <c r="K52" i="199"/>
  <c r="G52" i="199"/>
  <c r="AB51" i="199"/>
  <c r="AA51" i="199"/>
  <c r="V51" i="199"/>
  <c r="M51" i="199" s="1"/>
  <c r="U51" i="199"/>
  <c r="O51" i="199"/>
  <c r="N51" i="199"/>
  <c r="P51" i="199" s="1"/>
  <c r="K51" i="199"/>
  <c r="G51" i="199"/>
  <c r="V50" i="199"/>
  <c r="U50" i="199"/>
  <c r="O50" i="199"/>
  <c r="M50" i="199"/>
  <c r="K50" i="199"/>
  <c r="G50" i="199"/>
  <c r="AB49" i="199"/>
  <c r="AA49" i="199"/>
  <c r="X49" i="199"/>
  <c r="W49" i="199"/>
  <c r="V49" i="199"/>
  <c r="M49" i="199" s="1"/>
  <c r="N49" i="199" s="1"/>
  <c r="O49" i="199"/>
  <c r="K49" i="199"/>
  <c r="G49" i="199"/>
  <c r="O48" i="199"/>
  <c r="M48" i="199"/>
  <c r="N48" i="199" s="1"/>
  <c r="K48" i="199"/>
  <c r="L13" i="198" s="1"/>
  <c r="AB47" i="199"/>
  <c r="AA47" i="199"/>
  <c r="V47" i="199"/>
  <c r="M47" i="199" s="1"/>
  <c r="N47" i="199" s="1"/>
  <c r="U47" i="199"/>
  <c r="O47" i="199"/>
  <c r="K47" i="199"/>
  <c r="G47" i="199"/>
  <c r="V46" i="199"/>
  <c r="U46" i="199"/>
  <c r="O46" i="199"/>
  <c r="N46" i="199"/>
  <c r="Q46" i="199" s="1"/>
  <c r="M46" i="199"/>
  <c r="K46" i="199"/>
  <c r="G46" i="199"/>
  <c r="AB45" i="199"/>
  <c r="AA45" i="199"/>
  <c r="X45" i="199"/>
  <c r="W45" i="199"/>
  <c r="V45" i="199"/>
  <c r="U45" i="199"/>
  <c r="O45" i="199"/>
  <c r="M45" i="199"/>
  <c r="N45" i="199" s="1"/>
  <c r="K45" i="199"/>
  <c r="G45" i="199"/>
  <c r="V44" i="199"/>
  <c r="U44" i="199"/>
  <c r="O44" i="199"/>
  <c r="M44" i="199"/>
  <c r="N44" i="199" s="1"/>
  <c r="K44" i="199"/>
  <c r="G44" i="199"/>
  <c r="V43" i="199"/>
  <c r="U43" i="199"/>
  <c r="O43" i="199"/>
  <c r="M43" i="199"/>
  <c r="AB43" i="199" s="1"/>
  <c r="K43" i="199"/>
  <c r="G43" i="199"/>
  <c r="AB42" i="199"/>
  <c r="AA42" i="199"/>
  <c r="V42" i="199"/>
  <c r="M42" i="199" s="1"/>
  <c r="N42" i="199" s="1"/>
  <c r="U42" i="199"/>
  <c r="Q42" i="199"/>
  <c r="P42" i="199"/>
  <c r="O42" i="199"/>
  <c r="K42" i="199"/>
  <c r="G42" i="199"/>
  <c r="V41" i="199"/>
  <c r="U41" i="199"/>
  <c r="O41" i="199"/>
  <c r="N41" i="199"/>
  <c r="M41" i="199"/>
  <c r="K41" i="199"/>
  <c r="G41" i="199"/>
  <c r="AB40" i="199"/>
  <c r="AA40" i="199"/>
  <c r="X40" i="199"/>
  <c r="W40" i="199"/>
  <c r="V40" i="199"/>
  <c r="O40" i="199"/>
  <c r="M40" i="199"/>
  <c r="N40" i="199" s="1"/>
  <c r="K40" i="199"/>
  <c r="G40" i="199"/>
  <c r="O39" i="199"/>
  <c r="M39" i="199"/>
  <c r="N39" i="199" s="1"/>
  <c r="K39" i="199"/>
  <c r="K13" i="198" s="1"/>
  <c r="I6" i="198" s="1"/>
  <c r="AB38" i="199"/>
  <c r="AA38" i="199"/>
  <c r="V38" i="199"/>
  <c r="M38" i="199" s="1"/>
  <c r="N38" i="199" s="1"/>
  <c r="U38" i="199"/>
  <c r="O38" i="199"/>
  <c r="K38" i="199"/>
  <c r="G38" i="199"/>
  <c r="V37" i="199"/>
  <c r="U37" i="199"/>
  <c r="P37" i="199"/>
  <c r="O37" i="199"/>
  <c r="N37" i="199"/>
  <c r="Q37" i="199" s="1"/>
  <c r="M37" i="199"/>
  <c r="K37" i="199"/>
  <c r="G37" i="199"/>
  <c r="AB36" i="199"/>
  <c r="AA36" i="199"/>
  <c r="V36" i="199"/>
  <c r="U36" i="199"/>
  <c r="O36" i="199"/>
  <c r="N36" i="199"/>
  <c r="Q36" i="199" s="1"/>
  <c r="M36" i="199"/>
  <c r="K36" i="199"/>
  <c r="G36" i="199"/>
  <c r="AA35" i="199"/>
  <c r="X35" i="199"/>
  <c r="W35" i="199"/>
  <c r="V35" i="199"/>
  <c r="M35" i="199" s="1"/>
  <c r="AB35" i="199" s="1"/>
  <c r="U35" i="199"/>
  <c r="Q35" i="199"/>
  <c r="P35" i="199"/>
  <c r="O35" i="199"/>
  <c r="N35" i="199"/>
  <c r="K35" i="199"/>
  <c r="G35" i="199"/>
  <c r="V34" i="199"/>
  <c r="U34" i="199"/>
  <c r="O34" i="199"/>
  <c r="M34" i="199"/>
  <c r="K34" i="199"/>
  <c r="G34" i="199"/>
  <c r="AB33" i="199"/>
  <c r="AA33" i="199"/>
  <c r="V33" i="199"/>
  <c r="M33" i="199" s="1"/>
  <c r="N33" i="199" s="1"/>
  <c r="U33" i="199"/>
  <c r="Q33" i="199"/>
  <c r="P33" i="199"/>
  <c r="O33" i="199"/>
  <c r="K33" i="199"/>
  <c r="G33" i="199"/>
  <c r="V32" i="199"/>
  <c r="U32" i="199"/>
  <c r="O32" i="199"/>
  <c r="N32" i="199"/>
  <c r="Q32" i="199" s="1"/>
  <c r="M32" i="199"/>
  <c r="K32" i="199"/>
  <c r="G32" i="199"/>
  <c r="AB31" i="199"/>
  <c r="AA31" i="199"/>
  <c r="V31" i="199"/>
  <c r="M31" i="199" s="1"/>
  <c r="N31" i="199" s="1"/>
  <c r="U31" i="199"/>
  <c r="O31" i="199"/>
  <c r="K31" i="199"/>
  <c r="G31" i="199"/>
  <c r="X30" i="199"/>
  <c r="W30" i="199"/>
  <c r="V30" i="199"/>
  <c r="Q30" i="199"/>
  <c r="P30" i="199"/>
  <c r="O30" i="199"/>
  <c r="N30" i="199"/>
  <c r="M30" i="199"/>
  <c r="K30" i="199"/>
  <c r="G30" i="199"/>
  <c r="O29" i="199"/>
  <c r="K29" i="199"/>
  <c r="AA28" i="199"/>
  <c r="V28" i="199"/>
  <c r="U28" i="199"/>
  <c r="O28" i="199"/>
  <c r="M28" i="199"/>
  <c r="AB28" i="199" s="1"/>
  <c r="K28" i="199"/>
  <c r="G28" i="199"/>
  <c r="V27" i="199"/>
  <c r="U27" i="199"/>
  <c r="O27" i="199"/>
  <c r="M27" i="199"/>
  <c r="AB27" i="199" s="1"/>
  <c r="K27" i="199"/>
  <c r="G27" i="199"/>
  <c r="AB26" i="199"/>
  <c r="AA26" i="199"/>
  <c r="V26" i="199"/>
  <c r="U26" i="199"/>
  <c r="O26" i="199"/>
  <c r="N26" i="199"/>
  <c r="Q26" i="199" s="1"/>
  <c r="M26" i="199"/>
  <c r="K26" i="199"/>
  <c r="G26" i="199"/>
  <c r="V25" i="199"/>
  <c r="U25" i="199"/>
  <c r="O25" i="199"/>
  <c r="M25" i="199"/>
  <c r="K25" i="199"/>
  <c r="G25" i="199"/>
  <c r="AB24" i="199"/>
  <c r="AA24" i="199"/>
  <c r="V24" i="199"/>
  <c r="M24" i="199" s="1"/>
  <c r="N24" i="199" s="1"/>
  <c r="U24" i="199"/>
  <c r="Q24" i="199"/>
  <c r="P24" i="199"/>
  <c r="O24" i="199"/>
  <c r="K24" i="199"/>
  <c r="G24" i="199"/>
  <c r="V23" i="199"/>
  <c r="U23" i="199"/>
  <c r="O23" i="199"/>
  <c r="N23" i="199"/>
  <c r="M23" i="199"/>
  <c r="K23" i="199"/>
  <c r="G23" i="199"/>
  <c r="AB22" i="199"/>
  <c r="AA22" i="199"/>
  <c r="V22" i="199"/>
  <c r="M22" i="199" s="1"/>
  <c r="N22" i="199" s="1"/>
  <c r="P22" i="199" s="1"/>
  <c r="U22" i="199"/>
  <c r="Q22" i="199"/>
  <c r="O22" i="199"/>
  <c r="K22" i="199"/>
  <c r="G22" i="199"/>
  <c r="V21" i="199"/>
  <c r="O21" i="199"/>
  <c r="N21" i="199"/>
  <c r="Q21" i="199" s="1"/>
  <c r="M21" i="199"/>
  <c r="K21" i="199"/>
  <c r="G21" i="199"/>
  <c r="O20" i="199"/>
  <c r="K20" i="199"/>
  <c r="V19" i="199"/>
  <c r="U19" i="199"/>
  <c r="Q19" i="199"/>
  <c r="P19" i="199"/>
  <c r="O19" i="199"/>
  <c r="N19" i="199"/>
  <c r="M19" i="199"/>
  <c r="K19" i="199"/>
  <c r="G19" i="199"/>
  <c r="AB18" i="199"/>
  <c r="AA18" i="199"/>
  <c r="V18" i="199"/>
  <c r="M18" i="199" s="1"/>
  <c r="N18" i="199" s="1"/>
  <c r="U18" i="199"/>
  <c r="O18" i="199"/>
  <c r="K18" i="199"/>
  <c r="G18" i="199"/>
  <c r="X17" i="199"/>
  <c r="W17" i="199"/>
  <c r="V17" i="199"/>
  <c r="U17" i="199"/>
  <c r="P17" i="199"/>
  <c r="O17" i="199"/>
  <c r="N17" i="199"/>
  <c r="Q17" i="199" s="1"/>
  <c r="M17" i="199"/>
  <c r="K17" i="199"/>
  <c r="G17" i="199"/>
  <c r="V16" i="199"/>
  <c r="U16" i="199"/>
  <c r="O16" i="199"/>
  <c r="M16" i="199"/>
  <c r="AB16" i="199" s="1"/>
  <c r="K16" i="199"/>
  <c r="G16" i="199"/>
  <c r="AB15" i="199"/>
  <c r="AA15" i="199"/>
  <c r="V15" i="199"/>
  <c r="M15" i="199" s="1"/>
  <c r="U15" i="199"/>
  <c r="Q15" i="199"/>
  <c r="P15" i="199"/>
  <c r="O15" i="199"/>
  <c r="N15" i="199"/>
  <c r="K15" i="199"/>
  <c r="G15" i="199"/>
  <c r="V14" i="199"/>
  <c r="U14" i="199"/>
  <c r="O14" i="199"/>
  <c r="N14" i="199"/>
  <c r="M14" i="199"/>
  <c r="K14" i="199"/>
  <c r="G14" i="199"/>
  <c r="AB13" i="199"/>
  <c r="AA13" i="199"/>
  <c r="V13" i="199"/>
  <c r="M13" i="199" s="1"/>
  <c r="O13" i="199"/>
  <c r="K13" i="199"/>
  <c r="G13" i="199"/>
  <c r="O12" i="199"/>
  <c r="M12" i="199"/>
  <c r="N12" i="199" s="1"/>
  <c r="K12" i="199"/>
  <c r="AB11" i="199"/>
  <c r="AA11" i="199"/>
  <c r="V11" i="199"/>
  <c r="M11" i="199" s="1"/>
  <c r="N11" i="199" s="1"/>
  <c r="U11" i="199"/>
  <c r="Q11" i="199"/>
  <c r="P11" i="199"/>
  <c r="O11" i="199"/>
  <c r="K11" i="199"/>
  <c r="G11" i="199"/>
  <c r="X10" i="199"/>
  <c r="W10" i="199"/>
  <c r="V10" i="199"/>
  <c r="O10" i="199"/>
  <c r="M10" i="199"/>
  <c r="N10" i="199" s="1"/>
  <c r="K10" i="199"/>
  <c r="G10" i="199"/>
  <c r="O9" i="199"/>
  <c r="K9" i="199"/>
  <c r="V8" i="199"/>
  <c r="U8" i="199"/>
  <c r="O8" i="199"/>
  <c r="N8" i="199"/>
  <c r="Q8" i="199" s="1"/>
  <c r="M8" i="199"/>
  <c r="K8" i="199"/>
  <c r="G8" i="199"/>
  <c r="AB7" i="199"/>
  <c r="AA7" i="199"/>
  <c r="X7" i="199"/>
  <c r="W7" i="199"/>
  <c r="V7" i="199"/>
  <c r="U7" i="199"/>
  <c r="O7" i="199"/>
  <c r="M7" i="199"/>
  <c r="N7" i="199" s="1"/>
  <c r="K7" i="199"/>
  <c r="G7" i="199"/>
  <c r="AB6" i="199"/>
  <c r="AA6" i="199"/>
  <c r="V6" i="199"/>
  <c r="U6" i="199"/>
  <c r="O6" i="199"/>
  <c r="N6" i="199"/>
  <c r="Q6" i="199" s="1"/>
  <c r="M6" i="199"/>
  <c r="K6" i="199"/>
  <c r="G6" i="199"/>
  <c r="V5" i="199"/>
  <c r="O5" i="199"/>
  <c r="N5" i="199"/>
  <c r="M5" i="199"/>
  <c r="K5" i="199"/>
  <c r="G5" i="199"/>
  <c r="H2" i="199"/>
  <c r="H1" i="199"/>
  <c r="M18" i="198"/>
  <c r="L18" i="198"/>
  <c r="K18" i="198"/>
  <c r="J18" i="198"/>
  <c r="I18" i="198"/>
  <c r="H18" i="198"/>
  <c r="G18" i="198"/>
  <c r="F18" i="198"/>
  <c r="E18" i="198"/>
  <c r="D18" i="198"/>
  <c r="M17" i="198"/>
  <c r="L17" i="198"/>
  <c r="K17" i="198"/>
  <c r="J17" i="198"/>
  <c r="I17" i="198"/>
  <c r="H17" i="198"/>
  <c r="G17" i="198"/>
  <c r="F17" i="198"/>
  <c r="E17" i="198"/>
  <c r="D17" i="198"/>
  <c r="M16" i="198"/>
  <c r="L16" i="198"/>
  <c r="K16" i="198"/>
  <c r="J16" i="198"/>
  <c r="I16" i="198"/>
  <c r="H16" i="198"/>
  <c r="G16" i="198"/>
  <c r="F16" i="198"/>
  <c r="E16" i="198"/>
  <c r="D16" i="198"/>
  <c r="M13" i="198"/>
  <c r="I13" i="198"/>
  <c r="H13" i="198"/>
  <c r="G13" i="198"/>
  <c r="F13" i="198"/>
  <c r="E13" i="198"/>
  <c r="D13" i="198"/>
  <c r="I3" i="198"/>
  <c r="F3" i="198"/>
  <c r="C3" i="198"/>
  <c r="Q8" i="203" l="1"/>
  <c r="R5" i="203" s="1"/>
  <c r="P8" i="203"/>
  <c r="D14" i="202"/>
  <c r="D2" i="203"/>
  <c r="P59" i="203"/>
  <c r="I14" i="202"/>
  <c r="I15" i="202" s="1"/>
  <c r="Q59" i="203"/>
  <c r="R51" i="203" s="1"/>
  <c r="Q18" i="203"/>
  <c r="R12" i="203" s="1"/>
  <c r="P18" i="203"/>
  <c r="F14" i="202"/>
  <c r="F15" i="202" s="1"/>
  <c r="Q28" i="203"/>
  <c r="R19" i="203" s="1"/>
  <c r="G14" i="202"/>
  <c r="G15" i="202" s="1"/>
  <c r="P28" i="203"/>
  <c r="Q11" i="203"/>
  <c r="R9" i="203" s="1"/>
  <c r="P11" i="203"/>
  <c r="E14" i="202"/>
  <c r="E15" i="202" s="1"/>
  <c r="J14" i="202"/>
  <c r="J15" i="202" s="1"/>
  <c r="Q66" i="203"/>
  <c r="R60" i="203" s="1"/>
  <c r="P66" i="203"/>
  <c r="K14" i="202"/>
  <c r="Q34" i="203"/>
  <c r="R29" i="203" s="1"/>
  <c r="P34" i="203"/>
  <c r="Q42" i="203"/>
  <c r="R35" i="203" s="1"/>
  <c r="P42" i="203"/>
  <c r="L14" i="202"/>
  <c r="L15" i="202" s="1"/>
  <c r="M14" i="202"/>
  <c r="M15" i="202" s="1"/>
  <c r="Q72" i="203"/>
  <c r="R67" i="203" s="1"/>
  <c r="P72" i="203"/>
  <c r="P13" i="201"/>
  <c r="Q13" i="201"/>
  <c r="Q46" i="201"/>
  <c r="R40" i="201" s="1"/>
  <c r="P46" i="201"/>
  <c r="L14" i="200"/>
  <c r="L15" i="200" s="1"/>
  <c r="P41" i="201"/>
  <c r="Q41" i="201"/>
  <c r="N39" i="201"/>
  <c r="AB39" i="201"/>
  <c r="AC31" i="201" s="1"/>
  <c r="AA39" i="201"/>
  <c r="P72" i="201"/>
  <c r="Q72" i="201"/>
  <c r="Q50" i="201"/>
  <c r="P50" i="201"/>
  <c r="Q23" i="201"/>
  <c r="P23" i="201"/>
  <c r="AA46" i="201"/>
  <c r="Q61" i="201"/>
  <c r="P61" i="201"/>
  <c r="AB46" i="201"/>
  <c r="AC40" i="201" s="1"/>
  <c r="P60" i="201"/>
  <c r="Q60" i="201"/>
  <c r="N21" i="201"/>
  <c r="AB21" i="201"/>
  <c r="AC13" i="201" s="1"/>
  <c r="AA21" i="201"/>
  <c r="N9" i="201"/>
  <c r="AB9" i="201"/>
  <c r="AC5" i="201" s="1"/>
  <c r="AA9" i="201"/>
  <c r="AB77" i="201"/>
  <c r="AC71" i="201" s="1"/>
  <c r="AA77" i="201"/>
  <c r="N77" i="201"/>
  <c r="M14" i="200" s="1"/>
  <c r="M15" i="200" s="1"/>
  <c r="Q69" i="201"/>
  <c r="P69" i="201"/>
  <c r="Q66" i="201"/>
  <c r="P66" i="201"/>
  <c r="AA70" i="201"/>
  <c r="N70" i="201"/>
  <c r="J14" i="200" s="1"/>
  <c r="J15" i="200" s="1"/>
  <c r="Q39" i="199"/>
  <c r="R30" i="199" s="1"/>
  <c r="P39" i="199"/>
  <c r="K14" i="198"/>
  <c r="Q68" i="199"/>
  <c r="P68" i="199"/>
  <c r="Q48" i="199"/>
  <c r="R40" i="199" s="1"/>
  <c r="L14" i="198"/>
  <c r="L15" i="198" s="1"/>
  <c r="P48" i="199"/>
  <c r="Q66" i="199"/>
  <c r="P66" i="199"/>
  <c r="Q10" i="199"/>
  <c r="P10" i="199"/>
  <c r="H14" i="198"/>
  <c r="H15" i="198" s="1"/>
  <c r="Q55" i="199"/>
  <c r="R49" i="199" s="1"/>
  <c r="P55" i="199"/>
  <c r="Q44" i="199"/>
  <c r="P44" i="199"/>
  <c r="AA44" i="199"/>
  <c r="N70" i="199"/>
  <c r="P26" i="199"/>
  <c r="P21" i="199"/>
  <c r="Q51" i="199"/>
  <c r="P6" i="199"/>
  <c r="AB44" i="199"/>
  <c r="P8" i="199"/>
  <c r="P46" i="199"/>
  <c r="P59" i="199"/>
  <c r="P32" i="199"/>
  <c r="P77" i="199"/>
  <c r="AA70" i="199"/>
  <c r="N28" i="199"/>
  <c r="N53" i="199"/>
  <c r="E6" i="198"/>
  <c r="F6" i="198"/>
  <c r="G6" i="198"/>
  <c r="K15" i="198"/>
  <c r="AA5" i="199"/>
  <c r="AB5" i="199"/>
  <c r="M9" i="199"/>
  <c r="AB9" i="199" s="1"/>
  <c r="AC5" i="199" s="1"/>
  <c r="Q5" i="199"/>
  <c r="P5" i="199"/>
  <c r="P7" i="199"/>
  <c r="Q7" i="199"/>
  <c r="AB8" i="199"/>
  <c r="AA8" i="199"/>
  <c r="AB10" i="199"/>
  <c r="AA10" i="199"/>
  <c r="AB12" i="199"/>
  <c r="AC10" i="199" s="1"/>
  <c r="AA12" i="199"/>
  <c r="Q12" i="199"/>
  <c r="R10" i="199" s="1"/>
  <c r="P12" i="199"/>
  <c r="E14" i="198"/>
  <c r="E15" i="198" s="1"/>
  <c r="N13" i="199"/>
  <c r="M20" i="199"/>
  <c r="AA14" i="199"/>
  <c r="AB14" i="199"/>
  <c r="Q14" i="199"/>
  <c r="P14" i="199"/>
  <c r="AB17" i="199"/>
  <c r="AA17" i="199"/>
  <c r="Q18" i="199"/>
  <c r="P18" i="199"/>
  <c r="AA19" i="199"/>
  <c r="AB19" i="199"/>
  <c r="AB21" i="199"/>
  <c r="AA21" i="199"/>
  <c r="M29" i="199"/>
  <c r="AB23" i="199"/>
  <c r="AA23" i="199"/>
  <c r="Q23" i="199"/>
  <c r="P23" i="199"/>
  <c r="AB25" i="199"/>
  <c r="N25" i="199"/>
  <c r="AA25" i="199"/>
  <c r="AB30" i="199"/>
  <c r="AA30" i="199"/>
  <c r="Q31" i="199"/>
  <c r="P31" i="199"/>
  <c r="AB32" i="199"/>
  <c r="AA32" i="199"/>
  <c r="N34" i="199"/>
  <c r="AB34" i="199"/>
  <c r="AA34" i="199"/>
  <c r="AB37" i="199"/>
  <c r="AA37" i="199"/>
  <c r="Q38" i="199"/>
  <c r="P38" i="199"/>
  <c r="AA39" i="199"/>
  <c r="AB39" i="199"/>
  <c r="AC30" i="199" s="1"/>
  <c r="Q40" i="199"/>
  <c r="P40" i="199"/>
  <c r="AA41" i="199"/>
  <c r="AB41" i="199"/>
  <c r="Q41" i="199"/>
  <c r="P41" i="199"/>
  <c r="P45" i="199"/>
  <c r="Q45" i="199"/>
  <c r="AA46" i="199"/>
  <c r="AB46" i="199"/>
  <c r="Q47" i="199"/>
  <c r="P47" i="199"/>
  <c r="AB48" i="199"/>
  <c r="AC40" i="199" s="1"/>
  <c r="AA48" i="199"/>
  <c r="Q49" i="199"/>
  <c r="P49" i="199"/>
  <c r="N50" i="199"/>
  <c r="AA50" i="199"/>
  <c r="AB50" i="199"/>
  <c r="AB57" i="199"/>
  <c r="AA57" i="199"/>
  <c r="Q58" i="199"/>
  <c r="P58" i="199"/>
  <c r="AA59" i="199"/>
  <c r="AB59" i="199"/>
  <c r="AA61" i="199"/>
  <c r="AB61" i="199"/>
  <c r="Q61" i="199"/>
  <c r="P61" i="199"/>
  <c r="AB63" i="199"/>
  <c r="AC56" i="199" s="1"/>
  <c r="N63" i="199"/>
  <c r="AA63" i="199"/>
  <c r="AA68" i="199"/>
  <c r="AB68" i="199"/>
  <c r="Q69" i="199"/>
  <c r="P69" i="199"/>
  <c r="AB72" i="199"/>
  <c r="M78" i="199"/>
  <c r="AA72" i="199"/>
  <c r="P72" i="199"/>
  <c r="Q72" i="199"/>
  <c r="N74" i="199"/>
  <c r="AB74" i="199"/>
  <c r="AA74" i="199"/>
  <c r="AB77" i="199"/>
  <c r="AA77" i="199"/>
  <c r="P36" i="199"/>
  <c r="P54" i="199"/>
  <c r="P71" i="199"/>
  <c r="P76" i="199"/>
  <c r="AA43" i="199"/>
  <c r="AA65" i="199"/>
  <c r="N43" i="199"/>
  <c r="N65" i="199"/>
  <c r="N16" i="199"/>
  <c r="N56" i="199"/>
  <c r="N67" i="199"/>
  <c r="AA16" i="199"/>
  <c r="AA52" i="199"/>
  <c r="N52" i="199"/>
  <c r="N27" i="199"/>
  <c r="AA27" i="199"/>
  <c r="AA56" i="199"/>
  <c r="AA67" i="199"/>
  <c r="D1" i="185"/>
  <c r="I7" i="202" l="1"/>
  <c r="K15" i="202"/>
  <c r="I8" i="202" s="1"/>
  <c r="G7" i="202"/>
  <c r="F7" i="202"/>
  <c r="D15" i="202"/>
  <c r="E7" i="202"/>
  <c r="K14" i="200"/>
  <c r="Q39" i="201"/>
  <c r="R31" i="201" s="1"/>
  <c r="P39" i="201"/>
  <c r="P9" i="201"/>
  <c r="Q9" i="201"/>
  <c r="R5" i="201" s="1"/>
  <c r="D14" i="200"/>
  <c r="F14" i="200"/>
  <c r="F15" i="200" s="1"/>
  <c r="Q21" i="201"/>
  <c r="R13" i="201" s="1"/>
  <c r="P21" i="201"/>
  <c r="Q70" i="201"/>
  <c r="R64" i="201" s="1"/>
  <c r="P70" i="201"/>
  <c r="Q77" i="201"/>
  <c r="R71" i="201" s="1"/>
  <c r="P77" i="201"/>
  <c r="N20" i="199"/>
  <c r="AB20" i="199"/>
  <c r="AC13" i="199" s="1"/>
  <c r="AA20" i="199"/>
  <c r="P13" i="199"/>
  <c r="Q13" i="199"/>
  <c r="Q70" i="199"/>
  <c r="R64" i="199" s="1"/>
  <c r="P70" i="199"/>
  <c r="J14" i="198"/>
  <c r="J15" i="198" s="1"/>
  <c r="P53" i="199"/>
  <c r="Q53" i="199"/>
  <c r="Q28" i="199"/>
  <c r="P28" i="199"/>
  <c r="P27" i="199"/>
  <c r="Q27" i="199"/>
  <c r="Q52" i="199"/>
  <c r="P52" i="199"/>
  <c r="P67" i="199"/>
  <c r="Q67" i="199"/>
  <c r="P56" i="199"/>
  <c r="Q56" i="199"/>
  <c r="Q16" i="199"/>
  <c r="P16" i="199"/>
  <c r="P65" i="199"/>
  <c r="Q65" i="199"/>
  <c r="P43" i="199"/>
  <c r="Q43" i="199"/>
  <c r="Q74" i="199"/>
  <c r="P74" i="199"/>
  <c r="AB78" i="199"/>
  <c r="AC71" i="199" s="1"/>
  <c r="AA78" i="199"/>
  <c r="N78" i="199"/>
  <c r="M14" i="198" s="1"/>
  <c r="I14" i="198"/>
  <c r="I15" i="198" s="1"/>
  <c r="P63" i="199"/>
  <c r="Q63" i="199"/>
  <c r="R56" i="199" s="1"/>
  <c r="P50" i="199"/>
  <c r="Q50" i="199"/>
  <c r="P34" i="199"/>
  <c r="Q34" i="199"/>
  <c r="Q25" i="199"/>
  <c r="P25" i="199"/>
  <c r="N29" i="199"/>
  <c r="AB29" i="199"/>
  <c r="AC21" i="199" s="1"/>
  <c r="AA29" i="199"/>
  <c r="Q20" i="199"/>
  <c r="R13" i="199" s="1"/>
  <c r="P20" i="199"/>
  <c r="F14" i="198"/>
  <c r="F15" i="198" s="1"/>
  <c r="AA9" i="199"/>
  <c r="N9" i="199"/>
  <c r="O80" i="195"/>
  <c r="K80" i="195"/>
  <c r="M13" i="194" s="1"/>
  <c r="I6" i="194" s="1"/>
  <c r="V79" i="195"/>
  <c r="M79" i="195" s="1"/>
  <c r="U79" i="195"/>
  <c r="O79" i="195"/>
  <c r="K79" i="195"/>
  <c r="G79" i="195"/>
  <c r="V78" i="195"/>
  <c r="M78" i="195" s="1"/>
  <c r="U78" i="195"/>
  <c r="O78" i="195"/>
  <c r="K78" i="195"/>
  <c r="G78" i="195"/>
  <c r="V77" i="195"/>
  <c r="M77" i="195" s="1"/>
  <c r="U77" i="195"/>
  <c r="O77" i="195"/>
  <c r="K77" i="195"/>
  <c r="G77" i="195"/>
  <c r="X76" i="195"/>
  <c r="W76" i="195"/>
  <c r="V76" i="195"/>
  <c r="M76" i="195" s="1"/>
  <c r="U76" i="195"/>
  <c r="O76" i="195"/>
  <c r="K76" i="195"/>
  <c r="G76" i="195"/>
  <c r="V75" i="195"/>
  <c r="M75" i="195" s="1"/>
  <c r="U75" i="195"/>
  <c r="O75" i="195"/>
  <c r="K75" i="195"/>
  <c r="G75" i="195"/>
  <c r="V74" i="195"/>
  <c r="M74" i="195" s="1"/>
  <c r="U74" i="195"/>
  <c r="O74" i="195"/>
  <c r="K74" i="195"/>
  <c r="G74" i="195"/>
  <c r="V73" i="195"/>
  <c r="M73" i="195" s="1"/>
  <c r="U73" i="195"/>
  <c r="O73" i="195"/>
  <c r="K73" i="195"/>
  <c r="G73" i="195"/>
  <c r="X72" i="195"/>
  <c r="W72" i="195"/>
  <c r="V72" i="195"/>
  <c r="M72" i="195" s="1"/>
  <c r="O72" i="195"/>
  <c r="K72" i="195"/>
  <c r="G72" i="195"/>
  <c r="O71" i="195"/>
  <c r="K71" i="195"/>
  <c r="V70" i="195"/>
  <c r="U70" i="195"/>
  <c r="O70" i="195"/>
  <c r="M70" i="195"/>
  <c r="AB70" i="195" s="1"/>
  <c r="K70" i="195"/>
  <c r="G70" i="195"/>
  <c r="V69" i="195"/>
  <c r="U69" i="195"/>
  <c r="O69" i="195"/>
  <c r="M69" i="195"/>
  <c r="AA69" i="195" s="1"/>
  <c r="K69" i="195"/>
  <c r="G69" i="195"/>
  <c r="V68" i="195"/>
  <c r="U68" i="195"/>
  <c r="O68" i="195"/>
  <c r="M68" i="195"/>
  <c r="N68" i="195" s="1"/>
  <c r="K68" i="195"/>
  <c r="G68" i="195"/>
  <c r="AB67" i="195"/>
  <c r="V67" i="195"/>
  <c r="U67" i="195"/>
  <c r="O67" i="195"/>
  <c r="M67" i="195"/>
  <c r="N67" i="195" s="1"/>
  <c r="K67" i="195"/>
  <c r="G67" i="195"/>
  <c r="AB66" i="195"/>
  <c r="AA66" i="195"/>
  <c r="V66" i="195"/>
  <c r="U66" i="195"/>
  <c r="O66" i="195"/>
  <c r="M66" i="195"/>
  <c r="N66" i="195" s="1"/>
  <c r="K66" i="195"/>
  <c r="G66" i="195"/>
  <c r="AB65" i="195"/>
  <c r="AA65" i="195"/>
  <c r="V65" i="195"/>
  <c r="O65" i="195"/>
  <c r="M65" i="195"/>
  <c r="N65" i="195" s="1"/>
  <c r="K65" i="195"/>
  <c r="G65" i="195"/>
  <c r="O64" i="195"/>
  <c r="K64" i="195"/>
  <c r="O63" i="195"/>
  <c r="M63" i="195"/>
  <c r="AB63" i="195" s="1"/>
  <c r="K63" i="195"/>
  <c r="X62" i="195"/>
  <c r="W62" i="195"/>
  <c r="O62" i="195"/>
  <c r="M62" i="195"/>
  <c r="AA62" i="195" s="1"/>
  <c r="K62" i="195"/>
  <c r="AB61" i="195"/>
  <c r="AA61" i="195"/>
  <c r="Q61" i="195"/>
  <c r="O61" i="195"/>
  <c r="N61" i="195"/>
  <c r="P61" i="195" s="1"/>
  <c r="M61" i="195"/>
  <c r="K61" i="195"/>
  <c r="AB60" i="195"/>
  <c r="AA60" i="195"/>
  <c r="O60" i="195"/>
  <c r="M60" i="195"/>
  <c r="N60" i="195" s="1"/>
  <c r="K60" i="195"/>
  <c r="O59" i="195"/>
  <c r="M59" i="195"/>
  <c r="AB59" i="195" s="1"/>
  <c r="K59" i="195"/>
  <c r="AB58" i="195"/>
  <c r="AA58" i="195"/>
  <c r="Q58" i="195"/>
  <c r="O58" i="195"/>
  <c r="N58" i="195"/>
  <c r="P58" i="195" s="1"/>
  <c r="M58" i="195"/>
  <c r="K58" i="195"/>
  <c r="AB57" i="195"/>
  <c r="AA57" i="195"/>
  <c r="O57" i="195"/>
  <c r="M57" i="195"/>
  <c r="N57" i="195" s="1"/>
  <c r="K57" i="195"/>
  <c r="O56" i="195"/>
  <c r="M56" i="195"/>
  <c r="M64" i="195" s="1"/>
  <c r="K56" i="195"/>
  <c r="O55" i="195"/>
  <c r="K55" i="195"/>
  <c r="V54" i="195"/>
  <c r="M54" i="195" s="1"/>
  <c r="U54" i="195"/>
  <c r="O54" i="195"/>
  <c r="K54" i="195"/>
  <c r="G54" i="195"/>
  <c r="AB53" i="195"/>
  <c r="AA53" i="195"/>
  <c r="X53" i="195"/>
  <c r="W53" i="195"/>
  <c r="V53" i="195"/>
  <c r="U53" i="195"/>
  <c r="O53" i="195"/>
  <c r="M53" i="195"/>
  <c r="N53" i="195" s="1"/>
  <c r="K53" i="195"/>
  <c r="G53" i="195"/>
  <c r="V52" i="195"/>
  <c r="M52" i="195" s="1"/>
  <c r="U52" i="195"/>
  <c r="O52" i="195"/>
  <c r="K52" i="195"/>
  <c r="G52" i="195"/>
  <c r="V51" i="195"/>
  <c r="M51" i="195" s="1"/>
  <c r="U51" i="195"/>
  <c r="O51" i="195"/>
  <c r="K51" i="195"/>
  <c r="G51" i="195"/>
  <c r="V50" i="195"/>
  <c r="M50" i="195" s="1"/>
  <c r="U50" i="195"/>
  <c r="O50" i="195"/>
  <c r="K50" i="195"/>
  <c r="G50" i="195"/>
  <c r="V49" i="195"/>
  <c r="M49" i="195" s="1"/>
  <c r="U49" i="195"/>
  <c r="O49" i="195"/>
  <c r="K49" i="195"/>
  <c r="G49" i="195"/>
  <c r="X48" i="195"/>
  <c r="W48" i="195"/>
  <c r="V48" i="195"/>
  <c r="M48" i="195" s="1"/>
  <c r="O48" i="195"/>
  <c r="K48" i="195"/>
  <c r="G48" i="195"/>
  <c r="O47" i="195"/>
  <c r="K47" i="195"/>
  <c r="V46" i="195"/>
  <c r="U46" i="195"/>
  <c r="O46" i="195"/>
  <c r="M46" i="195"/>
  <c r="AB46" i="195" s="1"/>
  <c r="K46" i="195"/>
  <c r="G46" i="195"/>
  <c r="V45" i="195"/>
  <c r="U45" i="195"/>
  <c r="O45" i="195"/>
  <c r="M45" i="195"/>
  <c r="AB45" i="195" s="1"/>
  <c r="K45" i="195"/>
  <c r="G45" i="195"/>
  <c r="V44" i="195"/>
  <c r="U44" i="195"/>
  <c r="O44" i="195"/>
  <c r="M44" i="195"/>
  <c r="AA44" i="195" s="1"/>
  <c r="K44" i="195"/>
  <c r="G44" i="195"/>
  <c r="X43" i="195"/>
  <c r="W43" i="195"/>
  <c r="V43" i="195"/>
  <c r="U43" i="195"/>
  <c r="O43" i="195"/>
  <c r="M43" i="195"/>
  <c r="N43" i="195" s="1"/>
  <c r="K43" i="195"/>
  <c r="G43" i="195"/>
  <c r="V42" i="195"/>
  <c r="U42" i="195"/>
  <c r="O42" i="195"/>
  <c r="M42" i="195"/>
  <c r="AA42" i="195" s="1"/>
  <c r="K42" i="195"/>
  <c r="G42" i="195"/>
  <c r="V41" i="195"/>
  <c r="U41" i="195"/>
  <c r="O41" i="195"/>
  <c r="M41" i="195"/>
  <c r="N41" i="195" s="1"/>
  <c r="K41" i="195"/>
  <c r="G41" i="195"/>
  <c r="AB40" i="195"/>
  <c r="V40" i="195"/>
  <c r="U40" i="195"/>
  <c r="O40" i="195"/>
  <c r="M40" i="195"/>
  <c r="N40" i="195" s="1"/>
  <c r="K40" i="195"/>
  <c r="G40" i="195"/>
  <c r="AB39" i="195"/>
  <c r="AA39" i="195"/>
  <c r="V39" i="195"/>
  <c r="U39" i="195"/>
  <c r="O39" i="195"/>
  <c r="M39" i="195"/>
  <c r="N39" i="195" s="1"/>
  <c r="K39" i="195"/>
  <c r="G39" i="195"/>
  <c r="V38" i="195"/>
  <c r="M38" i="195" s="1"/>
  <c r="U38" i="195"/>
  <c r="O38" i="195"/>
  <c r="K38" i="195"/>
  <c r="G38" i="195"/>
  <c r="V37" i="195"/>
  <c r="M37" i="195" s="1"/>
  <c r="U37" i="195"/>
  <c r="O37" i="195"/>
  <c r="K37" i="195"/>
  <c r="G37" i="195"/>
  <c r="AB36" i="195"/>
  <c r="AA36" i="195"/>
  <c r="X36" i="195"/>
  <c r="W36" i="195"/>
  <c r="V36" i="195"/>
  <c r="O36" i="195"/>
  <c r="M36" i="195"/>
  <c r="N36" i="195" s="1"/>
  <c r="K36" i="195"/>
  <c r="G36" i="195"/>
  <c r="O35" i="195"/>
  <c r="K35" i="195"/>
  <c r="V34" i="195"/>
  <c r="M34" i="195" s="1"/>
  <c r="U34" i="195"/>
  <c r="O34" i="195"/>
  <c r="K34" i="195"/>
  <c r="G34" i="195"/>
  <c r="V33" i="195"/>
  <c r="M33" i="195" s="1"/>
  <c r="U33" i="195"/>
  <c r="O33" i="195"/>
  <c r="K33" i="195"/>
  <c r="G33" i="195"/>
  <c r="V32" i="195"/>
  <c r="U32" i="195"/>
  <c r="O32" i="195"/>
  <c r="M32" i="195"/>
  <c r="AB32" i="195" s="1"/>
  <c r="K32" i="195"/>
  <c r="G32" i="195"/>
  <c r="X31" i="195"/>
  <c r="W31" i="195"/>
  <c r="V31" i="195"/>
  <c r="M31" i="195" s="1"/>
  <c r="U31" i="195"/>
  <c r="O31" i="195"/>
  <c r="K31" i="195"/>
  <c r="G31" i="195"/>
  <c r="V30" i="195"/>
  <c r="U30" i="195"/>
  <c r="O30" i="195"/>
  <c r="M30" i="195"/>
  <c r="AB30" i="195" s="1"/>
  <c r="K30" i="195"/>
  <c r="G30" i="195"/>
  <c r="V29" i="195"/>
  <c r="U29" i="195"/>
  <c r="O29" i="195"/>
  <c r="M29" i="195"/>
  <c r="AB29" i="195" s="1"/>
  <c r="K29" i="195"/>
  <c r="G29" i="195"/>
  <c r="V28" i="195"/>
  <c r="U28" i="195"/>
  <c r="O28" i="195"/>
  <c r="M28" i="195"/>
  <c r="AA28" i="195" s="1"/>
  <c r="K28" i="195"/>
  <c r="G28" i="195"/>
  <c r="X27" i="195"/>
  <c r="W27" i="195"/>
  <c r="V27" i="195"/>
  <c r="O27" i="195"/>
  <c r="M27" i="195"/>
  <c r="AA27" i="195" s="1"/>
  <c r="K27" i="195"/>
  <c r="G27" i="195"/>
  <c r="O26" i="195"/>
  <c r="K26" i="195"/>
  <c r="AB25" i="195"/>
  <c r="AA25" i="195"/>
  <c r="V25" i="195"/>
  <c r="U25" i="195"/>
  <c r="O25" i="195"/>
  <c r="M25" i="195"/>
  <c r="N25" i="195" s="1"/>
  <c r="K25" i="195"/>
  <c r="G25" i="195"/>
  <c r="V24" i="195"/>
  <c r="M24" i="195" s="1"/>
  <c r="U24" i="195"/>
  <c r="O24" i="195"/>
  <c r="K24" i="195"/>
  <c r="G24" i="195"/>
  <c r="V23" i="195"/>
  <c r="M23" i="195" s="1"/>
  <c r="U23" i="195"/>
  <c r="O23" i="195"/>
  <c r="K23" i="195"/>
  <c r="G23" i="195"/>
  <c r="V22" i="195"/>
  <c r="M22" i="195" s="1"/>
  <c r="U22" i="195"/>
  <c r="O22" i="195"/>
  <c r="K22" i="195"/>
  <c r="G22" i="195"/>
  <c r="V21" i="195"/>
  <c r="M21" i="195" s="1"/>
  <c r="U21" i="195"/>
  <c r="O21" i="195"/>
  <c r="K21" i="195"/>
  <c r="G21" i="195"/>
  <c r="V20" i="195"/>
  <c r="M20" i="195" s="1"/>
  <c r="U20" i="195"/>
  <c r="O20" i="195"/>
  <c r="K20" i="195"/>
  <c r="G20" i="195"/>
  <c r="V19" i="195"/>
  <c r="M19" i="195" s="1"/>
  <c r="U19" i="195"/>
  <c r="O19" i="195"/>
  <c r="K19" i="195"/>
  <c r="G19" i="195"/>
  <c r="V18" i="195"/>
  <c r="M18" i="195" s="1"/>
  <c r="O18" i="195"/>
  <c r="K18" i="195"/>
  <c r="G18" i="195"/>
  <c r="O17" i="195"/>
  <c r="K17" i="195"/>
  <c r="F13" i="194" s="1"/>
  <c r="E6" i="194" s="1"/>
  <c r="AB16" i="195"/>
  <c r="V16" i="195"/>
  <c r="U16" i="195"/>
  <c r="O16" i="195"/>
  <c r="M16" i="195"/>
  <c r="N16" i="195" s="1"/>
  <c r="K16" i="195"/>
  <c r="G16" i="195"/>
  <c r="AB15" i="195"/>
  <c r="AA15" i="195"/>
  <c r="V15" i="195"/>
  <c r="U15" i="195"/>
  <c r="O15" i="195"/>
  <c r="M15" i="195"/>
  <c r="N15" i="195" s="1"/>
  <c r="K15" i="195"/>
  <c r="G15" i="195"/>
  <c r="V14" i="195"/>
  <c r="M14" i="195" s="1"/>
  <c r="U14" i="195"/>
  <c r="O14" i="195"/>
  <c r="K14" i="195"/>
  <c r="G14" i="195"/>
  <c r="V13" i="195"/>
  <c r="M13" i="195" s="1"/>
  <c r="O13" i="195"/>
  <c r="K13" i="195"/>
  <c r="G13" i="195"/>
  <c r="O12" i="195"/>
  <c r="K12" i="195"/>
  <c r="V11" i="195"/>
  <c r="M11" i="195" s="1"/>
  <c r="U11" i="195"/>
  <c r="O11" i="195"/>
  <c r="K11" i="195"/>
  <c r="G11" i="195"/>
  <c r="X10" i="195"/>
  <c r="W10" i="195"/>
  <c r="V10" i="195"/>
  <c r="M10" i="195" s="1"/>
  <c r="O10" i="195"/>
  <c r="K10" i="195"/>
  <c r="G10" i="195"/>
  <c r="O9" i="195"/>
  <c r="M9" i="195"/>
  <c r="AB9" i="195" s="1"/>
  <c r="AC5" i="195" s="1"/>
  <c r="K9" i="195"/>
  <c r="V8" i="195"/>
  <c r="U8" i="195"/>
  <c r="O8" i="195"/>
  <c r="M8" i="195"/>
  <c r="AA8" i="195" s="1"/>
  <c r="K8" i="195"/>
  <c r="G8" i="195"/>
  <c r="X7" i="195"/>
  <c r="W7" i="195"/>
  <c r="V7" i="195"/>
  <c r="U7" i="195"/>
  <c r="O7" i="195"/>
  <c r="M7" i="195"/>
  <c r="N7" i="195" s="1"/>
  <c r="K7" i="195"/>
  <c r="G7" i="195"/>
  <c r="V6" i="195"/>
  <c r="U6" i="195"/>
  <c r="O6" i="195"/>
  <c r="M6" i="195"/>
  <c r="AA6" i="195" s="1"/>
  <c r="K6" i="195"/>
  <c r="G6" i="195"/>
  <c r="V5" i="195"/>
  <c r="O5" i="195"/>
  <c r="M5" i="195"/>
  <c r="AA5" i="195" s="1"/>
  <c r="K5" i="195"/>
  <c r="G5" i="195"/>
  <c r="H2" i="195"/>
  <c r="H1" i="195"/>
  <c r="M18" i="194"/>
  <c r="L18" i="194"/>
  <c r="K18" i="194"/>
  <c r="J18" i="194"/>
  <c r="I18" i="194"/>
  <c r="H18" i="194"/>
  <c r="G18" i="194"/>
  <c r="F18" i="194"/>
  <c r="E18" i="194"/>
  <c r="D18" i="194"/>
  <c r="M17" i="194"/>
  <c r="L17" i="194"/>
  <c r="K17" i="194"/>
  <c r="J17" i="194"/>
  <c r="I17" i="194"/>
  <c r="H17" i="194"/>
  <c r="G17" i="194"/>
  <c r="F17" i="194"/>
  <c r="E17" i="194"/>
  <c r="D17" i="194"/>
  <c r="M16" i="194"/>
  <c r="L16" i="194"/>
  <c r="K16" i="194"/>
  <c r="J16" i="194"/>
  <c r="I16" i="194"/>
  <c r="H16" i="194"/>
  <c r="G16" i="194"/>
  <c r="F16" i="194"/>
  <c r="E16" i="194"/>
  <c r="D16" i="194"/>
  <c r="L13" i="194"/>
  <c r="K13" i="194"/>
  <c r="J13" i="194"/>
  <c r="I13" i="194"/>
  <c r="H13" i="194"/>
  <c r="G13" i="194"/>
  <c r="E13" i="194"/>
  <c r="D13" i="194"/>
  <c r="I3" i="194"/>
  <c r="F3" i="194"/>
  <c r="C3" i="194"/>
  <c r="F8" i="202" l="1"/>
  <c r="E8" i="202"/>
  <c r="G8" i="202"/>
  <c r="D15" i="200"/>
  <c r="G7" i="200"/>
  <c r="F7" i="200"/>
  <c r="E7" i="200"/>
  <c r="I7" i="200"/>
  <c r="K15" i="200"/>
  <c r="I8" i="200" s="1"/>
  <c r="M15" i="198"/>
  <c r="I8" i="198" s="1"/>
  <c r="I7" i="198"/>
  <c r="Q9" i="199"/>
  <c r="R5" i="199" s="1"/>
  <c r="P9" i="199"/>
  <c r="D14" i="198"/>
  <c r="D15" i="198" s="1"/>
  <c r="G14" i="198"/>
  <c r="G15" i="198" s="1"/>
  <c r="Q29" i="199"/>
  <c r="R21" i="199" s="1"/>
  <c r="P29" i="199"/>
  <c r="Q78" i="199"/>
  <c r="R71" i="199" s="1"/>
  <c r="P78" i="199"/>
  <c r="Q68" i="195"/>
  <c r="P68" i="195"/>
  <c r="F6" i="194"/>
  <c r="AB22" i="195"/>
  <c r="N22" i="195"/>
  <c r="AA22" i="195"/>
  <c r="N37" i="195"/>
  <c r="AB37" i="195"/>
  <c r="AA37" i="195"/>
  <c r="M12" i="195"/>
  <c r="AB10" i="195"/>
  <c r="AA10" i="195"/>
  <c r="N10" i="195"/>
  <c r="AB20" i="195"/>
  <c r="AA20" i="195"/>
  <c r="N20" i="195"/>
  <c r="AB18" i="195"/>
  <c r="AA18" i="195"/>
  <c r="M26" i="195"/>
  <c r="N18" i="195"/>
  <c r="N54" i="195"/>
  <c r="AB54" i="195"/>
  <c r="AA54" i="195"/>
  <c r="Q67" i="195"/>
  <c r="P67" i="195"/>
  <c r="Q25" i="195"/>
  <c r="P25" i="195"/>
  <c r="N13" i="195"/>
  <c r="M17" i="195"/>
  <c r="AB13" i="195"/>
  <c r="AA13" i="195"/>
  <c r="AB31" i="195"/>
  <c r="AA31" i="195"/>
  <c r="N31" i="195"/>
  <c r="Q65" i="195"/>
  <c r="P65" i="195"/>
  <c r="AB50" i="195"/>
  <c r="N50" i="195"/>
  <c r="AA50" i="195"/>
  <c r="N23" i="195"/>
  <c r="AB23" i="195"/>
  <c r="AA23" i="195"/>
  <c r="N38" i="195"/>
  <c r="AB38" i="195"/>
  <c r="AA38" i="195"/>
  <c r="Q53" i="195"/>
  <c r="P53" i="195"/>
  <c r="Q16" i="195"/>
  <c r="P16" i="195"/>
  <c r="Q57" i="195"/>
  <c r="P57" i="195"/>
  <c r="Q40" i="195"/>
  <c r="P40" i="195"/>
  <c r="M55" i="195"/>
  <c r="AA48" i="195"/>
  <c r="N48" i="195"/>
  <c r="AB48" i="195"/>
  <c r="P7" i="195"/>
  <c r="Q7" i="195"/>
  <c r="AA21" i="195"/>
  <c r="AB21" i="195"/>
  <c r="N21" i="195"/>
  <c r="N78" i="195"/>
  <c r="AB78" i="195"/>
  <c r="AA78" i="195"/>
  <c r="N64" i="195"/>
  <c r="AB64" i="195"/>
  <c r="AC56" i="195" s="1"/>
  <c r="AA64" i="195"/>
  <c r="Q66" i="195"/>
  <c r="P66" i="195"/>
  <c r="M80" i="195"/>
  <c r="N72" i="195"/>
  <c r="AB72" i="195"/>
  <c r="AA72" i="195"/>
  <c r="AA74" i="195"/>
  <c r="AB74" i="195"/>
  <c r="N74" i="195"/>
  <c r="Q36" i="195"/>
  <c r="P36" i="195"/>
  <c r="N52" i="195"/>
  <c r="AB52" i="195"/>
  <c r="AA52" i="195"/>
  <c r="AB75" i="195"/>
  <c r="N75" i="195"/>
  <c r="AA75" i="195"/>
  <c r="AB33" i="195"/>
  <c r="AA33" i="195"/>
  <c r="N33" i="195"/>
  <c r="Q60" i="195"/>
  <c r="P60" i="195"/>
  <c r="AB73" i="195"/>
  <c r="AA73" i="195"/>
  <c r="N73" i="195"/>
  <c r="N14" i="195"/>
  <c r="AB14" i="195"/>
  <c r="AA14" i="195"/>
  <c r="AA76" i="195"/>
  <c r="N76" i="195"/>
  <c r="AB76" i="195"/>
  <c r="AB11" i="195"/>
  <c r="AA11" i="195"/>
  <c r="N11" i="195"/>
  <c r="AB34" i="195"/>
  <c r="AA34" i="195"/>
  <c r="N34" i="195"/>
  <c r="Q39" i="195"/>
  <c r="P39" i="195"/>
  <c r="AB19" i="195"/>
  <c r="AA19" i="195"/>
  <c r="N19" i="195"/>
  <c r="N51" i="195"/>
  <c r="AB51" i="195"/>
  <c r="AA51" i="195"/>
  <c r="Q15" i="195"/>
  <c r="P15" i="195"/>
  <c r="N24" i="195"/>
  <c r="AB24" i="195"/>
  <c r="AA24" i="195"/>
  <c r="Q41" i="195"/>
  <c r="P41" i="195"/>
  <c r="P43" i="195"/>
  <c r="Q43" i="195"/>
  <c r="AA49" i="195"/>
  <c r="AB49" i="195"/>
  <c r="N49" i="195"/>
  <c r="N79" i="195"/>
  <c r="AB79" i="195"/>
  <c r="AA79" i="195"/>
  <c r="AB77" i="195"/>
  <c r="N77" i="195"/>
  <c r="AA77" i="195"/>
  <c r="AB5" i="195"/>
  <c r="AB6" i="195"/>
  <c r="AA7" i="195"/>
  <c r="AB8" i="195"/>
  <c r="AB27" i="195"/>
  <c r="AB28" i="195"/>
  <c r="AA41" i="195"/>
  <c r="AB42" i="195"/>
  <c r="AA43" i="195"/>
  <c r="AB44" i="195"/>
  <c r="M47" i="195"/>
  <c r="AB62" i="195"/>
  <c r="AA68" i="195"/>
  <c r="AB69" i="195"/>
  <c r="G6" i="194"/>
  <c r="AB7" i="195"/>
  <c r="AA16" i="195"/>
  <c r="AA40" i="195"/>
  <c r="AB41" i="195"/>
  <c r="AB43" i="195"/>
  <c r="AA67" i="195"/>
  <c r="AB68" i="195"/>
  <c r="M71" i="195"/>
  <c r="N9" i="195"/>
  <c r="N27" i="195"/>
  <c r="N30" i="195"/>
  <c r="N32" i="195"/>
  <c r="N46" i="195"/>
  <c r="N56" i="195"/>
  <c r="N63" i="195"/>
  <c r="N29" i="195"/>
  <c r="N45" i="195"/>
  <c r="N70" i="195"/>
  <c r="N5" i="195"/>
  <c r="N6" i="195"/>
  <c r="N8" i="195"/>
  <c r="N28" i="195"/>
  <c r="N42" i="195"/>
  <c r="N44" i="195"/>
  <c r="N59" i="195"/>
  <c r="N62" i="195"/>
  <c r="N69" i="195"/>
  <c r="AA9" i="195"/>
  <c r="AA63" i="195"/>
  <c r="AA56" i="195"/>
  <c r="AA30" i="195"/>
  <c r="AA32" i="195"/>
  <c r="AA46" i="195"/>
  <c r="AB56" i="195"/>
  <c r="AA59" i="195"/>
  <c r="AA29" i="195"/>
  <c r="M35" i="195"/>
  <c r="AA45" i="195"/>
  <c r="AA70" i="195"/>
  <c r="O77" i="193"/>
  <c r="K77" i="193"/>
  <c r="V76" i="193"/>
  <c r="U76" i="193"/>
  <c r="O76" i="193"/>
  <c r="M76" i="193"/>
  <c r="K76" i="193"/>
  <c r="G76" i="193"/>
  <c r="AB75" i="193"/>
  <c r="AA75" i="193"/>
  <c r="V75" i="193"/>
  <c r="U75" i="193"/>
  <c r="O75" i="193"/>
  <c r="N75" i="193"/>
  <c r="Q75" i="193" s="1"/>
  <c r="M75" i="193"/>
  <c r="K75" i="193"/>
  <c r="G75" i="193"/>
  <c r="V74" i="193"/>
  <c r="U74" i="193"/>
  <c r="O74" i="193"/>
  <c r="M74" i="193"/>
  <c r="K74" i="193"/>
  <c r="G74" i="193"/>
  <c r="X73" i="193"/>
  <c r="W73" i="193"/>
  <c r="V73" i="193"/>
  <c r="U73" i="193"/>
  <c r="O73" i="193"/>
  <c r="M73" i="193"/>
  <c r="AB73" i="193" s="1"/>
  <c r="K73" i="193"/>
  <c r="G73" i="193"/>
  <c r="AB72" i="193"/>
  <c r="AA72" i="193"/>
  <c r="V72" i="193"/>
  <c r="U72" i="193"/>
  <c r="Q72" i="193"/>
  <c r="O72" i="193"/>
  <c r="M72" i="193"/>
  <c r="N72" i="193" s="1"/>
  <c r="P72" i="193" s="1"/>
  <c r="K72" i="193"/>
  <c r="G72" i="193"/>
  <c r="AB71" i="193"/>
  <c r="AA71" i="193"/>
  <c r="V71" i="193"/>
  <c r="U71" i="193"/>
  <c r="O71" i="193"/>
  <c r="N71" i="193"/>
  <c r="M71" i="193"/>
  <c r="K71" i="193"/>
  <c r="G71" i="193"/>
  <c r="V70" i="193"/>
  <c r="M70" i="193" s="1"/>
  <c r="N70" i="193" s="1"/>
  <c r="U70" i="193"/>
  <c r="O70" i="193"/>
  <c r="K70" i="193"/>
  <c r="G70" i="193"/>
  <c r="X69" i="193"/>
  <c r="W69" i="193"/>
  <c r="V69" i="193"/>
  <c r="O69" i="193"/>
  <c r="M69" i="193"/>
  <c r="K69" i="193"/>
  <c r="G69" i="193"/>
  <c r="O68" i="193"/>
  <c r="K68" i="193"/>
  <c r="AB67" i="193"/>
  <c r="AA67" i="193"/>
  <c r="V67" i="193"/>
  <c r="U67" i="193"/>
  <c r="Q67" i="193"/>
  <c r="P67" i="193"/>
  <c r="O67" i="193"/>
  <c r="N67" i="193"/>
  <c r="M67" i="193"/>
  <c r="K67" i="193"/>
  <c r="G67" i="193"/>
  <c r="AB66" i="193"/>
  <c r="AA66" i="193"/>
  <c r="V66" i="193"/>
  <c r="U66" i="193"/>
  <c r="O66" i="193"/>
  <c r="N66" i="193"/>
  <c r="P66" i="193" s="1"/>
  <c r="M66" i="193"/>
  <c r="K66" i="193"/>
  <c r="G66" i="193"/>
  <c r="V65" i="193"/>
  <c r="U65" i="193"/>
  <c r="O65" i="193"/>
  <c r="N65" i="193"/>
  <c r="Q65" i="193" s="1"/>
  <c r="M65" i="193"/>
  <c r="K65" i="193"/>
  <c r="G65" i="193"/>
  <c r="V64" i="193"/>
  <c r="U64" i="193"/>
  <c r="O64" i="193"/>
  <c r="M64" i="193"/>
  <c r="AB64" i="193" s="1"/>
  <c r="K64" i="193"/>
  <c r="G64" i="193"/>
  <c r="V63" i="193"/>
  <c r="M63" i="193" s="1"/>
  <c r="AA63" i="193" s="1"/>
  <c r="U63" i="193"/>
  <c r="O63" i="193"/>
  <c r="K63" i="193"/>
  <c r="G63" i="193"/>
  <c r="AB62" i="193"/>
  <c r="AA62" i="193"/>
  <c r="V62" i="193"/>
  <c r="O62" i="193"/>
  <c r="N62" i="193"/>
  <c r="M62" i="193"/>
  <c r="K62" i="193"/>
  <c r="G62" i="193"/>
  <c r="O61" i="193"/>
  <c r="K61" i="193"/>
  <c r="AB60" i="193"/>
  <c r="AA60" i="193"/>
  <c r="V60" i="193"/>
  <c r="U60" i="193"/>
  <c r="O60" i="193"/>
  <c r="N60" i="193"/>
  <c r="P60" i="193" s="1"/>
  <c r="M60" i="193"/>
  <c r="K60" i="193"/>
  <c r="G60" i="193"/>
  <c r="AB59" i="193"/>
  <c r="AA59" i="193"/>
  <c r="V59" i="193"/>
  <c r="U59" i="193"/>
  <c r="Q59" i="193"/>
  <c r="O59" i="193"/>
  <c r="N59" i="193"/>
  <c r="P59" i="193" s="1"/>
  <c r="M59" i="193"/>
  <c r="K59" i="193"/>
  <c r="G59" i="193"/>
  <c r="V58" i="193"/>
  <c r="U58" i="193"/>
  <c r="O58" i="193"/>
  <c r="M58" i="193"/>
  <c r="K58" i="193"/>
  <c r="G58" i="193"/>
  <c r="AB57" i="193"/>
  <c r="AA57" i="193"/>
  <c r="V57" i="193"/>
  <c r="M57" i="193" s="1"/>
  <c r="N57" i="193" s="1"/>
  <c r="U57" i="193"/>
  <c r="O57" i="193"/>
  <c r="K57" i="193"/>
  <c r="G57" i="193"/>
  <c r="V56" i="193"/>
  <c r="U56" i="193"/>
  <c r="O56" i="193"/>
  <c r="M56" i="193"/>
  <c r="K56" i="193"/>
  <c r="G56" i="193"/>
  <c r="AB55" i="193"/>
  <c r="AA55" i="193"/>
  <c r="V55" i="193"/>
  <c r="O55" i="193"/>
  <c r="N55" i="193"/>
  <c r="P55" i="193" s="1"/>
  <c r="M55" i="193"/>
  <c r="K55" i="193"/>
  <c r="G55" i="193"/>
  <c r="O54" i="193"/>
  <c r="K54" i="193"/>
  <c r="H13" i="192" s="1"/>
  <c r="AB53" i="193"/>
  <c r="AA53" i="193"/>
  <c r="V53" i="193"/>
  <c r="U53" i="193"/>
  <c r="O53" i="193"/>
  <c r="N53" i="193"/>
  <c r="Q53" i="193" s="1"/>
  <c r="M53" i="193"/>
  <c r="K53" i="193"/>
  <c r="G53" i="193"/>
  <c r="V52" i="193"/>
  <c r="U52" i="193"/>
  <c r="O52" i="193"/>
  <c r="M52" i="193"/>
  <c r="N52" i="193" s="1"/>
  <c r="K52" i="193"/>
  <c r="G52" i="193"/>
  <c r="V51" i="193"/>
  <c r="U51" i="193"/>
  <c r="O51" i="193"/>
  <c r="M51" i="193"/>
  <c r="AB51" i="193" s="1"/>
  <c r="K51" i="193"/>
  <c r="G51" i="193"/>
  <c r="V50" i="193"/>
  <c r="M50" i="193" s="1"/>
  <c r="AA50" i="193" s="1"/>
  <c r="U50" i="193"/>
  <c r="O50" i="193"/>
  <c r="N50" i="193"/>
  <c r="Q50" i="193" s="1"/>
  <c r="K50" i="193"/>
  <c r="G50" i="193"/>
  <c r="V49" i="193"/>
  <c r="U49" i="193"/>
  <c r="O49" i="193"/>
  <c r="M49" i="193"/>
  <c r="AB49" i="193" s="1"/>
  <c r="K49" i="193"/>
  <c r="G49" i="193"/>
  <c r="X48" i="193"/>
  <c r="W48" i="193"/>
  <c r="V48" i="193"/>
  <c r="M48" i="193" s="1"/>
  <c r="N48" i="193" s="1"/>
  <c r="O48" i="193"/>
  <c r="K48" i="193"/>
  <c r="G48" i="193"/>
  <c r="O47" i="193"/>
  <c r="M47" i="193"/>
  <c r="N47" i="193" s="1"/>
  <c r="K47" i="193"/>
  <c r="V46" i="193"/>
  <c r="M46" i="193" s="1"/>
  <c r="N46" i="193" s="1"/>
  <c r="U46" i="193"/>
  <c r="O46" i="193"/>
  <c r="K46" i="193"/>
  <c r="G46" i="193"/>
  <c r="V45" i="193"/>
  <c r="U45" i="193"/>
  <c r="O45" i="193"/>
  <c r="M45" i="193"/>
  <c r="K45" i="193"/>
  <c r="G45" i="193"/>
  <c r="AB44" i="193"/>
  <c r="AA44" i="193"/>
  <c r="X44" i="193"/>
  <c r="W44" i="193"/>
  <c r="V44" i="193"/>
  <c r="U44" i="193"/>
  <c r="O44" i="193"/>
  <c r="N44" i="193"/>
  <c r="P44" i="193" s="1"/>
  <c r="M44" i="193"/>
  <c r="K44" i="193"/>
  <c r="G44" i="193"/>
  <c r="V43" i="193"/>
  <c r="U43" i="193"/>
  <c r="O43" i="193"/>
  <c r="M43" i="193"/>
  <c r="K43" i="193"/>
  <c r="G43" i="193"/>
  <c r="V42" i="193"/>
  <c r="U42" i="193"/>
  <c r="O42" i="193"/>
  <c r="M42" i="193"/>
  <c r="AB42" i="193" s="1"/>
  <c r="K42" i="193"/>
  <c r="G42" i="193"/>
  <c r="V41" i="193"/>
  <c r="M41" i="193" s="1"/>
  <c r="N41" i="193" s="1"/>
  <c r="U41" i="193"/>
  <c r="Q41" i="193"/>
  <c r="P41" i="193"/>
  <c r="O41" i="193"/>
  <c r="K41" i="193"/>
  <c r="G41" i="193"/>
  <c r="AB40" i="193"/>
  <c r="AA40" i="193"/>
  <c r="V40" i="193"/>
  <c r="U40" i="193"/>
  <c r="O40" i="193"/>
  <c r="N40" i="193"/>
  <c r="Q40" i="193" s="1"/>
  <c r="M40" i="193"/>
  <c r="K40" i="193"/>
  <c r="G40" i="193"/>
  <c r="AB39" i="193"/>
  <c r="AA39" i="193"/>
  <c r="X39" i="193"/>
  <c r="W39" i="193"/>
  <c r="V39" i="193"/>
  <c r="O39" i="193"/>
  <c r="N39" i="193"/>
  <c r="Q39" i="193" s="1"/>
  <c r="M39" i="193"/>
  <c r="K39" i="193"/>
  <c r="G39" i="193"/>
  <c r="O38" i="193"/>
  <c r="K38" i="193"/>
  <c r="V37" i="193"/>
  <c r="M37" i="193" s="1"/>
  <c r="N37" i="193" s="1"/>
  <c r="U37" i="193"/>
  <c r="O37" i="193"/>
  <c r="K37" i="193"/>
  <c r="G37" i="193"/>
  <c r="V36" i="193"/>
  <c r="U36" i="193"/>
  <c r="O36" i="193"/>
  <c r="M36" i="193"/>
  <c r="K36" i="193"/>
  <c r="G36" i="193"/>
  <c r="AB35" i="193"/>
  <c r="AA35" i="193"/>
  <c r="V35" i="193"/>
  <c r="U35" i="193"/>
  <c r="O35" i="193"/>
  <c r="N35" i="193"/>
  <c r="Q35" i="193" s="1"/>
  <c r="M35" i="193"/>
  <c r="K35" i="193"/>
  <c r="G35" i="193"/>
  <c r="X34" i="193"/>
  <c r="W34" i="193"/>
  <c r="V34" i="193"/>
  <c r="M34" i="193" s="1"/>
  <c r="U34" i="193"/>
  <c r="O34" i="193"/>
  <c r="N34" i="193"/>
  <c r="P34" i="193" s="1"/>
  <c r="K34" i="193"/>
  <c r="G34" i="193"/>
  <c r="V33" i="193"/>
  <c r="U33" i="193"/>
  <c r="O33" i="193"/>
  <c r="M33" i="193"/>
  <c r="AB33" i="193" s="1"/>
  <c r="K33" i="193"/>
  <c r="G33" i="193"/>
  <c r="AB32" i="193"/>
  <c r="AA32" i="193"/>
  <c r="V32" i="193"/>
  <c r="U32" i="193"/>
  <c r="Q32" i="193"/>
  <c r="P32" i="193"/>
  <c r="O32" i="193"/>
  <c r="M32" i="193"/>
  <c r="N32" i="193" s="1"/>
  <c r="K32" i="193"/>
  <c r="G32" i="193"/>
  <c r="AB31" i="193"/>
  <c r="AA31" i="193"/>
  <c r="V31" i="193"/>
  <c r="U31" i="193"/>
  <c r="O31" i="193"/>
  <c r="N31" i="193"/>
  <c r="M31" i="193"/>
  <c r="K31" i="193"/>
  <c r="G31" i="193"/>
  <c r="V30" i="193"/>
  <c r="M30" i="193" s="1"/>
  <c r="N30" i="193" s="1"/>
  <c r="U30" i="193"/>
  <c r="O30" i="193"/>
  <c r="K30" i="193"/>
  <c r="G30" i="193"/>
  <c r="X29" i="193"/>
  <c r="W29" i="193"/>
  <c r="V29" i="193"/>
  <c r="O29" i="193"/>
  <c r="M29" i="193"/>
  <c r="K29" i="193"/>
  <c r="G29" i="193"/>
  <c r="O28" i="193"/>
  <c r="K28" i="193"/>
  <c r="AB27" i="193"/>
  <c r="AA27" i="193"/>
  <c r="V27" i="193"/>
  <c r="U27" i="193"/>
  <c r="Q27" i="193"/>
  <c r="P27" i="193"/>
  <c r="O27" i="193"/>
  <c r="N27" i="193"/>
  <c r="M27" i="193"/>
  <c r="K27" i="193"/>
  <c r="G27" i="193"/>
  <c r="AB26" i="193"/>
  <c r="AA26" i="193"/>
  <c r="V26" i="193"/>
  <c r="U26" i="193"/>
  <c r="O26" i="193"/>
  <c r="N26" i="193"/>
  <c r="P26" i="193" s="1"/>
  <c r="M26" i="193"/>
  <c r="K26" i="193"/>
  <c r="G26" i="193"/>
  <c r="AA25" i="193"/>
  <c r="V25" i="193"/>
  <c r="U25" i="193"/>
  <c r="O25" i="193"/>
  <c r="N25" i="193"/>
  <c r="Q25" i="193" s="1"/>
  <c r="M25" i="193"/>
  <c r="AB25" i="193" s="1"/>
  <c r="K25" i="193"/>
  <c r="G25" i="193"/>
  <c r="V24" i="193"/>
  <c r="U24" i="193"/>
  <c r="O24" i="193"/>
  <c r="M24" i="193"/>
  <c r="AB24" i="193" s="1"/>
  <c r="K24" i="193"/>
  <c r="G24" i="193"/>
  <c r="V23" i="193"/>
  <c r="M23" i="193" s="1"/>
  <c r="N23" i="193" s="1"/>
  <c r="U23" i="193"/>
  <c r="Q23" i="193"/>
  <c r="P23" i="193"/>
  <c r="O23" i="193"/>
  <c r="K23" i="193"/>
  <c r="G23" i="193"/>
  <c r="AB22" i="193"/>
  <c r="AA22" i="193"/>
  <c r="V22" i="193"/>
  <c r="U22" i="193"/>
  <c r="O22" i="193"/>
  <c r="N22" i="193"/>
  <c r="Q22" i="193" s="1"/>
  <c r="M22" i="193"/>
  <c r="K22" i="193"/>
  <c r="G22" i="193"/>
  <c r="AB21" i="193"/>
  <c r="AA21" i="193"/>
  <c r="V21" i="193"/>
  <c r="U21" i="193"/>
  <c r="O21" i="193"/>
  <c r="M21" i="193"/>
  <c r="N21" i="193" s="1"/>
  <c r="P21" i="193" s="1"/>
  <c r="K21" i="193"/>
  <c r="G21" i="193"/>
  <c r="V20" i="193"/>
  <c r="O20" i="193"/>
  <c r="N20" i="193"/>
  <c r="Q20" i="193" s="1"/>
  <c r="M20" i="193"/>
  <c r="K20" i="193"/>
  <c r="G20" i="193"/>
  <c r="O19" i="193"/>
  <c r="K19" i="193"/>
  <c r="F13" i="192" s="1"/>
  <c r="V18" i="193"/>
  <c r="U18" i="193"/>
  <c r="O18" i="193"/>
  <c r="M18" i="193"/>
  <c r="N18" i="193" s="1"/>
  <c r="K18" i="193"/>
  <c r="G18" i="193"/>
  <c r="V17" i="193"/>
  <c r="M17" i="193" s="1"/>
  <c r="N17" i="193" s="1"/>
  <c r="U17" i="193"/>
  <c r="O17" i="193"/>
  <c r="K17" i="193"/>
  <c r="G17" i="193"/>
  <c r="X16" i="193"/>
  <c r="W16" i="193"/>
  <c r="V16" i="193"/>
  <c r="U16" i="193"/>
  <c r="O16" i="193"/>
  <c r="M16" i="193"/>
  <c r="N16" i="193" s="1"/>
  <c r="K16" i="193"/>
  <c r="G16" i="193"/>
  <c r="V15" i="193"/>
  <c r="U15" i="193"/>
  <c r="O15" i="193"/>
  <c r="M15" i="193"/>
  <c r="AB15" i="193" s="1"/>
  <c r="K15" i="193"/>
  <c r="G15" i="193"/>
  <c r="AB14" i="193"/>
  <c r="AA14" i="193"/>
  <c r="V14" i="193"/>
  <c r="M14" i="193" s="1"/>
  <c r="U14" i="193"/>
  <c r="O14" i="193"/>
  <c r="N14" i="193"/>
  <c r="P14" i="193" s="1"/>
  <c r="K14" i="193"/>
  <c r="G14" i="193"/>
  <c r="V13" i="193"/>
  <c r="U13" i="193"/>
  <c r="O13" i="193"/>
  <c r="M13" i="193"/>
  <c r="AB13" i="193" s="1"/>
  <c r="K13" i="193"/>
  <c r="G13" i="193"/>
  <c r="AB12" i="193"/>
  <c r="AA12" i="193"/>
  <c r="V12" i="193"/>
  <c r="Q12" i="193"/>
  <c r="O12" i="193"/>
  <c r="M12" i="193"/>
  <c r="N12" i="193" s="1"/>
  <c r="P12" i="193" s="1"/>
  <c r="K12" i="193"/>
  <c r="G12" i="193"/>
  <c r="O11" i="193"/>
  <c r="M11" i="193"/>
  <c r="K11" i="193"/>
  <c r="AB10" i="193"/>
  <c r="AA10" i="193"/>
  <c r="V10" i="193"/>
  <c r="U10" i="193"/>
  <c r="O10" i="193"/>
  <c r="M10" i="193"/>
  <c r="N10" i="193" s="1"/>
  <c r="Q10" i="193" s="1"/>
  <c r="K10" i="193"/>
  <c r="G10" i="193"/>
  <c r="X9" i="193"/>
  <c r="W9" i="193"/>
  <c r="V9" i="193"/>
  <c r="O9" i="193"/>
  <c r="M9" i="193"/>
  <c r="K9" i="193"/>
  <c r="G9" i="193"/>
  <c r="O8" i="193"/>
  <c r="K8" i="193"/>
  <c r="V7" i="193"/>
  <c r="U7" i="193"/>
  <c r="O7" i="193"/>
  <c r="M7" i="193"/>
  <c r="K7" i="193"/>
  <c r="G7" i="193"/>
  <c r="AB6" i="193"/>
  <c r="AA6" i="193"/>
  <c r="V6" i="193"/>
  <c r="U6" i="193"/>
  <c r="O6" i="193"/>
  <c r="N6" i="193"/>
  <c r="Q6" i="193" s="1"/>
  <c r="M6" i="193"/>
  <c r="K6" i="193"/>
  <c r="G6" i="193"/>
  <c r="V5" i="193"/>
  <c r="O5" i="193"/>
  <c r="M5" i="193"/>
  <c r="K5" i="193"/>
  <c r="G5" i="193"/>
  <c r="H2" i="193"/>
  <c r="H1" i="193"/>
  <c r="M18" i="192"/>
  <c r="L18" i="192"/>
  <c r="K18" i="192"/>
  <c r="J18" i="192"/>
  <c r="I18" i="192"/>
  <c r="H18" i="192"/>
  <c r="G18" i="192"/>
  <c r="F18" i="192"/>
  <c r="E18" i="192"/>
  <c r="D18" i="192"/>
  <c r="M17" i="192"/>
  <c r="L17" i="192"/>
  <c r="K17" i="192"/>
  <c r="J17" i="192"/>
  <c r="I17" i="192"/>
  <c r="H17" i="192"/>
  <c r="G17" i="192"/>
  <c r="F17" i="192"/>
  <c r="E17" i="192"/>
  <c r="D17" i="192"/>
  <c r="M16" i="192"/>
  <c r="L16" i="192"/>
  <c r="K16" i="192"/>
  <c r="J16" i="192"/>
  <c r="I16" i="192"/>
  <c r="H16" i="192"/>
  <c r="G16" i="192"/>
  <c r="F16" i="192"/>
  <c r="E16" i="192"/>
  <c r="D16" i="192"/>
  <c r="M13" i="192"/>
  <c r="L13" i="192"/>
  <c r="K13" i="192"/>
  <c r="I6" i="192" s="1"/>
  <c r="J13" i="192"/>
  <c r="I13" i="192"/>
  <c r="G13" i="192"/>
  <c r="E13" i="192"/>
  <c r="D13" i="192"/>
  <c r="I3" i="192"/>
  <c r="F3" i="192"/>
  <c r="C3" i="192"/>
  <c r="F8" i="200" l="1"/>
  <c r="E8" i="200"/>
  <c r="G8" i="200"/>
  <c r="F8" i="198"/>
  <c r="E8" i="198"/>
  <c r="G8" i="198"/>
  <c r="G7" i="198"/>
  <c r="F7" i="198"/>
  <c r="E7" i="198"/>
  <c r="Q8" i="195"/>
  <c r="P8" i="195"/>
  <c r="D14" i="194"/>
  <c r="Q9" i="195"/>
  <c r="R5" i="195" s="1"/>
  <c r="P9" i="195"/>
  <c r="AA80" i="195"/>
  <c r="N80" i="195"/>
  <c r="AB80" i="195"/>
  <c r="AC72" i="195" s="1"/>
  <c r="Q6" i="195"/>
  <c r="P6" i="195"/>
  <c r="AA71" i="195"/>
  <c r="AB71" i="195"/>
  <c r="AC65" i="195" s="1"/>
  <c r="N71" i="195"/>
  <c r="AB47" i="195"/>
  <c r="AC36" i="195" s="1"/>
  <c r="AA47" i="195"/>
  <c r="N47" i="195"/>
  <c r="Q77" i="195"/>
  <c r="P77" i="195"/>
  <c r="P14" i="195"/>
  <c r="Q14" i="195"/>
  <c r="Q31" i="195"/>
  <c r="P31" i="195"/>
  <c r="AB12" i="195"/>
  <c r="AC10" i="195" s="1"/>
  <c r="AA12" i="195"/>
  <c r="N12" i="195"/>
  <c r="Q75" i="195"/>
  <c r="P75" i="195"/>
  <c r="Q5" i="195"/>
  <c r="P5" i="195"/>
  <c r="Q34" i="195"/>
  <c r="P34" i="195"/>
  <c r="Q73" i="195"/>
  <c r="P73" i="195"/>
  <c r="P54" i="195"/>
  <c r="Q54" i="195"/>
  <c r="P70" i="195"/>
  <c r="Q70" i="195"/>
  <c r="P24" i="195"/>
  <c r="Q24" i="195"/>
  <c r="P52" i="195"/>
  <c r="Q52" i="195"/>
  <c r="Q48" i="195"/>
  <c r="P48" i="195"/>
  <c r="Q18" i="195"/>
  <c r="P18" i="195"/>
  <c r="P45" i="195"/>
  <c r="Q45" i="195"/>
  <c r="P38" i="195"/>
  <c r="Q38" i="195"/>
  <c r="N26" i="195"/>
  <c r="AB26" i="195"/>
  <c r="AC18" i="195" s="1"/>
  <c r="AA26" i="195"/>
  <c r="Q37" i="195"/>
  <c r="P37" i="195"/>
  <c r="Q72" i="195"/>
  <c r="P72" i="195"/>
  <c r="P29" i="195"/>
  <c r="Q29" i="195"/>
  <c r="P79" i="195"/>
  <c r="Q79" i="195"/>
  <c r="Q11" i="195"/>
  <c r="P11" i="195"/>
  <c r="Q64" i="195"/>
  <c r="R56" i="195" s="1"/>
  <c r="I14" i="194"/>
  <c r="I15" i="194" s="1"/>
  <c r="P64" i="195"/>
  <c r="AA55" i="195"/>
  <c r="N55" i="195"/>
  <c r="AB55" i="195"/>
  <c r="AC48" i="195" s="1"/>
  <c r="Q27" i="195"/>
  <c r="P27" i="195"/>
  <c r="Q69" i="195"/>
  <c r="P69" i="195"/>
  <c r="Q63" i="195"/>
  <c r="P63" i="195"/>
  <c r="Q49" i="195"/>
  <c r="P49" i="195"/>
  <c r="Q74" i="195"/>
  <c r="P74" i="195"/>
  <c r="AB17" i="195"/>
  <c r="AC13" i="195" s="1"/>
  <c r="AA17" i="195"/>
  <c r="N17" i="195"/>
  <c r="Q22" i="195"/>
  <c r="P22" i="195"/>
  <c r="Q28" i="195"/>
  <c r="P28" i="195"/>
  <c r="Q62" i="195"/>
  <c r="P62" i="195"/>
  <c r="Q56" i="195"/>
  <c r="P56" i="195"/>
  <c r="Q33" i="195"/>
  <c r="P33" i="195"/>
  <c r="Q23" i="195"/>
  <c r="P23" i="195"/>
  <c r="P13" i="195"/>
  <c r="Q13" i="195"/>
  <c r="Q20" i="195"/>
  <c r="P20" i="195"/>
  <c r="N35" i="195"/>
  <c r="AB35" i="195"/>
  <c r="AC27" i="195" s="1"/>
  <c r="AA35" i="195"/>
  <c r="Q59" i="195"/>
  <c r="P59" i="195"/>
  <c r="Q46" i="195"/>
  <c r="P46" i="195"/>
  <c r="Q51" i="195"/>
  <c r="P51" i="195"/>
  <c r="Q78" i="195"/>
  <c r="P78" i="195"/>
  <c r="Q44" i="195"/>
  <c r="P44" i="195"/>
  <c r="Q32" i="195"/>
  <c r="P32" i="195"/>
  <c r="Q19" i="195"/>
  <c r="P19" i="195"/>
  <c r="Q76" i="195"/>
  <c r="P76" i="195"/>
  <c r="Q21" i="195"/>
  <c r="P21" i="195"/>
  <c r="Q50" i="195"/>
  <c r="P50" i="195"/>
  <c r="Q42" i="195"/>
  <c r="P42" i="195"/>
  <c r="Q30" i="195"/>
  <c r="P30" i="195"/>
  <c r="Q10" i="195"/>
  <c r="P10" i="195"/>
  <c r="L14" i="192"/>
  <c r="L15" i="192" s="1"/>
  <c r="P47" i="193"/>
  <c r="Q47" i="193"/>
  <c r="R39" i="193" s="1"/>
  <c r="P18" i="193"/>
  <c r="Q18" i="193"/>
  <c r="G6" i="192"/>
  <c r="P52" i="193"/>
  <c r="Q52" i="193"/>
  <c r="Q16" i="193"/>
  <c r="P16" i="193"/>
  <c r="P20" i="193"/>
  <c r="P25" i="193"/>
  <c r="P50" i="193"/>
  <c r="P65" i="193"/>
  <c r="Q17" i="193"/>
  <c r="P17" i="193"/>
  <c r="Q37" i="193"/>
  <c r="P37" i="193"/>
  <c r="Q70" i="193"/>
  <c r="P70" i="193"/>
  <c r="AB7" i="193"/>
  <c r="AA7" i="193"/>
  <c r="AA17" i="193"/>
  <c r="Q30" i="193"/>
  <c r="P30" i="193"/>
  <c r="AA37" i="193"/>
  <c r="AB58" i="193"/>
  <c r="AA58" i="193"/>
  <c r="AA70" i="193"/>
  <c r="M38" i="193"/>
  <c r="AB50" i="193"/>
  <c r="M61" i="193"/>
  <c r="AB56" i="193"/>
  <c r="AA56" i="193"/>
  <c r="N56" i="193"/>
  <c r="N7" i="193"/>
  <c r="AB17" i="193"/>
  <c r="AA30" i="193"/>
  <c r="AB37" i="193"/>
  <c r="N58" i="193"/>
  <c r="AB70" i="193"/>
  <c r="Q48" i="193"/>
  <c r="P48" i="193"/>
  <c r="AA45" i="193"/>
  <c r="AB45" i="193"/>
  <c r="Q21" i="193"/>
  <c r="AA48" i="193"/>
  <c r="Q71" i="193"/>
  <c r="M77" i="193"/>
  <c r="AA69" i="193"/>
  <c r="AB69" i="193"/>
  <c r="AB23" i="193"/>
  <c r="AB48" i="193"/>
  <c r="N69" i="193"/>
  <c r="AB76" i="193"/>
  <c r="AA76" i="193"/>
  <c r="AB47" i="193"/>
  <c r="AC39" i="193" s="1"/>
  <c r="AA47" i="193"/>
  <c r="Q14" i="193"/>
  <c r="Q34" i="193"/>
  <c r="AA41" i="193"/>
  <c r="AA46" i="193"/>
  <c r="Q62" i="193"/>
  <c r="AA5" i="193"/>
  <c r="M8" i="193"/>
  <c r="AB5" i="193"/>
  <c r="AB30" i="193"/>
  <c r="N5" i="193"/>
  <c r="P10" i="193"/>
  <c r="AB43" i="193"/>
  <c r="AA43" i="193"/>
  <c r="AB18" i="193"/>
  <c r="AA18" i="193"/>
  <c r="N43" i="193"/>
  <c r="N45" i="193"/>
  <c r="N63" i="193"/>
  <c r="M68" i="193"/>
  <c r="AA23" i="193"/>
  <c r="AB16" i="193"/>
  <c r="AA16" i="193"/>
  <c r="Q31" i="193"/>
  <c r="P31" i="193"/>
  <c r="AB63" i="193"/>
  <c r="AB29" i="193"/>
  <c r="AA29" i="193"/>
  <c r="E6" i="192"/>
  <c r="N29" i="193"/>
  <c r="F6" i="192"/>
  <c r="AA36" i="193"/>
  <c r="AB36" i="193"/>
  <c r="M54" i="193"/>
  <c r="N76" i="193"/>
  <c r="AA11" i="193"/>
  <c r="N11" i="193"/>
  <c r="AB11" i="193"/>
  <c r="AC9" i="193" s="1"/>
  <c r="N36" i="193"/>
  <c r="AB9" i="193"/>
  <c r="AA9" i="193"/>
  <c r="AB74" i="193"/>
  <c r="AA74" i="193"/>
  <c r="N74" i="193"/>
  <c r="N9" i="193"/>
  <c r="Q46" i="193"/>
  <c r="P46" i="193"/>
  <c r="AA52" i="193"/>
  <c r="AB52" i="193"/>
  <c r="AB41" i="193"/>
  <c r="AB46" i="193"/>
  <c r="M28" i="193"/>
  <c r="AB20" i="193"/>
  <c r="AA20" i="193"/>
  <c r="AA34" i="193"/>
  <c r="AB34" i="193"/>
  <c r="Q57" i="193"/>
  <c r="P57" i="193"/>
  <c r="AB65" i="193"/>
  <c r="AA65" i="193"/>
  <c r="N13" i="193"/>
  <c r="N33" i="193"/>
  <c r="N49" i="193"/>
  <c r="P62" i="193"/>
  <c r="P71" i="193"/>
  <c r="P22" i="193"/>
  <c r="N42" i="193"/>
  <c r="N15" i="193"/>
  <c r="Q60" i="193"/>
  <c r="N24" i="193"/>
  <c r="P40" i="193"/>
  <c r="N64" i="193"/>
  <c r="AA13" i="193"/>
  <c r="M19" i="193"/>
  <c r="Q26" i="193"/>
  <c r="AA33" i="193"/>
  <c r="P35" i="193"/>
  <c r="Q44" i="193"/>
  <c r="AA49" i="193"/>
  <c r="P53" i="193"/>
  <c r="Q55" i="193"/>
  <c r="Q66" i="193"/>
  <c r="P75" i="193"/>
  <c r="N73" i="193"/>
  <c r="P6" i="193"/>
  <c r="AA24" i="193"/>
  <c r="P39" i="193"/>
  <c r="AA42" i="193"/>
  <c r="AA64" i="193"/>
  <c r="AA15" i="193"/>
  <c r="AA51" i="193"/>
  <c r="AA73" i="193"/>
  <c r="N51" i="193"/>
  <c r="O70" i="191"/>
  <c r="K70" i="191"/>
  <c r="V69" i="191"/>
  <c r="U69" i="191"/>
  <c r="O69" i="191"/>
  <c r="N69" i="191"/>
  <c r="Q69" i="191" s="1"/>
  <c r="M69" i="191"/>
  <c r="K69" i="191"/>
  <c r="G69" i="191"/>
  <c r="AB68" i="191"/>
  <c r="X68" i="191"/>
  <c r="W68" i="191"/>
  <c r="V68" i="191"/>
  <c r="M68" i="191" s="1"/>
  <c r="U68" i="191"/>
  <c r="O68" i="191"/>
  <c r="K68" i="191"/>
  <c r="G68" i="191"/>
  <c r="AB67" i="191"/>
  <c r="AA67" i="191"/>
  <c r="V67" i="191"/>
  <c r="M67" i="191" s="1"/>
  <c r="U67" i="191"/>
  <c r="Q67" i="191"/>
  <c r="P67" i="191"/>
  <c r="O67" i="191"/>
  <c r="N67" i="191"/>
  <c r="K67" i="191"/>
  <c r="G67" i="191"/>
  <c r="V66" i="191"/>
  <c r="U66" i="191"/>
  <c r="O66" i="191"/>
  <c r="M66" i="191"/>
  <c r="K66" i="191"/>
  <c r="G66" i="191"/>
  <c r="AB65" i="191"/>
  <c r="AA65" i="191"/>
  <c r="V65" i="191"/>
  <c r="M65" i="191" s="1"/>
  <c r="N65" i="191" s="1"/>
  <c r="U65" i="191"/>
  <c r="Q65" i="191"/>
  <c r="P65" i="191"/>
  <c r="O65" i="191"/>
  <c r="K65" i="191"/>
  <c r="G65" i="191"/>
  <c r="X64" i="191"/>
  <c r="W64" i="191"/>
  <c r="V64" i="191"/>
  <c r="O64" i="191"/>
  <c r="N64" i="191"/>
  <c r="Q64" i="191" s="1"/>
  <c r="M64" i="191"/>
  <c r="K64" i="191"/>
  <c r="G64" i="191"/>
  <c r="O63" i="191"/>
  <c r="K63" i="191"/>
  <c r="V62" i="191"/>
  <c r="U62" i="191"/>
  <c r="O62" i="191"/>
  <c r="N62" i="191"/>
  <c r="Q62" i="191" s="1"/>
  <c r="M62" i="191"/>
  <c r="K62" i="191"/>
  <c r="G62" i="191"/>
  <c r="AB61" i="191"/>
  <c r="AA61" i="191"/>
  <c r="V61" i="191"/>
  <c r="U61" i="191"/>
  <c r="P61" i="191"/>
  <c r="O61" i="191"/>
  <c r="N61" i="191"/>
  <c r="Q61" i="191" s="1"/>
  <c r="M61" i="191"/>
  <c r="K61" i="191"/>
  <c r="G61" i="191"/>
  <c r="V60" i="191"/>
  <c r="U60" i="191"/>
  <c r="O60" i="191"/>
  <c r="N60" i="191"/>
  <c r="Q60" i="191" s="1"/>
  <c r="M60" i="191"/>
  <c r="K60" i="191"/>
  <c r="G60" i="191"/>
  <c r="V59" i="191"/>
  <c r="U59" i="191"/>
  <c r="O59" i="191"/>
  <c r="M59" i="191"/>
  <c r="AB59" i="191" s="1"/>
  <c r="K59" i="191"/>
  <c r="G59" i="191"/>
  <c r="AB58" i="191"/>
  <c r="AA58" i="191"/>
  <c r="V58" i="191"/>
  <c r="U58" i="191"/>
  <c r="O58" i="191"/>
  <c r="N58" i="191"/>
  <c r="Q58" i="191" s="1"/>
  <c r="M58" i="191"/>
  <c r="K58" i="191"/>
  <c r="G58" i="191"/>
  <c r="AB57" i="191"/>
  <c r="AA57" i="191"/>
  <c r="V57" i="191"/>
  <c r="O57" i="191"/>
  <c r="M57" i="191"/>
  <c r="K57" i="191"/>
  <c r="G57" i="191"/>
  <c r="O56" i="191"/>
  <c r="K56" i="191"/>
  <c r="AA55" i="191"/>
  <c r="V55" i="191"/>
  <c r="M55" i="191" s="1"/>
  <c r="U55" i="191"/>
  <c r="O55" i="191"/>
  <c r="K55" i="191"/>
  <c r="G55" i="191"/>
  <c r="AB54" i="191"/>
  <c r="AA54" i="191"/>
  <c r="V54" i="191"/>
  <c r="M54" i="191" s="1"/>
  <c r="N54" i="191" s="1"/>
  <c r="U54" i="191"/>
  <c r="Q54" i="191"/>
  <c r="P54" i="191"/>
  <c r="O54" i="191"/>
  <c r="K54" i="191"/>
  <c r="G54" i="191"/>
  <c r="AB53" i="191"/>
  <c r="AA53" i="191"/>
  <c r="V53" i="191"/>
  <c r="U53" i="191"/>
  <c r="O53" i="191"/>
  <c r="N53" i="191"/>
  <c r="M53" i="191"/>
  <c r="K53" i="191"/>
  <c r="G53" i="191"/>
  <c r="V52" i="191"/>
  <c r="U52" i="191"/>
  <c r="O52" i="191"/>
  <c r="M52" i="191"/>
  <c r="K52" i="191"/>
  <c r="G52" i="191"/>
  <c r="V51" i="191"/>
  <c r="U51" i="191"/>
  <c r="O51" i="191"/>
  <c r="N51" i="191"/>
  <c r="Q51" i="191" s="1"/>
  <c r="M51" i="191"/>
  <c r="K51" i="191"/>
  <c r="G51" i="191"/>
  <c r="AB50" i="191"/>
  <c r="AA50" i="191"/>
  <c r="V50" i="191"/>
  <c r="U50" i="191"/>
  <c r="O50" i="191"/>
  <c r="N50" i="191"/>
  <c r="M50" i="191"/>
  <c r="K50" i="191"/>
  <c r="G50" i="191"/>
  <c r="V49" i="191"/>
  <c r="O49" i="191"/>
  <c r="M49" i="191"/>
  <c r="N49" i="191" s="1"/>
  <c r="P49" i="191" s="1"/>
  <c r="K49" i="191"/>
  <c r="G49" i="191"/>
  <c r="O48" i="191"/>
  <c r="N48" i="191"/>
  <c r="P48" i="191" s="1"/>
  <c r="K48" i="191"/>
  <c r="V47" i="191"/>
  <c r="U47" i="191"/>
  <c r="O47" i="191"/>
  <c r="N47" i="191"/>
  <c r="Q47" i="191" s="1"/>
  <c r="M47" i="191"/>
  <c r="K47" i="191"/>
  <c r="G47" i="191"/>
  <c r="AB46" i="191"/>
  <c r="V46" i="191"/>
  <c r="M46" i="191" s="1"/>
  <c r="U46" i="191"/>
  <c r="O46" i="191"/>
  <c r="K46" i="191"/>
  <c r="G46" i="191"/>
  <c r="AA45" i="191"/>
  <c r="V45" i="191"/>
  <c r="U45" i="191"/>
  <c r="O45" i="191"/>
  <c r="N45" i="191"/>
  <c r="M45" i="191"/>
  <c r="AB45" i="191" s="1"/>
  <c r="K45" i="191"/>
  <c r="G45" i="191"/>
  <c r="V44" i="191"/>
  <c r="M44" i="191" s="1"/>
  <c r="U44" i="191"/>
  <c r="O44" i="191"/>
  <c r="K44" i="191"/>
  <c r="G44" i="191"/>
  <c r="AB43" i="191"/>
  <c r="AA43" i="191"/>
  <c r="V43" i="191"/>
  <c r="M43" i="191" s="1"/>
  <c r="U43" i="191"/>
  <c r="Q43" i="191"/>
  <c r="P43" i="191"/>
  <c r="O43" i="191"/>
  <c r="N43" i="191"/>
  <c r="K43" i="191"/>
  <c r="G43" i="191"/>
  <c r="AB42" i="191"/>
  <c r="AA42" i="191"/>
  <c r="X42" i="191"/>
  <c r="W42" i="191"/>
  <c r="V42" i="191"/>
  <c r="P42" i="191"/>
  <c r="O42" i="191"/>
  <c r="N42" i="191"/>
  <c r="Q42" i="191" s="1"/>
  <c r="M42" i="191"/>
  <c r="M48" i="191" s="1"/>
  <c r="K42" i="191"/>
  <c r="G42" i="191"/>
  <c r="O41" i="191"/>
  <c r="M41" i="191"/>
  <c r="N41" i="191" s="1"/>
  <c r="P41" i="191" s="1"/>
  <c r="K41" i="191"/>
  <c r="AB40" i="191"/>
  <c r="V40" i="191"/>
  <c r="U40" i="191"/>
  <c r="O40" i="191"/>
  <c r="N40" i="191"/>
  <c r="M40" i="191"/>
  <c r="AA40" i="191" s="1"/>
  <c r="K40" i="191"/>
  <c r="G40" i="191"/>
  <c r="AB39" i="191"/>
  <c r="AA39" i="191"/>
  <c r="V39" i="191"/>
  <c r="U39" i="191"/>
  <c r="O39" i="191"/>
  <c r="N39" i="191"/>
  <c r="M39" i="191"/>
  <c r="K39" i="191"/>
  <c r="G39" i="191"/>
  <c r="V38" i="191"/>
  <c r="U38" i="191"/>
  <c r="O38" i="191"/>
  <c r="N38" i="191"/>
  <c r="M38" i="191"/>
  <c r="K38" i="191"/>
  <c r="G38" i="191"/>
  <c r="AB37" i="191"/>
  <c r="AA37" i="191"/>
  <c r="V37" i="191"/>
  <c r="U37" i="191"/>
  <c r="P37" i="191"/>
  <c r="O37" i="191"/>
  <c r="N37" i="191"/>
  <c r="Q37" i="191" s="1"/>
  <c r="M37" i="191"/>
  <c r="K37" i="191"/>
  <c r="G37" i="191"/>
  <c r="V36" i="191"/>
  <c r="U36" i="191"/>
  <c r="O36" i="191"/>
  <c r="N36" i="191"/>
  <c r="P36" i="191" s="1"/>
  <c r="M36" i="191"/>
  <c r="K36" i="191"/>
  <c r="G36" i="191"/>
  <c r="X35" i="191"/>
  <c r="W35" i="191"/>
  <c r="V35" i="191"/>
  <c r="O35" i="191"/>
  <c r="M35" i="191"/>
  <c r="K35" i="191"/>
  <c r="G35" i="191"/>
  <c r="O34" i="191"/>
  <c r="K34" i="191"/>
  <c r="AA33" i="191"/>
  <c r="V33" i="191"/>
  <c r="M33" i="191" s="1"/>
  <c r="U33" i="191"/>
  <c r="O33" i="191"/>
  <c r="K33" i="191"/>
  <c r="G33" i="191"/>
  <c r="AB32" i="191"/>
  <c r="AA32" i="191"/>
  <c r="X32" i="191"/>
  <c r="W32" i="191"/>
  <c r="V32" i="191"/>
  <c r="U32" i="191"/>
  <c r="Q32" i="191"/>
  <c r="O32" i="191"/>
  <c r="M32" i="191"/>
  <c r="N32" i="191" s="1"/>
  <c r="P32" i="191" s="1"/>
  <c r="K32" i="191"/>
  <c r="G32" i="191"/>
  <c r="V31" i="191"/>
  <c r="U31" i="191"/>
  <c r="O31" i="191"/>
  <c r="N31" i="191"/>
  <c r="Q31" i="191" s="1"/>
  <c r="M31" i="191"/>
  <c r="K31" i="191"/>
  <c r="G31" i="191"/>
  <c r="AB30" i="191"/>
  <c r="AA30" i="191"/>
  <c r="V30" i="191"/>
  <c r="U30" i="191"/>
  <c r="O30" i="191"/>
  <c r="M30" i="191"/>
  <c r="N30" i="191" s="1"/>
  <c r="K30" i="191"/>
  <c r="G30" i="191"/>
  <c r="V29" i="191"/>
  <c r="U29" i="191"/>
  <c r="O29" i="191"/>
  <c r="N29" i="191"/>
  <c r="Q29" i="191" s="1"/>
  <c r="M29" i="191"/>
  <c r="K29" i="191"/>
  <c r="G29" i="191"/>
  <c r="AB28" i="191"/>
  <c r="V28" i="191"/>
  <c r="M28" i="191" s="1"/>
  <c r="U28" i="191"/>
  <c r="O28" i="191"/>
  <c r="K28" i="191"/>
  <c r="G28" i="191"/>
  <c r="AB27" i="191"/>
  <c r="AA27" i="191"/>
  <c r="X27" i="191"/>
  <c r="W27" i="191"/>
  <c r="V27" i="191"/>
  <c r="M27" i="191" s="1"/>
  <c r="O27" i="191"/>
  <c r="K27" i="191"/>
  <c r="G27" i="191"/>
  <c r="O26" i="191"/>
  <c r="K26" i="191"/>
  <c r="AB25" i="191"/>
  <c r="AA25" i="191"/>
  <c r="V25" i="191"/>
  <c r="M25" i="191" s="1"/>
  <c r="U25" i="191"/>
  <c r="O25" i="191"/>
  <c r="N25" i="191"/>
  <c r="Q25" i="191" s="1"/>
  <c r="K25" i="191"/>
  <c r="G25" i="191"/>
  <c r="AB24" i="191"/>
  <c r="AA24" i="191"/>
  <c r="V24" i="191"/>
  <c r="U24" i="191"/>
  <c r="O24" i="191"/>
  <c r="M24" i="191"/>
  <c r="N24" i="191" s="1"/>
  <c r="K24" i="191"/>
  <c r="G24" i="191"/>
  <c r="AB23" i="191"/>
  <c r="AA23" i="191"/>
  <c r="V23" i="191"/>
  <c r="M23" i="191" s="1"/>
  <c r="N23" i="191" s="1"/>
  <c r="U23" i="191"/>
  <c r="Q23" i="191"/>
  <c r="P23" i="191"/>
  <c r="O23" i="191"/>
  <c r="K23" i="191"/>
  <c r="G23" i="191"/>
  <c r="AB22" i="191"/>
  <c r="V22" i="191"/>
  <c r="U22" i="191"/>
  <c r="O22" i="191"/>
  <c r="N22" i="191"/>
  <c r="M22" i="191"/>
  <c r="AA22" i="191" s="1"/>
  <c r="K22" i="191"/>
  <c r="G22" i="191"/>
  <c r="V21" i="191"/>
  <c r="U21" i="191"/>
  <c r="O21" i="191"/>
  <c r="M21" i="191"/>
  <c r="K21" i="191"/>
  <c r="G21" i="191"/>
  <c r="V20" i="191"/>
  <c r="U20" i="191"/>
  <c r="O20" i="191"/>
  <c r="N20" i="191"/>
  <c r="Q20" i="191" s="1"/>
  <c r="M20" i="191"/>
  <c r="K20" i="191"/>
  <c r="G20" i="191"/>
  <c r="AB19" i="191"/>
  <c r="AA19" i="191"/>
  <c r="V19" i="191"/>
  <c r="U19" i="191"/>
  <c r="P19" i="191"/>
  <c r="O19" i="191"/>
  <c r="N19" i="191"/>
  <c r="Q19" i="191" s="1"/>
  <c r="M19" i="191"/>
  <c r="K19" i="191"/>
  <c r="G19" i="191"/>
  <c r="AA18" i="191"/>
  <c r="V18" i="191"/>
  <c r="O18" i="191"/>
  <c r="N18" i="191"/>
  <c r="Q18" i="191" s="1"/>
  <c r="M18" i="191"/>
  <c r="K18" i="191"/>
  <c r="G18" i="191"/>
  <c r="O17" i="191"/>
  <c r="K17" i="191"/>
  <c r="V16" i="191"/>
  <c r="U16" i="191"/>
  <c r="O16" i="191"/>
  <c r="N16" i="191"/>
  <c r="Q16" i="191" s="1"/>
  <c r="M16" i="191"/>
  <c r="K16" i="191"/>
  <c r="G16" i="191"/>
  <c r="V15" i="191"/>
  <c r="U15" i="191"/>
  <c r="O15" i="191"/>
  <c r="M15" i="191"/>
  <c r="AB15" i="191" s="1"/>
  <c r="K15" i="191"/>
  <c r="G15" i="191"/>
  <c r="AB14" i="191"/>
  <c r="AA14" i="191"/>
  <c r="V14" i="191"/>
  <c r="U14" i="191"/>
  <c r="O14" i="191"/>
  <c r="N14" i="191"/>
  <c r="Q14" i="191" s="1"/>
  <c r="M14" i="191"/>
  <c r="K14" i="191"/>
  <c r="G14" i="191"/>
  <c r="AA13" i="191"/>
  <c r="V13" i="191"/>
  <c r="M13" i="191" s="1"/>
  <c r="U13" i="191"/>
  <c r="O13" i="191"/>
  <c r="K13" i="191"/>
  <c r="G13" i="191"/>
  <c r="AB12" i="191"/>
  <c r="AA12" i="191"/>
  <c r="V12" i="191"/>
  <c r="M12" i="191" s="1"/>
  <c r="O12" i="191"/>
  <c r="K12" i="191"/>
  <c r="G12" i="191"/>
  <c r="O11" i="191"/>
  <c r="M11" i="191"/>
  <c r="AB11" i="191" s="1"/>
  <c r="AC9" i="191" s="1"/>
  <c r="K11" i="191"/>
  <c r="AB10" i="191"/>
  <c r="AA10" i="191"/>
  <c r="V10" i="191"/>
  <c r="M10" i="191" s="1"/>
  <c r="N10" i="191" s="1"/>
  <c r="U10" i="191"/>
  <c r="Q10" i="191"/>
  <c r="P10" i="191"/>
  <c r="O10" i="191"/>
  <c r="K10" i="191"/>
  <c r="G10" i="191"/>
  <c r="AB9" i="191"/>
  <c r="X9" i="191"/>
  <c r="W9" i="191"/>
  <c r="V9" i="191"/>
  <c r="O9" i="191"/>
  <c r="N9" i="191"/>
  <c r="Q9" i="191" s="1"/>
  <c r="M9" i="191"/>
  <c r="AA9" i="191" s="1"/>
  <c r="K9" i="191"/>
  <c r="G9" i="191"/>
  <c r="O8" i="191"/>
  <c r="M8" i="191"/>
  <c r="AB8" i="191" s="1"/>
  <c r="AC5" i="191" s="1"/>
  <c r="K8" i="191"/>
  <c r="V7" i="191"/>
  <c r="U7" i="191"/>
  <c r="O7" i="191"/>
  <c r="N7" i="191"/>
  <c r="Q7" i="191" s="1"/>
  <c r="M7" i="191"/>
  <c r="K7" i="191"/>
  <c r="G7" i="191"/>
  <c r="AB6" i="191"/>
  <c r="AA6" i="191"/>
  <c r="V6" i="191"/>
  <c r="U6" i="191"/>
  <c r="O6" i="191"/>
  <c r="M6" i="191"/>
  <c r="N6" i="191" s="1"/>
  <c r="K6" i="191"/>
  <c r="G6" i="191"/>
  <c r="AA5" i="191"/>
  <c r="V5" i="191"/>
  <c r="O5" i="191"/>
  <c r="N5" i="191"/>
  <c r="P5" i="191" s="1"/>
  <c r="M5" i="191"/>
  <c r="AB5" i="191" s="1"/>
  <c r="K5" i="191"/>
  <c r="G5" i="191"/>
  <c r="F1" i="191" s="1"/>
  <c r="D1" i="191"/>
  <c r="M18" i="190"/>
  <c r="L18" i="190"/>
  <c r="K18" i="190"/>
  <c r="J18" i="190"/>
  <c r="I18" i="190"/>
  <c r="H18" i="190"/>
  <c r="G18" i="190"/>
  <c r="F18" i="190"/>
  <c r="E18" i="190"/>
  <c r="D18" i="190"/>
  <c r="M17" i="190"/>
  <c r="L17" i="190"/>
  <c r="K17" i="190"/>
  <c r="J17" i="190"/>
  <c r="I17" i="190"/>
  <c r="H17" i="190"/>
  <c r="G17" i="190"/>
  <c r="F17" i="190"/>
  <c r="E17" i="190"/>
  <c r="D17" i="190"/>
  <c r="M16" i="190"/>
  <c r="L16" i="190"/>
  <c r="K16" i="190"/>
  <c r="J16" i="190"/>
  <c r="I16" i="190"/>
  <c r="H16" i="190"/>
  <c r="G16" i="190"/>
  <c r="F16" i="190"/>
  <c r="E16" i="190"/>
  <c r="D16" i="190"/>
  <c r="L14" i="190"/>
  <c r="L15" i="190" s="1"/>
  <c r="M13" i="190"/>
  <c r="L13" i="190"/>
  <c r="K13" i="190"/>
  <c r="J13" i="190"/>
  <c r="I13" i="190"/>
  <c r="H13" i="190"/>
  <c r="G13" i="190"/>
  <c r="E6" i="190" s="1"/>
  <c r="F13" i="190"/>
  <c r="E13" i="190"/>
  <c r="D13" i="190"/>
  <c r="I6" i="190"/>
  <c r="G6" i="190"/>
  <c r="F6" i="190"/>
  <c r="F3" i="190"/>
  <c r="C3" i="190"/>
  <c r="F14" i="194" l="1"/>
  <c r="F15" i="194" s="1"/>
  <c r="Q17" i="195"/>
  <c r="R13" i="195" s="1"/>
  <c r="P17" i="195"/>
  <c r="Q55" i="195"/>
  <c r="R48" i="195" s="1"/>
  <c r="P55" i="195"/>
  <c r="H14" i="194"/>
  <c r="H15" i="194" s="1"/>
  <c r="Q80" i="195"/>
  <c r="R72" i="195" s="1"/>
  <c r="P80" i="195"/>
  <c r="M14" i="194"/>
  <c r="M15" i="194" s="1"/>
  <c r="D2" i="195"/>
  <c r="L14" i="194"/>
  <c r="L15" i="194" s="1"/>
  <c r="Q47" i="195"/>
  <c r="R36" i="195" s="1"/>
  <c r="P47" i="195"/>
  <c r="D15" i="194"/>
  <c r="K14" i="194"/>
  <c r="Q35" i="195"/>
  <c r="R27" i="195" s="1"/>
  <c r="P35" i="195"/>
  <c r="E14" i="194"/>
  <c r="E15" i="194" s="1"/>
  <c r="Q12" i="195"/>
  <c r="R10" i="195" s="1"/>
  <c r="P12" i="195"/>
  <c r="Q71" i="195"/>
  <c r="R65" i="195" s="1"/>
  <c r="P71" i="195"/>
  <c r="J14" i="194"/>
  <c r="J15" i="194" s="1"/>
  <c r="G14" i="194"/>
  <c r="G15" i="194" s="1"/>
  <c r="Q26" i="195"/>
  <c r="R18" i="195" s="1"/>
  <c r="P26" i="195"/>
  <c r="Q43" i="193"/>
  <c r="P43" i="193"/>
  <c r="Q76" i="193"/>
  <c r="P76" i="193"/>
  <c r="N19" i="193"/>
  <c r="AB19" i="193"/>
  <c r="AC12" i="193" s="1"/>
  <c r="AA19" i="193"/>
  <c r="AB38" i="193"/>
  <c r="AC29" i="193" s="1"/>
  <c r="AA38" i="193"/>
  <c r="N38" i="193"/>
  <c r="Q73" i="193"/>
  <c r="P73" i="193"/>
  <c r="Q74" i="193"/>
  <c r="P74" i="193"/>
  <c r="Q56" i="193"/>
  <c r="P56" i="193"/>
  <c r="Q11" i="193"/>
  <c r="R9" i="193" s="1"/>
  <c r="E14" i="192"/>
  <c r="E15" i="192" s="1"/>
  <c r="P11" i="193"/>
  <c r="AB68" i="193"/>
  <c r="AC62" i="193" s="1"/>
  <c r="AA68" i="193"/>
  <c r="N68" i="193"/>
  <c r="Q7" i="193"/>
  <c r="P7" i="193"/>
  <c r="Q45" i="193"/>
  <c r="P45" i="193"/>
  <c r="Q69" i="193"/>
  <c r="P69" i="193"/>
  <c r="Q49" i="193"/>
  <c r="P49" i="193"/>
  <c r="P58" i="193"/>
  <c r="Q58" i="193"/>
  <c r="Q33" i="193"/>
  <c r="P33" i="193"/>
  <c r="Q13" i="193"/>
  <c r="P13" i="193"/>
  <c r="Q36" i="193"/>
  <c r="P36" i="193"/>
  <c r="Q63" i="193"/>
  <c r="P63" i="193"/>
  <c r="N61" i="193"/>
  <c r="AB61" i="193"/>
  <c r="AC55" i="193" s="1"/>
  <c r="AA61" i="193"/>
  <c r="AB54" i="193"/>
  <c r="AC48" i="193" s="1"/>
  <c r="AA54" i="193"/>
  <c r="N54" i="193"/>
  <c r="Q51" i="193"/>
  <c r="P51" i="193"/>
  <c r="Q64" i="193"/>
  <c r="P64" i="193"/>
  <c r="AB28" i="193"/>
  <c r="AC20" i="193" s="1"/>
  <c r="AA28" i="193"/>
  <c r="N28" i="193"/>
  <c r="AB77" i="193"/>
  <c r="AC69" i="193" s="1"/>
  <c r="AA77" i="193"/>
  <c r="N77" i="193"/>
  <c r="Q5" i="193"/>
  <c r="P5" i="193"/>
  <c r="Q24" i="193"/>
  <c r="P24" i="193"/>
  <c r="Q29" i="193"/>
  <c r="P29" i="193"/>
  <c r="P15" i="193"/>
  <c r="Q15" i="193"/>
  <c r="AA8" i="193"/>
  <c r="N8" i="193"/>
  <c r="AB8" i="193"/>
  <c r="AC5" i="193" s="1"/>
  <c r="Q42" i="193"/>
  <c r="P42" i="193"/>
  <c r="Q9" i="193"/>
  <c r="P9" i="193"/>
  <c r="F2" i="191"/>
  <c r="I3" i="190"/>
  <c r="Q38" i="191"/>
  <c r="P38" i="191"/>
  <c r="N52" i="191"/>
  <c r="AB52" i="191"/>
  <c r="AA52" i="191"/>
  <c r="P16" i="191"/>
  <c r="N66" i="191"/>
  <c r="Q66" i="191" s="1"/>
  <c r="AB66" i="191"/>
  <c r="Q49" i="191"/>
  <c r="P14" i="191"/>
  <c r="P64" i="191"/>
  <c r="P9" i="191"/>
  <c r="AA66" i="191"/>
  <c r="P47" i="191"/>
  <c r="AB21" i="191"/>
  <c r="AA21" i="191"/>
  <c r="Q45" i="191"/>
  <c r="P45" i="191"/>
  <c r="N57" i="191"/>
  <c r="M63" i="191"/>
  <c r="N21" i="191"/>
  <c r="Q21" i="191" s="1"/>
  <c r="Q36" i="191"/>
  <c r="P62" i="191"/>
  <c r="Q5" i="191"/>
  <c r="P7" i="191"/>
  <c r="P31" i="191"/>
  <c r="P60" i="191"/>
  <c r="P29" i="191"/>
  <c r="Q41" i="191"/>
  <c r="R35" i="191" s="1"/>
  <c r="P58" i="191"/>
  <c r="P69" i="191"/>
  <c r="AA41" i="191"/>
  <c r="N8" i="191"/>
  <c r="D14" i="190" s="1"/>
  <c r="AB41" i="191"/>
  <c r="AC35" i="191" s="1"/>
  <c r="AA8" i="191"/>
  <c r="P18" i="191"/>
  <c r="P20" i="191"/>
  <c r="P51" i="191"/>
  <c r="P25" i="191"/>
  <c r="Q6" i="191"/>
  <c r="P6" i="191"/>
  <c r="AB7" i="191"/>
  <c r="AA7" i="191"/>
  <c r="AA11" i="191"/>
  <c r="N11" i="191"/>
  <c r="E14" i="190" s="1"/>
  <c r="E15" i="190" s="1"/>
  <c r="N12" i="191"/>
  <c r="M17" i="191"/>
  <c r="AB13" i="191"/>
  <c r="N13" i="191"/>
  <c r="AB16" i="191"/>
  <c r="AA16" i="191"/>
  <c r="M26" i="191"/>
  <c r="AB18" i="191"/>
  <c r="AB20" i="191"/>
  <c r="AA20" i="191"/>
  <c r="Q22" i="191"/>
  <c r="P22" i="191"/>
  <c r="Q24" i="191"/>
  <c r="P24" i="191"/>
  <c r="M34" i="191"/>
  <c r="N27" i="191"/>
  <c r="AA28" i="191"/>
  <c r="N28" i="191"/>
  <c r="AB29" i="191"/>
  <c r="AA29" i="191"/>
  <c r="Q30" i="191"/>
  <c r="P30" i="191"/>
  <c r="AB31" i="191"/>
  <c r="AA31" i="191"/>
  <c r="AB33" i="191"/>
  <c r="N33" i="191"/>
  <c r="AB35" i="191"/>
  <c r="AA35" i="191"/>
  <c r="N35" i="191"/>
  <c r="AB36" i="191"/>
  <c r="AA36" i="191"/>
  <c r="AB38" i="191"/>
  <c r="AA38" i="191"/>
  <c r="Q39" i="191"/>
  <c r="P39" i="191"/>
  <c r="Q40" i="191"/>
  <c r="P40" i="191"/>
  <c r="AB48" i="191"/>
  <c r="AC42" i="191" s="1"/>
  <c r="AA48" i="191"/>
  <c r="AB44" i="191"/>
  <c r="AA44" i="191"/>
  <c r="N44" i="191"/>
  <c r="AA46" i="191"/>
  <c r="N46" i="191"/>
  <c r="AB47" i="191"/>
  <c r="AA47" i="191"/>
  <c r="Q48" i="191"/>
  <c r="R42" i="191" s="1"/>
  <c r="H14" i="190"/>
  <c r="H15" i="190" s="1"/>
  <c r="M56" i="191"/>
  <c r="AB49" i="191"/>
  <c r="AA49" i="191"/>
  <c r="Q50" i="191"/>
  <c r="P50" i="191"/>
  <c r="AB51" i="191"/>
  <c r="AA51" i="191"/>
  <c r="Q53" i="191"/>
  <c r="P53" i="191"/>
  <c r="AB55" i="191"/>
  <c r="N55" i="191"/>
  <c r="Q57" i="191"/>
  <c r="P57" i="191"/>
  <c r="AB60" i="191"/>
  <c r="AA60" i="191"/>
  <c r="AB62" i="191"/>
  <c r="AA62" i="191"/>
  <c r="M70" i="191"/>
  <c r="N70" i="191" s="1"/>
  <c r="AB64" i="191"/>
  <c r="AA64" i="191"/>
  <c r="AA68" i="191"/>
  <c r="N68" i="191"/>
  <c r="AB69" i="191"/>
  <c r="AA69" i="191"/>
  <c r="N15" i="191"/>
  <c r="N59" i="191"/>
  <c r="AA15" i="191"/>
  <c r="AA59" i="191"/>
  <c r="O70" i="189"/>
  <c r="M70" i="189"/>
  <c r="AB70" i="189" s="1"/>
  <c r="AC64" i="189" s="1"/>
  <c r="K70" i="189"/>
  <c r="AB69" i="189"/>
  <c r="AA69" i="189"/>
  <c r="V69" i="189"/>
  <c r="U69" i="189"/>
  <c r="O69" i="189"/>
  <c r="N69" i="189"/>
  <c r="Q69" i="189" s="1"/>
  <c r="M69" i="189"/>
  <c r="K69" i="189"/>
  <c r="G69" i="189"/>
  <c r="AB68" i="189"/>
  <c r="AA68" i="189"/>
  <c r="X68" i="189"/>
  <c r="W68" i="189"/>
  <c r="V68" i="189"/>
  <c r="U68" i="189"/>
  <c r="O68" i="189"/>
  <c r="M68" i="189"/>
  <c r="N68" i="189" s="1"/>
  <c r="K68" i="189"/>
  <c r="G68" i="189"/>
  <c r="AB67" i="189"/>
  <c r="AA67" i="189"/>
  <c r="V67" i="189"/>
  <c r="U67" i="189"/>
  <c r="O67" i="189"/>
  <c r="N67" i="189"/>
  <c r="Q67" i="189" s="1"/>
  <c r="M67" i="189"/>
  <c r="K67" i="189"/>
  <c r="G67" i="189"/>
  <c r="AB66" i="189"/>
  <c r="AA66" i="189"/>
  <c r="V66" i="189"/>
  <c r="U66" i="189"/>
  <c r="O66" i="189"/>
  <c r="M66" i="189"/>
  <c r="N66" i="189" s="1"/>
  <c r="K66" i="189"/>
  <c r="G66" i="189"/>
  <c r="AB65" i="189"/>
  <c r="AA65" i="189"/>
  <c r="V65" i="189"/>
  <c r="U65" i="189"/>
  <c r="O65" i="189"/>
  <c r="M65" i="189"/>
  <c r="N65" i="189" s="1"/>
  <c r="K65" i="189"/>
  <c r="G65" i="189"/>
  <c r="AB64" i="189"/>
  <c r="AA64" i="189"/>
  <c r="X64" i="189"/>
  <c r="W64" i="189"/>
  <c r="V64" i="189"/>
  <c r="O64" i="189"/>
  <c r="N64" i="189"/>
  <c r="Q64" i="189" s="1"/>
  <c r="M64" i="189"/>
  <c r="K64" i="189"/>
  <c r="G64" i="189"/>
  <c r="AB63" i="189"/>
  <c r="AA63" i="189"/>
  <c r="O63" i="189"/>
  <c r="M63" i="189"/>
  <c r="N63" i="189" s="1"/>
  <c r="K63" i="189"/>
  <c r="AB62" i="189"/>
  <c r="AA62" i="189"/>
  <c r="V62" i="189"/>
  <c r="U62" i="189"/>
  <c r="O62" i="189"/>
  <c r="N62" i="189"/>
  <c r="P62" i="189" s="1"/>
  <c r="M62" i="189"/>
  <c r="K62" i="189"/>
  <c r="G62" i="189"/>
  <c r="AB61" i="189"/>
  <c r="AA61" i="189"/>
  <c r="V61" i="189"/>
  <c r="U61" i="189"/>
  <c r="Q61" i="189"/>
  <c r="P61" i="189"/>
  <c r="O61" i="189"/>
  <c r="N61" i="189"/>
  <c r="M61" i="189"/>
  <c r="K61" i="189"/>
  <c r="G61" i="189"/>
  <c r="AB60" i="189"/>
  <c r="AA60" i="189"/>
  <c r="V60" i="189"/>
  <c r="U60" i="189"/>
  <c r="O60" i="189"/>
  <c r="N60" i="189"/>
  <c r="Q60" i="189" s="1"/>
  <c r="M60" i="189"/>
  <c r="K60" i="189"/>
  <c r="G60" i="189"/>
  <c r="AB59" i="189"/>
  <c r="AA59" i="189"/>
  <c r="V59" i="189"/>
  <c r="U59" i="189"/>
  <c r="O59" i="189"/>
  <c r="N59" i="189"/>
  <c r="Q59" i="189" s="1"/>
  <c r="M59" i="189"/>
  <c r="K59" i="189"/>
  <c r="G59" i="189"/>
  <c r="AB58" i="189"/>
  <c r="AA58" i="189"/>
  <c r="V58" i="189"/>
  <c r="U58" i="189"/>
  <c r="O58" i="189"/>
  <c r="N58" i="189"/>
  <c r="Q58" i="189" s="1"/>
  <c r="M58" i="189"/>
  <c r="K58" i="189"/>
  <c r="G58" i="189"/>
  <c r="AC57" i="189"/>
  <c r="AB57" i="189"/>
  <c r="AA57" i="189"/>
  <c r="V57" i="189"/>
  <c r="O57" i="189"/>
  <c r="N57" i="189"/>
  <c r="Q57" i="189" s="1"/>
  <c r="M57" i="189"/>
  <c r="K57" i="189"/>
  <c r="G57" i="189"/>
  <c r="AB56" i="189"/>
  <c r="AC49" i="189" s="1"/>
  <c r="AA56" i="189"/>
  <c r="O56" i="189"/>
  <c r="M56" i="189"/>
  <c r="N56" i="189" s="1"/>
  <c r="K56" i="189"/>
  <c r="AB55" i="189"/>
  <c r="AA55" i="189"/>
  <c r="V55" i="189"/>
  <c r="U55" i="189"/>
  <c r="O55" i="189"/>
  <c r="M55" i="189"/>
  <c r="N55" i="189" s="1"/>
  <c r="K55" i="189"/>
  <c r="G55" i="189"/>
  <c r="AB54" i="189"/>
  <c r="AA54" i="189"/>
  <c r="V54" i="189"/>
  <c r="U54" i="189"/>
  <c r="O54" i="189"/>
  <c r="M54" i="189"/>
  <c r="N54" i="189" s="1"/>
  <c r="K54" i="189"/>
  <c r="G54" i="189"/>
  <c r="AB53" i="189"/>
  <c r="AA53" i="189"/>
  <c r="V53" i="189"/>
  <c r="U53" i="189"/>
  <c r="Q53" i="189"/>
  <c r="P53" i="189"/>
  <c r="O53" i="189"/>
  <c r="N53" i="189"/>
  <c r="M53" i="189"/>
  <c r="K53" i="189"/>
  <c r="G53" i="189"/>
  <c r="AB52" i="189"/>
  <c r="AA52" i="189"/>
  <c r="V52" i="189"/>
  <c r="U52" i="189"/>
  <c r="O52" i="189"/>
  <c r="N52" i="189"/>
  <c r="P52" i="189" s="1"/>
  <c r="M52" i="189"/>
  <c r="K52" i="189"/>
  <c r="G52" i="189"/>
  <c r="AB51" i="189"/>
  <c r="AA51" i="189"/>
  <c r="V51" i="189"/>
  <c r="U51" i="189"/>
  <c r="Q51" i="189"/>
  <c r="P51" i="189"/>
  <c r="O51" i="189"/>
  <c r="N51" i="189"/>
  <c r="M51" i="189"/>
  <c r="K51" i="189"/>
  <c r="G51" i="189"/>
  <c r="AB50" i="189"/>
  <c r="AA50" i="189"/>
  <c r="V50" i="189"/>
  <c r="U50" i="189"/>
  <c r="O50" i="189"/>
  <c r="N50" i="189"/>
  <c r="Q50" i="189" s="1"/>
  <c r="M50" i="189"/>
  <c r="K50" i="189"/>
  <c r="G50" i="189"/>
  <c r="AB49" i="189"/>
  <c r="AA49" i="189"/>
  <c r="V49" i="189"/>
  <c r="O49" i="189"/>
  <c r="N49" i="189"/>
  <c r="Q49" i="189" s="1"/>
  <c r="M49" i="189"/>
  <c r="K49" i="189"/>
  <c r="G49" i="189"/>
  <c r="O48" i="189"/>
  <c r="M48" i="189"/>
  <c r="AB48" i="189" s="1"/>
  <c r="AC42" i="189" s="1"/>
  <c r="K48" i="189"/>
  <c r="AB47" i="189"/>
  <c r="AA47" i="189"/>
  <c r="V47" i="189"/>
  <c r="U47" i="189"/>
  <c r="O47" i="189"/>
  <c r="M47" i="189"/>
  <c r="N47" i="189" s="1"/>
  <c r="K47" i="189"/>
  <c r="G47" i="189"/>
  <c r="AB46" i="189"/>
  <c r="AA46" i="189"/>
  <c r="V46" i="189"/>
  <c r="U46" i="189"/>
  <c r="O46" i="189"/>
  <c r="M46" i="189"/>
  <c r="N46" i="189" s="1"/>
  <c r="K46" i="189"/>
  <c r="G46" i="189"/>
  <c r="AB45" i="189"/>
  <c r="AA45" i="189"/>
  <c r="V45" i="189"/>
  <c r="U45" i="189"/>
  <c r="Q45" i="189"/>
  <c r="P45" i="189"/>
  <c r="O45" i="189"/>
  <c r="N45" i="189"/>
  <c r="M45" i="189"/>
  <c r="K45" i="189"/>
  <c r="G45" i="189"/>
  <c r="AB44" i="189"/>
  <c r="AA44" i="189"/>
  <c r="V44" i="189"/>
  <c r="U44" i="189"/>
  <c r="O44" i="189"/>
  <c r="M44" i="189"/>
  <c r="N44" i="189" s="1"/>
  <c r="K44" i="189"/>
  <c r="G44" i="189"/>
  <c r="AB43" i="189"/>
  <c r="AA43" i="189"/>
  <c r="V43" i="189"/>
  <c r="U43" i="189"/>
  <c r="Q43" i="189"/>
  <c r="P43" i="189"/>
  <c r="O43" i="189"/>
  <c r="N43" i="189"/>
  <c r="M43" i="189"/>
  <c r="K43" i="189"/>
  <c r="G43" i="189"/>
  <c r="AB42" i="189"/>
  <c r="AA42" i="189"/>
  <c r="X42" i="189"/>
  <c r="W42" i="189"/>
  <c r="V42" i="189"/>
  <c r="Q42" i="189"/>
  <c r="P42" i="189"/>
  <c r="O42" i="189"/>
  <c r="N42" i="189"/>
  <c r="M42" i="189"/>
  <c r="K42" i="189"/>
  <c r="G42" i="189"/>
  <c r="O41" i="189"/>
  <c r="N41" i="189"/>
  <c r="P41" i="189" s="1"/>
  <c r="M41" i="189"/>
  <c r="AB41" i="189" s="1"/>
  <c r="AC35" i="189" s="1"/>
  <c r="K41" i="189"/>
  <c r="AB40" i="189"/>
  <c r="AA40" i="189"/>
  <c r="V40" i="189"/>
  <c r="U40" i="189"/>
  <c r="O40" i="189"/>
  <c r="N40" i="189"/>
  <c r="Q40" i="189" s="1"/>
  <c r="M40" i="189"/>
  <c r="K40" i="189"/>
  <c r="G40" i="189"/>
  <c r="AB39" i="189"/>
  <c r="AA39" i="189"/>
  <c r="V39" i="189"/>
  <c r="U39" i="189"/>
  <c r="O39" i="189"/>
  <c r="N39" i="189"/>
  <c r="Q39" i="189" s="1"/>
  <c r="M39" i="189"/>
  <c r="K39" i="189"/>
  <c r="G39" i="189"/>
  <c r="AB38" i="189"/>
  <c r="AA38" i="189"/>
  <c r="V38" i="189"/>
  <c r="U38" i="189"/>
  <c r="O38" i="189"/>
  <c r="N38" i="189"/>
  <c r="Q38" i="189" s="1"/>
  <c r="M38" i="189"/>
  <c r="K38" i="189"/>
  <c r="G38" i="189"/>
  <c r="AB37" i="189"/>
  <c r="AA37" i="189"/>
  <c r="V37" i="189"/>
  <c r="U37" i="189"/>
  <c r="O37" i="189"/>
  <c r="N37" i="189"/>
  <c r="Q37" i="189" s="1"/>
  <c r="M37" i="189"/>
  <c r="K37" i="189"/>
  <c r="G37" i="189"/>
  <c r="AB36" i="189"/>
  <c r="AA36" i="189"/>
  <c r="V36" i="189"/>
  <c r="U36" i="189"/>
  <c r="O36" i="189"/>
  <c r="M36" i="189"/>
  <c r="N36" i="189" s="1"/>
  <c r="K36" i="189"/>
  <c r="G36" i="189"/>
  <c r="AB35" i="189"/>
  <c r="AA35" i="189"/>
  <c r="X35" i="189"/>
  <c r="W35" i="189"/>
  <c r="V35" i="189"/>
  <c r="O35" i="189"/>
  <c r="N35" i="189"/>
  <c r="Q35" i="189" s="1"/>
  <c r="M35" i="189"/>
  <c r="K35" i="189"/>
  <c r="G35" i="189"/>
  <c r="AB34" i="189"/>
  <c r="AC27" i="189" s="1"/>
  <c r="AA34" i="189"/>
  <c r="O34" i="189"/>
  <c r="M34" i="189"/>
  <c r="N34" i="189" s="1"/>
  <c r="K34" i="189"/>
  <c r="AB33" i="189"/>
  <c r="AA33" i="189"/>
  <c r="V33" i="189"/>
  <c r="U33" i="189"/>
  <c r="O33" i="189"/>
  <c r="M33" i="189"/>
  <c r="N33" i="189" s="1"/>
  <c r="K33" i="189"/>
  <c r="G33" i="189"/>
  <c r="AB32" i="189"/>
  <c r="AA32" i="189"/>
  <c r="X32" i="189"/>
  <c r="W32" i="189"/>
  <c r="V32" i="189"/>
  <c r="U32" i="189"/>
  <c r="O32" i="189"/>
  <c r="M32" i="189"/>
  <c r="N32" i="189" s="1"/>
  <c r="K32" i="189"/>
  <c r="G32" i="189"/>
  <c r="AB31" i="189"/>
  <c r="AA31" i="189"/>
  <c r="V31" i="189"/>
  <c r="U31" i="189"/>
  <c r="O31" i="189"/>
  <c r="M31" i="189"/>
  <c r="N31" i="189" s="1"/>
  <c r="K31" i="189"/>
  <c r="G31" i="189"/>
  <c r="AB30" i="189"/>
  <c r="AA30" i="189"/>
  <c r="V30" i="189"/>
  <c r="U30" i="189"/>
  <c r="O30" i="189"/>
  <c r="M30" i="189"/>
  <c r="N30" i="189" s="1"/>
  <c r="K30" i="189"/>
  <c r="G30" i="189"/>
  <c r="AB29" i="189"/>
  <c r="AA29" i="189"/>
  <c r="V29" i="189"/>
  <c r="U29" i="189"/>
  <c r="Q29" i="189"/>
  <c r="P29" i="189"/>
  <c r="O29" i="189"/>
  <c r="N29" i="189"/>
  <c r="M29" i="189"/>
  <c r="K29" i="189"/>
  <c r="G29" i="189"/>
  <c r="AB28" i="189"/>
  <c r="AA28" i="189"/>
  <c r="V28" i="189"/>
  <c r="U28" i="189"/>
  <c r="O28" i="189"/>
  <c r="N28" i="189"/>
  <c r="Q28" i="189" s="1"/>
  <c r="M28" i="189"/>
  <c r="K28" i="189"/>
  <c r="G28" i="189"/>
  <c r="AB27" i="189"/>
  <c r="AA27" i="189"/>
  <c r="X27" i="189"/>
  <c r="W27" i="189"/>
  <c r="V27" i="189"/>
  <c r="O27" i="189"/>
  <c r="M27" i="189"/>
  <c r="N27" i="189" s="1"/>
  <c r="K27" i="189"/>
  <c r="G27" i="189"/>
  <c r="O26" i="189"/>
  <c r="M26" i="189"/>
  <c r="AB26" i="189" s="1"/>
  <c r="AC18" i="189" s="1"/>
  <c r="K26" i="189"/>
  <c r="AB25" i="189"/>
  <c r="AA25" i="189"/>
  <c r="V25" i="189"/>
  <c r="U25" i="189"/>
  <c r="O25" i="189"/>
  <c r="N25" i="189"/>
  <c r="Q25" i="189" s="1"/>
  <c r="M25" i="189"/>
  <c r="K25" i="189"/>
  <c r="G25" i="189"/>
  <c r="AB24" i="189"/>
  <c r="AA24" i="189"/>
  <c r="V24" i="189"/>
  <c r="U24" i="189"/>
  <c r="O24" i="189"/>
  <c r="N24" i="189"/>
  <c r="Q24" i="189" s="1"/>
  <c r="M24" i="189"/>
  <c r="K24" i="189"/>
  <c r="G24" i="189"/>
  <c r="AB23" i="189"/>
  <c r="AA23" i="189"/>
  <c r="V23" i="189"/>
  <c r="U23" i="189"/>
  <c r="O23" i="189"/>
  <c r="N23" i="189"/>
  <c r="Q23" i="189" s="1"/>
  <c r="M23" i="189"/>
  <c r="K23" i="189"/>
  <c r="G23" i="189"/>
  <c r="AB22" i="189"/>
  <c r="AA22" i="189"/>
  <c r="V22" i="189"/>
  <c r="U22" i="189"/>
  <c r="O22" i="189"/>
  <c r="N22" i="189"/>
  <c r="Q22" i="189" s="1"/>
  <c r="M22" i="189"/>
  <c r="K22" i="189"/>
  <c r="G22" i="189"/>
  <c r="AB21" i="189"/>
  <c r="AA21" i="189"/>
  <c r="V21" i="189"/>
  <c r="U21" i="189"/>
  <c r="O21" i="189"/>
  <c r="M21" i="189"/>
  <c r="N21" i="189" s="1"/>
  <c r="K21" i="189"/>
  <c r="G21" i="189"/>
  <c r="AB20" i="189"/>
  <c r="AA20" i="189"/>
  <c r="V20" i="189"/>
  <c r="U20" i="189"/>
  <c r="O20" i="189"/>
  <c r="M20" i="189"/>
  <c r="N20" i="189" s="1"/>
  <c r="K20" i="189"/>
  <c r="G20" i="189"/>
  <c r="AB19" i="189"/>
  <c r="AA19" i="189"/>
  <c r="V19" i="189"/>
  <c r="U19" i="189"/>
  <c r="O19" i="189"/>
  <c r="M19" i="189"/>
  <c r="N19" i="189" s="1"/>
  <c r="K19" i="189"/>
  <c r="G19" i="189"/>
  <c r="AB18" i="189"/>
  <c r="AA18" i="189"/>
  <c r="V18" i="189"/>
  <c r="O18" i="189"/>
  <c r="M18" i="189"/>
  <c r="N18" i="189" s="1"/>
  <c r="K18" i="189"/>
  <c r="G18" i="189"/>
  <c r="AB17" i="189"/>
  <c r="AA17" i="189"/>
  <c r="O17" i="189"/>
  <c r="N17" i="189"/>
  <c r="F14" i="188" s="1"/>
  <c r="F15" i="188" s="1"/>
  <c r="M17" i="189"/>
  <c r="K17" i="189"/>
  <c r="AB16" i="189"/>
  <c r="AA16" i="189"/>
  <c r="V16" i="189"/>
  <c r="U16" i="189"/>
  <c r="O16" i="189"/>
  <c r="N16" i="189"/>
  <c r="Q16" i="189" s="1"/>
  <c r="M16" i="189"/>
  <c r="K16" i="189"/>
  <c r="G16" i="189"/>
  <c r="AB15" i="189"/>
  <c r="AA15" i="189"/>
  <c r="V15" i="189"/>
  <c r="U15" i="189"/>
  <c r="O15" i="189"/>
  <c r="N15" i="189"/>
  <c r="Q15" i="189" s="1"/>
  <c r="M15" i="189"/>
  <c r="K15" i="189"/>
  <c r="G15" i="189"/>
  <c r="AB14" i="189"/>
  <c r="AA14" i="189"/>
  <c r="V14" i="189"/>
  <c r="U14" i="189"/>
  <c r="O14" i="189"/>
  <c r="N14" i="189"/>
  <c r="Q14" i="189" s="1"/>
  <c r="M14" i="189"/>
  <c r="K14" i="189"/>
  <c r="G14" i="189"/>
  <c r="AB13" i="189"/>
  <c r="AA13" i="189"/>
  <c r="V13" i="189"/>
  <c r="U13" i="189"/>
  <c r="O13" i="189"/>
  <c r="N13" i="189"/>
  <c r="Q13" i="189" s="1"/>
  <c r="M13" i="189"/>
  <c r="K13" i="189"/>
  <c r="G13" i="189"/>
  <c r="AC12" i="189"/>
  <c r="AB12" i="189"/>
  <c r="AA12" i="189"/>
  <c r="V12" i="189"/>
  <c r="O12" i="189"/>
  <c r="N12" i="189"/>
  <c r="Q12" i="189" s="1"/>
  <c r="M12" i="189"/>
  <c r="K12" i="189"/>
  <c r="G12" i="189"/>
  <c r="O11" i="189"/>
  <c r="K11" i="189"/>
  <c r="AB10" i="189"/>
  <c r="AA10" i="189"/>
  <c r="V10" i="189"/>
  <c r="U10" i="189"/>
  <c r="O10" i="189"/>
  <c r="M10" i="189"/>
  <c r="N10" i="189" s="1"/>
  <c r="K10" i="189"/>
  <c r="G10" i="189"/>
  <c r="AB9" i="189"/>
  <c r="AA9" i="189"/>
  <c r="X9" i="189"/>
  <c r="W9" i="189"/>
  <c r="V9" i="189"/>
  <c r="O9" i="189"/>
  <c r="M9" i="189"/>
  <c r="N9" i="189" s="1"/>
  <c r="K9" i="189"/>
  <c r="G9" i="189"/>
  <c r="AB8" i="189"/>
  <c r="AC5" i="189" s="1"/>
  <c r="AA8" i="189"/>
  <c r="Q8" i="189"/>
  <c r="R5" i="189" s="1"/>
  <c r="P8" i="189"/>
  <c r="O8" i="189"/>
  <c r="N8" i="189"/>
  <c r="M8" i="189"/>
  <c r="K8" i="189"/>
  <c r="AB7" i="189"/>
  <c r="AA7" i="189"/>
  <c r="V7" i="189"/>
  <c r="U7" i="189"/>
  <c r="Q7" i="189"/>
  <c r="P7" i="189"/>
  <c r="O7" i="189"/>
  <c r="N7" i="189"/>
  <c r="M7" i="189"/>
  <c r="K7" i="189"/>
  <c r="G7" i="189"/>
  <c r="AB6" i="189"/>
  <c r="AA6" i="189"/>
  <c r="V6" i="189"/>
  <c r="U6" i="189"/>
  <c r="O6" i="189"/>
  <c r="N6" i="189"/>
  <c r="Q6" i="189" s="1"/>
  <c r="M6" i="189"/>
  <c r="K6" i="189"/>
  <c r="G6" i="189"/>
  <c r="AB5" i="189"/>
  <c r="AA5" i="189"/>
  <c r="V5" i="189"/>
  <c r="O5" i="189"/>
  <c r="N5" i="189"/>
  <c r="Q5" i="189" s="1"/>
  <c r="M5" i="189"/>
  <c r="K5" i="189"/>
  <c r="G5" i="189"/>
  <c r="H2" i="189"/>
  <c r="H1" i="189"/>
  <c r="F1" i="189"/>
  <c r="F2" i="189" s="1"/>
  <c r="D1" i="189"/>
  <c r="M18" i="188"/>
  <c r="L18" i="188"/>
  <c r="K18" i="188"/>
  <c r="J18" i="188"/>
  <c r="I18" i="188"/>
  <c r="H18" i="188"/>
  <c r="G18" i="188"/>
  <c r="F18" i="188"/>
  <c r="E18" i="188"/>
  <c r="D18" i="188"/>
  <c r="M17" i="188"/>
  <c r="L17" i="188"/>
  <c r="K17" i="188"/>
  <c r="J17" i="188"/>
  <c r="I17" i="188"/>
  <c r="H17" i="188"/>
  <c r="G17" i="188"/>
  <c r="F17" i="188"/>
  <c r="E17" i="188"/>
  <c r="D17" i="188"/>
  <c r="M16" i="188"/>
  <c r="L16" i="188"/>
  <c r="K16" i="188"/>
  <c r="J16" i="188"/>
  <c r="I16" i="188"/>
  <c r="H16" i="188"/>
  <c r="G16" i="188"/>
  <c r="F16" i="188"/>
  <c r="E16" i="188"/>
  <c r="D16" i="188"/>
  <c r="D15" i="188"/>
  <c r="D14" i="188"/>
  <c r="M13" i="188"/>
  <c r="L13" i="188"/>
  <c r="K13" i="188"/>
  <c r="J13" i="188"/>
  <c r="I13" i="188"/>
  <c r="H13" i="188"/>
  <c r="G13" i="188"/>
  <c r="F6" i="188" s="1"/>
  <c r="F13" i="188"/>
  <c r="E13" i="188"/>
  <c r="D13" i="188"/>
  <c r="I6" i="188"/>
  <c r="I3" i="188"/>
  <c r="F3" i="188"/>
  <c r="C3" i="188"/>
  <c r="I7" i="194" l="1"/>
  <c r="K15" i="194"/>
  <c r="I8" i="194" s="1"/>
  <c r="E7" i="194"/>
  <c r="F7" i="194"/>
  <c r="G7" i="194"/>
  <c r="G8" i="194"/>
  <c r="F8" i="194"/>
  <c r="E8" i="194"/>
  <c r="M14" i="192"/>
  <c r="M15" i="192" s="1"/>
  <c r="Q77" i="193"/>
  <c r="R69" i="193" s="1"/>
  <c r="P77" i="193"/>
  <c r="G14" i="192"/>
  <c r="G15" i="192" s="1"/>
  <c r="Q28" i="193"/>
  <c r="R20" i="193" s="1"/>
  <c r="P28" i="193"/>
  <c r="K14" i="192"/>
  <c r="Q38" i="193"/>
  <c r="R29" i="193" s="1"/>
  <c r="P38" i="193"/>
  <c r="I14" i="192"/>
  <c r="I15" i="192" s="1"/>
  <c r="P61" i="193"/>
  <c r="Q61" i="193"/>
  <c r="R55" i="193" s="1"/>
  <c r="Q8" i="193"/>
  <c r="R5" i="193" s="1"/>
  <c r="P8" i="193"/>
  <c r="D14" i="192"/>
  <c r="H14" i="192"/>
  <c r="H15" i="192" s="1"/>
  <c r="P54" i="193"/>
  <c r="Q54" i="193"/>
  <c r="R48" i="193" s="1"/>
  <c r="Q19" i="193"/>
  <c r="R12" i="193" s="1"/>
  <c r="P19" i="193"/>
  <c r="F14" i="192"/>
  <c r="F15" i="192" s="1"/>
  <c r="Q68" i="193"/>
  <c r="R62" i="193" s="1"/>
  <c r="J14" i="192"/>
  <c r="J15" i="192" s="1"/>
  <c r="P68" i="193"/>
  <c r="D15" i="190"/>
  <c r="P44" i="191"/>
  <c r="Q44" i="191"/>
  <c r="Q59" i="191"/>
  <c r="P59" i="191"/>
  <c r="Q12" i="191"/>
  <c r="P12" i="191"/>
  <c r="Q15" i="191"/>
  <c r="P15" i="191"/>
  <c r="Q28" i="191"/>
  <c r="P28" i="191"/>
  <c r="N26" i="191"/>
  <c r="G14" i="190" s="1"/>
  <c r="G15" i="190" s="1"/>
  <c r="AB26" i="191"/>
  <c r="AC18" i="191" s="1"/>
  <c r="AA26" i="191"/>
  <c r="Q46" i="191"/>
  <c r="P46" i="191"/>
  <c r="Q27" i="191"/>
  <c r="P27" i="191"/>
  <c r="P68" i="191"/>
  <c r="Q68" i="191"/>
  <c r="AB34" i="191"/>
  <c r="AC27" i="191" s="1"/>
  <c r="AA34" i="191"/>
  <c r="N34" i="191"/>
  <c r="P8" i="191"/>
  <c r="Q8" i="191"/>
  <c r="R5" i="191" s="1"/>
  <c r="P66" i="191"/>
  <c r="P52" i="191"/>
  <c r="Q52" i="191"/>
  <c r="P21" i="191"/>
  <c r="AA63" i="191"/>
  <c r="AB63" i="191"/>
  <c r="AC57" i="191" s="1"/>
  <c r="N63" i="191"/>
  <c r="Q70" i="191"/>
  <c r="R64" i="191" s="1"/>
  <c r="P70" i="191"/>
  <c r="M14" i="190"/>
  <c r="M15" i="190" s="1"/>
  <c r="AB56" i="191"/>
  <c r="AC49" i="191" s="1"/>
  <c r="AA56" i="191"/>
  <c r="N56" i="191"/>
  <c r="AB70" i="191"/>
  <c r="AC64" i="191" s="1"/>
  <c r="AA70" i="191"/>
  <c r="Q55" i="191"/>
  <c r="P55" i="191"/>
  <c r="Q35" i="191"/>
  <c r="P35" i="191"/>
  <c r="Q33" i="191"/>
  <c r="P33" i="191"/>
  <c r="Q13" i="191"/>
  <c r="P13" i="191"/>
  <c r="AB17" i="191"/>
  <c r="AC12" i="191" s="1"/>
  <c r="AA17" i="191"/>
  <c r="N17" i="191"/>
  <c r="Q11" i="191"/>
  <c r="R9" i="191" s="1"/>
  <c r="P11" i="191"/>
  <c r="P27" i="189"/>
  <c r="Q27" i="189"/>
  <c r="P46" i="189"/>
  <c r="Q46" i="189"/>
  <c r="Q34" i="189"/>
  <c r="R27" i="189" s="1"/>
  <c r="K14" i="188"/>
  <c r="P34" i="189"/>
  <c r="Q68" i="189"/>
  <c r="P68" i="189"/>
  <c r="P30" i="189"/>
  <c r="Q30" i="189"/>
  <c r="P44" i="189"/>
  <c r="Q44" i="189"/>
  <c r="P9" i="189"/>
  <c r="Q9" i="189"/>
  <c r="P20" i="189"/>
  <c r="Q20" i="189"/>
  <c r="Q36" i="189"/>
  <c r="P36" i="189"/>
  <c r="Q21" i="189"/>
  <c r="P21" i="189"/>
  <c r="Q55" i="189"/>
  <c r="P55" i="189"/>
  <c r="Q33" i="189"/>
  <c r="P33" i="189"/>
  <c r="P54" i="189"/>
  <c r="Q54" i="189"/>
  <c r="Q18" i="189"/>
  <c r="P18" i="189"/>
  <c r="Q65" i="189"/>
  <c r="P65" i="189"/>
  <c r="Q19" i="189"/>
  <c r="P19" i="189"/>
  <c r="P32" i="189"/>
  <c r="Q32" i="189"/>
  <c r="Q10" i="189"/>
  <c r="P10" i="189"/>
  <c r="P31" i="189"/>
  <c r="Q31" i="189"/>
  <c r="Q56" i="189"/>
  <c r="R49" i="189" s="1"/>
  <c r="P56" i="189"/>
  <c r="I14" i="188"/>
  <c r="I15" i="188" s="1"/>
  <c r="Q47" i="189"/>
  <c r="P47" i="189"/>
  <c r="J14" i="188"/>
  <c r="J15" i="188" s="1"/>
  <c r="P63" i="189"/>
  <c r="Q63" i="189"/>
  <c r="R57" i="189" s="1"/>
  <c r="P66" i="189"/>
  <c r="Q66" i="189"/>
  <c r="P17" i="189"/>
  <c r="P28" i="189"/>
  <c r="G6" i="188"/>
  <c r="L14" i="188"/>
  <c r="L15" i="188" s="1"/>
  <c r="N26" i="189"/>
  <c r="Q17" i="189"/>
  <c r="R12" i="189" s="1"/>
  <c r="Q41" i="189"/>
  <c r="R35" i="189" s="1"/>
  <c r="Q52" i="189"/>
  <c r="Q62" i="189"/>
  <c r="P5" i="189"/>
  <c r="P6" i="189"/>
  <c r="P16" i="189"/>
  <c r="P40" i="189"/>
  <c r="AA41" i="189"/>
  <c r="P49" i="189"/>
  <c r="P50" i="189"/>
  <c r="P60" i="189"/>
  <c r="E6" i="188"/>
  <c r="P15" i="189"/>
  <c r="P25" i="189"/>
  <c r="AA26" i="189"/>
  <c r="P39" i="189"/>
  <c r="N48" i="189"/>
  <c r="P59" i="189"/>
  <c r="N70" i="189"/>
  <c r="P14" i="189"/>
  <c r="P24" i="189"/>
  <c r="P35" i="189"/>
  <c r="P38" i="189"/>
  <c r="P57" i="189"/>
  <c r="P58" i="189"/>
  <c r="M11" i="189"/>
  <c r="P12" i="189"/>
  <c r="P13" i="189"/>
  <c r="P23" i="189"/>
  <c r="P37" i="189"/>
  <c r="P22" i="189"/>
  <c r="AA48" i="189"/>
  <c r="P64" i="189"/>
  <c r="P67" i="189"/>
  <c r="P69" i="189"/>
  <c r="AA70" i="189"/>
  <c r="O74" i="187"/>
  <c r="K74" i="187"/>
  <c r="V73" i="187"/>
  <c r="M73" i="187" s="1"/>
  <c r="U73" i="187"/>
  <c r="O73" i="187"/>
  <c r="K73" i="187"/>
  <c r="G73" i="187"/>
  <c r="V72" i="187"/>
  <c r="M72" i="187" s="1"/>
  <c r="U72" i="187"/>
  <c r="O72" i="187"/>
  <c r="K72" i="187"/>
  <c r="G72" i="187"/>
  <c r="X71" i="187"/>
  <c r="W71" i="187"/>
  <c r="V71" i="187"/>
  <c r="M71" i="187" s="1"/>
  <c r="U71" i="187"/>
  <c r="O71" i="187"/>
  <c r="K71" i="187"/>
  <c r="G71" i="187"/>
  <c r="V70" i="187"/>
  <c r="M70" i="187" s="1"/>
  <c r="U70" i="187"/>
  <c r="O70" i="187"/>
  <c r="K70" i="187"/>
  <c r="G70" i="187"/>
  <c r="V69" i="187"/>
  <c r="M69" i="187" s="1"/>
  <c r="U69" i="187"/>
  <c r="O69" i="187"/>
  <c r="K69" i="187"/>
  <c r="G69" i="187"/>
  <c r="V68" i="187"/>
  <c r="M68" i="187" s="1"/>
  <c r="U68" i="187"/>
  <c r="O68" i="187"/>
  <c r="K68" i="187"/>
  <c r="G68" i="187"/>
  <c r="X67" i="187"/>
  <c r="W67" i="187"/>
  <c r="V67" i="187"/>
  <c r="M67" i="187" s="1"/>
  <c r="O67" i="187"/>
  <c r="K67" i="187"/>
  <c r="G67" i="187"/>
  <c r="O66" i="187"/>
  <c r="K66" i="187"/>
  <c r="V65" i="187"/>
  <c r="U65" i="187"/>
  <c r="O65" i="187"/>
  <c r="M65" i="187"/>
  <c r="AB65" i="187" s="1"/>
  <c r="K65" i="187"/>
  <c r="G65" i="187"/>
  <c r="V64" i="187"/>
  <c r="U64" i="187"/>
  <c r="O64" i="187"/>
  <c r="N64" i="187"/>
  <c r="Q64" i="187" s="1"/>
  <c r="M64" i="187"/>
  <c r="AB64" i="187" s="1"/>
  <c r="K64" i="187"/>
  <c r="G64" i="187"/>
  <c r="V63" i="187"/>
  <c r="U63" i="187"/>
  <c r="O63" i="187"/>
  <c r="M63" i="187"/>
  <c r="AB63" i="187" s="1"/>
  <c r="K63" i="187"/>
  <c r="G63" i="187"/>
  <c r="AB62" i="187"/>
  <c r="V62" i="187"/>
  <c r="U62" i="187"/>
  <c r="O62" i="187"/>
  <c r="M62" i="187"/>
  <c r="AA62" i="187" s="1"/>
  <c r="K62" i="187"/>
  <c r="G62" i="187"/>
  <c r="AB61" i="187"/>
  <c r="AA61" i="187"/>
  <c r="V61" i="187"/>
  <c r="U61" i="187"/>
  <c r="O61" i="187"/>
  <c r="M61" i="187"/>
  <c r="N61" i="187" s="1"/>
  <c r="K61" i="187"/>
  <c r="G61" i="187"/>
  <c r="AB60" i="187"/>
  <c r="AA60" i="187"/>
  <c r="V60" i="187"/>
  <c r="O60" i="187"/>
  <c r="M60" i="187"/>
  <c r="M66" i="187" s="1"/>
  <c r="K60" i="187"/>
  <c r="G60" i="187"/>
  <c r="O59" i="187"/>
  <c r="K59" i="187"/>
  <c r="V58" i="187"/>
  <c r="M58" i="187" s="1"/>
  <c r="U58" i="187"/>
  <c r="O58" i="187"/>
  <c r="K58" i="187"/>
  <c r="G58" i="187"/>
  <c r="V57" i="187"/>
  <c r="M57" i="187" s="1"/>
  <c r="U57" i="187"/>
  <c r="O57" i="187"/>
  <c r="K57" i="187"/>
  <c r="G57" i="187"/>
  <c r="V56" i="187"/>
  <c r="U56" i="187"/>
  <c r="P56" i="187"/>
  <c r="O56" i="187"/>
  <c r="N56" i="187"/>
  <c r="Q56" i="187" s="1"/>
  <c r="M56" i="187"/>
  <c r="AB56" i="187" s="1"/>
  <c r="K56" i="187"/>
  <c r="G56" i="187"/>
  <c r="V55" i="187"/>
  <c r="U55" i="187"/>
  <c r="O55" i="187"/>
  <c r="M55" i="187"/>
  <c r="AB55" i="187" s="1"/>
  <c r="K55" i="187"/>
  <c r="G55" i="187"/>
  <c r="V54" i="187"/>
  <c r="U54" i="187"/>
  <c r="O54" i="187"/>
  <c r="N54" i="187"/>
  <c r="Q54" i="187" s="1"/>
  <c r="M54" i="187"/>
  <c r="AB54" i="187" s="1"/>
  <c r="K54" i="187"/>
  <c r="G54" i="187"/>
  <c r="V53" i="187"/>
  <c r="U53" i="187"/>
  <c r="O53" i="187"/>
  <c r="M53" i="187"/>
  <c r="AB53" i="187" s="1"/>
  <c r="K53" i="187"/>
  <c r="G53" i="187"/>
  <c r="V52" i="187"/>
  <c r="O52" i="187"/>
  <c r="M52" i="187"/>
  <c r="AB52" i="187" s="1"/>
  <c r="K52" i="187"/>
  <c r="G52" i="187"/>
  <c r="O51" i="187"/>
  <c r="K51" i="187"/>
  <c r="V50" i="187"/>
  <c r="M50" i="187" s="1"/>
  <c r="U50" i="187"/>
  <c r="O50" i="187"/>
  <c r="K50" i="187"/>
  <c r="G50" i="187"/>
  <c r="V49" i="187"/>
  <c r="M49" i="187" s="1"/>
  <c r="U49" i="187"/>
  <c r="O49" i="187"/>
  <c r="K49" i="187"/>
  <c r="G49" i="187"/>
  <c r="V48" i="187"/>
  <c r="M48" i="187" s="1"/>
  <c r="U48" i="187"/>
  <c r="O48" i="187"/>
  <c r="K48" i="187"/>
  <c r="G48" i="187"/>
  <c r="V47" i="187"/>
  <c r="M47" i="187" s="1"/>
  <c r="U47" i="187"/>
  <c r="O47" i="187"/>
  <c r="K47" i="187"/>
  <c r="G47" i="187"/>
  <c r="V46" i="187"/>
  <c r="U46" i="187"/>
  <c r="P46" i="187"/>
  <c r="O46" i="187"/>
  <c r="N46" i="187"/>
  <c r="Q46" i="187" s="1"/>
  <c r="M46" i="187"/>
  <c r="AB46" i="187" s="1"/>
  <c r="K46" i="187"/>
  <c r="G46" i="187"/>
  <c r="X45" i="187"/>
  <c r="W45" i="187"/>
  <c r="V45" i="187"/>
  <c r="M45" i="187" s="1"/>
  <c r="O45" i="187"/>
  <c r="K45" i="187"/>
  <c r="G45" i="187"/>
  <c r="O44" i="187"/>
  <c r="K44" i="187"/>
  <c r="V43" i="187"/>
  <c r="U43" i="187"/>
  <c r="O43" i="187"/>
  <c r="M43" i="187"/>
  <c r="AB43" i="187" s="1"/>
  <c r="K43" i="187"/>
  <c r="G43" i="187"/>
  <c r="AB42" i="187"/>
  <c r="V42" i="187"/>
  <c r="U42" i="187"/>
  <c r="O42" i="187"/>
  <c r="N42" i="187"/>
  <c r="Q42" i="187" s="1"/>
  <c r="M42" i="187"/>
  <c r="AA42" i="187" s="1"/>
  <c r="K42" i="187"/>
  <c r="G42" i="187"/>
  <c r="X41" i="187"/>
  <c r="W41" i="187"/>
  <c r="V41" i="187"/>
  <c r="U41" i="187"/>
  <c r="O41" i="187"/>
  <c r="M41" i="187"/>
  <c r="N41" i="187" s="1"/>
  <c r="K41" i="187"/>
  <c r="G41" i="187"/>
  <c r="AB40" i="187"/>
  <c r="V40" i="187"/>
  <c r="U40" i="187"/>
  <c r="O40" i="187"/>
  <c r="N40" i="187"/>
  <c r="Q40" i="187" s="1"/>
  <c r="M40" i="187"/>
  <c r="AA40" i="187" s="1"/>
  <c r="K40" i="187"/>
  <c r="G40" i="187"/>
  <c r="AB39" i="187"/>
  <c r="AA39" i="187"/>
  <c r="V39" i="187"/>
  <c r="U39" i="187"/>
  <c r="O39" i="187"/>
  <c r="M39" i="187"/>
  <c r="N39" i="187" s="1"/>
  <c r="K39" i="187"/>
  <c r="G39" i="187"/>
  <c r="V38" i="187"/>
  <c r="M38" i="187" s="1"/>
  <c r="U38" i="187"/>
  <c r="O38" i="187"/>
  <c r="K38" i="187"/>
  <c r="G38" i="187"/>
  <c r="V37" i="187"/>
  <c r="M37" i="187" s="1"/>
  <c r="U37" i="187"/>
  <c r="O37" i="187"/>
  <c r="K37" i="187"/>
  <c r="G37" i="187"/>
  <c r="V36" i="187"/>
  <c r="M36" i="187" s="1"/>
  <c r="U36" i="187"/>
  <c r="O36" i="187"/>
  <c r="K36" i="187"/>
  <c r="G36" i="187"/>
  <c r="X35" i="187"/>
  <c r="W35" i="187"/>
  <c r="V35" i="187"/>
  <c r="M35" i="187" s="1"/>
  <c r="O35" i="187"/>
  <c r="K35" i="187"/>
  <c r="G35" i="187"/>
  <c r="O34" i="187"/>
  <c r="K34" i="187"/>
  <c r="V33" i="187"/>
  <c r="M33" i="187" s="1"/>
  <c r="U33" i="187"/>
  <c r="O33" i="187"/>
  <c r="K33" i="187"/>
  <c r="G33" i="187"/>
  <c r="V32" i="187"/>
  <c r="U32" i="187"/>
  <c r="P32" i="187"/>
  <c r="O32" i="187"/>
  <c r="N32" i="187"/>
  <c r="Q32" i="187" s="1"/>
  <c r="M32" i="187"/>
  <c r="AB32" i="187" s="1"/>
  <c r="K32" i="187"/>
  <c r="G32" i="187"/>
  <c r="X31" i="187"/>
  <c r="W31" i="187"/>
  <c r="V31" i="187"/>
  <c r="M31" i="187" s="1"/>
  <c r="U31" i="187"/>
  <c r="O31" i="187"/>
  <c r="K31" i="187"/>
  <c r="G31" i="187"/>
  <c r="V30" i="187"/>
  <c r="U30" i="187"/>
  <c r="P30" i="187"/>
  <c r="O30" i="187"/>
  <c r="N30" i="187"/>
  <c r="Q30" i="187" s="1"/>
  <c r="M30" i="187"/>
  <c r="AB30" i="187" s="1"/>
  <c r="K30" i="187"/>
  <c r="G30" i="187"/>
  <c r="V29" i="187"/>
  <c r="U29" i="187"/>
  <c r="O29" i="187"/>
  <c r="M29" i="187"/>
  <c r="AB29" i="187" s="1"/>
  <c r="K29" i="187"/>
  <c r="G29" i="187"/>
  <c r="V28" i="187"/>
  <c r="U28" i="187"/>
  <c r="O28" i="187"/>
  <c r="N28" i="187"/>
  <c r="Q28" i="187" s="1"/>
  <c r="M28" i="187"/>
  <c r="AB28" i="187" s="1"/>
  <c r="K28" i="187"/>
  <c r="G28" i="187"/>
  <c r="X27" i="187"/>
  <c r="W27" i="187"/>
  <c r="V27" i="187"/>
  <c r="P27" i="187"/>
  <c r="O27" i="187"/>
  <c r="N27" i="187"/>
  <c r="Q27" i="187" s="1"/>
  <c r="M27" i="187"/>
  <c r="AB27" i="187" s="1"/>
  <c r="K27" i="187"/>
  <c r="G27" i="187"/>
  <c r="O26" i="187"/>
  <c r="K26" i="187"/>
  <c r="AB25" i="187"/>
  <c r="AA25" i="187"/>
  <c r="V25" i="187"/>
  <c r="U25" i="187"/>
  <c r="O25" i="187"/>
  <c r="M25" i="187"/>
  <c r="N25" i="187" s="1"/>
  <c r="K25" i="187"/>
  <c r="G25" i="187"/>
  <c r="V24" i="187"/>
  <c r="M24" i="187" s="1"/>
  <c r="U24" i="187"/>
  <c r="O24" i="187"/>
  <c r="K24" i="187"/>
  <c r="G24" i="187"/>
  <c r="V23" i="187"/>
  <c r="M23" i="187" s="1"/>
  <c r="U23" i="187"/>
  <c r="O23" i="187"/>
  <c r="K23" i="187"/>
  <c r="G23" i="187"/>
  <c r="V22" i="187"/>
  <c r="M22" i="187" s="1"/>
  <c r="U22" i="187"/>
  <c r="O22" i="187"/>
  <c r="K22" i="187"/>
  <c r="G22" i="187"/>
  <c r="V21" i="187"/>
  <c r="M21" i="187" s="1"/>
  <c r="U21" i="187"/>
  <c r="O21" i="187"/>
  <c r="K21" i="187"/>
  <c r="G21" i="187"/>
  <c r="V20" i="187"/>
  <c r="M20" i="187" s="1"/>
  <c r="U20" i="187"/>
  <c r="O20" i="187"/>
  <c r="K20" i="187"/>
  <c r="G20" i="187"/>
  <c r="V19" i="187"/>
  <c r="M19" i="187" s="1"/>
  <c r="U19" i="187"/>
  <c r="O19" i="187"/>
  <c r="K19" i="187"/>
  <c r="G19" i="187"/>
  <c r="V18" i="187"/>
  <c r="M18" i="187" s="1"/>
  <c r="O18" i="187"/>
  <c r="K18" i="187"/>
  <c r="G18" i="187"/>
  <c r="O17" i="187"/>
  <c r="K17" i="187"/>
  <c r="AB16" i="187"/>
  <c r="V16" i="187"/>
  <c r="U16" i="187"/>
  <c r="O16" i="187"/>
  <c r="N16" i="187"/>
  <c r="Q16" i="187" s="1"/>
  <c r="M16" i="187"/>
  <c r="AA16" i="187" s="1"/>
  <c r="K16" i="187"/>
  <c r="G16" i="187"/>
  <c r="AB15" i="187"/>
  <c r="AA15" i="187"/>
  <c r="V15" i="187"/>
  <c r="U15" i="187"/>
  <c r="O15" i="187"/>
  <c r="M15" i="187"/>
  <c r="N15" i="187" s="1"/>
  <c r="K15" i="187"/>
  <c r="G15" i="187"/>
  <c r="V14" i="187"/>
  <c r="M14" i="187" s="1"/>
  <c r="U14" i="187"/>
  <c r="O14" i="187"/>
  <c r="K14" i="187"/>
  <c r="G14" i="187"/>
  <c r="V13" i="187"/>
  <c r="M13" i="187" s="1"/>
  <c r="U13" i="187"/>
  <c r="O13" i="187"/>
  <c r="K13" i="187"/>
  <c r="G13" i="187"/>
  <c r="V12" i="187"/>
  <c r="M12" i="187" s="1"/>
  <c r="O12" i="187"/>
  <c r="K12" i="187"/>
  <c r="G12" i="187"/>
  <c r="O11" i="187"/>
  <c r="K11" i="187"/>
  <c r="V10" i="187"/>
  <c r="U10" i="187"/>
  <c r="O10" i="187"/>
  <c r="M10" i="187"/>
  <c r="AB10" i="187" s="1"/>
  <c r="K10" i="187"/>
  <c r="G10" i="187"/>
  <c r="X9" i="187"/>
  <c r="W9" i="187"/>
  <c r="V9" i="187"/>
  <c r="M9" i="187" s="1"/>
  <c r="O9" i="187"/>
  <c r="K9" i="187"/>
  <c r="G9" i="187"/>
  <c r="O8" i="187"/>
  <c r="K8" i="187"/>
  <c r="V7" i="187"/>
  <c r="U7" i="187"/>
  <c r="O7" i="187"/>
  <c r="M7" i="187"/>
  <c r="AB7" i="187" s="1"/>
  <c r="K7" i="187"/>
  <c r="G7" i="187"/>
  <c r="AB6" i="187"/>
  <c r="AA6" i="187"/>
  <c r="V6" i="187"/>
  <c r="U6" i="187"/>
  <c r="O6" i="187"/>
  <c r="N6" i="187"/>
  <c r="Q6" i="187" s="1"/>
  <c r="M6" i="187"/>
  <c r="K6" i="187"/>
  <c r="G6" i="187"/>
  <c r="AB5" i="187"/>
  <c r="AA5" i="187"/>
  <c r="V5" i="187"/>
  <c r="O5" i="187"/>
  <c r="N5" i="187"/>
  <c r="Q5" i="187" s="1"/>
  <c r="M5" i="187"/>
  <c r="K5" i="187"/>
  <c r="G5" i="187"/>
  <c r="F1" i="187" s="1"/>
  <c r="H2" i="187"/>
  <c r="H1" i="187"/>
  <c r="D1" i="187"/>
  <c r="M18" i="186"/>
  <c r="L18" i="186"/>
  <c r="K18" i="186"/>
  <c r="J18" i="186"/>
  <c r="I18" i="186"/>
  <c r="H18" i="186"/>
  <c r="G18" i="186"/>
  <c r="F18" i="186"/>
  <c r="E18" i="186"/>
  <c r="D18" i="186"/>
  <c r="M17" i="186"/>
  <c r="L17" i="186"/>
  <c r="K17" i="186"/>
  <c r="J17" i="186"/>
  <c r="I17" i="186"/>
  <c r="H17" i="186"/>
  <c r="G17" i="186"/>
  <c r="F17" i="186"/>
  <c r="E17" i="186"/>
  <c r="D17" i="186"/>
  <c r="M16" i="186"/>
  <c r="L16" i="186"/>
  <c r="K16" i="186"/>
  <c r="J16" i="186"/>
  <c r="I16" i="186"/>
  <c r="H16" i="186"/>
  <c r="G16" i="186"/>
  <c r="F16" i="186"/>
  <c r="E16" i="186"/>
  <c r="D16" i="186"/>
  <c r="M13" i="186"/>
  <c r="L13" i="186"/>
  <c r="K13" i="186"/>
  <c r="I6" i="186" s="1"/>
  <c r="J13" i="186"/>
  <c r="I13" i="186"/>
  <c r="H13" i="186"/>
  <c r="E6" i="186" s="1"/>
  <c r="G13" i="186"/>
  <c r="F13" i="186"/>
  <c r="E13" i="186"/>
  <c r="D13" i="186"/>
  <c r="G6" i="186" s="1"/>
  <c r="F3" i="186"/>
  <c r="C3" i="186"/>
  <c r="I7" i="192" l="1"/>
  <c r="K15" i="192"/>
  <c r="I8" i="192" s="1"/>
  <c r="D15" i="192"/>
  <c r="E7" i="192"/>
  <c r="G7" i="192"/>
  <c r="F7" i="192"/>
  <c r="Q17" i="191"/>
  <c r="R12" i="191" s="1"/>
  <c r="P17" i="191"/>
  <c r="F14" i="190"/>
  <c r="Q63" i="191"/>
  <c r="R57" i="191" s="1"/>
  <c r="P63" i="191"/>
  <c r="J14" i="190"/>
  <c r="J15" i="190" s="1"/>
  <c r="P26" i="191"/>
  <c r="Q26" i="191"/>
  <c r="R18" i="191" s="1"/>
  <c r="K14" i="190"/>
  <c r="Q34" i="191"/>
  <c r="R27" i="191" s="1"/>
  <c r="P34" i="191"/>
  <c r="I14" i="190"/>
  <c r="I15" i="190" s="1"/>
  <c r="Q56" i="191"/>
  <c r="R49" i="191" s="1"/>
  <c r="P56" i="191"/>
  <c r="D2" i="191"/>
  <c r="G14" i="188"/>
  <c r="G15" i="188" s="1"/>
  <c r="Q26" i="189"/>
  <c r="R18" i="189" s="1"/>
  <c r="P26" i="189"/>
  <c r="K15" i="188"/>
  <c r="Q70" i="189"/>
  <c r="R64" i="189" s="1"/>
  <c r="P70" i="189"/>
  <c r="M14" i="188"/>
  <c r="M15" i="188" s="1"/>
  <c r="Q48" i="189"/>
  <c r="R42" i="189" s="1"/>
  <c r="P48" i="189"/>
  <c r="H14" i="188"/>
  <c r="H15" i="188" s="1"/>
  <c r="N11" i="189"/>
  <c r="AA11" i="189"/>
  <c r="AB11" i="189"/>
  <c r="AC9" i="189" s="1"/>
  <c r="AB66" i="187"/>
  <c r="AC60" i="187" s="1"/>
  <c r="AA66" i="187"/>
  <c r="N66" i="187"/>
  <c r="N72" i="187"/>
  <c r="AB72" i="187"/>
  <c r="AA72" i="187"/>
  <c r="AB57" i="187"/>
  <c r="AA57" i="187"/>
  <c r="N57" i="187"/>
  <c r="N68" i="187"/>
  <c r="AB68" i="187"/>
  <c r="AA68" i="187"/>
  <c r="N24" i="187"/>
  <c r="AB24" i="187"/>
  <c r="AA24" i="187"/>
  <c r="AB33" i="187"/>
  <c r="AA33" i="187"/>
  <c r="N33" i="187"/>
  <c r="Q39" i="187"/>
  <c r="P39" i="187"/>
  <c r="I3" i="186"/>
  <c r="F2" i="187"/>
  <c r="N73" i="187"/>
  <c r="AB73" i="187"/>
  <c r="AA73" i="187"/>
  <c r="Q15" i="187"/>
  <c r="P15" i="187"/>
  <c r="N38" i="187"/>
  <c r="AB38" i="187"/>
  <c r="AA38" i="187"/>
  <c r="N36" i="187"/>
  <c r="AB36" i="187"/>
  <c r="AA36" i="187"/>
  <c r="N22" i="187"/>
  <c r="AB22" i="187"/>
  <c r="AA22" i="187"/>
  <c r="Q25" i="187"/>
  <c r="P25" i="187"/>
  <c r="N48" i="187"/>
  <c r="AB48" i="187"/>
  <c r="AA48" i="187"/>
  <c r="N35" i="187"/>
  <c r="AB35" i="187"/>
  <c r="AA35" i="187"/>
  <c r="M44" i="187"/>
  <c r="Q41" i="187"/>
  <c r="P41" i="187"/>
  <c r="N23" i="187"/>
  <c r="AB23" i="187"/>
  <c r="AA23" i="187"/>
  <c r="N14" i="187"/>
  <c r="AB14" i="187"/>
  <c r="AA14" i="187"/>
  <c r="N21" i="187"/>
  <c r="AB21" i="187"/>
  <c r="AA21" i="187"/>
  <c r="AB31" i="187"/>
  <c r="AA31" i="187"/>
  <c r="N31" i="187"/>
  <c r="N58" i="187"/>
  <c r="AB58" i="187"/>
  <c r="AA58" i="187"/>
  <c r="Q61" i="187"/>
  <c r="P61" i="187"/>
  <c r="AB19" i="187"/>
  <c r="AA19" i="187"/>
  <c r="N19" i="187"/>
  <c r="N50" i="187"/>
  <c r="AB50" i="187"/>
  <c r="AA50" i="187"/>
  <c r="N13" i="187"/>
  <c r="AB13" i="187"/>
  <c r="AA13" i="187"/>
  <c r="N70" i="187"/>
  <c r="AB70" i="187"/>
  <c r="AA70" i="187"/>
  <c r="N20" i="187"/>
  <c r="AB20" i="187"/>
  <c r="AA20" i="187"/>
  <c r="AB18" i="187"/>
  <c r="AA18" i="187"/>
  <c r="M26" i="187"/>
  <c r="N18" i="187"/>
  <c r="N37" i="187"/>
  <c r="AB37" i="187"/>
  <c r="AA37" i="187"/>
  <c r="N45" i="187"/>
  <c r="AB45" i="187"/>
  <c r="AA45" i="187"/>
  <c r="M51" i="187"/>
  <c r="N9" i="187"/>
  <c r="M11" i="187"/>
  <c r="AB9" i="187"/>
  <c r="AA9" i="187"/>
  <c r="N49" i="187"/>
  <c r="AB49" i="187"/>
  <c r="AA49" i="187"/>
  <c r="N71" i="187"/>
  <c r="AB71" i="187"/>
  <c r="AA71" i="187"/>
  <c r="N12" i="187"/>
  <c r="AB12" i="187"/>
  <c r="M17" i="187"/>
  <c r="AA12" i="187"/>
  <c r="AB47" i="187"/>
  <c r="AA47" i="187"/>
  <c r="N47" i="187"/>
  <c r="N67" i="187"/>
  <c r="AB67" i="187"/>
  <c r="M74" i="187"/>
  <c r="AA67" i="187"/>
  <c r="N69" i="187"/>
  <c r="AB69" i="187"/>
  <c r="AA69" i="187"/>
  <c r="AA41" i="187"/>
  <c r="M8" i="187"/>
  <c r="N10" i="187"/>
  <c r="AB41" i="187"/>
  <c r="N29" i="187"/>
  <c r="N55" i="187"/>
  <c r="N65" i="187"/>
  <c r="N7" i="187"/>
  <c r="N43" i="187"/>
  <c r="N52" i="187"/>
  <c r="N53" i="187"/>
  <c r="N63" i="187"/>
  <c r="P28" i="187"/>
  <c r="P54" i="187"/>
  <c r="N62" i="187"/>
  <c r="P64" i="187"/>
  <c r="N60" i="187"/>
  <c r="P5" i="187"/>
  <c r="P6" i="187"/>
  <c r="AA10" i="187"/>
  <c r="P16" i="187"/>
  <c r="AA30" i="187"/>
  <c r="AA32" i="187"/>
  <c r="P40" i="187"/>
  <c r="P42" i="187"/>
  <c r="AA46" i="187"/>
  <c r="AA56" i="187"/>
  <c r="AA29" i="187"/>
  <c r="AA55" i="187"/>
  <c r="M59" i="187"/>
  <c r="AA65" i="187"/>
  <c r="AA27" i="187"/>
  <c r="AA28" i="187"/>
  <c r="M34" i="187"/>
  <c r="AA54" i="187"/>
  <c r="AA64" i="187"/>
  <c r="AA7" i="187"/>
  <c r="AA43" i="187"/>
  <c r="AA52" i="187"/>
  <c r="AA53" i="187"/>
  <c r="AA63" i="187"/>
  <c r="F6" i="186"/>
  <c r="O74" i="185"/>
  <c r="K74" i="185"/>
  <c r="AB73" i="185"/>
  <c r="AA73" i="185"/>
  <c r="V73" i="185"/>
  <c r="M73" i="185" s="1"/>
  <c r="N73" i="185" s="1"/>
  <c r="U73" i="185"/>
  <c r="O73" i="185"/>
  <c r="K73" i="185"/>
  <c r="G73" i="185"/>
  <c r="AB72" i="185"/>
  <c r="AA72" i="185"/>
  <c r="V72" i="185"/>
  <c r="M72" i="185" s="1"/>
  <c r="N72" i="185" s="1"/>
  <c r="P72" i="185" s="1"/>
  <c r="U72" i="185"/>
  <c r="Q72" i="185"/>
  <c r="O72" i="185"/>
  <c r="K72" i="185"/>
  <c r="G72" i="185"/>
  <c r="AA71" i="185"/>
  <c r="X71" i="185"/>
  <c r="W71" i="185"/>
  <c r="V71" i="185"/>
  <c r="M71" i="185" s="1"/>
  <c r="U71" i="185"/>
  <c r="O71" i="185"/>
  <c r="K71" i="185"/>
  <c r="G71" i="185"/>
  <c r="AB70" i="185"/>
  <c r="AA70" i="185"/>
  <c r="V70" i="185"/>
  <c r="M70" i="185" s="1"/>
  <c r="N70" i="185" s="1"/>
  <c r="P70" i="185" s="1"/>
  <c r="U70" i="185"/>
  <c r="Q70" i="185"/>
  <c r="O70" i="185"/>
  <c r="K70" i="185"/>
  <c r="G70" i="185"/>
  <c r="AA69" i="185"/>
  <c r="V69" i="185"/>
  <c r="M69" i="185" s="1"/>
  <c r="U69" i="185"/>
  <c r="O69" i="185"/>
  <c r="K69" i="185"/>
  <c r="G69" i="185"/>
  <c r="V68" i="185"/>
  <c r="M68" i="185" s="1"/>
  <c r="U68" i="185"/>
  <c r="O68" i="185"/>
  <c r="K68" i="185"/>
  <c r="G68" i="185"/>
  <c r="X67" i="185"/>
  <c r="W67" i="185"/>
  <c r="V67" i="185"/>
  <c r="M67" i="185" s="1"/>
  <c r="O67" i="185"/>
  <c r="K67" i="185"/>
  <c r="G67" i="185"/>
  <c r="O66" i="185"/>
  <c r="K66" i="185"/>
  <c r="V65" i="185"/>
  <c r="U65" i="185"/>
  <c r="P65" i="185"/>
  <c r="O65" i="185"/>
  <c r="N65" i="185"/>
  <c r="Q65" i="185" s="1"/>
  <c r="M65" i="185"/>
  <c r="K65" i="185"/>
  <c r="G65" i="185"/>
  <c r="V64" i="185"/>
  <c r="U64" i="185"/>
  <c r="P64" i="185"/>
  <c r="O64" i="185"/>
  <c r="N64" i="185"/>
  <c r="Q64" i="185" s="1"/>
  <c r="M64" i="185"/>
  <c r="K64" i="185"/>
  <c r="G64" i="185"/>
  <c r="V63" i="185"/>
  <c r="U63" i="185"/>
  <c r="O63" i="185"/>
  <c r="N63" i="185"/>
  <c r="M63" i="185"/>
  <c r="K63" i="185"/>
  <c r="G63" i="185"/>
  <c r="AB62" i="185"/>
  <c r="V62" i="185"/>
  <c r="U62" i="185"/>
  <c r="O62" i="185"/>
  <c r="N62" i="185"/>
  <c r="M62" i="185"/>
  <c r="AA62" i="185" s="1"/>
  <c r="K62" i="185"/>
  <c r="G62" i="185"/>
  <c r="AB61" i="185"/>
  <c r="AA61" i="185"/>
  <c r="V61" i="185"/>
  <c r="U61" i="185"/>
  <c r="O61" i="185"/>
  <c r="M61" i="185"/>
  <c r="N61" i="185" s="1"/>
  <c r="K61" i="185"/>
  <c r="G61" i="185"/>
  <c r="AB60" i="185"/>
  <c r="AA60" i="185"/>
  <c r="V60" i="185"/>
  <c r="O60" i="185"/>
  <c r="M60" i="185"/>
  <c r="K60" i="185"/>
  <c r="G60" i="185"/>
  <c r="O59" i="185"/>
  <c r="K59" i="185"/>
  <c r="AA58" i="185"/>
  <c r="V58" i="185"/>
  <c r="M58" i="185" s="1"/>
  <c r="U58" i="185"/>
  <c r="O58" i="185"/>
  <c r="K58" i="185"/>
  <c r="G58" i="185"/>
  <c r="X57" i="185"/>
  <c r="W57" i="185"/>
  <c r="V57" i="185"/>
  <c r="M57" i="185" s="1"/>
  <c r="U57" i="185"/>
  <c r="O57" i="185"/>
  <c r="K57" i="185"/>
  <c r="G57" i="185"/>
  <c r="AA56" i="185"/>
  <c r="V56" i="185"/>
  <c r="M56" i="185" s="1"/>
  <c r="U56" i="185"/>
  <c r="O56" i="185"/>
  <c r="K56" i="185"/>
  <c r="G56" i="185"/>
  <c r="V55" i="185"/>
  <c r="M55" i="185" s="1"/>
  <c r="U55" i="185"/>
  <c r="Q55" i="185"/>
  <c r="P55" i="185"/>
  <c r="O55" i="185"/>
  <c r="N55" i="185"/>
  <c r="K55" i="185"/>
  <c r="G55" i="185"/>
  <c r="V54" i="185"/>
  <c r="U54" i="185"/>
  <c r="O54" i="185"/>
  <c r="N54" i="185"/>
  <c r="Q54" i="185" s="1"/>
  <c r="M54" i="185"/>
  <c r="K54" i="185"/>
  <c r="G54" i="185"/>
  <c r="V53" i="185"/>
  <c r="U53" i="185"/>
  <c r="O53" i="185"/>
  <c r="N53" i="185"/>
  <c r="Q53" i="185" s="1"/>
  <c r="M53" i="185"/>
  <c r="K53" i="185"/>
  <c r="G53" i="185"/>
  <c r="V52" i="185"/>
  <c r="U52" i="185"/>
  <c r="P52" i="185"/>
  <c r="O52" i="185"/>
  <c r="N52" i="185"/>
  <c r="Q52" i="185" s="1"/>
  <c r="M52" i="185"/>
  <c r="K52" i="185"/>
  <c r="G52" i="185"/>
  <c r="V51" i="185"/>
  <c r="O51" i="185"/>
  <c r="N51" i="185"/>
  <c r="Q51" i="185" s="1"/>
  <c r="M51" i="185"/>
  <c r="K51" i="185"/>
  <c r="G51" i="185"/>
  <c r="O50" i="185"/>
  <c r="M50" i="185"/>
  <c r="K50" i="185"/>
  <c r="AB49" i="185"/>
  <c r="AA49" i="185"/>
  <c r="V49" i="185"/>
  <c r="M49" i="185" s="1"/>
  <c r="N49" i="185" s="1"/>
  <c r="U49" i="185"/>
  <c r="O49" i="185"/>
  <c r="K49" i="185"/>
  <c r="G49" i="185"/>
  <c r="AB48" i="185"/>
  <c r="AA48" i="185"/>
  <c r="V48" i="185"/>
  <c r="M48" i="185" s="1"/>
  <c r="N48" i="185" s="1"/>
  <c r="P48" i="185" s="1"/>
  <c r="U48" i="185"/>
  <c r="Q48" i="185"/>
  <c r="O48" i="185"/>
  <c r="K48" i="185"/>
  <c r="G48" i="185"/>
  <c r="AB47" i="185"/>
  <c r="AA47" i="185"/>
  <c r="V47" i="185"/>
  <c r="M47" i="185" s="1"/>
  <c r="N47" i="185" s="1"/>
  <c r="U47" i="185"/>
  <c r="Q47" i="185"/>
  <c r="P47" i="185"/>
  <c r="O47" i="185"/>
  <c r="K47" i="185"/>
  <c r="G47" i="185"/>
  <c r="AA46" i="185"/>
  <c r="V46" i="185"/>
  <c r="M46" i="185" s="1"/>
  <c r="U46" i="185"/>
  <c r="O46" i="185"/>
  <c r="K46" i="185"/>
  <c r="G46" i="185"/>
  <c r="V45" i="185"/>
  <c r="M45" i="185" s="1"/>
  <c r="U45" i="185"/>
  <c r="Q45" i="185"/>
  <c r="O45" i="185"/>
  <c r="N45" i="185"/>
  <c r="P45" i="185" s="1"/>
  <c r="K45" i="185"/>
  <c r="G45" i="185"/>
  <c r="X44" i="185"/>
  <c r="W44" i="185"/>
  <c r="V44" i="185"/>
  <c r="M44" i="185" s="1"/>
  <c r="O44" i="185"/>
  <c r="K44" i="185"/>
  <c r="G44" i="185"/>
  <c r="O43" i="185"/>
  <c r="M43" i="185"/>
  <c r="AB43" i="185" s="1"/>
  <c r="AC34" i="185" s="1"/>
  <c r="K43" i="185"/>
  <c r="V42" i="185"/>
  <c r="U42" i="185"/>
  <c r="P42" i="185"/>
  <c r="O42" i="185"/>
  <c r="N42" i="185"/>
  <c r="Q42" i="185" s="1"/>
  <c r="M42" i="185"/>
  <c r="K42" i="185"/>
  <c r="G42" i="185"/>
  <c r="V41" i="185"/>
  <c r="U41" i="185"/>
  <c r="O41" i="185"/>
  <c r="N41" i="185"/>
  <c r="M41" i="185"/>
  <c r="K41" i="185"/>
  <c r="G41" i="185"/>
  <c r="AB40" i="185"/>
  <c r="X40" i="185"/>
  <c r="W40" i="185"/>
  <c r="V40" i="185"/>
  <c r="U40" i="185"/>
  <c r="O40" i="185"/>
  <c r="N40" i="185"/>
  <c r="Q40" i="185" s="1"/>
  <c r="M40" i="185"/>
  <c r="AA40" i="185" s="1"/>
  <c r="K40" i="185"/>
  <c r="G40" i="185"/>
  <c r="V39" i="185"/>
  <c r="U39" i="185"/>
  <c r="O39" i="185"/>
  <c r="N39" i="185"/>
  <c r="M39" i="185"/>
  <c r="K39" i="185"/>
  <c r="G39" i="185"/>
  <c r="AB38" i="185"/>
  <c r="V38" i="185"/>
  <c r="U38" i="185"/>
  <c r="O38" i="185"/>
  <c r="N38" i="185"/>
  <c r="M38" i="185"/>
  <c r="AA38" i="185" s="1"/>
  <c r="K38" i="185"/>
  <c r="G38" i="185"/>
  <c r="AB37" i="185"/>
  <c r="AA37" i="185"/>
  <c r="V37" i="185"/>
  <c r="U37" i="185"/>
  <c r="O37" i="185"/>
  <c r="M37" i="185"/>
  <c r="N37" i="185" s="1"/>
  <c r="K37" i="185"/>
  <c r="G37" i="185"/>
  <c r="AB36" i="185"/>
  <c r="AA36" i="185"/>
  <c r="V36" i="185"/>
  <c r="M36" i="185" s="1"/>
  <c r="N36" i="185" s="1"/>
  <c r="U36" i="185"/>
  <c r="O36" i="185"/>
  <c r="K36" i="185"/>
  <c r="G36" i="185"/>
  <c r="AB35" i="185"/>
  <c r="AA35" i="185"/>
  <c r="V35" i="185"/>
  <c r="M35" i="185" s="1"/>
  <c r="N35" i="185" s="1"/>
  <c r="U35" i="185"/>
  <c r="O35" i="185"/>
  <c r="K35" i="185"/>
  <c r="G35" i="185"/>
  <c r="AB34" i="185"/>
  <c r="AA34" i="185"/>
  <c r="X34" i="185"/>
  <c r="W34" i="185"/>
  <c r="V34" i="185"/>
  <c r="O34" i="185"/>
  <c r="M34" i="185"/>
  <c r="N34" i="185" s="1"/>
  <c r="K34" i="185"/>
  <c r="G34" i="185"/>
  <c r="O33" i="185"/>
  <c r="K33" i="185"/>
  <c r="AA32" i="185"/>
  <c r="V32" i="185"/>
  <c r="M32" i="185" s="1"/>
  <c r="U32" i="185"/>
  <c r="O32" i="185"/>
  <c r="K32" i="185"/>
  <c r="G32" i="185"/>
  <c r="V31" i="185"/>
  <c r="M31" i="185" s="1"/>
  <c r="U31" i="185"/>
  <c r="Q31" i="185"/>
  <c r="P31" i="185"/>
  <c r="O31" i="185"/>
  <c r="N31" i="185"/>
  <c r="K31" i="185"/>
  <c r="G31" i="185"/>
  <c r="X30" i="185"/>
  <c r="W30" i="185"/>
  <c r="V30" i="185"/>
  <c r="M30" i="185" s="1"/>
  <c r="U30" i="185"/>
  <c r="O30" i="185"/>
  <c r="K30" i="185"/>
  <c r="G30" i="185"/>
  <c r="V29" i="185"/>
  <c r="M29" i="185" s="1"/>
  <c r="U29" i="185"/>
  <c r="O29" i="185"/>
  <c r="N29" i="185"/>
  <c r="Q29" i="185" s="1"/>
  <c r="K29" i="185"/>
  <c r="G29" i="185"/>
  <c r="V28" i="185"/>
  <c r="U28" i="185"/>
  <c r="O28" i="185"/>
  <c r="N28" i="185"/>
  <c r="P28" i="185" s="1"/>
  <c r="M28" i="185"/>
  <c r="K28" i="185"/>
  <c r="G28" i="185"/>
  <c r="V27" i="185"/>
  <c r="U27" i="185"/>
  <c r="Q27" i="185"/>
  <c r="O27" i="185"/>
  <c r="N27" i="185"/>
  <c r="P27" i="185" s="1"/>
  <c r="M27" i="185"/>
  <c r="K27" i="185"/>
  <c r="G27" i="185"/>
  <c r="X26" i="185"/>
  <c r="W26" i="185"/>
  <c r="V26" i="185"/>
  <c r="M26" i="185" s="1"/>
  <c r="P26" i="185"/>
  <c r="O26" i="185"/>
  <c r="N26" i="185"/>
  <c r="Q26" i="185" s="1"/>
  <c r="K26" i="185"/>
  <c r="G26" i="185"/>
  <c r="O25" i="185"/>
  <c r="N25" i="185"/>
  <c r="P25" i="185" s="1"/>
  <c r="M25" i="185"/>
  <c r="K25" i="185"/>
  <c r="G13" i="184" s="1"/>
  <c r="AB24" i="185"/>
  <c r="V24" i="185"/>
  <c r="U24" i="185"/>
  <c r="O24" i="185"/>
  <c r="N24" i="185"/>
  <c r="M24" i="185"/>
  <c r="AA24" i="185" s="1"/>
  <c r="K24" i="185"/>
  <c r="G24" i="185"/>
  <c r="AB23" i="185"/>
  <c r="AA23" i="185"/>
  <c r="V23" i="185"/>
  <c r="U23" i="185"/>
  <c r="O23" i="185"/>
  <c r="M23" i="185"/>
  <c r="N23" i="185" s="1"/>
  <c r="K23" i="185"/>
  <c r="G23" i="185"/>
  <c r="AB22" i="185"/>
  <c r="AA22" i="185"/>
  <c r="V22" i="185"/>
  <c r="M22" i="185" s="1"/>
  <c r="N22" i="185" s="1"/>
  <c r="U22" i="185"/>
  <c r="O22" i="185"/>
  <c r="K22" i="185"/>
  <c r="G22" i="185"/>
  <c r="AB21" i="185"/>
  <c r="AA21" i="185"/>
  <c r="V21" i="185"/>
  <c r="M21" i="185" s="1"/>
  <c r="N21" i="185" s="1"/>
  <c r="U21" i="185"/>
  <c r="O21" i="185"/>
  <c r="K21" i="185"/>
  <c r="G21" i="185"/>
  <c r="AB20" i="185"/>
  <c r="AA20" i="185"/>
  <c r="V20" i="185"/>
  <c r="M20" i="185" s="1"/>
  <c r="N20" i="185" s="1"/>
  <c r="P20" i="185" s="1"/>
  <c r="U20" i="185"/>
  <c r="Q20" i="185"/>
  <c r="O20" i="185"/>
  <c r="K20" i="185"/>
  <c r="G20" i="185"/>
  <c r="AB19" i="185"/>
  <c r="AA19" i="185"/>
  <c r="V19" i="185"/>
  <c r="M19" i="185" s="1"/>
  <c r="N19" i="185" s="1"/>
  <c r="U19" i="185"/>
  <c r="Q19" i="185"/>
  <c r="P19" i="185"/>
  <c r="O19" i="185"/>
  <c r="K19" i="185"/>
  <c r="G19" i="185"/>
  <c r="AA18" i="185"/>
  <c r="V18" i="185"/>
  <c r="M18" i="185" s="1"/>
  <c r="U18" i="185"/>
  <c r="O18" i="185"/>
  <c r="K18" i="185"/>
  <c r="G18" i="185"/>
  <c r="AA17" i="185"/>
  <c r="V17" i="185"/>
  <c r="M17" i="185" s="1"/>
  <c r="O17" i="185"/>
  <c r="K17" i="185"/>
  <c r="G17" i="185"/>
  <c r="O16" i="185"/>
  <c r="N16" i="185"/>
  <c r="F14" i="184" s="1"/>
  <c r="M16" i="185"/>
  <c r="K16" i="185"/>
  <c r="F13" i="184" s="1"/>
  <c r="V15" i="185"/>
  <c r="U15" i="185"/>
  <c r="O15" i="185"/>
  <c r="N15" i="185"/>
  <c r="M15" i="185"/>
  <c r="K15" i="185"/>
  <c r="G15" i="185"/>
  <c r="AB14" i="185"/>
  <c r="V14" i="185"/>
  <c r="U14" i="185"/>
  <c r="O14" i="185"/>
  <c r="N14" i="185"/>
  <c r="M14" i="185"/>
  <c r="AA14" i="185" s="1"/>
  <c r="K14" i="185"/>
  <c r="G14" i="185"/>
  <c r="AB13" i="185"/>
  <c r="AA13" i="185"/>
  <c r="V13" i="185"/>
  <c r="U13" i="185"/>
  <c r="O13" i="185"/>
  <c r="M13" i="185"/>
  <c r="N13" i="185" s="1"/>
  <c r="K13" i="185"/>
  <c r="G13" i="185"/>
  <c r="AB12" i="185"/>
  <c r="AA12" i="185"/>
  <c r="V12" i="185"/>
  <c r="O12" i="185"/>
  <c r="M12" i="185"/>
  <c r="N12" i="185" s="1"/>
  <c r="K12" i="185"/>
  <c r="G12" i="185"/>
  <c r="O11" i="185"/>
  <c r="K11" i="185"/>
  <c r="AA10" i="185"/>
  <c r="V10" i="185"/>
  <c r="M10" i="185" s="1"/>
  <c r="U10" i="185"/>
  <c r="O10" i="185"/>
  <c r="K10" i="185"/>
  <c r="G10" i="185"/>
  <c r="AA9" i="185"/>
  <c r="X9" i="185"/>
  <c r="W9" i="185"/>
  <c r="V9" i="185"/>
  <c r="M9" i="185" s="1"/>
  <c r="O9" i="185"/>
  <c r="K9" i="185"/>
  <c r="G9" i="185"/>
  <c r="O8" i="185"/>
  <c r="K8" i="185"/>
  <c r="V7" i="185"/>
  <c r="U7" i="185"/>
  <c r="Q7" i="185"/>
  <c r="P7" i="185"/>
  <c r="O7" i="185"/>
  <c r="N7" i="185"/>
  <c r="M7" i="185"/>
  <c r="K7" i="185"/>
  <c r="G7" i="185"/>
  <c r="V6" i="185"/>
  <c r="U6" i="185"/>
  <c r="O6" i="185"/>
  <c r="N6" i="185"/>
  <c r="Q6" i="185" s="1"/>
  <c r="M6" i="185"/>
  <c r="K6" i="185"/>
  <c r="G6" i="185"/>
  <c r="V5" i="185"/>
  <c r="O5" i="185"/>
  <c r="N5" i="185"/>
  <c r="Q5" i="185" s="1"/>
  <c r="M5" i="185"/>
  <c r="K5" i="185"/>
  <c r="G5" i="185"/>
  <c r="F1" i="185" s="1"/>
  <c r="F2" i="185" s="1"/>
  <c r="H2" i="185"/>
  <c r="H1" i="185"/>
  <c r="M18" i="184"/>
  <c r="L18" i="184"/>
  <c r="K18" i="184"/>
  <c r="J18" i="184"/>
  <c r="I18" i="184"/>
  <c r="H18" i="184"/>
  <c r="G18" i="184"/>
  <c r="F18" i="184"/>
  <c r="E18" i="184"/>
  <c r="D18" i="184"/>
  <c r="M17" i="184"/>
  <c r="L17" i="184"/>
  <c r="K17" i="184"/>
  <c r="J17" i="184"/>
  <c r="I17" i="184"/>
  <c r="H17" i="184"/>
  <c r="G17" i="184"/>
  <c r="F17" i="184"/>
  <c r="E17" i="184"/>
  <c r="D17" i="184"/>
  <c r="M16" i="184"/>
  <c r="L16" i="184"/>
  <c r="K16" i="184"/>
  <c r="J16" i="184"/>
  <c r="I16" i="184"/>
  <c r="H16" i="184"/>
  <c r="G16" i="184"/>
  <c r="F16" i="184"/>
  <c r="E16" i="184"/>
  <c r="D16" i="184"/>
  <c r="M13" i="184"/>
  <c r="L13" i="184"/>
  <c r="K13" i="184"/>
  <c r="J13" i="184"/>
  <c r="I13" i="184"/>
  <c r="H13" i="184"/>
  <c r="E13" i="184"/>
  <c r="D13" i="184"/>
  <c r="F6" i="184" s="1"/>
  <c r="I3" i="184"/>
  <c r="F3" i="184"/>
  <c r="C3" i="184"/>
  <c r="F15" i="184" l="1"/>
  <c r="E6" i="184"/>
  <c r="I6" i="184"/>
  <c r="F8" i="192"/>
  <c r="E8" i="192"/>
  <c r="G8" i="192"/>
  <c r="I7" i="190"/>
  <c r="K15" i="190"/>
  <c r="I8" i="190" s="1"/>
  <c r="F15" i="190"/>
  <c r="G7" i="190"/>
  <c r="F7" i="190"/>
  <c r="E7" i="190"/>
  <c r="P11" i="189"/>
  <c r="E14" i="188"/>
  <c r="Q11" i="189"/>
  <c r="R9" i="189" s="1"/>
  <c r="D2" i="189"/>
  <c r="I7" i="188"/>
  <c r="I8" i="188"/>
  <c r="N59" i="187"/>
  <c r="AB59" i="187"/>
  <c r="AC52" i="187" s="1"/>
  <c r="AA59" i="187"/>
  <c r="Q55" i="187"/>
  <c r="P55" i="187"/>
  <c r="P67" i="187"/>
  <c r="Q67" i="187"/>
  <c r="Q37" i="187"/>
  <c r="P37" i="187"/>
  <c r="Q58" i="187"/>
  <c r="P58" i="187"/>
  <c r="Q23" i="187"/>
  <c r="P23" i="187"/>
  <c r="Q65" i="187"/>
  <c r="P65" i="187"/>
  <c r="Q49" i="187"/>
  <c r="P49" i="187"/>
  <c r="Q31" i="187"/>
  <c r="P31" i="187"/>
  <c r="AB26" i="187"/>
  <c r="AC18" i="187" s="1"/>
  <c r="AA26" i="187"/>
  <c r="N26" i="187"/>
  <c r="P22" i="187"/>
  <c r="Q22" i="187"/>
  <c r="Q68" i="187"/>
  <c r="P68" i="187"/>
  <c r="Q24" i="187"/>
  <c r="P24" i="187"/>
  <c r="Q73" i="187"/>
  <c r="P73" i="187"/>
  <c r="Q62" i="187"/>
  <c r="P62" i="187"/>
  <c r="Q10" i="187"/>
  <c r="P10" i="187"/>
  <c r="AB44" i="187"/>
  <c r="AC35" i="187" s="1"/>
  <c r="AA44" i="187"/>
  <c r="N44" i="187"/>
  <c r="Q57" i="187"/>
  <c r="P57" i="187"/>
  <c r="AB8" i="187"/>
  <c r="AC5" i="187" s="1"/>
  <c r="AA8" i="187"/>
  <c r="N8" i="187"/>
  <c r="N11" i="187"/>
  <c r="AB11" i="187"/>
  <c r="AC9" i="187" s="1"/>
  <c r="AA11" i="187"/>
  <c r="P50" i="187"/>
  <c r="Q50" i="187"/>
  <c r="Q13" i="187"/>
  <c r="P13" i="187"/>
  <c r="AB17" i="187"/>
  <c r="AC12" i="187" s="1"/>
  <c r="AA17" i="187"/>
  <c r="N17" i="187"/>
  <c r="Q9" i="187"/>
  <c r="P9" i="187"/>
  <c r="Q19" i="187"/>
  <c r="P19" i="187"/>
  <c r="P36" i="187"/>
  <c r="Q36" i="187"/>
  <c r="Q60" i="187"/>
  <c r="P60" i="187"/>
  <c r="Q18" i="187"/>
  <c r="P18" i="187"/>
  <c r="Q63" i="187"/>
  <c r="P63" i="187"/>
  <c r="AA51" i="187"/>
  <c r="N51" i="187"/>
  <c r="AB51" i="187"/>
  <c r="AC45" i="187" s="1"/>
  <c r="Q21" i="187"/>
  <c r="P21" i="187"/>
  <c r="Q35" i="187"/>
  <c r="P35" i="187"/>
  <c r="Q33" i="187"/>
  <c r="P33" i="187"/>
  <c r="Q53" i="187"/>
  <c r="P53" i="187"/>
  <c r="Q12" i="187"/>
  <c r="P12" i="187"/>
  <c r="Q20" i="187"/>
  <c r="P20" i="187"/>
  <c r="Q47" i="187"/>
  <c r="P47" i="187"/>
  <c r="Q69" i="187"/>
  <c r="P69" i="187"/>
  <c r="P72" i="187"/>
  <c r="Q72" i="187"/>
  <c r="Q43" i="187"/>
  <c r="P43" i="187"/>
  <c r="Q45" i="187"/>
  <c r="P45" i="187"/>
  <c r="Q14" i="187"/>
  <c r="P14" i="187"/>
  <c r="Q48" i="187"/>
  <c r="P48" i="187"/>
  <c r="J14" i="186"/>
  <c r="J15" i="186" s="1"/>
  <c r="Q66" i="187"/>
  <c r="R60" i="187" s="1"/>
  <c r="P66" i="187"/>
  <c r="Q29" i="187"/>
  <c r="P29" i="187"/>
  <c r="N34" i="187"/>
  <c r="AB34" i="187"/>
  <c r="AC27" i="187" s="1"/>
  <c r="AA34" i="187"/>
  <c r="Q52" i="187"/>
  <c r="P52" i="187"/>
  <c r="Q38" i="187"/>
  <c r="P38" i="187"/>
  <c r="Q7" i="187"/>
  <c r="P7" i="187"/>
  <c r="AB74" i="187"/>
  <c r="AC67" i="187" s="1"/>
  <c r="AA74" i="187"/>
  <c r="N74" i="187"/>
  <c r="Q71" i="187"/>
  <c r="P71" i="187"/>
  <c r="P70" i="187"/>
  <c r="Q70" i="187"/>
  <c r="Q28" i="185"/>
  <c r="AA43" i="185"/>
  <c r="P16" i="185"/>
  <c r="P53" i="185"/>
  <c r="P29" i="185"/>
  <c r="N43" i="185"/>
  <c r="P6" i="185"/>
  <c r="P40" i="185"/>
  <c r="P51" i="185"/>
  <c r="P54" i="185"/>
  <c r="P5" i="185"/>
  <c r="Q16" i="185"/>
  <c r="R12" i="185" s="1"/>
  <c r="M8" i="185"/>
  <c r="AB5" i="185"/>
  <c r="AA5" i="185"/>
  <c r="AB6" i="185"/>
  <c r="AA6" i="185"/>
  <c r="AB7" i="185"/>
  <c r="AA7" i="185"/>
  <c r="N9" i="185"/>
  <c r="M11" i="185"/>
  <c r="AB9" i="185"/>
  <c r="N10" i="185"/>
  <c r="AB10" i="185"/>
  <c r="Q12" i="185"/>
  <c r="P12" i="185"/>
  <c r="Q13" i="185"/>
  <c r="P13" i="185"/>
  <c r="Q14" i="185"/>
  <c r="P14" i="185"/>
  <c r="AB15" i="185"/>
  <c r="AA15" i="185"/>
  <c r="P15" i="185"/>
  <c r="Q15" i="185"/>
  <c r="AA16" i="185"/>
  <c r="AB16" i="185"/>
  <c r="AC12" i="185" s="1"/>
  <c r="N17" i="185"/>
  <c r="AB17" i="185"/>
  <c r="N18" i="185"/>
  <c r="AB18" i="185"/>
  <c r="Q21" i="185"/>
  <c r="P21" i="185"/>
  <c r="Q22" i="185"/>
  <c r="P22" i="185"/>
  <c r="Q23" i="185"/>
  <c r="P23" i="185"/>
  <c r="Q24" i="185"/>
  <c r="P24" i="185"/>
  <c r="AB25" i="185"/>
  <c r="AC17" i="185" s="1"/>
  <c r="AA25" i="185"/>
  <c r="G14" i="184"/>
  <c r="G15" i="184" s="1"/>
  <c r="Q25" i="185"/>
  <c r="R17" i="185" s="1"/>
  <c r="AB26" i="185"/>
  <c r="M33" i="185"/>
  <c r="AA26" i="185"/>
  <c r="AB27" i="185"/>
  <c r="AA27" i="185"/>
  <c r="AB28" i="185"/>
  <c r="AA28" i="185"/>
  <c r="AA29" i="185"/>
  <c r="AB29" i="185"/>
  <c r="N30" i="185"/>
  <c r="AB30" i="185"/>
  <c r="AA30" i="185"/>
  <c r="AA31" i="185"/>
  <c r="AB31" i="185"/>
  <c r="N32" i="185"/>
  <c r="AB32" i="185"/>
  <c r="Q34" i="185"/>
  <c r="P34" i="185"/>
  <c r="Q35" i="185"/>
  <c r="P35" i="185"/>
  <c r="Q36" i="185"/>
  <c r="P36" i="185"/>
  <c r="Q37" i="185"/>
  <c r="P37" i="185"/>
  <c r="Q38" i="185"/>
  <c r="P38" i="185"/>
  <c r="AB39" i="185"/>
  <c r="AA39" i="185"/>
  <c r="P39" i="185"/>
  <c r="Q39" i="185"/>
  <c r="AB41" i="185"/>
  <c r="AA41" i="185"/>
  <c r="P41" i="185"/>
  <c r="Q41" i="185"/>
  <c r="AB42" i="185"/>
  <c r="AA42" i="185"/>
  <c r="N44" i="185"/>
  <c r="AA44" i="185"/>
  <c r="AB44" i="185"/>
  <c r="AA45" i="185"/>
  <c r="AB45" i="185"/>
  <c r="N46" i="185"/>
  <c r="AB46" i="185"/>
  <c r="Q49" i="185"/>
  <c r="P49" i="185"/>
  <c r="AB50" i="185"/>
  <c r="AC44" i="185" s="1"/>
  <c r="AA50" i="185"/>
  <c r="N50" i="185"/>
  <c r="AB51" i="185"/>
  <c r="AA51" i="185"/>
  <c r="M59" i="185"/>
  <c r="AB52" i="185"/>
  <c r="AA52" i="185"/>
  <c r="AB53" i="185"/>
  <c r="AA53" i="185"/>
  <c r="AB54" i="185"/>
  <c r="AA54" i="185"/>
  <c r="AA55" i="185"/>
  <c r="AB55" i="185"/>
  <c r="N56" i="185"/>
  <c r="AB56" i="185"/>
  <c r="N57" i="185"/>
  <c r="AA57" i="185"/>
  <c r="AB57" i="185"/>
  <c r="N58" i="185"/>
  <c r="AB58" i="185"/>
  <c r="M66" i="185"/>
  <c r="N60" i="185"/>
  <c r="Q61" i="185"/>
  <c r="P61" i="185"/>
  <c r="Q62" i="185"/>
  <c r="P62" i="185"/>
  <c r="AB63" i="185"/>
  <c r="AA63" i="185"/>
  <c r="P63" i="185"/>
  <c r="Q63" i="185"/>
  <c r="AB64" i="185"/>
  <c r="AA64" i="185"/>
  <c r="AB65" i="185"/>
  <c r="AA65" i="185"/>
  <c r="N67" i="185"/>
  <c r="AB67" i="185"/>
  <c r="M74" i="185"/>
  <c r="AA67" i="185"/>
  <c r="N68" i="185"/>
  <c r="AB68" i="185"/>
  <c r="AA68" i="185"/>
  <c r="N69" i="185"/>
  <c r="AB69" i="185"/>
  <c r="AB71" i="185"/>
  <c r="N71" i="185"/>
  <c r="Q73" i="185"/>
  <c r="P73" i="185"/>
  <c r="G6" i="184"/>
  <c r="E8" i="190" l="1"/>
  <c r="G8" i="190"/>
  <c r="F8" i="190"/>
  <c r="E15" i="188"/>
  <c r="E7" i="188"/>
  <c r="F7" i="188"/>
  <c r="G7" i="188"/>
  <c r="H14" i="186"/>
  <c r="H15" i="186" s="1"/>
  <c r="Q51" i="187"/>
  <c r="R45" i="187" s="1"/>
  <c r="P51" i="187"/>
  <c r="D2" i="187"/>
  <c r="D14" i="186"/>
  <c r="Q8" i="187"/>
  <c r="R5" i="187" s="1"/>
  <c r="P8" i="187"/>
  <c r="G14" i="186"/>
  <c r="G15" i="186" s="1"/>
  <c r="Q26" i="187"/>
  <c r="R18" i="187" s="1"/>
  <c r="P26" i="187"/>
  <c r="E14" i="186"/>
  <c r="E15" i="186" s="1"/>
  <c r="Q11" i="187"/>
  <c r="R9" i="187" s="1"/>
  <c r="P11" i="187"/>
  <c r="F14" i="186"/>
  <c r="F15" i="186" s="1"/>
  <c r="Q17" i="187"/>
  <c r="R12" i="187" s="1"/>
  <c r="P17" i="187"/>
  <c r="K14" i="186"/>
  <c r="Q34" i="187"/>
  <c r="R27" i="187" s="1"/>
  <c r="P34" i="187"/>
  <c r="M14" i="186"/>
  <c r="M15" i="186" s="1"/>
  <c r="Q74" i="187"/>
  <c r="R67" i="187" s="1"/>
  <c r="P74" i="187"/>
  <c r="L14" i="186"/>
  <c r="L15" i="186" s="1"/>
  <c r="Q44" i="187"/>
  <c r="R35" i="187" s="1"/>
  <c r="P44" i="187"/>
  <c r="P59" i="187"/>
  <c r="I14" i="186"/>
  <c r="I15" i="186" s="1"/>
  <c r="Q59" i="187"/>
  <c r="R52" i="187" s="1"/>
  <c r="Q18" i="185"/>
  <c r="P18" i="185"/>
  <c r="Q30" i="185"/>
  <c r="P30" i="185"/>
  <c r="AB66" i="185"/>
  <c r="AC60" i="185" s="1"/>
  <c r="N66" i="185"/>
  <c r="AA66" i="185"/>
  <c r="P10" i="185"/>
  <c r="Q10" i="185"/>
  <c r="Q46" i="185"/>
  <c r="P46" i="185"/>
  <c r="P58" i="185"/>
  <c r="Q58" i="185"/>
  <c r="N11" i="185"/>
  <c r="AB11" i="185"/>
  <c r="AC9" i="185" s="1"/>
  <c r="AA11" i="185"/>
  <c r="Q69" i="185"/>
  <c r="P69" i="185"/>
  <c r="P9" i="185"/>
  <c r="Q9" i="185"/>
  <c r="N59" i="185"/>
  <c r="Q59" i="185" s="1"/>
  <c r="R51" i="185" s="1"/>
  <c r="AB59" i="185"/>
  <c r="AC51" i="185" s="1"/>
  <c r="AA59" i="185"/>
  <c r="Q32" i="185"/>
  <c r="P32" i="185"/>
  <c r="Q57" i="185"/>
  <c r="P57" i="185"/>
  <c r="N33" i="185"/>
  <c r="AB33" i="185"/>
  <c r="AC26" i="185" s="1"/>
  <c r="AA33" i="185"/>
  <c r="L14" i="184"/>
  <c r="L15" i="184" s="1"/>
  <c r="Q43" i="185"/>
  <c r="R34" i="185" s="1"/>
  <c r="P43" i="185"/>
  <c r="Q68" i="185"/>
  <c r="P68" i="185"/>
  <c r="P44" i="185"/>
  <c r="Q44" i="185"/>
  <c r="Q56" i="185"/>
  <c r="P56" i="185"/>
  <c r="P67" i="185"/>
  <c r="Q67" i="185"/>
  <c r="Q17" i="185"/>
  <c r="P17" i="185"/>
  <c r="AB8" i="185"/>
  <c r="AC5" i="185" s="1"/>
  <c r="AA8" i="185"/>
  <c r="N8" i="185"/>
  <c r="Q71" i="185"/>
  <c r="P71" i="185"/>
  <c r="AB74" i="185"/>
  <c r="AC67" i="185" s="1"/>
  <c r="AA74" i="185"/>
  <c r="N74" i="185"/>
  <c r="M14" i="184" s="1"/>
  <c r="M15" i="184" s="1"/>
  <c r="Q60" i="185"/>
  <c r="P60" i="185"/>
  <c r="I14" i="184"/>
  <c r="I15" i="184" s="1"/>
  <c r="Q50" i="185"/>
  <c r="R44" i="185" s="1"/>
  <c r="P50" i="185"/>
  <c r="H14" i="184"/>
  <c r="H15" i="184" s="1"/>
  <c r="E8" i="188" l="1"/>
  <c r="F8" i="188"/>
  <c r="G8" i="188"/>
  <c r="K15" i="186"/>
  <c r="I8" i="186" s="1"/>
  <c r="I7" i="186"/>
  <c r="D15" i="186"/>
  <c r="G7" i="186"/>
  <c r="F7" i="186"/>
  <c r="E7" i="186"/>
  <c r="D2" i="185"/>
  <c r="Q8" i="185"/>
  <c r="R5" i="185" s="1"/>
  <c r="P8" i="185"/>
  <c r="D14" i="184"/>
  <c r="P11" i="185"/>
  <c r="Q11" i="185"/>
  <c r="R9" i="185" s="1"/>
  <c r="E14" i="184"/>
  <c r="E15" i="184" s="1"/>
  <c r="P59" i="185"/>
  <c r="J14" i="184"/>
  <c r="J15" i="184" s="1"/>
  <c r="Q66" i="185"/>
  <c r="R60" i="185" s="1"/>
  <c r="P66" i="185"/>
  <c r="P33" i="185"/>
  <c r="K14" i="184"/>
  <c r="Q33" i="185"/>
  <c r="R26" i="185" s="1"/>
  <c r="Q74" i="185"/>
  <c r="R67" i="185" s="1"/>
  <c r="P74" i="185"/>
  <c r="G8" i="186" l="1"/>
  <c r="F8" i="186"/>
  <c r="E8" i="186"/>
  <c r="G7" i="184"/>
  <c r="F7" i="184"/>
  <c r="E7" i="184"/>
  <c r="D15" i="184"/>
  <c r="K15" i="184"/>
  <c r="I8" i="184" s="1"/>
  <c r="I7" i="184"/>
  <c r="G8" i="184" l="1"/>
  <c r="F8" i="184"/>
  <c r="E8" i="184"/>
  <c r="O75" i="175" l="1"/>
  <c r="K75" i="175"/>
  <c r="V74" i="175"/>
  <c r="M74" i="175" s="1"/>
  <c r="U74" i="175"/>
  <c r="O74" i="175"/>
  <c r="K74" i="175"/>
  <c r="G74" i="175"/>
  <c r="V73" i="175"/>
  <c r="U73" i="175"/>
  <c r="O73" i="175"/>
  <c r="M73" i="175"/>
  <c r="N73" i="175" s="1"/>
  <c r="K73" i="175"/>
  <c r="G73" i="175"/>
  <c r="X72" i="175"/>
  <c r="W72" i="175"/>
  <c r="V72" i="175"/>
  <c r="M72" i="175" s="1"/>
  <c r="U72" i="175"/>
  <c r="O72" i="175"/>
  <c r="K72" i="175"/>
  <c r="G72" i="175"/>
  <c r="V71" i="175"/>
  <c r="U71" i="175"/>
  <c r="O71" i="175"/>
  <c r="M71" i="175"/>
  <c r="N71" i="175" s="1"/>
  <c r="K71" i="175"/>
  <c r="G71" i="175"/>
  <c r="V70" i="175"/>
  <c r="M70" i="175" s="1"/>
  <c r="U70" i="175"/>
  <c r="O70" i="175"/>
  <c r="K70" i="175"/>
  <c r="G70" i="175"/>
  <c r="V69" i="175"/>
  <c r="M69" i="175" s="1"/>
  <c r="U69" i="175"/>
  <c r="O69" i="175"/>
  <c r="K69" i="175"/>
  <c r="G69" i="175"/>
  <c r="V68" i="175"/>
  <c r="M68" i="175" s="1"/>
  <c r="U68" i="175"/>
  <c r="O68" i="175"/>
  <c r="K68" i="175"/>
  <c r="G68" i="175"/>
  <c r="X67" i="175"/>
  <c r="W67" i="175"/>
  <c r="V67" i="175"/>
  <c r="M67" i="175" s="1"/>
  <c r="O67" i="175"/>
  <c r="K67" i="175"/>
  <c r="G67" i="175"/>
  <c r="O66" i="175"/>
  <c r="K66" i="175"/>
  <c r="V65" i="175"/>
  <c r="M65" i="175" s="1"/>
  <c r="U65" i="175"/>
  <c r="O65" i="175"/>
  <c r="K65" i="175"/>
  <c r="G65" i="175"/>
  <c r="AA64" i="175"/>
  <c r="V64" i="175"/>
  <c r="U64" i="175"/>
  <c r="P64" i="175"/>
  <c r="O64" i="175"/>
  <c r="N64" i="175"/>
  <c r="Q64" i="175" s="1"/>
  <c r="M64" i="175"/>
  <c r="AB64" i="175" s="1"/>
  <c r="K64" i="175"/>
  <c r="G64" i="175"/>
  <c r="AB63" i="175"/>
  <c r="V63" i="175"/>
  <c r="U63" i="175"/>
  <c r="O63" i="175"/>
  <c r="M63" i="175"/>
  <c r="AA63" i="175" s="1"/>
  <c r="K63" i="175"/>
  <c r="G63" i="175"/>
  <c r="AB62" i="175"/>
  <c r="AA62" i="175"/>
  <c r="V62" i="175"/>
  <c r="U62" i="175"/>
  <c r="O62" i="175"/>
  <c r="N62" i="175"/>
  <c r="Q62" i="175" s="1"/>
  <c r="M62" i="175"/>
  <c r="K62" i="175"/>
  <c r="G62" i="175"/>
  <c r="V61" i="175"/>
  <c r="M61" i="175" s="1"/>
  <c r="U61" i="175"/>
  <c r="O61" i="175"/>
  <c r="K61" i="175"/>
  <c r="G61" i="175"/>
  <c r="V60" i="175"/>
  <c r="M60" i="175" s="1"/>
  <c r="O60" i="175"/>
  <c r="K60" i="175"/>
  <c r="G60" i="175"/>
  <c r="O59" i="175"/>
  <c r="K59" i="175"/>
  <c r="V58" i="175"/>
  <c r="M58" i="175" s="1"/>
  <c r="U58" i="175"/>
  <c r="O58" i="175"/>
  <c r="K58" i="175"/>
  <c r="G58" i="175"/>
  <c r="X57" i="175"/>
  <c r="W57" i="175"/>
  <c r="V57" i="175"/>
  <c r="M57" i="175" s="1"/>
  <c r="U57" i="175"/>
  <c r="O57" i="175"/>
  <c r="K57" i="175"/>
  <c r="G57" i="175"/>
  <c r="V56" i="175"/>
  <c r="M56" i="175" s="1"/>
  <c r="U56" i="175"/>
  <c r="O56" i="175"/>
  <c r="K56" i="175"/>
  <c r="G56" i="175"/>
  <c r="V55" i="175"/>
  <c r="U55" i="175"/>
  <c r="O55" i="175"/>
  <c r="M55" i="175"/>
  <c r="AB55" i="175" s="1"/>
  <c r="K55" i="175"/>
  <c r="G55" i="175"/>
  <c r="AA54" i="175"/>
  <c r="V54" i="175"/>
  <c r="U54" i="175"/>
  <c r="O54" i="175"/>
  <c r="M54" i="175"/>
  <c r="AB54" i="175" s="1"/>
  <c r="K54" i="175"/>
  <c r="G54" i="175"/>
  <c r="AA53" i="175"/>
  <c r="V53" i="175"/>
  <c r="O53" i="175"/>
  <c r="M53" i="175"/>
  <c r="K53" i="175"/>
  <c r="G53" i="175"/>
  <c r="O52" i="175"/>
  <c r="K52" i="175"/>
  <c r="V51" i="175"/>
  <c r="M51" i="175" s="1"/>
  <c r="U51" i="175"/>
  <c r="O51" i="175"/>
  <c r="K51" i="175"/>
  <c r="G51" i="175"/>
  <c r="X50" i="175"/>
  <c r="W50" i="175"/>
  <c r="V50" i="175"/>
  <c r="U50" i="175"/>
  <c r="O50" i="175"/>
  <c r="N50" i="175"/>
  <c r="Q50" i="175" s="1"/>
  <c r="M50" i="175"/>
  <c r="AB50" i="175" s="1"/>
  <c r="K50" i="175"/>
  <c r="G50" i="175"/>
  <c r="V49" i="175"/>
  <c r="M49" i="175" s="1"/>
  <c r="U49" i="175"/>
  <c r="O49" i="175"/>
  <c r="K49" i="175"/>
  <c r="G49" i="175"/>
  <c r="V48" i="175"/>
  <c r="M48" i="175" s="1"/>
  <c r="U48" i="175"/>
  <c r="O48" i="175"/>
  <c r="K48" i="175"/>
  <c r="G48" i="175"/>
  <c r="V47" i="175"/>
  <c r="U47" i="175"/>
  <c r="O47" i="175"/>
  <c r="M47" i="175"/>
  <c r="N47" i="175" s="1"/>
  <c r="K47" i="175"/>
  <c r="G47" i="175"/>
  <c r="V46" i="175"/>
  <c r="M46" i="175" s="1"/>
  <c r="U46" i="175"/>
  <c r="O46" i="175"/>
  <c r="K46" i="175"/>
  <c r="G46" i="175"/>
  <c r="X45" i="175"/>
  <c r="W45" i="175"/>
  <c r="V45" i="175"/>
  <c r="M45" i="175" s="1"/>
  <c r="O45" i="175"/>
  <c r="K45" i="175"/>
  <c r="G45" i="175"/>
  <c r="O44" i="175"/>
  <c r="K44" i="175"/>
  <c r="V43" i="175"/>
  <c r="U43" i="175"/>
  <c r="O43" i="175"/>
  <c r="M43" i="175"/>
  <c r="AB43" i="175" s="1"/>
  <c r="K43" i="175"/>
  <c r="G43" i="175"/>
  <c r="AA42" i="175"/>
  <c r="V42" i="175"/>
  <c r="U42" i="175"/>
  <c r="O42" i="175"/>
  <c r="M42" i="175"/>
  <c r="AB42" i="175" s="1"/>
  <c r="K42" i="175"/>
  <c r="G42" i="175"/>
  <c r="X41" i="175"/>
  <c r="W41" i="175"/>
  <c r="V41" i="175"/>
  <c r="U41" i="175"/>
  <c r="O41" i="175"/>
  <c r="M41" i="175"/>
  <c r="AB41" i="175" s="1"/>
  <c r="K41" i="175"/>
  <c r="G41" i="175"/>
  <c r="AA40" i="175"/>
  <c r="V40" i="175"/>
  <c r="U40" i="175"/>
  <c r="O40" i="175"/>
  <c r="M40" i="175"/>
  <c r="AB40" i="175" s="1"/>
  <c r="K40" i="175"/>
  <c r="G40" i="175"/>
  <c r="V39" i="175"/>
  <c r="M39" i="175" s="1"/>
  <c r="U39" i="175"/>
  <c r="O39" i="175"/>
  <c r="K39" i="175"/>
  <c r="G39" i="175"/>
  <c r="AA38" i="175"/>
  <c r="V38" i="175"/>
  <c r="U38" i="175"/>
  <c r="P38" i="175"/>
  <c r="O38" i="175"/>
  <c r="N38" i="175"/>
  <c r="Q38" i="175" s="1"/>
  <c r="M38" i="175"/>
  <c r="AB38" i="175" s="1"/>
  <c r="K38" i="175"/>
  <c r="G38" i="175"/>
  <c r="AB37" i="175"/>
  <c r="V37" i="175"/>
  <c r="U37" i="175"/>
  <c r="O37" i="175"/>
  <c r="M37" i="175"/>
  <c r="AA37" i="175" s="1"/>
  <c r="K37" i="175"/>
  <c r="G37" i="175"/>
  <c r="X36" i="175"/>
  <c r="W36" i="175"/>
  <c r="V36" i="175"/>
  <c r="M36" i="175" s="1"/>
  <c r="O36" i="175"/>
  <c r="K36" i="175"/>
  <c r="G36" i="175"/>
  <c r="O35" i="175"/>
  <c r="K35" i="175"/>
  <c r="V34" i="175"/>
  <c r="M34" i="175" s="1"/>
  <c r="U34" i="175"/>
  <c r="O34" i="175"/>
  <c r="K34" i="175"/>
  <c r="G34" i="175"/>
  <c r="V33" i="175"/>
  <c r="U33" i="175"/>
  <c r="O33" i="175"/>
  <c r="M33" i="175"/>
  <c r="N33" i="175" s="1"/>
  <c r="K33" i="175"/>
  <c r="G33" i="175"/>
  <c r="V32" i="175"/>
  <c r="M32" i="175" s="1"/>
  <c r="U32" i="175"/>
  <c r="O32" i="175"/>
  <c r="K32" i="175"/>
  <c r="G32" i="175"/>
  <c r="AB31" i="175"/>
  <c r="X31" i="175"/>
  <c r="W31" i="175"/>
  <c r="V31" i="175"/>
  <c r="U31" i="175"/>
  <c r="O31" i="175"/>
  <c r="M31" i="175"/>
  <c r="N31" i="175" s="1"/>
  <c r="K31" i="175"/>
  <c r="G31" i="175"/>
  <c r="V30" i="175"/>
  <c r="M30" i="175" s="1"/>
  <c r="U30" i="175"/>
  <c r="O30" i="175"/>
  <c r="K30" i="175"/>
  <c r="G30" i="175"/>
  <c r="V29" i="175"/>
  <c r="M29" i="175" s="1"/>
  <c r="U29" i="175"/>
  <c r="O29" i="175"/>
  <c r="K29" i="175"/>
  <c r="G29" i="175"/>
  <c r="V28" i="175"/>
  <c r="M28" i="175" s="1"/>
  <c r="U28" i="175"/>
  <c r="O28" i="175"/>
  <c r="K28" i="175"/>
  <c r="G28" i="175"/>
  <c r="X27" i="175"/>
  <c r="W27" i="175"/>
  <c r="V27" i="175"/>
  <c r="M27" i="175" s="1"/>
  <c r="O27" i="175"/>
  <c r="K27" i="175"/>
  <c r="G27" i="175"/>
  <c r="O26" i="175"/>
  <c r="K26" i="175"/>
  <c r="V25" i="175"/>
  <c r="M25" i="175" s="1"/>
  <c r="U25" i="175"/>
  <c r="O25" i="175"/>
  <c r="K25" i="175"/>
  <c r="G25" i="175"/>
  <c r="AA24" i="175"/>
  <c r="V24" i="175"/>
  <c r="U24" i="175"/>
  <c r="P24" i="175"/>
  <c r="O24" i="175"/>
  <c r="N24" i="175"/>
  <c r="Q24" i="175" s="1"/>
  <c r="M24" i="175"/>
  <c r="AB24" i="175" s="1"/>
  <c r="K24" i="175"/>
  <c r="G24" i="175"/>
  <c r="AB23" i="175"/>
  <c r="V23" i="175"/>
  <c r="U23" i="175"/>
  <c r="O23" i="175"/>
  <c r="M23" i="175"/>
  <c r="AA23" i="175" s="1"/>
  <c r="K23" i="175"/>
  <c r="G23" i="175"/>
  <c r="AA22" i="175"/>
  <c r="V22" i="175"/>
  <c r="U22" i="175"/>
  <c r="O22" i="175"/>
  <c r="N22" i="175"/>
  <c r="Q22" i="175" s="1"/>
  <c r="M22" i="175"/>
  <c r="AB22" i="175" s="1"/>
  <c r="K22" i="175"/>
  <c r="G22" i="175"/>
  <c r="V21" i="175"/>
  <c r="M21" i="175" s="1"/>
  <c r="U21" i="175"/>
  <c r="O21" i="175"/>
  <c r="K21" i="175"/>
  <c r="G21" i="175"/>
  <c r="V20" i="175"/>
  <c r="M20" i="175" s="1"/>
  <c r="U20" i="175"/>
  <c r="O20" i="175"/>
  <c r="K20" i="175"/>
  <c r="G20" i="175"/>
  <c r="V19" i="175"/>
  <c r="U19" i="175"/>
  <c r="O19" i="175"/>
  <c r="M19" i="175"/>
  <c r="N19" i="175" s="1"/>
  <c r="K19" i="175"/>
  <c r="G19" i="175"/>
  <c r="V18" i="175"/>
  <c r="O18" i="175"/>
  <c r="M18" i="175"/>
  <c r="N18" i="175" s="1"/>
  <c r="K18" i="175"/>
  <c r="G18" i="175"/>
  <c r="O17" i="175"/>
  <c r="K17" i="175"/>
  <c r="AA16" i="175"/>
  <c r="V16" i="175"/>
  <c r="U16" i="175"/>
  <c r="O16" i="175"/>
  <c r="M16" i="175"/>
  <c r="AB16" i="175" s="1"/>
  <c r="K16" i="175"/>
  <c r="G16" i="175"/>
  <c r="V15" i="175"/>
  <c r="M15" i="175" s="1"/>
  <c r="U15" i="175"/>
  <c r="O15" i="175"/>
  <c r="K15" i="175"/>
  <c r="G15" i="175"/>
  <c r="AA14" i="175"/>
  <c r="V14" i="175"/>
  <c r="U14" i="175"/>
  <c r="P14" i="175"/>
  <c r="O14" i="175"/>
  <c r="N14" i="175"/>
  <c r="Q14" i="175" s="1"/>
  <c r="M14" i="175"/>
  <c r="AB14" i="175" s="1"/>
  <c r="K14" i="175"/>
  <c r="G14" i="175"/>
  <c r="AA13" i="175"/>
  <c r="V13" i="175"/>
  <c r="P13" i="175"/>
  <c r="O13" i="175"/>
  <c r="N13" i="175"/>
  <c r="Q13" i="175" s="1"/>
  <c r="M13" i="175"/>
  <c r="K13" i="175"/>
  <c r="G13" i="175"/>
  <c r="O12" i="175"/>
  <c r="K12" i="175"/>
  <c r="V11" i="175"/>
  <c r="U11" i="175"/>
  <c r="O11" i="175"/>
  <c r="M11" i="175"/>
  <c r="N11" i="175" s="1"/>
  <c r="K11" i="175"/>
  <c r="G11" i="175"/>
  <c r="X10" i="175"/>
  <c r="W10" i="175"/>
  <c r="V10" i="175"/>
  <c r="M10" i="175" s="1"/>
  <c r="O10" i="175"/>
  <c r="K10" i="175"/>
  <c r="G10" i="175"/>
  <c r="O9" i="175"/>
  <c r="K9" i="175"/>
  <c r="V8" i="175"/>
  <c r="M8" i="175" s="1"/>
  <c r="U8" i="175"/>
  <c r="O8" i="175"/>
  <c r="K8" i="175"/>
  <c r="G8" i="175"/>
  <c r="X7" i="175"/>
  <c r="W7" i="175"/>
  <c r="V7" i="175"/>
  <c r="M7" i="175" s="1"/>
  <c r="U7" i="175"/>
  <c r="O7" i="175"/>
  <c r="K7" i="175"/>
  <c r="G7" i="175"/>
  <c r="F1" i="175" s="1"/>
  <c r="V6" i="175"/>
  <c r="M6" i="175" s="1"/>
  <c r="U6" i="175"/>
  <c r="O6" i="175"/>
  <c r="K6" i="175"/>
  <c r="G6" i="175"/>
  <c r="V5" i="175"/>
  <c r="M5" i="175" s="1"/>
  <c r="O5" i="175"/>
  <c r="K5" i="175"/>
  <c r="G5" i="175"/>
  <c r="H2" i="175"/>
  <c r="H1" i="175"/>
  <c r="D1" i="175"/>
  <c r="M18" i="174"/>
  <c r="L18" i="174"/>
  <c r="K18" i="174"/>
  <c r="J18" i="174"/>
  <c r="I18" i="174"/>
  <c r="H18" i="174"/>
  <c r="G18" i="174"/>
  <c r="F18" i="174"/>
  <c r="E18" i="174"/>
  <c r="D18" i="174"/>
  <c r="M17" i="174"/>
  <c r="L17" i="174"/>
  <c r="K17" i="174"/>
  <c r="J17" i="174"/>
  <c r="I17" i="174"/>
  <c r="H17" i="174"/>
  <c r="G17" i="174"/>
  <c r="F17" i="174"/>
  <c r="E17" i="174"/>
  <c r="D17" i="174"/>
  <c r="M16" i="174"/>
  <c r="L16" i="174"/>
  <c r="K16" i="174"/>
  <c r="J16" i="174"/>
  <c r="I16" i="174"/>
  <c r="H16" i="174"/>
  <c r="G16" i="174"/>
  <c r="F16" i="174"/>
  <c r="E16" i="174"/>
  <c r="D16" i="174"/>
  <c r="M13" i="174"/>
  <c r="L13" i="174"/>
  <c r="K13" i="174"/>
  <c r="I6" i="174" s="1"/>
  <c r="J13" i="174"/>
  <c r="I13" i="174"/>
  <c r="H13" i="174"/>
  <c r="G13" i="174"/>
  <c r="E6" i="174" s="1"/>
  <c r="F13" i="174"/>
  <c r="E13" i="174"/>
  <c r="D13" i="174"/>
  <c r="G6" i="174" s="1"/>
  <c r="F3" i="174"/>
  <c r="C3" i="174"/>
  <c r="P71" i="175" l="1"/>
  <c r="Q71" i="175"/>
  <c r="P73" i="175"/>
  <c r="Q73" i="175"/>
  <c r="N51" i="175"/>
  <c r="AB51" i="175"/>
  <c r="AA51" i="175"/>
  <c r="N69" i="175"/>
  <c r="AB69" i="175"/>
  <c r="AA69" i="175"/>
  <c r="N57" i="175"/>
  <c r="AB57" i="175"/>
  <c r="AA57" i="175"/>
  <c r="AB6" i="175"/>
  <c r="AA6" i="175"/>
  <c r="N6" i="175"/>
  <c r="F2" i="175"/>
  <c r="I3" i="174"/>
  <c r="AB25" i="175"/>
  <c r="AA25" i="175"/>
  <c r="N25" i="175"/>
  <c r="N34" i="175"/>
  <c r="AB34" i="175"/>
  <c r="AA34" i="175"/>
  <c r="N60" i="175"/>
  <c r="AB60" i="175"/>
  <c r="AA60" i="175"/>
  <c r="M66" i="175"/>
  <c r="AB15" i="175"/>
  <c r="AA15" i="175"/>
  <c r="N15" i="175"/>
  <c r="P18" i="175"/>
  <c r="Q18" i="175"/>
  <c r="AB28" i="175"/>
  <c r="AA28" i="175"/>
  <c r="N28" i="175"/>
  <c r="N32" i="175"/>
  <c r="AB32" i="175"/>
  <c r="AA32" i="175"/>
  <c r="P47" i="175"/>
  <c r="Q47" i="175"/>
  <c r="N20" i="175"/>
  <c r="AB20" i="175"/>
  <c r="AA20" i="175"/>
  <c r="M26" i="175"/>
  <c r="P31" i="175"/>
  <c r="Q31" i="175"/>
  <c r="N49" i="175"/>
  <c r="AB49" i="175"/>
  <c r="AA49" i="175"/>
  <c r="N45" i="175"/>
  <c r="AB45" i="175"/>
  <c r="M52" i="175"/>
  <c r="AA45" i="175"/>
  <c r="N7" i="175"/>
  <c r="AB7" i="175"/>
  <c r="AA7" i="175"/>
  <c r="P33" i="175"/>
  <c r="Q33" i="175"/>
  <c r="N10" i="175"/>
  <c r="M12" i="175"/>
  <c r="AB10" i="175"/>
  <c r="AA10" i="175"/>
  <c r="AB39" i="175"/>
  <c r="AA39" i="175"/>
  <c r="N39" i="175"/>
  <c r="N61" i="175"/>
  <c r="AB61" i="175"/>
  <c r="AA61" i="175"/>
  <c r="N67" i="175"/>
  <c r="AB67" i="175"/>
  <c r="AA67" i="175"/>
  <c r="M75" i="175"/>
  <c r="M9" i="175"/>
  <c r="AB5" i="175"/>
  <c r="AA5" i="175"/>
  <c r="N5" i="175"/>
  <c r="M17" i="175"/>
  <c r="P19" i="175"/>
  <c r="Q19" i="175"/>
  <c r="N27" i="175"/>
  <c r="AB27" i="175"/>
  <c r="AA27" i="175"/>
  <c r="M35" i="175"/>
  <c r="N29" i="175"/>
  <c r="AB29" i="175"/>
  <c r="AA29" i="175"/>
  <c r="AA36" i="175"/>
  <c r="M44" i="175"/>
  <c r="N36" i="175"/>
  <c r="AB36" i="175"/>
  <c r="AB56" i="175"/>
  <c r="AA56" i="175"/>
  <c r="N56" i="175"/>
  <c r="AB58" i="175"/>
  <c r="AA58" i="175"/>
  <c r="N58" i="175"/>
  <c r="N21" i="175"/>
  <c r="AB21" i="175"/>
  <c r="AA21" i="175"/>
  <c r="N72" i="175"/>
  <c r="AB72" i="175"/>
  <c r="AA72" i="175"/>
  <c r="AB8" i="175"/>
  <c r="AA8" i="175"/>
  <c r="N8" i="175"/>
  <c r="N30" i="175"/>
  <c r="AB30" i="175"/>
  <c r="AA30" i="175"/>
  <c r="N48" i="175"/>
  <c r="AB48" i="175"/>
  <c r="AA48" i="175"/>
  <c r="M59" i="175"/>
  <c r="P11" i="175"/>
  <c r="Q11" i="175"/>
  <c r="N46" i="175"/>
  <c r="AB46" i="175"/>
  <c r="AA46" i="175"/>
  <c r="N70" i="175"/>
  <c r="AB70" i="175"/>
  <c r="AA70" i="175"/>
  <c r="N74" i="175"/>
  <c r="AB74" i="175"/>
  <c r="AA74" i="175"/>
  <c r="AB65" i="175"/>
  <c r="AA65" i="175"/>
  <c r="N65" i="175"/>
  <c r="AB68" i="175"/>
  <c r="AA68" i="175"/>
  <c r="N68" i="175"/>
  <c r="N41" i="175"/>
  <c r="N43" i="175"/>
  <c r="N55" i="175"/>
  <c r="N16" i="175"/>
  <c r="N40" i="175"/>
  <c r="N42" i="175"/>
  <c r="AA50" i="175"/>
  <c r="N53" i="175"/>
  <c r="N54" i="175"/>
  <c r="AA11" i="175"/>
  <c r="AA18" i="175"/>
  <c r="AA19" i="175"/>
  <c r="AA33" i="175"/>
  <c r="AA47" i="175"/>
  <c r="AA71" i="175"/>
  <c r="AA73" i="175"/>
  <c r="AB11" i="175"/>
  <c r="AB18" i="175"/>
  <c r="AB19" i="175"/>
  <c r="AB33" i="175"/>
  <c r="AB47" i="175"/>
  <c r="AB71" i="175"/>
  <c r="AB73" i="175"/>
  <c r="F6" i="174"/>
  <c r="N23" i="175"/>
  <c r="AA31" i="175"/>
  <c r="N37" i="175"/>
  <c r="N63" i="175"/>
  <c r="AA43" i="175"/>
  <c r="AA55" i="175"/>
  <c r="P22" i="175"/>
  <c r="P50" i="175"/>
  <c r="P62" i="175"/>
  <c r="AA41" i="175"/>
  <c r="AB53" i="175"/>
  <c r="AB13" i="175"/>
  <c r="O77" i="171"/>
  <c r="K77" i="171"/>
  <c r="AB76" i="171"/>
  <c r="AA76" i="171"/>
  <c r="V76" i="171"/>
  <c r="M76" i="171" s="1"/>
  <c r="N76" i="171" s="1"/>
  <c r="U76" i="171"/>
  <c r="Q76" i="171"/>
  <c r="P76" i="171"/>
  <c r="O76" i="171"/>
  <c r="K76" i="171"/>
  <c r="G76" i="171"/>
  <c r="AB75" i="171"/>
  <c r="V75" i="171"/>
  <c r="U75" i="171"/>
  <c r="Q75" i="171"/>
  <c r="P75" i="171"/>
  <c r="O75" i="171"/>
  <c r="N75" i="171"/>
  <c r="M75" i="171"/>
  <c r="AA75" i="171" s="1"/>
  <c r="K75" i="171"/>
  <c r="G75" i="171"/>
  <c r="AB74" i="171"/>
  <c r="AA74" i="171"/>
  <c r="X74" i="171"/>
  <c r="W74" i="171"/>
  <c r="V74" i="171"/>
  <c r="M74" i="171" s="1"/>
  <c r="U74" i="171"/>
  <c r="O74" i="171"/>
  <c r="N74" i="171"/>
  <c r="K74" i="171"/>
  <c r="G74" i="171"/>
  <c r="AB73" i="171"/>
  <c r="AA73" i="171"/>
  <c r="V73" i="171"/>
  <c r="U73" i="171"/>
  <c r="O73" i="171"/>
  <c r="M73" i="171"/>
  <c r="N73" i="171" s="1"/>
  <c r="K73" i="171"/>
  <c r="G73" i="171"/>
  <c r="V72" i="171"/>
  <c r="M72" i="171" s="1"/>
  <c r="U72" i="171"/>
  <c r="O72" i="171"/>
  <c r="K72" i="171"/>
  <c r="G72" i="171"/>
  <c r="AB71" i="171"/>
  <c r="AA71" i="171"/>
  <c r="V71" i="171"/>
  <c r="U71" i="171"/>
  <c r="O71" i="171"/>
  <c r="N71" i="171"/>
  <c r="P71" i="171" s="1"/>
  <c r="M71" i="171"/>
  <c r="K71" i="171"/>
  <c r="G71" i="171"/>
  <c r="V70" i="171"/>
  <c r="U70" i="171"/>
  <c r="O70" i="171"/>
  <c r="N70" i="171"/>
  <c r="M70" i="171"/>
  <c r="K70" i="171"/>
  <c r="G70" i="171"/>
  <c r="AB69" i="171"/>
  <c r="AA69" i="171"/>
  <c r="X69" i="171"/>
  <c r="W69" i="171"/>
  <c r="V69" i="171"/>
  <c r="O69" i="171"/>
  <c r="M69" i="171"/>
  <c r="N69" i="171" s="1"/>
  <c r="K69" i="171"/>
  <c r="G69" i="171"/>
  <c r="O68" i="171"/>
  <c r="K68" i="171"/>
  <c r="AB67" i="171"/>
  <c r="AA67" i="171"/>
  <c r="V67" i="171"/>
  <c r="M67" i="171" s="1"/>
  <c r="N67" i="171" s="1"/>
  <c r="P67" i="171" s="1"/>
  <c r="U67" i="171"/>
  <c r="Q67" i="171"/>
  <c r="O67" i="171"/>
  <c r="K67" i="171"/>
  <c r="G67" i="171"/>
  <c r="V66" i="171"/>
  <c r="U66" i="171"/>
  <c r="O66" i="171"/>
  <c r="M66" i="171"/>
  <c r="K66" i="171"/>
  <c r="G66" i="171"/>
  <c r="AB65" i="171"/>
  <c r="AA65" i="171"/>
  <c r="V65" i="171"/>
  <c r="U65" i="171"/>
  <c r="O65" i="171"/>
  <c r="N65" i="171"/>
  <c r="M65" i="171"/>
  <c r="K65" i="171"/>
  <c r="G65" i="171"/>
  <c r="AA64" i="171"/>
  <c r="V64" i="171"/>
  <c r="U64" i="171"/>
  <c r="O64" i="171"/>
  <c r="N64" i="171"/>
  <c r="P64" i="171" s="1"/>
  <c r="M64" i="171"/>
  <c r="AB64" i="171" s="1"/>
  <c r="K64" i="171"/>
  <c r="G64" i="171"/>
  <c r="AB63" i="171"/>
  <c r="V63" i="171"/>
  <c r="M63" i="171" s="1"/>
  <c r="U63" i="171"/>
  <c r="O63" i="171"/>
  <c r="K63" i="171"/>
  <c r="G63" i="171"/>
  <c r="AB62" i="171"/>
  <c r="AA62" i="171"/>
  <c r="V62" i="171"/>
  <c r="O62" i="171"/>
  <c r="N62" i="171"/>
  <c r="P62" i="171" s="1"/>
  <c r="M62" i="171"/>
  <c r="M68" i="171" s="1"/>
  <c r="N68" i="171" s="1"/>
  <c r="K62" i="171"/>
  <c r="G62" i="171"/>
  <c r="O61" i="171"/>
  <c r="K61" i="171"/>
  <c r="V60" i="171"/>
  <c r="U60" i="171"/>
  <c r="O60" i="171"/>
  <c r="M60" i="171"/>
  <c r="AB60" i="171" s="1"/>
  <c r="K60" i="171"/>
  <c r="G60" i="171"/>
  <c r="X59" i="171"/>
  <c r="W59" i="171"/>
  <c r="V59" i="171"/>
  <c r="U59" i="171"/>
  <c r="O59" i="171"/>
  <c r="N59" i="171"/>
  <c r="M59" i="171"/>
  <c r="K59" i="171"/>
  <c r="G59" i="171"/>
  <c r="AB58" i="171"/>
  <c r="AA58" i="171"/>
  <c r="V58" i="171"/>
  <c r="M58" i="171" s="1"/>
  <c r="N58" i="171" s="1"/>
  <c r="U58" i="171"/>
  <c r="Q58" i="171"/>
  <c r="P58" i="171"/>
  <c r="O58" i="171"/>
  <c r="K58" i="171"/>
  <c r="G58" i="171"/>
  <c r="AB57" i="171"/>
  <c r="V57" i="171"/>
  <c r="U57" i="171"/>
  <c r="Q57" i="171"/>
  <c r="P57" i="171"/>
  <c r="O57" i="171"/>
  <c r="N57" i="171"/>
  <c r="M57" i="171"/>
  <c r="AA57" i="171" s="1"/>
  <c r="K57" i="171"/>
  <c r="G57" i="171"/>
  <c r="AB56" i="171"/>
  <c r="AA56" i="171"/>
  <c r="V56" i="171"/>
  <c r="U56" i="171"/>
  <c r="O56" i="171"/>
  <c r="M56" i="171"/>
  <c r="N56" i="171" s="1"/>
  <c r="K56" i="171"/>
  <c r="G56" i="171"/>
  <c r="AA55" i="171"/>
  <c r="V55" i="171"/>
  <c r="O55" i="171"/>
  <c r="N55" i="171"/>
  <c r="P55" i="171" s="1"/>
  <c r="M55" i="171"/>
  <c r="K55" i="171"/>
  <c r="G55" i="171"/>
  <c r="O54" i="171"/>
  <c r="K54" i="171"/>
  <c r="V53" i="171"/>
  <c r="U53" i="171"/>
  <c r="O53" i="171"/>
  <c r="M53" i="171"/>
  <c r="M54" i="171" s="1"/>
  <c r="K53" i="171"/>
  <c r="G53" i="171"/>
  <c r="AB52" i="171"/>
  <c r="AA52" i="171"/>
  <c r="V52" i="171"/>
  <c r="M52" i="171" s="1"/>
  <c r="U52" i="171"/>
  <c r="O52" i="171"/>
  <c r="N52" i="171"/>
  <c r="K52" i="171"/>
  <c r="G52" i="171"/>
  <c r="AB51" i="171"/>
  <c r="AA51" i="171"/>
  <c r="X51" i="171"/>
  <c r="W51" i="171"/>
  <c r="V51" i="171"/>
  <c r="U51" i="171"/>
  <c r="Q51" i="171"/>
  <c r="P51" i="171"/>
  <c r="O51" i="171"/>
  <c r="N51" i="171"/>
  <c r="M51" i="171"/>
  <c r="K51" i="171"/>
  <c r="G51" i="171"/>
  <c r="V50" i="171"/>
  <c r="U50" i="171"/>
  <c r="O50" i="171"/>
  <c r="N50" i="171"/>
  <c r="M50" i="171"/>
  <c r="K50" i="171"/>
  <c r="G50" i="171"/>
  <c r="AA49" i="171"/>
  <c r="V49" i="171"/>
  <c r="M49" i="171" s="1"/>
  <c r="U49" i="171"/>
  <c r="O49" i="171"/>
  <c r="K49" i="171"/>
  <c r="G49" i="171"/>
  <c r="AB48" i="171"/>
  <c r="AA48" i="171"/>
  <c r="V48" i="171"/>
  <c r="U48" i="171"/>
  <c r="O48" i="171"/>
  <c r="N48" i="171"/>
  <c r="Q48" i="171" s="1"/>
  <c r="M48" i="171"/>
  <c r="K48" i="171"/>
  <c r="G48" i="171"/>
  <c r="AB47" i="171"/>
  <c r="AA47" i="171"/>
  <c r="V47" i="171"/>
  <c r="M47" i="171" s="1"/>
  <c r="N47" i="171" s="1"/>
  <c r="P47" i="171" s="1"/>
  <c r="U47" i="171"/>
  <c r="Q47" i="171"/>
  <c r="O47" i="171"/>
  <c r="K47" i="171"/>
  <c r="G47" i="171"/>
  <c r="X46" i="171"/>
  <c r="W46" i="171"/>
  <c r="V46" i="171"/>
  <c r="O46" i="171"/>
  <c r="N46" i="171"/>
  <c r="Q46" i="171" s="1"/>
  <c r="M46" i="171"/>
  <c r="K46" i="171"/>
  <c r="G46" i="171"/>
  <c r="O45" i="171"/>
  <c r="K45" i="171"/>
  <c r="AA44" i="171"/>
  <c r="V44" i="171"/>
  <c r="U44" i="171"/>
  <c r="O44" i="171"/>
  <c r="N44" i="171"/>
  <c r="P44" i="171" s="1"/>
  <c r="M44" i="171"/>
  <c r="AB44" i="171" s="1"/>
  <c r="K44" i="171"/>
  <c r="G44" i="171"/>
  <c r="AB43" i="171"/>
  <c r="V43" i="171"/>
  <c r="M43" i="171" s="1"/>
  <c r="U43" i="171"/>
  <c r="O43" i="171"/>
  <c r="K43" i="171"/>
  <c r="G43" i="171"/>
  <c r="AB42" i="171"/>
  <c r="AA42" i="171"/>
  <c r="V42" i="171"/>
  <c r="U42" i="171"/>
  <c r="O42" i="171"/>
  <c r="M42" i="171"/>
  <c r="N42" i="171" s="1"/>
  <c r="K42" i="171"/>
  <c r="G42" i="171"/>
  <c r="X41" i="171"/>
  <c r="W41" i="171"/>
  <c r="V41" i="171"/>
  <c r="U41" i="171"/>
  <c r="O41" i="171"/>
  <c r="N41" i="171"/>
  <c r="M41" i="171"/>
  <c r="K41" i="171"/>
  <c r="G41" i="171"/>
  <c r="AB40" i="171"/>
  <c r="AA40" i="171"/>
  <c r="V40" i="171"/>
  <c r="M40" i="171" s="1"/>
  <c r="N40" i="171" s="1"/>
  <c r="U40" i="171"/>
  <c r="Q40" i="171"/>
  <c r="P40" i="171"/>
  <c r="O40" i="171"/>
  <c r="K40" i="171"/>
  <c r="G40" i="171"/>
  <c r="AB39" i="171"/>
  <c r="V39" i="171"/>
  <c r="U39" i="171"/>
  <c r="Q39" i="171"/>
  <c r="P39" i="171"/>
  <c r="O39" i="171"/>
  <c r="N39" i="171"/>
  <c r="M39" i="171"/>
  <c r="AA39" i="171" s="1"/>
  <c r="K39" i="171"/>
  <c r="G39" i="171"/>
  <c r="AB38" i="171"/>
  <c r="AA38" i="171"/>
  <c r="V38" i="171"/>
  <c r="U38" i="171"/>
  <c r="O38" i="171"/>
  <c r="M38" i="171"/>
  <c r="N38" i="171" s="1"/>
  <c r="K38" i="171"/>
  <c r="G38" i="171"/>
  <c r="V37" i="171"/>
  <c r="U37" i="171"/>
  <c r="O37" i="171"/>
  <c r="M37" i="171"/>
  <c r="N37" i="171" s="1"/>
  <c r="K37" i="171"/>
  <c r="G37" i="171"/>
  <c r="AB36" i="171"/>
  <c r="X36" i="171"/>
  <c r="W36" i="171"/>
  <c r="V36" i="171"/>
  <c r="O36" i="171"/>
  <c r="M36" i="171"/>
  <c r="K36" i="171"/>
  <c r="G36" i="171"/>
  <c r="O35" i="171"/>
  <c r="K35" i="171"/>
  <c r="V34" i="171"/>
  <c r="M34" i="171" s="1"/>
  <c r="U34" i="171"/>
  <c r="O34" i="171"/>
  <c r="K34" i="171"/>
  <c r="G34" i="171"/>
  <c r="AB33" i="171"/>
  <c r="AA33" i="171"/>
  <c r="V33" i="171"/>
  <c r="U33" i="171"/>
  <c r="O33" i="171"/>
  <c r="N33" i="171"/>
  <c r="Q33" i="171" s="1"/>
  <c r="M33" i="171"/>
  <c r="K33" i="171"/>
  <c r="G33" i="171"/>
  <c r="AA32" i="171"/>
  <c r="V32" i="171"/>
  <c r="U32" i="171"/>
  <c r="O32" i="171"/>
  <c r="N32" i="171"/>
  <c r="M32" i="171"/>
  <c r="AB32" i="171" s="1"/>
  <c r="K32" i="171"/>
  <c r="G32" i="171"/>
  <c r="AA31" i="171"/>
  <c r="X31" i="171"/>
  <c r="W31" i="171"/>
  <c r="V31" i="171"/>
  <c r="U31" i="171"/>
  <c r="O31" i="171"/>
  <c r="M31" i="171"/>
  <c r="K31" i="171"/>
  <c r="G31" i="171"/>
  <c r="V30" i="171"/>
  <c r="U30" i="171"/>
  <c r="O30" i="171"/>
  <c r="M30" i="171"/>
  <c r="K30" i="171"/>
  <c r="G30" i="171"/>
  <c r="AB29" i="171"/>
  <c r="AA29" i="171"/>
  <c r="V29" i="171"/>
  <c r="U29" i="171"/>
  <c r="O29" i="171"/>
  <c r="M29" i="171"/>
  <c r="N29" i="171" s="1"/>
  <c r="K29" i="171"/>
  <c r="G29" i="171"/>
  <c r="V28" i="171"/>
  <c r="U28" i="171"/>
  <c r="O28" i="171"/>
  <c r="M28" i="171"/>
  <c r="AB28" i="171" s="1"/>
  <c r="K28" i="171"/>
  <c r="G28" i="171"/>
  <c r="X27" i="171"/>
  <c r="W27" i="171"/>
  <c r="V27" i="171"/>
  <c r="O27" i="171"/>
  <c r="N27" i="171"/>
  <c r="M27" i="171"/>
  <c r="K27" i="171"/>
  <c r="G27" i="171"/>
  <c r="O26" i="171"/>
  <c r="K26" i="171"/>
  <c r="V25" i="171"/>
  <c r="U25" i="171"/>
  <c r="O25" i="171"/>
  <c r="M25" i="171"/>
  <c r="K25" i="171"/>
  <c r="G25" i="171"/>
  <c r="AB24" i="171"/>
  <c r="V24" i="171"/>
  <c r="M24" i="171" s="1"/>
  <c r="AA24" i="171" s="1"/>
  <c r="U24" i="171"/>
  <c r="P24" i="171"/>
  <c r="O24" i="171"/>
  <c r="N24" i="171"/>
  <c r="Q24" i="171" s="1"/>
  <c r="K24" i="171"/>
  <c r="G24" i="171"/>
  <c r="AB23" i="171"/>
  <c r="AA23" i="171"/>
  <c r="V23" i="171"/>
  <c r="U23" i="171"/>
  <c r="O23" i="171"/>
  <c r="N23" i="171"/>
  <c r="M23" i="171"/>
  <c r="K23" i="171"/>
  <c r="G23" i="171"/>
  <c r="AB22" i="171"/>
  <c r="AA22" i="171"/>
  <c r="V22" i="171"/>
  <c r="M22" i="171" s="1"/>
  <c r="N22" i="171" s="1"/>
  <c r="U22" i="171"/>
  <c r="Q22" i="171"/>
  <c r="P22" i="171"/>
  <c r="O22" i="171"/>
  <c r="K22" i="171"/>
  <c r="G22" i="171"/>
  <c r="AB21" i="171"/>
  <c r="V21" i="171"/>
  <c r="U21" i="171"/>
  <c r="Q21" i="171"/>
  <c r="P21" i="171"/>
  <c r="O21" i="171"/>
  <c r="N21" i="171"/>
  <c r="M21" i="171"/>
  <c r="AA21" i="171" s="1"/>
  <c r="K21" i="171"/>
  <c r="G21" i="171"/>
  <c r="AB20" i="171"/>
  <c r="AA20" i="171"/>
  <c r="V20" i="171"/>
  <c r="U20" i="171"/>
  <c r="O20" i="171"/>
  <c r="N20" i="171"/>
  <c r="M20" i="171"/>
  <c r="K20" i="171"/>
  <c r="G20" i="171"/>
  <c r="V19" i="171"/>
  <c r="U19" i="171"/>
  <c r="O19" i="171"/>
  <c r="M19" i="171"/>
  <c r="M26" i="171" s="1"/>
  <c r="K19" i="171"/>
  <c r="G19" i="171"/>
  <c r="AB18" i="171"/>
  <c r="V18" i="171"/>
  <c r="M18" i="171" s="1"/>
  <c r="O18" i="171"/>
  <c r="K18" i="171"/>
  <c r="G18" i="171"/>
  <c r="O17" i="171"/>
  <c r="M17" i="171"/>
  <c r="AB17" i="171" s="1"/>
  <c r="AC13" i="171" s="1"/>
  <c r="K17" i="171"/>
  <c r="AB16" i="171"/>
  <c r="AA16" i="171"/>
  <c r="V16" i="171"/>
  <c r="M16" i="171" s="1"/>
  <c r="U16" i="171"/>
  <c r="P16" i="171"/>
  <c r="O16" i="171"/>
  <c r="N16" i="171"/>
  <c r="Q16" i="171" s="1"/>
  <c r="K16" i="171"/>
  <c r="G16" i="171"/>
  <c r="AB15" i="171"/>
  <c r="AA15" i="171"/>
  <c r="V15" i="171"/>
  <c r="U15" i="171"/>
  <c r="O15" i="171"/>
  <c r="M15" i="171"/>
  <c r="N15" i="171" s="1"/>
  <c r="K15" i="171"/>
  <c r="G15" i="171"/>
  <c r="V14" i="171"/>
  <c r="M14" i="171" s="1"/>
  <c r="U14" i="171"/>
  <c r="O14" i="171"/>
  <c r="K14" i="171"/>
  <c r="G14" i="171"/>
  <c r="AB13" i="171"/>
  <c r="V13" i="171"/>
  <c r="M13" i="171" s="1"/>
  <c r="AA13" i="171" s="1"/>
  <c r="Q13" i="171"/>
  <c r="P13" i="171"/>
  <c r="O13" i="171"/>
  <c r="N13" i="171"/>
  <c r="K13" i="171"/>
  <c r="G13" i="171"/>
  <c r="AB12" i="171"/>
  <c r="AC10" i="171" s="1"/>
  <c r="AA12" i="171"/>
  <c r="Q12" i="171"/>
  <c r="R10" i="171" s="1"/>
  <c r="O12" i="171"/>
  <c r="M12" i="171"/>
  <c r="N12" i="171" s="1"/>
  <c r="P12" i="171" s="1"/>
  <c r="K12" i="171"/>
  <c r="AB11" i="171"/>
  <c r="AA11" i="171"/>
  <c r="V11" i="171"/>
  <c r="U11" i="171"/>
  <c r="Q11" i="171"/>
  <c r="P11" i="171"/>
  <c r="O11" i="171"/>
  <c r="N11" i="171"/>
  <c r="M11" i="171"/>
  <c r="K11" i="171"/>
  <c r="G11" i="171"/>
  <c r="AB10" i="171"/>
  <c r="AA10" i="171"/>
  <c r="X10" i="171"/>
  <c r="W10" i="171"/>
  <c r="V10" i="171"/>
  <c r="Q10" i="171"/>
  <c r="P10" i="171"/>
  <c r="O10" i="171"/>
  <c r="N10" i="171"/>
  <c r="M10" i="171"/>
  <c r="K10" i="171"/>
  <c r="G10" i="171"/>
  <c r="O9" i="171"/>
  <c r="K9" i="171"/>
  <c r="AB8" i="171"/>
  <c r="AA8" i="171"/>
  <c r="V8" i="171"/>
  <c r="U8" i="171"/>
  <c r="O8" i="171"/>
  <c r="N8" i="171"/>
  <c r="Q8" i="171" s="1"/>
  <c r="M8" i="171"/>
  <c r="K8" i="171"/>
  <c r="G8" i="171"/>
  <c r="AB7" i="171"/>
  <c r="AA7" i="171"/>
  <c r="X7" i="171"/>
  <c r="W7" i="171"/>
  <c r="V7" i="171"/>
  <c r="U7" i="171"/>
  <c r="O7" i="171"/>
  <c r="N7" i="171"/>
  <c r="M7" i="171"/>
  <c r="K7" i="171"/>
  <c r="G7" i="171"/>
  <c r="AA6" i="171"/>
  <c r="V6" i="171"/>
  <c r="U6" i="171"/>
  <c r="O6" i="171"/>
  <c r="N6" i="171"/>
  <c r="P6" i="171" s="1"/>
  <c r="M6" i="171"/>
  <c r="AB6" i="171" s="1"/>
  <c r="K6" i="171"/>
  <c r="G6" i="171"/>
  <c r="V5" i="171"/>
  <c r="M5" i="171" s="1"/>
  <c r="O5" i="171"/>
  <c r="K5" i="171"/>
  <c r="G5" i="171"/>
  <c r="H2" i="171"/>
  <c r="F2" i="171"/>
  <c r="H1" i="171"/>
  <c r="F1" i="171"/>
  <c r="D1" i="171"/>
  <c r="M18" i="170"/>
  <c r="L18" i="170"/>
  <c r="K18" i="170"/>
  <c r="J18" i="170"/>
  <c r="I18" i="170"/>
  <c r="H18" i="170"/>
  <c r="G18" i="170"/>
  <c r="F18" i="170"/>
  <c r="E18" i="170"/>
  <c r="D18" i="170"/>
  <c r="M17" i="170"/>
  <c r="L17" i="170"/>
  <c r="K17" i="170"/>
  <c r="J17" i="170"/>
  <c r="I17" i="170"/>
  <c r="H17" i="170"/>
  <c r="G17" i="170"/>
  <c r="F17" i="170"/>
  <c r="E17" i="170"/>
  <c r="D17" i="170"/>
  <c r="M16" i="170"/>
  <c r="L16" i="170"/>
  <c r="K16" i="170"/>
  <c r="J16" i="170"/>
  <c r="I16" i="170"/>
  <c r="H16" i="170"/>
  <c r="G16" i="170"/>
  <c r="F16" i="170"/>
  <c r="E16" i="170"/>
  <c r="D16" i="170"/>
  <c r="E15" i="170"/>
  <c r="E14" i="170"/>
  <c r="M13" i="170"/>
  <c r="L13" i="170"/>
  <c r="K13" i="170"/>
  <c r="I6" i="170" s="1"/>
  <c r="J13" i="170"/>
  <c r="I13" i="170"/>
  <c r="H13" i="170"/>
  <c r="G13" i="170"/>
  <c r="F13" i="170"/>
  <c r="E13" i="170"/>
  <c r="D13" i="170"/>
  <c r="E6" i="170" s="1"/>
  <c r="I3" i="170"/>
  <c r="F3" i="170"/>
  <c r="C3" i="170"/>
  <c r="Q43" i="175" l="1"/>
  <c r="P43" i="175"/>
  <c r="AB35" i="175"/>
  <c r="AC27" i="175" s="1"/>
  <c r="AA35" i="175"/>
  <c r="N35" i="175"/>
  <c r="Q10" i="175"/>
  <c r="P10" i="175"/>
  <c r="Q49" i="175"/>
  <c r="P49" i="175"/>
  <c r="Q28" i="175"/>
  <c r="P28" i="175"/>
  <c r="Q23" i="175"/>
  <c r="P23" i="175"/>
  <c r="Q41" i="175"/>
  <c r="P41" i="175"/>
  <c r="Q70" i="175"/>
  <c r="P70" i="175"/>
  <c r="Q30" i="175"/>
  <c r="P30" i="175"/>
  <c r="Q57" i="175"/>
  <c r="P57" i="175"/>
  <c r="Q68" i="175"/>
  <c r="P68" i="175"/>
  <c r="Q8" i="175"/>
  <c r="P8" i="175"/>
  <c r="Q56" i="175"/>
  <c r="P56" i="175"/>
  <c r="Q67" i="175"/>
  <c r="P67" i="175"/>
  <c r="Q34" i="175"/>
  <c r="P34" i="175"/>
  <c r="Q46" i="175"/>
  <c r="P46" i="175"/>
  <c r="Q69" i="175"/>
  <c r="P69" i="175"/>
  <c r="Q25" i="175"/>
  <c r="P25" i="175"/>
  <c r="Q54" i="175"/>
  <c r="P54" i="175"/>
  <c r="Q65" i="175"/>
  <c r="P65" i="175"/>
  <c r="Q61" i="175"/>
  <c r="P61" i="175"/>
  <c r="Q7" i="175"/>
  <c r="P7" i="175"/>
  <c r="Q15" i="175"/>
  <c r="P15" i="175"/>
  <c r="Q53" i="175"/>
  <c r="P53" i="175"/>
  <c r="Q36" i="175"/>
  <c r="P36" i="175"/>
  <c r="AB17" i="175"/>
  <c r="AC13" i="175" s="1"/>
  <c r="AA17" i="175"/>
  <c r="N17" i="175"/>
  <c r="Q39" i="175"/>
  <c r="P39" i="175"/>
  <c r="Q20" i="175"/>
  <c r="P20" i="175"/>
  <c r="N59" i="175"/>
  <c r="AB59" i="175"/>
  <c r="AC53" i="175" s="1"/>
  <c r="AA59" i="175"/>
  <c r="Q72" i="175"/>
  <c r="P72" i="175"/>
  <c r="N44" i="175"/>
  <c r="AB44" i="175"/>
  <c r="AC36" i="175" s="1"/>
  <c r="AA44" i="175"/>
  <c r="Q5" i="175"/>
  <c r="P5" i="175"/>
  <c r="AB52" i="175"/>
  <c r="AC45" i="175" s="1"/>
  <c r="AA52" i="175"/>
  <c r="N52" i="175"/>
  <c r="Q51" i="175"/>
  <c r="P51" i="175"/>
  <c r="Q42" i="175"/>
  <c r="P42" i="175"/>
  <c r="AB66" i="175"/>
  <c r="AC60" i="175" s="1"/>
  <c r="AA66" i="175"/>
  <c r="N66" i="175"/>
  <c r="Q6" i="175"/>
  <c r="P6" i="175"/>
  <c r="AB26" i="175"/>
  <c r="AC18" i="175" s="1"/>
  <c r="AA26" i="175"/>
  <c r="N26" i="175"/>
  <c r="Q40" i="175"/>
  <c r="P40" i="175"/>
  <c r="Q45" i="175"/>
  <c r="P45" i="175"/>
  <c r="Q63" i="175"/>
  <c r="P63" i="175"/>
  <c r="Q16" i="175"/>
  <c r="P16" i="175"/>
  <c r="Q74" i="175"/>
  <c r="P74" i="175"/>
  <c r="Q48" i="175"/>
  <c r="P48" i="175"/>
  <c r="Q21" i="175"/>
  <c r="P21" i="175"/>
  <c r="N9" i="175"/>
  <c r="AB9" i="175"/>
  <c r="AC5" i="175" s="1"/>
  <c r="AA9" i="175"/>
  <c r="Q27" i="175"/>
  <c r="P27" i="175"/>
  <c r="Q37" i="175"/>
  <c r="P37" i="175"/>
  <c r="Q55" i="175"/>
  <c r="P55" i="175"/>
  <c r="Q58" i="175"/>
  <c r="P58" i="175"/>
  <c r="Q29" i="175"/>
  <c r="P29" i="175"/>
  <c r="AB75" i="175"/>
  <c r="AC67" i="175" s="1"/>
  <c r="AA75" i="175"/>
  <c r="N75" i="175"/>
  <c r="AA12" i="175"/>
  <c r="N12" i="175"/>
  <c r="AB12" i="175"/>
  <c r="AC10" i="175" s="1"/>
  <c r="Q32" i="175"/>
  <c r="P32" i="175"/>
  <c r="Q60" i="175"/>
  <c r="P60" i="175"/>
  <c r="Q15" i="171"/>
  <c r="P15" i="171"/>
  <c r="AB26" i="171"/>
  <c r="AC18" i="171" s="1"/>
  <c r="AA26" i="171"/>
  <c r="N26" i="171"/>
  <c r="Q73" i="171"/>
  <c r="P73" i="171"/>
  <c r="AA54" i="171"/>
  <c r="AB54" i="171"/>
  <c r="AC46" i="171" s="1"/>
  <c r="N54" i="171"/>
  <c r="Q54" i="171" s="1"/>
  <c r="R46" i="171" s="1"/>
  <c r="Q37" i="171"/>
  <c r="P37" i="171"/>
  <c r="Q42" i="171"/>
  <c r="P42" i="171"/>
  <c r="J14" i="170"/>
  <c r="J15" i="170" s="1"/>
  <c r="P68" i="171"/>
  <c r="Q68" i="171"/>
  <c r="R62" i="171" s="1"/>
  <c r="Q71" i="171"/>
  <c r="Q64" i="171"/>
  <c r="N19" i="171"/>
  <c r="N60" i="171"/>
  <c r="N53" i="171"/>
  <c r="Q62" i="171"/>
  <c r="N28" i="171"/>
  <c r="M35" i="171"/>
  <c r="P46" i="171"/>
  <c r="N17" i="171"/>
  <c r="AA28" i="171"/>
  <c r="P33" i="171"/>
  <c r="M77" i="171"/>
  <c r="N77" i="171" s="1"/>
  <c r="Q6" i="171"/>
  <c r="P8" i="171"/>
  <c r="Q44" i="171"/>
  <c r="AA60" i="171"/>
  <c r="P48" i="171"/>
  <c r="Q55" i="171"/>
  <c r="AA17" i="171"/>
  <c r="G6" i="170"/>
  <c r="F6" i="170"/>
  <c r="N5" i="171"/>
  <c r="AB5" i="171"/>
  <c r="AA5" i="171"/>
  <c r="M9" i="171"/>
  <c r="Q7" i="171"/>
  <c r="P7" i="171"/>
  <c r="N14" i="171"/>
  <c r="AB14" i="171"/>
  <c r="AA14" i="171"/>
  <c r="N18" i="171"/>
  <c r="AA18" i="171"/>
  <c r="AA19" i="171"/>
  <c r="AB19" i="171"/>
  <c r="Q20" i="171"/>
  <c r="P20" i="171"/>
  <c r="P23" i="171"/>
  <c r="Q23" i="171"/>
  <c r="N25" i="171"/>
  <c r="AB25" i="171"/>
  <c r="AA25" i="171"/>
  <c r="AB27" i="171"/>
  <c r="AA27" i="171"/>
  <c r="Q27" i="171"/>
  <c r="P27" i="171"/>
  <c r="Q29" i="171"/>
  <c r="P29" i="171"/>
  <c r="AB30" i="171"/>
  <c r="AA30" i="171"/>
  <c r="N30" i="171"/>
  <c r="AB31" i="171"/>
  <c r="N31" i="171"/>
  <c r="Q32" i="171"/>
  <c r="P32" i="171"/>
  <c r="N34" i="171"/>
  <c r="AB34" i="171"/>
  <c r="AA34" i="171"/>
  <c r="M45" i="171"/>
  <c r="N45" i="171" s="1"/>
  <c r="N36" i="171"/>
  <c r="AA36" i="171"/>
  <c r="AA37" i="171"/>
  <c r="AB37" i="171"/>
  <c r="Q38" i="171"/>
  <c r="P38" i="171"/>
  <c r="AB41" i="171"/>
  <c r="AA41" i="171"/>
  <c r="P41" i="171"/>
  <c r="Q41" i="171"/>
  <c r="N43" i="171"/>
  <c r="AA43" i="171"/>
  <c r="AA46" i="171"/>
  <c r="AB46" i="171"/>
  <c r="AB49" i="171"/>
  <c r="N49" i="171"/>
  <c r="AB50" i="171"/>
  <c r="AA50" i="171"/>
  <c r="Q50" i="171"/>
  <c r="P50" i="171"/>
  <c r="Q52" i="171"/>
  <c r="P52" i="171"/>
  <c r="AA53" i="171"/>
  <c r="AB53" i="171"/>
  <c r="M61" i="171"/>
  <c r="AB55" i="171"/>
  <c r="Q56" i="171"/>
  <c r="P56" i="171"/>
  <c r="AB59" i="171"/>
  <c r="AA59" i="171"/>
  <c r="P59" i="171"/>
  <c r="Q59" i="171"/>
  <c r="AA68" i="171"/>
  <c r="AB68" i="171"/>
  <c r="AC62" i="171" s="1"/>
  <c r="N63" i="171"/>
  <c r="AA63" i="171"/>
  <c r="Q65" i="171"/>
  <c r="P65" i="171"/>
  <c r="AB66" i="171"/>
  <c r="AA66" i="171"/>
  <c r="N66" i="171"/>
  <c r="Q69" i="171"/>
  <c r="P69" i="171"/>
  <c r="AB70" i="171"/>
  <c r="AA70" i="171"/>
  <c r="Q70" i="171"/>
  <c r="P70" i="171"/>
  <c r="N72" i="171"/>
  <c r="AB72" i="171"/>
  <c r="AA72" i="171"/>
  <c r="Q74" i="171"/>
  <c r="P74" i="171"/>
  <c r="AB77" i="171"/>
  <c r="AC69" i="171" s="1"/>
  <c r="AA77" i="171"/>
  <c r="O66" i="169"/>
  <c r="K66" i="169"/>
  <c r="V65" i="169"/>
  <c r="U65" i="169"/>
  <c r="O65" i="169"/>
  <c r="N65" i="169"/>
  <c r="Q65" i="169" s="1"/>
  <c r="M65" i="169"/>
  <c r="K65" i="169"/>
  <c r="G65" i="169"/>
  <c r="AB64" i="169"/>
  <c r="V64" i="169"/>
  <c r="U64" i="169"/>
  <c r="O64" i="169"/>
  <c r="N64" i="169"/>
  <c r="Q64" i="169" s="1"/>
  <c r="M64" i="169"/>
  <c r="AA64" i="169" s="1"/>
  <c r="K64" i="169"/>
  <c r="G64" i="169"/>
  <c r="AB63" i="169"/>
  <c r="AA63" i="169"/>
  <c r="V63" i="169"/>
  <c r="U63" i="169"/>
  <c r="O63" i="169"/>
  <c r="N63" i="169"/>
  <c r="P63" i="169" s="1"/>
  <c r="M63" i="169"/>
  <c r="K63" i="169"/>
  <c r="G63" i="169"/>
  <c r="V62" i="169"/>
  <c r="M62" i="169" s="1"/>
  <c r="U62" i="169"/>
  <c r="O62" i="169"/>
  <c r="K62" i="169"/>
  <c r="G62" i="169"/>
  <c r="AA61" i="169"/>
  <c r="V61" i="169"/>
  <c r="M61" i="169" s="1"/>
  <c r="AB61" i="169" s="1"/>
  <c r="U61" i="169"/>
  <c r="Q61" i="169"/>
  <c r="P61" i="169"/>
  <c r="O61" i="169"/>
  <c r="N61" i="169"/>
  <c r="K61" i="169"/>
  <c r="G61" i="169"/>
  <c r="X60" i="169"/>
  <c r="W60" i="169"/>
  <c r="V60" i="169"/>
  <c r="O60" i="169"/>
  <c r="N60" i="169"/>
  <c r="Q60" i="169" s="1"/>
  <c r="M60" i="169"/>
  <c r="K60" i="169"/>
  <c r="G60" i="169"/>
  <c r="O59" i="169"/>
  <c r="K59" i="169"/>
  <c r="AA58" i="169"/>
  <c r="V58" i="169"/>
  <c r="U58" i="169"/>
  <c r="O58" i="169"/>
  <c r="M58" i="169"/>
  <c r="K58" i="169"/>
  <c r="G58" i="169"/>
  <c r="AB57" i="169"/>
  <c r="AA57" i="169"/>
  <c r="V57" i="169"/>
  <c r="M57" i="169" s="1"/>
  <c r="N57" i="169" s="1"/>
  <c r="U57" i="169"/>
  <c r="O57" i="169"/>
  <c r="K57" i="169"/>
  <c r="G57" i="169"/>
  <c r="V56" i="169"/>
  <c r="U56" i="169"/>
  <c r="O56" i="169"/>
  <c r="N56" i="169"/>
  <c r="P56" i="169" s="1"/>
  <c r="M56" i="169"/>
  <c r="K56" i="169"/>
  <c r="G56" i="169"/>
  <c r="AB55" i="169"/>
  <c r="AA55" i="169"/>
  <c r="V55" i="169"/>
  <c r="U55" i="169"/>
  <c r="O55" i="169"/>
  <c r="M55" i="169"/>
  <c r="N55" i="169" s="1"/>
  <c r="K55" i="169"/>
  <c r="G55" i="169"/>
  <c r="V54" i="169"/>
  <c r="U54" i="169"/>
  <c r="O54" i="169"/>
  <c r="M54" i="169"/>
  <c r="AB54" i="169" s="1"/>
  <c r="K54" i="169"/>
  <c r="G54" i="169"/>
  <c r="V53" i="169"/>
  <c r="M53" i="169" s="1"/>
  <c r="O53" i="169"/>
  <c r="K53" i="169"/>
  <c r="G53" i="169"/>
  <c r="AA52" i="169"/>
  <c r="O52" i="169"/>
  <c r="M52" i="169"/>
  <c r="AB52" i="169" s="1"/>
  <c r="AC47" i="169" s="1"/>
  <c r="K52" i="169"/>
  <c r="V51" i="169"/>
  <c r="M51" i="169" s="1"/>
  <c r="U51" i="169"/>
  <c r="O51" i="169"/>
  <c r="K51" i="169"/>
  <c r="G51" i="169"/>
  <c r="AB50" i="169"/>
  <c r="V50" i="169"/>
  <c r="U50" i="169"/>
  <c r="O50" i="169"/>
  <c r="M50" i="169"/>
  <c r="AA50" i="169" s="1"/>
  <c r="K50" i="169"/>
  <c r="G50" i="169"/>
  <c r="V49" i="169"/>
  <c r="U49" i="169"/>
  <c r="O49" i="169"/>
  <c r="M49" i="169"/>
  <c r="K49" i="169"/>
  <c r="G49" i="169"/>
  <c r="AB48" i="169"/>
  <c r="AA48" i="169"/>
  <c r="V48" i="169"/>
  <c r="M48" i="169" s="1"/>
  <c r="N48" i="169" s="1"/>
  <c r="U48" i="169"/>
  <c r="Q48" i="169"/>
  <c r="P48" i="169"/>
  <c r="O48" i="169"/>
  <c r="K48" i="169"/>
  <c r="G48" i="169"/>
  <c r="AA47" i="169"/>
  <c r="V47" i="169"/>
  <c r="O47" i="169"/>
  <c r="M47" i="169"/>
  <c r="K47" i="169"/>
  <c r="G47" i="169"/>
  <c r="O46" i="169"/>
  <c r="K46" i="169"/>
  <c r="V45" i="169"/>
  <c r="M45" i="169" s="1"/>
  <c r="U45" i="169"/>
  <c r="O45" i="169"/>
  <c r="N45" i="169"/>
  <c r="K45" i="169"/>
  <c r="G45" i="169"/>
  <c r="AB44" i="169"/>
  <c r="AA44" i="169"/>
  <c r="V44" i="169"/>
  <c r="M44" i="169" s="1"/>
  <c r="N44" i="169" s="1"/>
  <c r="P44" i="169" s="1"/>
  <c r="U44" i="169"/>
  <c r="Q44" i="169"/>
  <c r="O44" i="169"/>
  <c r="K44" i="169"/>
  <c r="G44" i="169"/>
  <c r="AB43" i="169"/>
  <c r="V43" i="169"/>
  <c r="U43" i="169"/>
  <c r="O43" i="169"/>
  <c r="N43" i="169"/>
  <c r="Q43" i="169" s="1"/>
  <c r="M43" i="169"/>
  <c r="AA43" i="169" s="1"/>
  <c r="K43" i="169"/>
  <c r="G43" i="169"/>
  <c r="AB42" i="169"/>
  <c r="AA42" i="169"/>
  <c r="V42" i="169"/>
  <c r="M42" i="169" s="1"/>
  <c r="N42" i="169" s="1"/>
  <c r="U42" i="169"/>
  <c r="O42" i="169"/>
  <c r="K42" i="169"/>
  <c r="G42" i="169"/>
  <c r="V41" i="169"/>
  <c r="U41" i="169"/>
  <c r="P41" i="169"/>
  <c r="O41" i="169"/>
  <c r="N41" i="169"/>
  <c r="Q41" i="169" s="1"/>
  <c r="M41" i="169"/>
  <c r="K41" i="169"/>
  <c r="G41" i="169"/>
  <c r="X40" i="169"/>
  <c r="W40" i="169"/>
  <c r="V40" i="169"/>
  <c r="O40" i="169"/>
  <c r="M40" i="169"/>
  <c r="K40" i="169"/>
  <c r="G40" i="169"/>
  <c r="AA39" i="169"/>
  <c r="O39" i="169"/>
  <c r="M39" i="169"/>
  <c r="AB39" i="169" s="1"/>
  <c r="AC32" i="169" s="1"/>
  <c r="K39" i="169"/>
  <c r="V38" i="169"/>
  <c r="M38" i="169" s="1"/>
  <c r="U38" i="169"/>
  <c r="O38" i="169"/>
  <c r="K38" i="169"/>
  <c r="G38" i="169"/>
  <c r="AA37" i="169"/>
  <c r="X37" i="169"/>
  <c r="W37" i="169"/>
  <c r="V37" i="169"/>
  <c r="M37" i="169" s="1"/>
  <c r="U37" i="169"/>
  <c r="O37" i="169"/>
  <c r="K37" i="169"/>
  <c r="G37" i="169"/>
  <c r="AB36" i="169"/>
  <c r="AA36" i="169"/>
  <c r="V36" i="169"/>
  <c r="U36" i="169"/>
  <c r="P36" i="169"/>
  <c r="O36" i="169"/>
  <c r="M36" i="169"/>
  <c r="N36" i="169" s="1"/>
  <c r="Q36" i="169" s="1"/>
  <c r="K36" i="169"/>
  <c r="G36" i="169"/>
  <c r="AB35" i="169"/>
  <c r="AA35" i="169"/>
  <c r="V35" i="169"/>
  <c r="M35" i="169" s="1"/>
  <c r="N35" i="169" s="1"/>
  <c r="U35" i="169"/>
  <c r="O35" i="169"/>
  <c r="K35" i="169"/>
  <c r="G35" i="169"/>
  <c r="V34" i="169"/>
  <c r="U34" i="169"/>
  <c r="Q34" i="169"/>
  <c r="O34" i="169"/>
  <c r="N34" i="169"/>
  <c r="P34" i="169" s="1"/>
  <c r="M34" i="169"/>
  <c r="K34" i="169"/>
  <c r="G34" i="169"/>
  <c r="AB33" i="169"/>
  <c r="AA33" i="169"/>
  <c r="V33" i="169"/>
  <c r="U33" i="169"/>
  <c r="O33" i="169"/>
  <c r="M33" i="169"/>
  <c r="N33" i="169" s="1"/>
  <c r="K33" i="169"/>
  <c r="G33" i="169"/>
  <c r="AB32" i="169"/>
  <c r="AA32" i="169"/>
  <c r="X32" i="169"/>
  <c r="W32" i="169"/>
  <c r="V32" i="169"/>
  <c r="M32" i="169" s="1"/>
  <c r="Q32" i="169"/>
  <c r="P32" i="169"/>
  <c r="O32" i="169"/>
  <c r="N32" i="169"/>
  <c r="K32" i="169"/>
  <c r="G32" i="169"/>
  <c r="O31" i="169"/>
  <c r="K31" i="169"/>
  <c r="AB30" i="169"/>
  <c r="V30" i="169"/>
  <c r="U30" i="169"/>
  <c r="Q30" i="169"/>
  <c r="P30" i="169"/>
  <c r="O30" i="169"/>
  <c r="N30" i="169"/>
  <c r="M30" i="169"/>
  <c r="AA30" i="169" s="1"/>
  <c r="K30" i="169"/>
  <c r="G30" i="169"/>
  <c r="V29" i="169"/>
  <c r="U29" i="169"/>
  <c r="O29" i="169"/>
  <c r="M29" i="169"/>
  <c r="K29" i="169"/>
  <c r="G29" i="169"/>
  <c r="AB28" i="169"/>
  <c r="AA28" i="169"/>
  <c r="V28" i="169"/>
  <c r="M28" i="169" s="1"/>
  <c r="N28" i="169" s="1"/>
  <c r="U28" i="169"/>
  <c r="Q28" i="169"/>
  <c r="P28" i="169"/>
  <c r="O28" i="169"/>
  <c r="K28" i="169"/>
  <c r="G28" i="169"/>
  <c r="V27" i="169"/>
  <c r="M27" i="169" s="1"/>
  <c r="U27" i="169"/>
  <c r="O27" i="169"/>
  <c r="N27" i="169"/>
  <c r="K27" i="169"/>
  <c r="G27" i="169"/>
  <c r="AB26" i="169"/>
  <c r="AA26" i="169"/>
  <c r="X26" i="169"/>
  <c r="W26" i="169"/>
  <c r="V26" i="169"/>
  <c r="O26" i="169"/>
  <c r="M26" i="169"/>
  <c r="K26" i="169"/>
  <c r="G26" i="169"/>
  <c r="O25" i="169"/>
  <c r="K25" i="169"/>
  <c r="AB24" i="169"/>
  <c r="AA24" i="169"/>
  <c r="V24" i="169"/>
  <c r="M24" i="169" s="1"/>
  <c r="N24" i="169" s="1"/>
  <c r="U24" i="169"/>
  <c r="O24" i="169"/>
  <c r="K24" i="169"/>
  <c r="G24" i="169"/>
  <c r="V23" i="169"/>
  <c r="U23" i="169"/>
  <c r="O23" i="169"/>
  <c r="M23" i="169"/>
  <c r="N23" i="169" s="1"/>
  <c r="K23" i="169"/>
  <c r="G23" i="169"/>
  <c r="AB22" i="169"/>
  <c r="V22" i="169"/>
  <c r="U22" i="169"/>
  <c r="O22" i="169"/>
  <c r="N22" i="169"/>
  <c r="M22" i="169"/>
  <c r="AA22" i="169" s="1"/>
  <c r="K22" i="169"/>
  <c r="G22" i="169"/>
  <c r="AB21" i="169"/>
  <c r="AA21" i="169"/>
  <c r="V21" i="169"/>
  <c r="U21" i="169"/>
  <c r="O21" i="169"/>
  <c r="N21" i="169"/>
  <c r="Q21" i="169" s="1"/>
  <c r="M21" i="169"/>
  <c r="K21" i="169"/>
  <c r="G21" i="169"/>
  <c r="V20" i="169"/>
  <c r="M20" i="169" s="1"/>
  <c r="U20" i="169"/>
  <c r="O20" i="169"/>
  <c r="K20" i="169"/>
  <c r="G20" i="169"/>
  <c r="AA19" i="169"/>
  <c r="V19" i="169"/>
  <c r="M19" i="169" s="1"/>
  <c r="AB19" i="169" s="1"/>
  <c r="U19" i="169"/>
  <c r="Q19" i="169"/>
  <c r="P19" i="169"/>
  <c r="O19" i="169"/>
  <c r="N19" i="169"/>
  <c r="K19" i="169"/>
  <c r="G19" i="169"/>
  <c r="V18" i="169"/>
  <c r="U18" i="169"/>
  <c r="O18" i="169"/>
  <c r="N18" i="169"/>
  <c r="M18" i="169"/>
  <c r="K18" i="169"/>
  <c r="G18" i="169"/>
  <c r="AB17" i="169"/>
  <c r="AA17" i="169"/>
  <c r="V17" i="169"/>
  <c r="M17" i="169" s="1"/>
  <c r="N17" i="169" s="1"/>
  <c r="P17" i="169" s="1"/>
  <c r="Q17" i="169"/>
  <c r="O17" i="169"/>
  <c r="K17" i="169"/>
  <c r="G17" i="169"/>
  <c r="O16" i="169"/>
  <c r="K16" i="169"/>
  <c r="AB15" i="169"/>
  <c r="AA15" i="169"/>
  <c r="V15" i="169"/>
  <c r="M15" i="169" s="1"/>
  <c r="N15" i="169" s="1"/>
  <c r="U15" i="169"/>
  <c r="Q15" i="169"/>
  <c r="P15" i="169"/>
  <c r="O15" i="169"/>
  <c r="K15" i="169"/>
  <c r="G15" i="169"/>
  <c r="AB14" i="169"/>
  <c r="AA14" i="169"/>
  <c r="V14" i="169"/>
  <c r="U14" i="169"/>
  <c r="P14" i="169"/>
  <c r="O14" i="169"/>
  <c r="M14" i="169"/>
  <c r="N14" i="169" s="1"/>
  <c r="Q14" i="169" s="1"/>
  <c r="K14" i="169"/>
  <c r="G14" i="169"/>
  <c r="AB13" i="169"/>
  <c r="AA13" i="169"/>
  <c r="V13" i="169"/>
  <c r="M13" i="169" s="1"/>
  <c r="N13" i="169" s="1"/>
  <c r="U13" i="169"/>
  <c r="O13" i="169"/>
  <c r="K13" i="169"/>
  <c r="G13" i="169"/>
  <c r="V12" i="169"/>
  <c r="O12" i="169"/>
  <c r="M12" i="169"/>
  <c r="N12" i="169" s="1"/>
  <c r="K12" i="169"/>
  <c r="G12" i="169"/>
  <c r="AB11" i="169"/>
  <c r="O11" i="169"/>
  <c r="M11" i="169"/>
  <c r="K11" i="169"/>
  <c r="V10" i="169"/>
  <c r="U10" i="169"/>
  <c r="Q10" i="169"/>
  <c r="O10" i="169"/>
  <c r="N10" i="169"/>
  <c r="P10" i="169" s="1"/>
  <c r="M10" i="169"/>
  <c r="K10" i="169"/>
  <c r="G10" i="169"/>
  <c r="AC9" i="169"/>
  <c r="AB9" i="169"/>
  <c r="X9" i="169"/>
  <c r="W9" i="169"/>
  <c r="V9" i="169"/>
  <c r="M9" i="169" s="1"/>
  <c r="O9" i="169"/>
  <c r="K9" i="169"/>
  <c r="G9" i="169"/>
  <c r="O8" i="169"/>
  <c r="K8" i="169"/>
  <c r="V7" i="169"/>
  <c r="M7" i="169" s="1"/>
  <c r="U7" i="169"/>
  <c r="O7" i="169"/>
  <c r="K7" i="169"/>
  <c r="G7" i="169"/>
  <c r="AB6" i="169"/>
  <c r="V6" i="169"/>
  <c r="U6" i="169"/>
  <c r="Q6" i="169"/>
  <c r="P6" i="169"/>
  <c r="O6" i="169"/>
  <c r="N6" i="169"/>
  <c r="M6" i="169"/>
  <c r="AA6" i="169" s="1"/>
  <c r="K6" i="169"/>
  <c r="G6" i="169"/>
  <c r="V5" i="169"/>
  <c r="O5" i="169"/>
  <c r="M5" i="169"/>
  <c r="M8" i="169" s="1"/>
  <c r="K5" i="169"/>
  <c r="G5" i="169"/>
  <c r="M18" i="168"/>
  <c r="L18" i="168"/>
  <c r="K18" i="168"/>
  <c r="J18" i="168"/>
  <c r="I18" i="168"/>
  <c r="H18" i="168"/>
  <c r="G18" i="168"/>
  <c r="F18" i="168"/>
  <c r="E18" i="168"/>
  <c r="D18" i="168"/>
  <c r="M17" i="168"/>
  <c r="L17" i="168"/>
  <c r="K17" i="168"/>
  <c r="J17" i="168"/>
  <c r="I17" i="168"/>
  <c r="H17" i="168"/>
  <c r="G17" i="168"/>
  <c r="F17" i="168"/>
  <c r="E17" i="168"/>
  <c r="D17" i="168"/>
  <c r="M16" i="168"/>
  <c r="L16" i="168"/>
  <c r="K16" i="168"/>
  <c r="J16" i="168"/>
  <c r="I16" i="168"/>
  <c r="H16" i="168"/>
  <c r="G16" i="168"/>
  <c r="F16" i="168"/>
  <c r="E16" i="168"/>
  <c r="D16" i="168"/>
  <c r="M13" i="168"/>
  <c r="L13" i="168"/>
  <c r="K13" i="168"/>
  <c r="I6" i="168" s="1"/>
  <c r="J13" i="168"/>
  <c r="I13" i="168"/>
  <c r="H13" i="168"/>
  <c r="G13" i="168"/>
  <c r="F13" i="168"/>
  <c r="E13" i="168"/>
  <c r="D13" i="168"/>
  <c r="I3" i="168"/>
  <c r="F3" i="168"/>
  <c r="C3" i="168"/>
  <c r="G14" i="174" l="1"/>
  <c r="G15" i="174" s="1"/>
  <c r="Q26" i="175"/>
  <c r="R18" i="175" s="1"/>
  <c r="P26" i="175"/>
  <c r="Q52" i="175"/>
  <c r="R45" i="175" s="1"/>
  <c r="P52" i="175"/>
  <c r="H14" i="174"/>
  <c r="H15" i="174" s="1"/>
  <c r="I14" i="174"/>
  <c r="I15" i="174" s="1"/>
  <c r="Q59" i="175"/>
  <c r="R53" i="175" s="1"/>
  <c r="P59" i="175"/>
  <c r="Q12" i="175"/>
  <c r="R10" i="175" s="1"/>
  <c r="P12" i="175"/>
  <c r="E14" i="174"/>
  <c r="E15" i="174" s="1"/>
  <c r="F14" i="174"/>
  <c r="F15" i="174" s="1"/>
  <c r="Q17" i="175"/>
  <c r="R13" i="175" s="1"/>
  <c r="P17" i="175"/>
  <c r="Q75" i="175"/>
  <c r="R67" i="175" s="1"/>
  <c r="P75" i="175"/>
  <c r="M14" i="174"/>
  <c r="M15" i="174" s="1"/>
  <c r="Q35" i="175"/>
  <c r="R27" i="175" s="1"/>
  <c r="P35" i="175"/>
  <c r="K14" i="174"/>
  <c r="J14" i="174"/>
  <c r="J15" i="174" s="1"/>
  <c r="Q66" i="175"/>
  <c r="R60" i="175" s="1"/>
  <c r="P66" i="175"/>
  <c r="L14" i="174"/>
  <c r="L15" i="174" s="1"/>
  <c r="Q44" i="175"/>
  <c r="R36" i="175" s="1"/>
  <c r="P44" i="175"/>
  <c r="D2" i="175"/>
  <c r="D14" i="174"/>
  <c r="Q9" i="175"/>
  <c r="R5" i="175" s="1"/>
  <c r="P9" i="175"/>
  <c r="Q66" i="171"/>
  <c r="P66" i="171"/>
  <c r="P5" i="171"/>
  <c r="Q5" i="171"/>
  <c r="Q19" i="171"/>
  <c r="P19" i="171"/>
  <c r="P36" i="171"/>
  <c r="Q36" i="171"/>
  <c r="P25" i="171"/>
  <c r="Q25" i="171"/>
  <c r="Q45" i="171"/>
  <c r="R36" i="171" s="1"/>
  <c r="L14" i="170"/>
  <c r="L15" i="170" s="1"/>
  <c r="P45" i="171"/>
  <c r="Q63" i="171"/>
  <c r="P63" i="171"/>
  <c r="Q49" i="171"/>
  <c r="P49" i="171"/>
  <c r="P31" i="171"/>
  <c r="Q31" i="171"/>
  <c r="Q18" i="171"/>
  <c r="P18" i="171"/>
  <c r="Q30" i="171"/>
  <c r="P30" i="171"/>
  <c r="Q72" i="171"/>
  <c r="P72" i="171"/>
  <c r="Q43" i="171"/>
  <c r="P43" i="171"/>
  <c r="P17" i="171"/>
  <c r="Q17" i="171"/>
  <c r="R13" i="171" s="1"/>
  <c r="F14" i="170"/>
  <c r="F15" i="170" s="1"/>
  <c r="P14" i="171"/>
  <c r="Q14" i="171"/>
  <c r="AA35" i="171"/>
  <c r="AB35" i="171"/>
  <c r="AC27" i="171" s="1"/>
  <c r="N35" i="171"/>
  <c r="P26" i="171"/>
  <c r="G14" i="170"/>
  <c r="G15" i="170" s="1"/>
  <c r="Q26" i="171"/>
  <c r="R18" i="171" s="1"/>
  <c r="P28" i="171"/>
  <c r="Q28" i="171"/>
  <c r="Q34" i="171"/>
  <c r="P34" i="171"/>
  <c r="Q77" i="171"/>
  <c r="R69" i="171" s="1"/>
  <c r="P77" i="171"/>
  <c r="M14" i="170"/>
  <c r="M15" i="170" s="1"/>
  <c r="H14" i="170"/>
  <c r="H15" i="170" s="1"/>
  <c r="N9" i="171"/>
  <c r="AA9" i="171"/>
  <c r="AB9" i="171"/>
  <c r="AC5" i="171" s="1"/>
  <c r="P54" i="171"/>
  <c r="P53" i="171"/>
  <c r="Q53" i="171"/>
  <c r="Q60" i="171"/>
  <c r="P60" i="171"/>
  <c r="N61" i="171"/>
  <c r="AB61" i="171"/>
  <c r="AC55" i="171" s="1"/>
  <c r="AA61" i="171"/>
  <c r="AB45" i="171"/>
  <c r="AC36" i="171" s="1"/>
  <c r="AA45" i="171"/>
  <c r="D14" i="170"/>
  <c r="AB8" i="169"/>
  <c r="AC5" i="169" s="1"/>
  <c r="N8" i="169"/>
  <c r="AA8" i="169"/>
  <c r="Q12" i="169"/>
  <c r="P12" i="169"/>
  <c r="Q23" i="169"/>
  <c r="P23" i="169"/>
  <c r="P21" i="169"/>
  <c r="AA54" i="169"/>
  <c r="N39" i="169"/>
  <c r="N52" i="169"/>
  <c r="P60" i="169"/>
  <c r="E6" i="168"/>
  <c r="Q56" i="169"/>
  <c r="P65" i="169"/>
  <c r="N50" i="169"/>
  <c r="Q63" i="169"/>
  <c r="N54" i="169"/>
  <c r="N5" i="169"/>
  <c r="Q5" i="169" s="1"/>
  <c r="P43" i="169"/>
  <c r="M25" i="169"/>
  <c r="G6" i="168"/>
  <c r="F6" i="168"/>
  <c r="AB5" i="169"/>
  <c r="AA5" i="169"/>
  <c r="AB7" i="169"/>
  <c r="AA7" i="169"/>
  <c r="N7" i="169"/>
  <c r="AA9" i="169"/>
  <c r="N9" i="169"/>
  <c r="AB10" i="169"/>
  <c r="AA10" i="169"/>
  <c r="AA11" i="169"/>
  <c r="N11" i="169"/>
  <c r="AB12" i="169"/>
  <c r="AA12" i="169"/>
  <c r="M16" i="169"/>
  <c r="Q13" i="169"/>
  <c r="P13" i="169"/>
  <c r="AA18" i="169"/>
  <c r="AB18" i="169"/>
  <c r="Q18" i="169"/>
  <c r="P18" i="169"/>
  <c r="AB20" i="169"/>
  <c r="AA20" i="169"/>
  <c r="N20" i="169"/>
  <c r="Q22" i="169"/>
  <c r="P22" i="169"/>
  <c r="AB23" i="169"/>
  <c r="AA23" i="169"/>
  <c r="Q24" i="169"/>
  <c r="P24" i="169"/>
  <c r="N26" i="169"/>
  <c r="M31" i="169"/>
  <c r="Q27" i="169"/>
  <c r="P27" i="169"/>
  <c r="AA27" i="169"/>
  <c r="AB27" i="169"/>
  <c r="AB29" i="169"/>
  <c r="AA29" i="169"/>
  <c r="N29" i="169"/>
  <c r="Q33" i="169"/>
  <c r="P33" i="169"/>
  <c r="AB34" i="169"/>
  <c r="AA34" i="169"/>
  <c r="Q35" i="169"/>
  <c r="P35" i="169"/>
  <c r="N37" i="169"/>
  <c r="AB37" i="169"/>
  <c r="AB38" i="169"/>
  <c r="AA38" i="169"/>
  <c r="N38" i="169"/>
  <c r="AB40" i="169"/>
  <c r="AA40" i="169"/>
  <c r="M46" i="169"/>
  <c r="N40" i="169"/>
  <c r="AB41" i="169"/>
  <c r="AA41" i="169"/>
  <c r="Q42" i="169"/>
  <c r="P42" i="169"/>
  <c r="Q45" i="169"/>
  <c r="P45" i="169"/>
  <c r="AB45" i="169"/>
  <c r="AA45" i="169"/>
  <c r="AB47" i="169"/>
  <c r="N47" i="169"/>
  <c r="AB49" i="169"/>
  <c r="AA49" i="169"/>
  <c r="N49" i="169"/>
  <c r="AB51" i="169"/>
  <c r="AA51" i="169"/>
  <c r="N51" i="169"/>
  <c r="AB53" i="169"/>
  <c r="AA53" i="169"/>
  <c r="M59" i="169"/>
  <c r="N53" i="169"/>
  <c r="Q55" i="169"/>
  <c r="P55" i="169"/>
  <c r="AB56" i="169"/>
  <c r="AA56" i="169"/>
  <c r="Q57" i="169"/>
  <c r="P57" i="169"/>
  <c r="AB58" i="169"/>
  <c r="N58" i="169"/>
  <c r="AB60" i="169"/>
  <c r="AA60" i="169"/>
  <c r="M66" i="169"/>
  <c r="AB62" i="169"/>
  <c r="AA62" i="169"/>
  <c r="N62" i="169"/>
  <c r="AB65" i="169"/>
  <c r="AA65" i="169"/>
  <c r="P64" i="169"/>
  <c r="O65" i="167"/>
  <c r="K65" i="167"/>
  <c r="V64" i="167"/>
  <c r="M64" i="167" s="1"/>
  <c r="N64" i="167" s="1"/>
  <c r="U64" i="167"/>
  <c r="O64" i="167"/>
  <c r="K64" i="167"/>
  <c r="G64" i="167"/>
  <c r="AA63" i="167"/>
  <c r="V63" i="167"/>
  <c r="U63" i="167"/>
  <c r="O63" i="167"/>
  <c r="M63" i="167"/>
  <c r="N63" i="167" s="1"/>
  <c r="K63" i="167"/>
  <c r="G63" i="167"/>
  <c r="V62" i="167"/>
  <c r="M62" i="167" s="1"/>
  <c r="U62" i="167"/>
  <c r="O62" i="167"/>
  <c r="K62" i="167"/>
  <c r="G62" i="167"/>
  <c r="V61" i="167"/>
  <c r="M61" i="167" s="1"/>
  <c r="U61" i="167"/>
  <c r="O61" i="167"/>
  <c r="K61" i="167"/>
  <c r="G61" i="167"/>
  <c r="V60" i="167"/>
  <c r="M60" i="167" s="1"/>
  <c r="U60" i="167"/>
  <c r="O60" i="167"/>
  <c r="K60" i="167"/>
  <c r="G60" i="167"/>
  <c r="X59" i="167"/>
  <c r="W59" i="167"/>
  <c r="V59" i="167"/>
  <c r="M59" i="167" s="1"/>
  <c r="O59" i="167"/>
  <c r="K59" i="167"/>
  <c r="G59" i="167"/>
  <c r="O58" i="167"/>
  <c r="K58" i="167"/>
  <c r="AB57" i="167"/>
  <c r="AA57" i="167"/>
  <c r="V57" i="167"/>
  <c r="U57" i="167"/>
  <c r="O57" i="167"/>
  <c r="N57" i="167"/>
  <c r="M57" i="167"/>
  <c r="K57" i="167"/>
  <c r="G57" i="167"/>
  <c r="V56" i="167"/>
  <c r="U56" i="167"/>
  <c r="O56" i="167"/>
  <c r="M56" i="167"/>
  <c r="K56" i="167"/>
  <c r="G56" i="167"/>
  <c r="V55" i="167"/>
  <c r="U55" i="167"/>
  <c r="O55" i="167"/>
  <c r="M55" i="167"/>
  <c r="AA55" i="167" s="1"/>
  <c r="K55" i="167"/>
  <c r="G55" i="167"/>
  <c r="AB54" i="167"/>
  <c r="V54" i="167"/>
  <c r="U54" i="167"/>
  <c r="Q54" i="167"/>
  <c r="P54" i="167"/>
  <c r="O54" i="167"/>
  <c r="N54" i="167"/>
  <c r="M54" i="167"/>
  <c r="AA54" i="167" s="1"/>
  <c r="K54" i="167"/>
  <c r="G54" i="167"/>
  <c r="AB53" i="167"/>
  <c r="AA53" i="167"/>
  <c r="V53" i="167"/>
  <c r="U53" i="167"/>
  <c r="O53" i="167"/>
  <c r="M53" i="167"/>
  <c r="N53" i="167" s="1"/>
  <c r="K53" i="167"/>
  <c r="G53" i="167"/>
  <c r="AB52" i="167"/>
  <c r="AA52" i="167"/>
  <c r="V52" i="167"/>
  <c r="O52" i="167"/>
  <c r="M52" i="167"/>
  <c r="N52" i="167" s="1"/>
  <c r="K52" i="167"/>
  <c r="G52" i="167"/>
  <c r="O51" i="167"/>
  <c r="K51" i="167"/>
  <c r="V50" i="167"/>
  <c r="M50" i="167" s="1"/>
  <c r="U50" i="167"/>
  <c r="O50" i="167"/>
  <c r="K50" i="167"/>
  <c r="G50" i="167"/>
  <c r="AB49" i="167"/>
  <c r="AA49" i="167"/>
  <c r="V49" i="167"/>
  <c r="U49" i="167"/>
  <c r="O49" i="167"/>
  <c r="N49" i="167"/>
  <c r="Q49" i="167" s="1"/>
  <c r="M49" i="167"/>
  <c r="K49" i="167"/>
  <c r="G49" i="167"/>
  <c r="V48" i="167"/>
  <c r="U48" i="167"/>
  <c r="O48" i="167"/>
  <c r="M48" i="167"/>
  <c r="K48" i="167"/>
  <c r="G48" i="167"/>
  <c r="AB47" i="167"/>
  <c r="AA47" i="167"/>
  <c r="V47" i="167"/>
  <c r="U47" i="167"/>
  <c r="O47" i="167"/>
  <c r="N47" i="167"/>
  <c r="M47" i="167"/>
  <c r="K47" i="167"/>
  <c r="G47" i="167"/>
  <c r="AB46" i="167"/>
  <c r="AA46" i="167"/>
  <c r="V46" i="167"/>
  <c r="O46" i="167"/>
  <c r="N46" i="167"/>
  <c r="M46" i="167"/>
  <c r="K46" i="167"/>
  <c r="G46" i="167"/>
  <c r="O45" i="167"/>
  <c r="K45" i="167"/>
  <c r="AB44" i="167"/>
  <c r="V44" i="167"/>
  <c r="M44" i="167" s="1"/>
  <c r="N44" i="167" s="1"/>
  <c r="U44" i="167"/>
  <c r="O44" i="167"/>
  <c r="K44" i="167"/>
  <c r="G44" i="167"/>
  <c r="AA43" i="167"/>
  <c r="V43" i="167"/>
  <c r="U43" i="167"/>
  <c r="O43" i="167"/>
  <c r="M43" i="167"/>
  <c r="N43" i="167" s="1"/>
  <c r="K43" i="167"/>
  <c r="G43" i="167"/>
  <c r="V42" i="167"/>
  <c r="M42" i="167" s="1"/>
  <c r="U42" i="167"/>
  <c r="O42" i="167"/>
  <c r="K42" i="167"/>
  <c r="G42" i="167"/>
  <c r="V41" i="167"/>
  <c r="M41" i="167" s="1"/>
  <c r="U41" i="167"/>
  <c r="O41" i="167"/>
  <c r="K41" i="167"/>
  <c r="G41" i="167"/>
  <c r="V40" i="167"/>
  <c r="M40" i="167" s="1"/>
  <c r="U40" i="167"/>
  <c r="O40" i="167"/>
  <c r="K40" i="167"/>
  <c r="G40" i="167"/>
  <c r="X39" i="167"/>
  <c r="W39" i="167"/>
  <c r="V39" i="167"/>
  <c r="M39" i="167" s="1"/>
  <c r="O39" i="167"/>
  <c r="K39" i="167"/>
  <c r="G39" i="167"/>
  <c r="O38" i="167"/>
  <c r="K38" i="167"/>
  <c r="AB37" i="167"/>
  <c r="AA37" i="167"/>
  <c r="V37" i="167"/>
  <c r="U37" i="167"/>
  <c r="O37" i="167"/>
  <c r="N37" i="167"/>
  <c r="M37" i="167"/>
  <c r="K37" i="167"/>
  <c r="G37" i="167"/>
  <c r="V36" i="167"/>
  <c r="U36" i="167"/>
  <c r="O36" i="167"/>
  <c r="M36" i="167"/>
  <c r="K36" i="167"/>
  <c r="G36" i="167"/>
  <c r="V35" i="167"/>
  <c r="U35" i="167"/>
  <c r="O35" i="167"/>
  <c r="M35" i="167"/>
  <c r="AA35" i="167" s="1"/>
  <c r="K35" i="167"/>
  <c r="G35" i="167"/>
  <c r="AB34" i="167"/>
  <c r="V34" i="167"/>
  <c r="U34" i="167"/>
  <c r="Q34" i="167"/>
  <c r="P34" i="167"/>
  <c r="O34" i="167"/>
  <c r="N34" i="167"/>
  <c r="M34" i="167"/>
  <c r="AA34" i="167" s="1"/>
  <c r="K34" i="167"/>
  <c r="G34" i="167"/>
  <c r="AB33" i="167"/>
  <c r="AA33" i="167"/>
  <c r="V33" i="167"/>
  <c r="U33" i="167"/>
  <c r="O33" i="167"/>
  <c r="M33" i="167"/>
  <c r="N33" i="167" s="1"/>
  <c r="K33" i="167"/>
  <c r="G33" i="167"/>
  <c r="AB32" i="167"/>
  <c r="AA32" i="167"/>
  <c r="X32" i="167"/>
  <c r="W32" i="167"/>
  <c r="V32" i="167"/>
  <c r="O32" i="167"/>
  <c r="M32" i="167"/>
  <c r="N32" i="167" s="1"/>
  <c r="K32" i="167"/>
  <c r="G32" i="167"/>
  <c r="O31" i="167"/>
  <c r="K31" i="167"/>
  <c r="V30" i="167"/>
  <c r="M30" i="167" s="1"/>
  <c r="U30" i="167"/>
  <c r="O30" i="167"/>
  <c r="K30" i="167"/>
  <c r="G30" i="167"/>
  <c r="V29" i="167"/>
  <c r="M29" i="167" s="1"/>
  <c r="U29" i="167"/>
  <c r="O29" i="167"/>
  <c r="K29" i="167"/>
  <c r="G29" i="167"/>
  <c r="V28" i="167"/>
  <c r="M28" i="167" s="1"/>
  <c r="U28" i="167"/>
  <c r="O28" i="167"/>
  <c r="K28" i="167"/>
  <c r="G28" i="167"/>
  <c r="V27" i="167"/>
  <c r="M27" i="167" s="1"/>
  <c r="U27" i="167"/>
  <c r="O27" i="167"/>
  <c r="K27" i="167"/>
  <c r="G27" i="167"/>
  <c r="X26" i="167"/>
  <c r="W26" i="167"/>
  <c r="V26" i="167"/>
  <c r="M26" i="167" s="1"/>
  <c r="O26" i="167"/>
  <c r="K26" i="167"/>
  <c r="G26" i="167"/>
  <c r="O25" i="167"/>
  <c r="K25" i="167"/>
  <c r="V24" i="167"/>
  <c r="U24" i="167"/>
  <c r="O24" i="167"/>
  <c r="M24" i="167"/>
  <c r="K24" i="167"/>
  <c r="G24" i="167"/>
  <c r="V23" i="167"/>
  <c r="U23" i="167"/>
  <c r="O23" i="167"/>
  <c r="M23" i="167"/>
  <c r="AA23" i="167" s="1"/>
  <c r="K23" i="167"/>
  <c r="G23" i="167"/>
  <c r="AB22" i="167"/>
  <c r="V22" i="167"/>
  <c r="U22" i="167"/>
  <c r="Q22" i="167"/>
  <c r="P22" i="167"/>
  <c r="O22" i="167"/>
  <c r="N22" i="167"/>
  <c r="M22" i="167"/>
  <c r="AA22" i="167" s="1"/>
  <c r="K22" i="167"/>
  <c r="G22" i="167"/>
  <c r="AB21" i="167"/>
  <c r="AA21" i="167"/>
  <c r="V21" i="167"/>
  <c r="U21" i="167"/>
  <c r="O21" i="167"/>
  <c r="M21" i="167"/>
  <c r="N21" i="167" s="1"/>
  <c r="K21" i="167"/>
  <c r="G21" i="167"/>
  <c r="AB20" i="167"/>
  <c r="V20" i="167"/>
  <c r="M20" i="167" s="1"/>
  <c r="N20" i="167" s="1"/>
  <c r="U20" i="167"/>
  <c r="O20" i="167"/>
  <c r="K20" i="167"/>
  <c r="G20" i="167"/>
  <c r="AA19" i="167"/>
  <c r="V19" i="167"/>
  <c r="U19" i="167"/>
  <c r="O19" i="167"/>
  <c r="M19" i="167"/>
  <c r="N19" i="167" s="1"/>
  <c r="K19" i="167"/>
  <c r="G19" i="167"/>
  <c r="V18" i="167"/>
  <c r="M18" i="167" s="1"/>
  <c r="U18" i="167"/>
  <c r="O18" i="167"/>
  <c r="K18" i="167"/>
  <c r="G18" i="167"/>
  <c r="V17" i="167"/>
  <c r="M17" i="167" s="1"/>
  <c r="O17" i="167"/>
  <c r="K17" i="167"/>
  <c r="G17" i="167"/>
  <c r="O16" i="167"/>
  <c r="K16" i="167"/>
  <c r="AB15" i="167"/>
  <c r="AA15" i="167"/>
  <c r="V15" i="167"/>
  <c r="U15" i="167"/>
  <c r="O15" i="167"/>
  <c r="N15" i="167"/>
  <c r="M15" i="167"/>
  <c r="K15" i="167"/>
  <c r="G15" i="167"/>
  <c r="V14" i="167"/>
  <c r="U14" i="167"/>
  <c r="O14" i="167"/>
  <c r="M14" i="167"/>
  <c r="K14" i="167"/>
  <c r="G14" i="167"/>
  <c r="V13" i="167"/>
  <c r="U13" i="167"/>
  <c r="O13" i="167"/>
  <c r="M13" i="167"/>
  <c r="AA13" i="167" s="1"/>
  <c r="K13" i="167"/>
  <c r="G13" i="167"/>
  <c r="V12" i="167"/>
  <c r="O12" i="167"/>
  <c r="M12" i="167"/>
  <c r="AA12" i="167" s="1"/>
  <c r="K12" i="167"/>
  <c r="G12" i="167"/>
  <c r="O11" i="167"/>
  <c r="K11" i="167"/>
  <c r="V10" i="167"/>
  <c r="M10" i="167" s="1"/>
  <c r="U10" i="167"/>
  <c r="O10" i="167"/>
  <c r="K10" i="167"/>
  <c r="G10" i="167"/>
  <c r="X9" i="167"/>
  <c r="W9" i="167"/>
  <c r="V9" i="167"/>
  <c r="M9" i="167" s="1"/>
  <c r="O9" i="167"/>
  <c r="K9" i="167"/>
  <c r="G9" i="167"/>
  <c r="O8" i="167"/>
  <c r="K8" i="167"/>
  <c r="V7" i="167"/>
  <c r="M7" i="167" s="1"/>
  <c r="U7" i="167"/>
  <c r="O7" i="167"/>
  <c r="N7" i="167"/>
  <c r="Q7" i="167" s="1"/>
  <c r="K7" i="167"/>
  <c r="G7" i="167"/>
  <c r="V6" i="167"/>
  <c r="U6" i="167"/>
  <c r="O6" i="167"/>
  <c r="M6" i="167"/>
  <c r="N6" i="167" s="1"/>
  <c r="K6" i="167"/>
  <c r="G6" i="167"/>
  <c r="V5" i="167"/>
  <c r="O5" i="167"/>
  <c r="M5" i="167"/>
  <c r="K5" i="167"/>
  <c r="G5" i="167"/>
  <c r="H2" i="167"/>
  <c r="H1" i="167"/>
  <c r="D1" i="167"/>
  <c r="M18" i="166"/>
  <c r="L18" i="166"/>
  <c r="K18" i="166"/>
  <c r="J18" i="166"/>
  <c r="I18" i="166"/>
  <c r="H18" i="166"/>
  <c r="G18" i="166"/>
  <c r="F18" i="166"/>
  <c r="E18" i="166"/>
  <c r="D18" i="166"/>
  <c r="M17" i="166"/>
  <c r="L17" i="166"/>
  <c r="K17" i="166"/>
  <c r="J17" i="166"/>
  <c r="I17" i="166"/>
  <c r="H17" i="166"/>
  <c r="G17" i="166"/>
  <c r="F17" i="166"/>
  <c r="E17" i="166"/>
  <c r="D17" i="166"/>
  <c r="M16" i="166"/>
  <c r="L16" i="166"/>
  <c r="K16" i="166"/>
  <c r="J16" i="166"/>
  <c r="I16" i="166"/>
  <c r="H16" i="166"/>
  <c r="G16" i="166"/>
  <c r="F16" i="166"/>
  <c r="E16" i="166"/>
  <c r="D16" i="166"/>
  <c r="M13" i="166"/>
  <c r="L13" i="166"/>
  <c r="K13" i="166"/>
  <c r="I6" i="166" s="1"/>
  <c r="J13" i="166"/>
  <c r="I13" i="166"/>
  <c r="H13" i="166"/>
  <c r="G13" i="166"/>
  <c r="F13" i="166"/>
  <c r="E13" i="166"/>
  <c r="D13" i="166"/>
  <c r="G6" i="166" s="1"/>
  <c r="F3" i="166"/>
  <c r="C3" i="166"/>
  <c r="K15" i="174" l="1"/>
  <c r="I8" i="174" s="1"/>
  <c r="I7" i="174"/>
  <c r="G7" i="174"/>
  <c r="F7" i="174"/>
  <c r="E7" i="174"/>
  <c r="D15" i="174"/>
  <c r="G7" i="170"/>
  <c r="E7" i="170"/>
  <c r="D15" i="170"/>
  <c r="Q9" i="171"/>
  <c r="R5" i="171" s="1"/>
  <c r="P9" i="171"/>
  <c r="I14" i="170"/>
  <c r="I15" i="170" s="1"/>
  <c r="Q61" i="171"/>
  <c r="R55" i="171" s="1"/>
  <c r="P61" i="171"/>
  <c r="Q35" i="171"/>
  <c r="R27" i="171" s="1"/>
  <c r="K14" i="170"/>
  <c r="P35" i="171"/>
  <c r="D2" i="171"/>
  <c r="Q62" i="169"/>
  <c r="P62" i="169"/>
  <c r="P54" i="169"/>
  <c r="Q54" i="169"/>
  <c r="Q47" i="169"/>
  <c r="P47" i="169"/>
  <c r="Q9" i="169"/>
  <c r="P9" i="169"/>
  <c r="D14" i="168"/>
  <c r="Q8" i="169"/>
  <c r="R5" i="169" s="1"/>
  <c r="P8" i="169"/>
  <c r="P49" i="169"/>
  <c r="Q49" i="169"/>
  <c r="Q37" i="169"/>
  <c r="P37" i="169"/>
  <c r="Q50" i="169"/>
  <c r="P50" i="169"/>
  <c r="Q58" i="169"/>
  <c r="P58" i="169"/>
  <c r="P20" i="169"/>
  <c r="Q20" i="169"/>
  <c r="Q52" i="169"/>
  <c r="R47" i="169" s="1"/>
  <c r="I14" i="168"/>
  <c r="I15" i="168" s="1"/>
  <c r="P52" i="169"/>
  <c r="P29" i="169"/>
  <c r="Q29" i="169"/>
  <c r="Q7" i="169"/>
  <c r="P7" i="169"/>
  <c r="Q39" i="169"/>
  <c r="R32" i="169" s="1"/>
  <c r="L14" i="168"/>
  <c r="L15" i="168" s="1"/>
  <c r="P39" i="169"/>
  <c r="P5" i="169"/>
  <c r="Q53" i="169"/>
  <c r="P53" i="169"/>
  <c r="P40" i="169"/>
  <c r="Q40" i="169"/>
  <c r="N59" i="169"/>
  <c r="AB59" i="169"/>
  <c r="AC53" i="169" s="1"/>
  <c r="AA59" i="169"/>
  <c r="N46" i="169"/>
  <c r="AB46" i="169"/>
  <c r="AC40" i="169" s="1"/>
  <c r="AA46" i="169"/>
  <c r="Q38" i="169"/>
  <c r="P38" i="169"/>
  <c r="AA16" i="169"/>
  <c r="AB16" i="169"/>
  <c r="AC12" i="169" s="1"/>
  <c r="N16" i="169"/>
  <c r="AB25" i="169"/>
  <c r="AC17" i="169" s="1"/>
  <c r="N25" i="169"/>
  <c r="AA25" i="169"/>
  <c r="AB66" i="169"/>
  <c r="AC60" i="169" s="1"/>
  <c r="AA66" i="169"/>
  <c r="N66" i="169"/>
  <c r="M14" i="168" s="1"/>
  <c r="M15" i="168" s="1"/>
  <c r="Q51" i="169"/>
  <c r="P51" i="169"/>
  <c r="AB31" i="169"/>
  <c r="AC26" i="169" s="1"/>
  <c r="AA31" i="169"/>
  <c r="N31" i="169"/>
  <c r="Q26" i="169"/>
  <c r="P26" i="169"/>
  <c r="Q11" i="169"/>
  <c r="R9" i="169" s="1"/>
  <c r="E14" i="168"/>
  <c r="E15" i="168" s="1"/>
  <c r="P11" i="169"/>
  <c r="Q6" i="167"/>
  <c r="P6" i="167"/>
  <c r="N10" i="167"/>
  <c r="AB10" i="167"/>
  <c r="AA10" i="167"/>
  <c r="N39" i="167"/>
  <c r="AB39" i="167"/>
  <c r="AA39" i="167"/>
  <c r="M45" i="167"/>
  <c r="Q15" i="167"/>
  <c r="P15" i="167"/>
  <c r="P19" i="167"/>
  <c r="Q19" i="167"/>
  <c r="P43" i="167"/>
  <c r="Q43" i="167"/>
  <c r="N61" i="167"/>
  <c r="AB61" i="167"/>
  <c r="AA61" i="167"/>
  <c r="M8" i="167"/>
  <c r="AB5" i="167"/>
  <c r="AA5" i="167"/>
  <c r="AB27" i="167"/>
  <c r="AA27" i="167"/>
  <c r="Q33" i="167"/>
  <c r="P33" i="167"/>
  <c r="AB36" i="167"/>
  <c r="AA36" i="167"/>
  <c r="N36" i="167"/>
  <c r="Q47" i="167"/>
  <c r="P47" i="167"/>
  <c r="N5" i="167"/>
  <c r="Q21" i="167"/>
  <c r="P21" i="167"/>
  <c r="N9" i="167"/>
  <c r="M11" i="167"/>
  <c r="AB9" i="167"/>
  <c r="AA9" i="167"/>
  <c r="F1" i="167"/>
  <c r="N17" i="167"/>
  <c r="AB17" i="167"/>
  <c r="AA17" i="167"/>
  <c r="N29" i="167"/>
  <c r="AB29" i="167"/>
  <c r="AA29" i="167"/>
  <c r="Q32" i="167"/>
  <c r="P32" i="167"/>
  <c r="N41" i="167"/>
  <c r="AB41" i="167"/>
  <c r="AA41" i="167"/>
  <c r="P7" i="167"/>
  <c r="AB14" i="167"/>
  <c r="AA14" i="167"/>
  <c r="N14" i="167"/>
  <c r="Q46" i="167"/>
  <c r="P46" i="167"/>
  <c r="AB60" i="167"/>
  <c r="AA60" i="167"/>
  <c r="N60" i="167"/>
  <c r="AB28" i="167"/>
  <c r="AA28" i="167"/>
  <c r="N28" i="167"/>
  <c r="Q37" i="167"/>
  <c r="P37" i="167"/>
  <c r="AB40" i="167"/>
  <c r="AA40" i="167"/>
  <c r="N40" i="167"/>
  <c r="N59" i="167"/>
  <c r="AB59" i="167"/>
  <c r="AA59" i="167"/>
  <c r="M65" i="167"/>
  <c r="AB64" i="167"/>
  <c r="AB24" i="167"/>
  <c r="AA24" i="167"/>
  <c r="N24" i="167"/>
  <c r="Q52" i="167"/>
  <c r="P52" i="167"/>
  <c r="Q57" i="167"/>
  <c r="P57" i="167"/>
  <c r="AB7" i="167"/>
  <c r="AA7" i="167"/>
  <c r="AB50" i="167"/>
  <c r="AA50" i="167"/>
  <c r="N50" i="167"/>
  <c r="N62" i="167"/>
  <c r="AB62" i="167"/>
  <c r="AA62" i="167"/>
  <c r="Q64" i="167"/>
  <c r="P64" i="167"/>
  <c r="E6" i="166"/>
  <c r="AB6" i="167"/>
  <c r="AA6" i="167"/>
  <c r="M25" i="167"/>
  <c r="P49" i="167"/>
  <c r="AA64" i="167"/>
  <c r="F6" i="166"/>
  <c r="N18" i="167"/>
  <c r="AB18" i="167"/>
  <c r="AA18" i="167"/>
  <c r="Q20" i="167"/>
  <c r="P20" i="167"/>
  <c r="N27" i="167"/>
  <c r="N30" i="167"/>
  <c r="AB30" i="167"/>
  <c r="AA30" i="167"/>
  <c r="N42" i="167"/>
  <c r="AB42" i="167"/>
  <c r="AA42" i="167"/>
  <c r="Q44" i="167"/>
  <c r="P44" i="167"/>
  <c r="M51" i="167"/>
  <c r="AB48" i="167"/>
  <c r="AA48" i="167"/>
  <c r="P63" i="167"/>
  <c r="Q63" i="167"/>
  <c r="N26" i="167"/>
  <c r="AB26" i="167"/>
  <c r="M31" i="167"/>
  <c r="AA26" i="167"/>
  <c r="AA20" i="167"/>
  <c r="AA44" i="167"/>
  <c r="N48" i="167"/>
  <c r="Q53" i="167"/>
  <c r="P53" i="167"/>
  <c r="AB56" i="167"/>
  <c r="AA56" i="167"/>
  <c r="N56" i="167"/>
  <c r="AB12" i="167"/>
  <c r="AB13" i="167"/>
  <c r="M16" i="167"/>
  <c r="AB23" i="167"/>
  <c r="AB35" i="167"/>
  <c r="M38" i="167"/>
  <c r="AB55" i="167"/>
  <c r="M58" i="167"/>
  <c r="AB19" i="167"/>
  <c r="AB43" i="167"/>
  <c r="AB63" i="167"/>
  <c r="N12" i="167"/>
  <c r="N13" i="167"/>
  <c r="N23" i="167"/>
  <c r="N35" i="167"/>
  <c r="N55" i="167"/>
  <c r="O73" i="165"/>
  <c r="K73" i="165"/>
  <c r="AB72" i="165"/>
  <c r="AA72" i="165"/>
  <c r="V72" i="165"/>
  <c r="M72" i="165" s="1"/>
  <c r="N72" i="165" s="1"/>
  <c r="U72" i="165"/>
  <c r="O72" i="165"/>
  <c r="K72" i="165"/>
  <c r="G72" i="165"/>
  <c r="AB71" i="165"/>
  <c r="AA71" i="165"/>
  <c r="X71" i="165"/>
  <c r="W71" i="165"/>
  <c r="V71" i="165"/>
  <c r="M71" i="165" s="1"/>
  <c r="N71" i="165" s="1"/>
  <c r="U71" i="165"/>
  <c r="O71" i="165"/>
  <c r="K71" i="165"/>
  <c r="G71" i="165"/>
  <c r="AB70" i="165"/>
  <c r="AA70" i="165"/>
  <c r="V70" i="165"/>
  <c r="M70" i="165" s="1"/>
  <c r="N70" i="165" s="1"/>
  <c r="U70" i="165"/>
  <c r="O70" i="165"/>
  <c r="K70" i="165"/>
  <c r="G70" i="165"/>
  <c r="AB69" i="165"/>
  <c r="AA69" i="165"/>
  <c r="V69" i="165"/>
  <c r="M69" i="165" s="1"/>
  <c r="N69" i="165" s="1"/>
  <c r="P69" i="165" s="1"/>
  <c r="U69" i="165"/>
  <c r="Q69" i="165"/>
  <c r="O69" i="165"/>
  <c r="K69" i="165"/>
  <c r="G69" i="165"/>
  <c r="AA68" i="165"/>
  <c r="V68" i="165"/>
  <c r="M68" i="165" s="1"/>
  <c r="U68" i="165"/>
  <c r="O68" i="165"/>
  <c r="K68" i="165"/>
  <c r="G68" i="165"/>
  <c r="V67" i="165"/>
  <c r="M67" i="165" s="1"/>
  <c r="U67" i="165"/>
  <c r="O67" i="165"/>
  <c r="K67" i="165"/>
  <c r="G67" i="165"/>
  <c r="V66" i="165"/>
  <c r="M66" i="165" s="1"/>
  <c r="U66" i="165"/>
  <c r="Q66" i="165"/>
  <c r="P66" i="165"/>
  <c r="O66" i="165"/>
  <c r="N66" i="165"/>
  <c r="K66" i="165"/>
  <c r="G66" i="165"/>
  <c r="X65" i="165"/>
  <c r="W65" i="165"/>
  <c r="V65" i="165"/>
  <c r="M65" i="165" s="1"/>
  <c r="O65" i="165"/>
  <c r="K65" i="165"/>
  <c r="G65" i="165"/>
  <c r="O64" i="165"/>
  <c r="M64" i="165"/>
  <c r="N64" i="165" s="1"/>
  <c r="K64" i="165"/>
  <c r="V63" i="165"/>
  <c r="U63" i="165"/>
  <c r="O63" i="165"/>
  <c r="N63" i="165"/>
  <c r="M63" i="165"/>
  <c r="K63" i="165"/>
  <c r="G63" i="165"/>
  <c r="V62" i="165"/>
  <c r="U62" i="165"/>
  <c r="O62" i="165"/>
  <c r="N62" i="165"/>
  <c r="M62" i="165"/>
  <c r="K62" i="165"/>
  <c r="G62" i="165"/>
  <c r="AB61" i="165"/>
  <c r="V61" i="165"/>
  <c r="U61" i="165"/>
  <c r="O61" i="165"/>
  <c r="M61" i="165"/>
  <c r="K61" i="165"/>
  <c r="G61" i="165"/>
  <c r="AB60" i="165"/>
  <c r="AA60" i="165"/>
  <c r="V60" i="165"/>
  <c r="U60" i="165"/>
  <c r="O60" i="165"/>
  <c r="M60" i="165"/>
  <c r="N60" i="165" s="1"/>
  <c r="K60" i="165"/>
  <c r="G60" i="165"/>
  <c r="AB59" i="165"/>
  <c r="AA59" i="165"/>
  <c r="V59" i="165"/>
  <c r="M59" i="165" s="1"/>
  <c r="N59" i="165" s="1"/>
  <c r="U59" i="165"/>
  <c r="O59" i="165"/>
  <c r="K59" i="165"/>
  <c r="G59" i="165"/>
  <c r="AB58" i="165"/>
  <c r="AA58" i="165"/>
  <c r="V58" i="165"/>
  <c r="M58" i="165" s="1"/>
  <c r="N58" i="165" s="1"/>
  <c r="O58" i="165"/>
  <c r="K58" i="165"/>
  <c r="G58" i="165"/>
  <c r="O57" i="165"/>
  <c r="K57" i="165"/>
  <c r="V56" i="165"/>
  <c r="M56" i="165" s="1"/>
  <c r="U56" i="165"/>
  <c r="Q56" i="165"/>
  <c r="P56" i="165"/>
  <c r="O56" i="165"/>
  <c r="N56" i="165"/>
  <c r="K56" i="165"/>
  <c r="G56" i="165"/>
  <c r="V55" i="165"/>
  <c r="U55" i="165"/>
  <c r="Q55" i="165"/>
  <c r="P55" i="165"/>
  <c r="O55" i="165"/>
  <c r="N55" i="165"/>
  <c r="M55" i="165"/>
  <c r="K55" i="165"/>
  <c r="G55" i="165"/>
  <c r="V54" i="165"/>
  <c r="U54" i="165"/>
  <c r="Q54" i="165"/>
  <c r="P54" i="165"/>
  <c r="O54" i="165"/>
  <c r="N54" i="165"/>
  <c r="M54" i="165"/>
  <c r="K54" i="165"/>
  <c r="G54" i="165"/>
  <c r="V53" i="165"/>
  <c r="U53" i="165"/>
  <c r="O53" i="165"/>
  <c r="N53" i="165"/>
  <c r="Q53" i="165" s="1"/>
  <c r="M53" i="165"/>
  <c r="K53" i="165"/>
  <c r="G53" i="165"/>
  <c r="V52" i="165"/>
  <c r="P52" i="165"/>
  <c r="O52" i="165"/>
  <c r="N52" i="165"/>
  <c r="Q52" i="165" s="1"/>
  <c r="M52" i="165"/>
  <c r="K52" i="165"/>
  <c r="G52" i="165"/>
  <c r="O51" i="165"/>
  <c r="M51" i="165"/>
  <c r="K51" i="165"/>
  <c r="AB50" i="165"/>
  <c r="AA50" i="165"/>
  <c r="V50" i="165"/>
  <c r="M50" i="165" s="1"/>
  <c r="N50" i="165" s="1"/>
  <c r="U50" i="165"/>
  <c r="O50" i="165"/>
  <c r="K50" i="165"/>
  <c r="G50" i="165"/>
  <c r="AB49" i="165"/>
  <c r="AA49" i="165"/>
  <c r="V49" i="165"/>
  <c r="M49" i="165" s="1"/>
  <c r="N49" i="165" s="1"/>
  <c r="P49" i="165" s="1"/>
  <c r="U49" i="165"/>
  <c r="Q49" i="165"/>
  <c r="O49" i="165"/>
  <c r="K49" i="165"/>
  <c r="G49" i="165"/>
  <c r="AB48" i="165"/>
  <c r="AA48" i="165"/>
  <c r="X48" i="165"/>
  <c r="W48" i="165"/>
  <c r="V48" i="165"/>
  <c r="M48" i="165" s="1"/>
  <c r="N48" i="165" s="1"/>
  <c r="U48" i="165"/>
  <c r="O48" i="165"/>
  <c r="K48" i="165"/>
  <c r="G48" i="165"/>
  <c r="AB47" i="165"/>
  <c r="AA47" i="165"/>
  <c r="V47" i="165"/>
  <c r="M47" i="165" s="1"/>
  <c r="N47" i="165" s="1"/>
  <c r="P47" i="165" s="1"/>
  <c r="U47" i="165"/>
  <c r="Q47" i="165"/>
  <c r="O47" i="165"/>
  <c r="K47" i="165"/>
  <c r="G47" i="165"/>
  <c r="AB46" i="165"/>
  <c r="AA46" i="165"/>
  <c r="V46" i="165"/>
  <c r="M46" i="165" s="1"/>
  <c r="N46" i="165" s="1"/>
  <c r="U46" i="165"/>
  <c r="Q46" i="165"/>
  <c r="P46" i="165"/>
  <c r="O46" i="165"/>
  <c r="K46" i="165"/>
  <c r="G46" i="165"/>
  <c r="AA45" i="165"/>
  <c r="V45" i="165"/>
  <c r="M45" i="165" s="1"/>
  <c r="U45" i="165"/>
  <c r="O45" i="165"/>
  <c r="K45" i="165"/>
  <c r="G45" i="165"/>
  <c r="V44" i="165"/>
  <c r="M44" i="165" s="1"/>
  <c r="U44" i="165"/>
  <c r="Q44" i="165"/>
  <c r="P44" i="165"/>
  <c r="O44" i="165"/>
  <c r="N44" i="165"/>
  <c r="K44" i="165"/>
  <c r="G44" i="165"/>
  <c r="X43" i="165"/>
  <c r="W43" i="165"/>
  <c r="V43" i="165"/>
  <c r="M43" i="165" s="1"/>
  <c r="O43" i="165"/>
  <c r="K43" i="165"/>
  <c r="G43" i="165"/>
  <c r="O42" i="165"/>
  <c r="M42" i="165"/>
  <c r="AB42" i="165" s="1"/>
  <c r="K42" i="165"/>
  <c r="V41" i="165"/>
  <c r="U41" i="165"/>
  <c r="P41" i="165"/>
  <c r="O41" i="165"/>
  <c r="N41" i="165"/>
  <c r="Q41" i="165" s="1"/>
  <c r="M41" i="165"/>
  <c r="K41" i="165"/>
  <c r="G41" i="165"/>
  <c r="V40" i="165"/>
  <c r="U40" i="165"/>
  <c r="O40" i="165"/>
  <c r="N40" i="165"/>
  <c r="M40" i="165"/>
  <c r="K40" i="165"/>
  <c r="G40" i="165"/>
  <c r="AB39" i="165"/>
  <c r="X39" i="165"/>
  <c r="W39" i="165"/>
  <c r="V39" i="165"/>
  <c r="U39" i="165"/>
  <c r="O39" i="165"/>
  <c r="N39" i="165"/>
  <c r="Q39" i="165" s="1"/>
  <c r="M39" i="165"/>
  <c r="AA39" i="165" s="1"/>
  <c r="K39" i="165"/>
  <c r="G39" i="165"/>
  <c r="V38" i="165"/>
  <c r="U38" i="165"/>
  <c r="O38" i="165"/>
  <c r="N38" i="165"/>
  <c r="M38" i="165"/>
  <c r="K38" i="165"/>
  <c r="G38" i="165"/>
  <c r="AB37" i="165"/>
  <c r="V37" i="165"/>
  <c r="U37" i="165"/>
  <c r="O37" i="165"/>
  <c r="N37" i="165"/>
  <c r="M37" i="165"/>
  <c r="AA37" i="165" s="1"/>
  <c r="K37" i="165"/>
  <c r="G37" i="165"/>
  <c r="AB36" i="165"/>
  <c r="AA36" i="165"/>
  <c r="V36" i="165"/>
  <c r="U36" i="165"/>
  <c r="O36" i="165"/>
  <c r="M36" i="165"/>
  <c r="N36" i="165" s="1"/>
  <c r="K36" i="165"/>
  <c r="G36" i="165"/>
  <c r="AC35" i="165"/>
  <c r="AB35" i="165"/>
  <c r="AA35" i="165"/>
  <c r="X35" i="165"/>
  <c r="W35" i="165"/>
  <c r="V35" i="165"/>
  <c r="O35" i="165"/>
  <c r="N35" i="165"/>
  <c r="M35" i="165"/>
  <c r="K35" i="165"/>
  <c r="G35" i="165"/>
  <c r="O34" i="165"/>
  <c r="K34" i="165"/>
  <c r="AB33" i="165"/>
  <c r="AA33" i="165"/>
  <c r="V33" i="165"/>
  <c r="M33" i="165" s="1"/>
  <c r="N33" i="165" s="1"/>
  <c r="P33" i="165" s="1"/>
  <c r="U33" i="165"/>
  <c r="Q33" i="165"/>
  <c r="O33" i="165"/>
  <c r="K33" i="165"/>
  <c r="G33" i="165"/>
  <c r="AB32" i="165"/>
  <c r="AA32" i="165"/>
  <c r="V32" i="165"/>
  <c r="M32" i="165" s="1"/>
  <c r="N32" i="165" s="1"/>
  <c r="U32" i="165"/>
  <c r="Q32" i="165"/>
  <c r="P32" i="165"/>
  <c r="O32" i="165"/>
  <c r="K32" i="165"/>
  <c r="G32" i="165"/>
  <c r="AA31" i="165"/>
  <c r="V31" i="165"/>
  <c r="M31" i="165" s="1"/>
  <c r="U31" i="165"/>
  <c r="O31" i="165"/>
  <c r="K31" i="165"/>
  <c r="G31" i="165"/>
  <c r="X30" i="165"/>
  <c r="W30" i="165"/>
  <c r="V30" i="165"/>
  <c r="M30" i="165" s="1"/>
  <c r="U30" i="165"/>
  <c r="O30" i="165"/>
  <c r="K30" i="165"/>
  <c r="G30" i="165"/>
  <c r="AA29" i="165"/>
  <c r="V29" i="165"/>
  <c r="M29" i="165" s="1"/>
  <c r="U29" i="165"/>
  <c r="O29" i="165"/>
  <c r="K29" i="165"/>
  <c r="G29" i="165"/>
  <c r="V28" i="165"/>
  <c r="M28" i="165" s="1"/>
  <c r="U28" i="165"/>
  <c r="O28" i="165"/>
  <c r="N28" i="165"/>
  <c r="P28" i="165" s="1"/>
  <c r="K28" i="165"/>
  <c r="G28" i="165"/>
  <c r="V27" i="165"/>
  <c r="U27" i="165"/>
  <c r="O27" i="165"/>
  <c r="N27" i="165"/>
  <c r="Q27" i="165" s="1"/>
  <c r="M27" i="165"/>
  <c r="K27" i="165"/>
  <c r="G27" i="165"/>
  <c r="X26" i="165"/>
  <c r="W26" i="165"/>
  <c r="V26" i="165"/>
  <c r="M26" i="165" s="1"/>
  <c r="O26" i="165"/>
  <c r="K26" i="165"/>
  <c r="G26" i="165"/>
  <c r="O25" i="165"/>
  <c r="N25" i="165"/>
  <c r="G14" i="164" s="1"/>
  <c r="G15" i="164" s="1"/>
  <c r="M25" i="165"/>
  <c r="K25" i="165"/>
  <c r="G13" i="164" s="1"/>
  <c r="V24" i="165"/>
  <c r="U24" i="165"/>
  <c r="O24" i="165"/>
  <c r="N24" i="165"/>
  <c r="M24" i="165"/>
  <c r="K24" i="165"/>
  <c r="G24" i="165"/>
  <c r="AB23" i="165"/>
  <c r="V23" i="165"/>
  <c r="U23" i="165"/>
  <c r="O23" i="165"/>
  <c r="N23" i="165"/>
  <c r="M23" i="165"/>
  <c r="AA23" i="165" s="1"/>
  <c r="K23" i="165"/>
  <c r="G23" i="165"/>
  <c r="AB22" i="165"/>
  <c r="AA22" i="165"/>
  <c r="V22" i="165"/>
  <c r="U22" i="165"/>
  <c r="O22" i="165"/>
  <c r="M22" i="165"/>
  <c r="N22" i="165" s="1"/>
  <c r="K22" i="165"/>
  <c r="G22" i="165"/>
  <c r="AB21" i="165"/>
  <c r="AA21" i="165"/>
  <c r="V21" i="165"/>
  <c r="M21" i="165" s="1"/>
  <c r="N21" i="165" s="1"/>
  <c r="U21" i="165"/>
  <c r="O21" i="165"/>
  <c r="K21" i="165"/>
  <c r="G21" i="165"/>
  <c r="AB20" i="165"/>
  <c r="AA20" i="165"/>
  <c r="V20" i="165"/>
  <c r="M20" i="165" s="1"/>
  <c r="N20" i="165" s="1"/>
  <c r="U20" i="165"/>
  <c r="O20" i="165"/>
  <c r="K20" i="165"/>
  <c r="G20" i="165"/>
  <c r="AB19" i="165"/>
  <c r="AA19" i="165"/>
  <c r="V19" i="165"/>
  <c r="M19" i="165" s="1"/>
  <c r="N19" i="165" s="1"/>
  <c r="P19" i="165" s="1"/>
  <c r="U19" i="165"/>
  <c r="Q19" i="165"/>
  <c r="O19" i="165"/>
  <c r="K19" i="165"/>
  <c r="G19" i="165"/>
  <c r="AB18" i="165"/>
  <c r="AA18" i="165"/>
  <c r="V18" i="165"/>
  <c r="M18" i="165" s="1"/>
  <c r="N18" i="165" s="1"/>
  <c r="U18" i="165"/>
  <c r="Q18" i="165"/>
  <c r="P18" i="165"/>
  <c r="O18" i="165"/>
  <c r="K18" i="165"/>
  <c r="G18" i="165"/>
  <c r="AB17" i="165"/>
  <c r="AA17" i="165"/>
  <c r="V17" i="165"/>
  <c r="M17" i="165" s="1"/>
  <c r="N17" i="165" s="1"/>
  <c r="Q17" i="165"/>
  <c r="P17" i="165"/>
  <c r="O17" i="165"/>
  <c r="K17" i="165"/>
  <c r="G17" i="165"/>
  <c r="AA16" i="165"/>
  <c r="O16" i="165"/>
  <c r="N16" i="165"/>
  <c r="Q16" i="165" s="1"/>
  <c r="R12" i="165" s="1"/>
  <c r="M16" i="165"/>
  <c r="AB16" i="165" s="1"/>
  <c r="K16" i="165"/>
  <c r="V15" i="165"/>
  <c r="U15" i="165"/>
  <c r="O15" i="165"/>
  <c r="N15" i="165"/>
  <c r="Q15" i="165" s="1"/>
  <c r="M15" i="165"/>
  <c r="K15" i="165"/>
  <c r="G15" i="165"/>
  <c r="V14" i="165"/>
  <c r="U14" i="165"/>
  <c r="O14" i="165"/>
  <c r="N14" i="165"/>
  <c r="M14" i="165"/>
  <c r="K14" i="165"/>
  <c r="G14" i="165"/>
  <c r="AB13" i="165"/>
  <c r="V13" i="165"/>
  <c r="U13" i="165"/>
  <c r="O13" i="165"/>
  <c r="N13" i="165"/>
  <c r="M13" i="165"/>
  <c r="AA13" i="165" s="1"/>
  <c r="K13" i="165"/>
  <c r="G13" i="165"/>
  <c r="AC12" i="165"/>
  <c r="AB12" i="165"/>
  <c r="V12" i="165"/>
  <c r="O12" i="165"/>
  <c r="N12" i="165"/>
  <c r="M12" i="165"/>
  <c r="AA12" i="165" s="1"/>
  <c r="K12" i="165"/>
  <c r="G12" i="165"/>
  <c r="O11" i="165"/>
  <c r="K11" i="165"/>
  <c r="AB10" i="165"/>
  <c r="AA10" i="165"/>
  <c r="V10" i="165"/>
  <c r="M10" i="165" s="1"/>
  <c r="N10" i="165" s="1"/>
  <c r="U10" i="165"/>
  <c r="Q10" i="165"/>
  <c r="P10" i="165"/>
  <c r="O10" i="165"/>
  <c r="K10" i="165"/>
  <c r="G10" i="165"/>
  <c r="AB9" i="165"/>
  <c r="AA9" i="165"/>
  <c r="X9" i="165"/>
  <c r="W9" i="165"/>
  <c r="V9" i="165"/>
  <c r="M9" i="165" s="1"/>
  <c r="O9" i="165"/>
  <c r="K9" i="165"/>
  <c r="G9" i="165"/>
  <c r="F1" i="165" s="1"/>
  <c r="F2" i="165" s="1"/>
  <c r="O8" i="165"/>
  <c r="K8" i="165"/>
  <c r="V7" i="165"/>
  <c r="U7" i="165"/>
  <c r="O7" i="165"/>
  <c r="N7" i="165"/>
  <c r="Q7" i="165" s="1"/>
  <c r="M7" i="165"/>
  <c r="K7" i="165"/>
  <c r="G7" i="165"/>
  <c r="V6" i="165"/>
  <c r="U6" i="165"/>
  <c r="Q6" i="165"/>
  <c r="P6" i="165"/>
  <c r="O6" i="165"/>
  <c r="N6" i="165"/>
  <c r="M6" i="165"/>
  <c r="K6" i="165"/>
  <c r="G6" i="165"/>
  <c r="V5" i="165"/>
  <c r="O5" i="165"/>
  <c r="N5" i="165"/>
  <c r="Q5" i="165" s="1"/>
  <c r="M5" i="165"/>
  <c r="K5" i="165"/>
  <c r="G5" i="165"/>
  <c r="H2" i="165"/>
  <c r="H1" i="165"/>
  <c r="D1" i="165"/>
  <c r="M18" i="164"/>
  <c r="L18" i="164"/>
  <c r="K18" i="164"/>
  <c r="J18" i="164"/>
  <c r="I18" i="164"/>
  <c r="H18" i="164"/>
  <c r="G18" i="164"/>
  <c r="F18" i="164"/>
  <c r="E18" i="164"/>
  <c r="D18" i="164"/>
  <c r="M17" i="164"/>
  <c r="L17" i="164"/>
  <c r="K17" i="164"/>
  <c r="J17" i="164"/>
  <c r="I17" i="164"/>
  <c r="H17" i="164"/>
  <c r="G17" i="164"/>
  <c r="F17" i="164"/>
  <c r="E17" i="164"/>
  <c r="D17" i="164"/>
  <c r="M16" i="164"/>
  <c r="L16" i="164"/>
  <c r="K16" i="164"/>
  <c r="J16" i="164"/>
  <c r="I16" i="164"/>
  <c r="H16" i="164"/>
  <c r="G16" i="164"/>
  <c r="F16" i="164"/>
  <c r="E16" i="164"/>
  <c r="D16" i="164"/>
  <c r="F14" i="164"/>
  <c r="F15" i="164" s="1"/>
  <c r="M13" i="164"/>
  <c r="L13" i="164"/>
  <c r="K13" i="164"/>
  <c r="I6" i="164" s="1"/>
  <c r="J13" i="164"/>
  <c r="I13" i="164"/>
  <c r="H13" i="164"/>
  <c r="E6" i="164" s="1"/>
  <c r="F13" i="164"/>
  <c r="E13" i="164"/>
  <c r="D13" i="164"/>
  <c r="I3" i="164"/>
  <c r="F3" i="164"/>
  <c r="C3" i="164"/>
  <c r="F8" i="174" l="1"/>
  <c r="E8" i="174"/>
  <c r="G8" i="174"/>
  <c r="I7" i="170"/>
  <c r="K15" i="170"/>
  <c r="I8" i="170" s="1"/>
  <c r="F7" i="170"/>
  <c r="G8" i="170"/>
  <c r="F8" i="170"/>
  <c r="Q25" i="169"/>
  <c r="R17" i="169" s="1"/>
  <c r="P25" i="169"/>
  <c r="G14" i="168"/>
  <c r="G15" i="168" s="1"/>
  <c r="Q16" i="169"/>
  <c r="R12" i="169" s="1"/>
  <c r="P16" i="169"/>
  <c r="F14" i="168"/>
  <c r="F15" i="168" s="1"/>
  <c r="H14" i="168"/>
  <c r="H15" i="168" s="1"/>
  <c r="Q46" i="169"/>
  <c r="R40" i="169" s="1"/>
  <c r="P46" i="169"/>
  <c r="D15" i="168"/>
  <c r="P59" i="169"/>
  <c r="J14" i="168"/>
  <c r="J15" i="168" s="1"/>
  <c r="Q59" i="169"/>
  <c r="R53" i="169" s="1"/>
  <c r="Q31" i="169"/>
  <c r="R26" i="169" s="1"/>
  <c r="P31" i="169"/>
  <c r="K14" i="168"/>
  <c r="Q66" i="169"/>
  <c r="R60" i="169" s="1"/>
  <c r="P66" i="169"/>
  <c r="P62" i="167"/>
  <c r="Q62" i="167"/>
  <c r="Q41" i="167"/>
  <c r="P41" i="167"/>
  <c r="Q55" i="167"/>
  <c r="P55" i="167"/>
  <c r="AB16" i="167"/>
  <c r="AC12" i="167" s="1"/>
  <c r="AA16" i="167"/>
  <c r="N16" i="167"/>
  <c r="AB45" i="167"/>
  <c r="AC39" i="167" s="1"/>
  <c r="AA45" i="167"/>
  <c r="N45" i="167"/>
  <c r="AB25" i="167"/>
  <c r="AC17" i="167" s="1"/>
  <c r="AA25" i="167"/>
  <c r="N25" i="167"/>
  <c r="Q26" i="167"/>
  <c r="P26" i="167"/>
  <c r="P59" i="167"/>
  <c r="Q59" i="167"/>
  <c r="Q5" i="167"/>
  <c r="P5" i="167"/>
  <c r="Q29" i="167"/>
  <c r="P29" i="167"/>
  <c r="AB38" i="167"/>
  <c r="AC32" i="167" s="1"/>
  <c r="AA38" i="167"/>
  <c r="N38" i="167"/>
  <c r="P18" i="167"/>
  <c r="Q18" i="167"/>
  <c r="Q50" i="167"/>
  <c r="P50" i="167"/>
  <c r="N11" i="167"/>
  <c r="AA11" i="167"/>
  <c r="AB11" i="167"/>
  <c r="AC9" i="167" s="1"/>
  <c r="AB65" i="167"/>
  <c r="AC59" i="167" s="1"/>
  <c r="AA65" i="167"/>
  <c r="N65" i="167"/>
  <c r="Q60" i="167"/>
  <c r="P60" i="167"/>
  <c r="Q9" i="167"/>
  <c r="P9" i="167"/>
  <c r="Q35" i="167"/>
  <c r="P35" i="167"/>
  <c r="N31" i="167"/>
  <c r="AA31" i="167"/>
  <c r="AB31" i="167"/>
  <c r="AC26" i="167" s="1"/>
  <c r="P42" i="167"/>
  <c r="Q42" i="167"/>
  <c r="Q23" i="167"/>
  <c r="P23" i="167"/>
  <c r="Q13" i="167"/>
  <c r="P13" i="167"/>
  <c r="N8" i="167"/>
  <c r="AB8" i="167"/>
  <c r="AC5" i="167" s="1"/>
  <c r="AA8" i="167"/>
  <c r="Q12" i="167"/>
  <c r="P12" i="167"/>
  <c r="Q56" i="167"/>
  <c r="P56" i="167"/>
  <c r="P30" i="167"/>
  <c r="Q30" i="167"/>
  <c r="Q40" i="167"/>
  <c r="P40" i="167"/>
  <c r="P39" i="167"/>
  <c r="Q39" i="167"/>
  <c r="Q27" i="167"/>
  <c r="P27" i="167"/>
  <c r="Q14" i="167"/>
  <c r="P14" i="167"/>
  <c r="Q36" i="167"/>
  <c r="P36" i="167"/>
  <c r="Q61" i="167"/>
  <c r="P61" i="167"/>
  <c r="P17" i="167"/>
  <c r="Q17" i="167"/>
  <c r="P10" i="167"/>
  <c r="Q10" i="167"/>
  <c r="AB58" i="167"/>
  <c r="AC52" i="167" s="1"/>
  <c r="AA58" i="167"/>
  <c r="N58" i="167"/>
  <c r="N51" i="167"/>
  <c r="AA51" i="167"/>
  <c r="AB51" i="167"/>
  <c r="AC46" i="167" s="1"/>
  <c r="Q24" i="167"/>
  <c r="P24" i="167"/>
  <c r="F2" i="167"/>
  <c r="I3" i="166"/>
  <c r="Q48" i="167"/>
  <c r="P48" i="167"/>
  <c r="Q28" i="167"/>
  <c r="P28" i="167"/>
  <c r="P64" i="165"/>
  <c r="J14" i="164"/>
  <c r="J15" i="164" s="1"/>
  <c r="Q64" i="165"/>
  <c r="R58" i="165" s="1"/>
  <c r="P27" i="165"/>
  <c r="P39" i="165"/>
  <c r="P53" i="165"/>
  <c r="P7" i="165"/>
  <c r="P15" i="165"/>
  <c r="AA42" i="165"/>
  <c r="Q25" i="165"/>
  <c r="R17" i="165" s="1"/>
  <c r="Q28" i="165"/>
  <c r="P5" i="165"/>
  <c r="P16" i="165"/>
  <c r="P25" i="165"/>
  <c r="N42" i="165"/>
  <c r="G6" i="164"/>
  <c r="F6" i="164"/>
  <c r="M8" i="165"/>
  <c r="AB5" i="165"/>
  <c r="AA5" i="165"/>
  <c r="AB6" i="165"/>
  <c r="AA6" i="165"/>
  <c r="AB7" i="165"/>
  <c r="AA7" i="165"/>
  <c r="N9" i="165"/>
  <c r="M11" i="165"/>
  <c r="Q12" i="165"/>
  <c r="P12" i="165"/>
  <c r="Q13" i="165"/>
  <c r="P13" i="165"/>
  <c r="AB14" i="165"/>
  <c r="AA14" i="165"/>
  <c r="Q14" i="165"/>
  <c r="P14" i="165"/>
  <c r="AB15" i="165"/>
  <c r="AA15" i="165"/>
  <c r="Q20" i="165"/>
  <c r="P20" i="165"/>
  <c r="Q21" i="165"/>
  <c r="P21" i="165"/>
  <c r="Q22" i="165"/>
  <c r="P22" i="165"/>
  <c r="Q23" i="165"/>
  <c r="P23" i="165"/>
  <c r="AB24" i="165"/>
  <c r="AA24" i="165"/>
  <c r="Q24" i="165"/>
  <c r="P24" i="165"/>
  <c r="AB25" i="165"/>
  <c r="AC17" i="165" s="1"/>
  <c r="AA25" i="165"/>
  <c r="N26" i="165"/>
  <c r="AB26" i="165"/>
  <c r="AA26" i="165"/>
  <c r="M34" i="165"/>
  <c r="AB34" i="165" s="1"/>
  <c r="AC26" i="165" s="1"/>
  <c r="AB27" i="165"/>
  <c r="AA27" i="165"/>
  <c r="AB28" i="165"/>
  <c r="AA28" i="165"/>
  <c r="N29" i="165"/>
  <c r="AB29" i="165"/>
  <c r="N30" i="165"/>
  <c r="AB30" i="165"/>
  <c r="AA30" i="165"/>
  <c r="N31" i="165"/>
  <c r="AB31" i="165"/>
  <c r="Q35" i="165"/>
  <c r="P35" i="165"/>
  <c r="Q36" i="165"/>
  <c r="P36" i="165"/>
  <c r="Q37" i="165"/>
  <c r="P37" i="165"/>
  <c r="AB38" i="165"/>
  <c r="AA38" i="165"/>
  <c r="Q38" i="165"/>
  <c r="P38" i="165"/>
  <c r="AB40" i="165"/>
  <c r="AA40" i="165"/>
  <c r="Q40" i="165"/>
  <c r="P40" i="165"/>
  <c r="AB41" i="165"/>
  <c r="AA41" i="165"/>
  <c r="N43" i="165"/>
  <c r="AB43" i="165"/>
  <c r="AA43" i="165"/>
  <c r="AB44" i="165"/>
  <c r="AA44" i="165"/>
  <c r="N45" i="165"/>
  <c r="AB45" i="165"/>
  <c r="Q48" i="165"/>
  <c r="P48" i="165"/>
  <c r="Q50" i="165"/>
  <c r="P50" i="165"/>
  <c r="AB51" i="165"/>
  <c r="AC43" i="165" s="1"/>
  <c r="AA51" i="165"/>
  <c r="N51" i="165"/>
  <c r="AB52" i="165"/>
  <c r="M57" i="165"/>
  <c r="AA52" i="165"/>
  <c r="AB53" i="165"/>
  <c r="AA53" i="165"/>
  <c r="AB54" i="165"/>
  <c r="AA54" i="165"/>
  <c r="AB55" i="165"/>
  <c r="AA55" i="165"/>
  <c r="AB56" i="165"/>
  <c r="AA56" i="165"/>
  <c r="Q58" i="165"/>
  <c r="P58" i="165"/>
  <c r="Q59" i="165"/>
  <c r="P59" i="165"/>
  <c r="Q60" i="165"/>
  <c r="P60" i="165"/>
  <c r="AA61" i="165"/>
  <c r="N61" i="165"/>
  <c r="AB62" i="165"/>
  <c r="AA62" i="165"/>
  <c r="Q62" i="165"/>
  <c r="P62" i="165"/>
  <c r="AB63" i="165"/>
  <c r="AA63" i="165"/>
  <c r="P63" i="165"/>
  <c r="Q63" i="165"/>
  <c r="AA64" i="165"/>
  <c r="AB64" i="165"/>
  <c r="AC58" i="165" s="1"/>
  <c r="N65" i="165"/>
  <c r="AB65" i="165"/>
  <c r="M73" i="165"/>
  <c r="AA65" i="165"/>
  <c r="AB66" i="165"/>
  <c r="AA66" i="165"/>
  <c r="N67" i="165"/>
  <c r="AA67" i="165"/>
  <c r="AB67" i="165"/>
  <c r="N68" i="165"/>
  <c r="AB68" i="165"/>
  <c r="Q70" i="165"/>
  <c r="P70" i="165"/>
  <c r="Q71" i="165"/>
  <c r="P71" i="165"/>
  <c r="Q72" i="165"/>
  <c r="P72" i="165"/>
  <c r="O79" i="163"/>
  <c r="K79" i="163"/>
  <c r="V78" i="163"/>
  <c r="M78" i="163" s="1"/>
  <c r="U78" i="163"/>
  <c r="O78" i="163"/>
  <c r="K78" i="163"/>
  <c r="G78" i="163"/>
  <c r="V77" i="163"/>
  <c r="M77" i="163" s="1"/>
  <c r="U77" i="163"/>
  <c r="O77" i="163"/>
  <c r="K77" i="163"/>
  <c r="G77" i="163"/>
  <c r="V76" i="163"/>
  <c r="M76" i="163" s="1"/>
  <c r="U76" i="163"/>
  <c r="O76" i="163"/>
  <c r="K76" i="163"/>
  <c r="G76" i="163"/>
  <c r="V75" i="163"/>
  <c r="M75" i="163" s="1"/>
  <c r="U75" i="163"/>
  <c r="O75" i="163"/>
  <c r="K75" i="163"/>
  <c r="G75" i="163"/>
  <c r="V74" i="163"/>
  <c r="M74" i="163" s="1"/>
  <c r="U74" i="163"/>
  <c r="O74" i="163"/>
  <c r="K74" i="163"/>
  <c r="G74" i="163"/>
  <c r="V73" i="163"/>
  <c r="U73" i="163"/>
  <c r="O73" i="163"/>
  <c r="N73" i="163"/>
  <c r="Q73" i="163" s="1"/>
  <c r="M73" i="163"/>
  <c r="AB73" i="163" s="1"/>
  <c r="K73" i="163"/>
  <c r="G73" i="163"/>
  <c r="V72" i="163"/>
  <c r="U72" i="163"/>
  <c r="O72" i="163"/>
  <c r="M72" i="163"/>
  <c r="AB72" i="163" s="1"/>
  <c r="K72" i="163"/>
  <c r="G72" i="163"/>
  <c r="V71" i="163"/>
  <c r="U71" i="163"/>
  <c r="O71" i="163"/>
  <c r="M71" i="163"/>
  <c r="AB71" i="163" s="1"/>
  <c r="K71" i="163"/>
  <c r="G71" i="163"/>
  <c r="X70" i="163"/>
  <c r="W70" i="163"/>
  <c r="V70" i="163"/>
  <c r="O70" i="163"/>
  <c r="N70" i="163"/>
  <c r="Q70" i="163" s="1"/>
  <c r="M70" i="163"/>
  <c r="AB70" i="163" s="1"/>
  <c r="K70" i="163"/>
  <c r="G70" i="163"/>
  <c r="O69" i="163"/>
  <c r="K69" i="163"/>
  <c r="AB68" i="163"/>
  <c r="AA68" i="163"/>
  <c r="V68" i="163"/>
  <c r="U68" i="163"/>
  <c r="O68" i="163"/>
  <c r="M68" i="163"/>
  <c r="N68" i="163" s="1"/>
  <c r="K68" i="163"/>
  <c r="G68" i="163"/>
  <c r="V67" i="163"/>
  <c r="M67" i="163" s="1"/>
  <c r="U67" i="163"/>
  <c r="O67" i="163"/>
  <c r="K67" i="163"/>
  <c r="G67" i="163"/>
  <c r="V66" i="163"/>
  <c r="M66" i="163" s="1"/>
  <c r="U66" i="163"/>
  <c r="O66" i="163"/>
  <c r="K66" i="163"/>
  <c r="G66" i="163"/>
  <c r="V65" i="163"/>
  <c r="M65" i="163" s="1"/>
  <c r="U65" i="163"/>
  <c r="O65" i="163"/>
  <c r="K65" i="163"/>
  <c r="G65" i="163"/>
  <c r="V64" i="163"/>
  <c r="M64" i="163" s="1"/>
  <c r="O64" i="163"/>
  <c r="K64" i="163"/>
  <c r="G64" i="163"/>
  <c r="O63" i="163"/>
  <c r="K63" i="163"/>
  <c r="V62" i="163"/>
  <c r="U62" i="163"/>
  <c r="O62" i="163"/>
  <c r="M62" i="163"/>
  <c r="AB62" i="163" s="1"/>
  <c r="K62" i="163"/>
  <c r="G62" i="163"/>
  <c r="X61" i="163"/>
  <c r="W61" i="163"/>
  <c r="V61" i="163"/>
  <c r="U61" i="163"/>
  <c r="O61" i="163"/>
  <c r="N61" i="163"/>
  <c r="Q61" i="163" s="1"/>
  <c r="M61" i="163"/>
  <c r="AB61" i="163" s="1"/>
  <c r="K61" i="163"/>
  <c r="G61" i="163"/>
  <c r="V60" i="163"/>
  <c r="U60" i="163"/>
  <c r="O60" i="163"/>
  <c r="M60" i="163"/>
  <c r="AB60" i="163" s="1"/>
  <c r="K60" i="163"/>
  <c r="G60" i="163"/>
  <c r="V59" i="163"/>
  <c r="U59" i="163"/>
  <c r="O59" i="163"/>
  <c r="N59" i="163"/>
  <c r="M59" i="163"/>
  <c r="AB59" i="163" s="1"/>
  <c r="K59" i="163"/>
  <c r="Q59" i="163" s="1"/>
  <c r="G59" i="163"/>
  <c r="V58" i="163"/>
  <c r="U58" i="163"/>
  <c r="O58" i="163"/>
  <c r="M58" i="163"/>
  <c r="AB58" i="163" s="1"/>
  <c r="K58" i="163"/>
  <c r="G58" i="163"/>
  <c r="V57" i="163"/>
  <c r="O57" i="163"/>
  <c r="M57" i="163"/>
  <c r="M63" i="163" s="1"/>
  <c r="K57" i="163"/>
  <c r="G57" i="163"/>
  <c r="O56" i="163"/>
  <c r="K56" i="163"/>
  <c r="V55" i="163"/>
  <c r="U55" i="163"/>
  <c r="O55" i="163"/>
  <c r="M55" i="163"/>
  <c r="N55" i="163" s="1"/>
  <c r="K55" i="163"/>
  <c r="G55" i="163"/>
  <c r="V54" i="163"/>
  <c r="M54" i="163" s="1"/>
  <c r="U54" i="163"/>
  <c r="O54" i="163"/>
  <c r="K54" i="163"/>
  <c r="G54" i="163"/>
  <c r="V53" i="163"/>
  <c r="M53" i="163" s="1"/>
  <c r="U53" i="163"/>
  <c r="O53" i="163"/>
  <c r="K53" i="163"/>
  <c r="G53" i="163"/>
  <c r="X52" i="163"/>
  <c r="W52" i="163"/>
  <c r="V52" i="163"/>
  <c r="M52" i="163" s="1"/>
  <c r="U52" i="163"/>
  <c r="O52" i="163"/>
  <c r="K52" i="163"/>
  <c r="G52" i="163"/>
  <c r="AB51" i="163"/>
  <c r="AA51" i="163"/>
  <c r="V51" i="163"/>
  <c r="U51" i="163"/>
  <c r="O51" i="163"/>
  <c r="M51" i="163"/>
  <c r="N51" i="163" s="1"/>
  <c r="K51" i="163"/>
  <c r="G51" i="163"/>
  <c r="V50" i="163"/>
  <c r="M50" i="163" s="1"/>
  <c r="U50" i="163"/>
  <c r="O50" i="163"/>
  <c r="K50" i="163"/>
  <c r="G50" i="163"/>
  <c r="AA49" i="163"/>
  <c r="V49" i="163"/>
  <c r="U49" i="163"/>
  <c r="O49" i="163"/>
  <c r="N49" i="163"/>
  <c r="Q49" i="163" s="1"/>
  <c r="M49" i="163"/>
  <c r="AB49" i="163" s="1"/>
  <c r="K49" i="163"/>
  <c r="G49" i="163"/>
  <c r="X48" i="163"/>
  <c r="W48" i="163"/>
  <c r="V48" i="163"/>
  <c r="M48" i="163" s="1"/>
  <c r="O48" i="163"/>
  <c r="K48" i="163"/>
  <c r="G48" i="163"/>
  <c r="O47" i="163"/>
  <c r="K47" i="163"/>
  <c r="V46" i="163"/>
  <c r="U46" i="163"/>
  <c r="O46" i="163"/>
  <c r="M46" i="163"/>
  <c r="AB46" i="163" s="1"/>
  <c r="K46" i="163"/>
  <c r="G46" i="163"/>
  <c r="AB45" i="163"/>
  <c r="V45" i="163"/>
  <c r="U45" i="163"/>
  <c r="P45" i="163"/>
  <c r="O45" i="163"/>
  <c r="N45" i="163"/>
  <c r="Q45" i="163" s="1"/>
  <c r="M45" i="163"/>
  <c r="AA45" i="163" s="1"/>
  <c r="K45" i="163"/>
  <c r="G45" i="163"/>
  <c r="AB44" i="163"/>
  <c r="AA44" i="163"/>
  <c r="V44" i="163"/>
  <c r="U44" i="163"/>
  <c r="O44" i="163"/>
  <c r="N44" i="163"/>
  <c r="Q44" i="163" s="1"/>
  <c r="M44" i="163"/>
  <c r="K44" i="163"/>
  <c r="G44" i="163"/>
  <c r="X43" i="163"/>
  <c r="W43" i="163"/>
  <c r="V43" i="163"/>
  <c r="M43" i="163" s="1"/>
  <c r="U43" i="163"/>
  <c r="O43" i="163"/>
  <c r="K43" i="163"/>
  <c r="G43" i="163"/>
  <c r="AB42" i="163"/>
  <c r="AA42" i="163"/>
  <c r="V42" i="163"/>
  <c r="U42" i="163"/>
  <c r="O42" i="163"/>
  <c r="N42" i="163"/>
  <c r="Q42" i="163" s="1"/>
  <c r="M42" i="163"/>
  <c r="K42" i="163"/>
  <c r="G42" i="163"/>
  <c r="V41" i="163"/>
  <c r="M41" i="163" s="1"/>
  <c r="U41" i="163"/>
  <c r="O41" i="163"/>
  <c r="K41" i="163"/>
  <c r="G41" i="163"/>
  <c r="V40" i="163"/>
  <c r="M40" i="163" s="1"/>
  <c r="U40" i="163"/>
  <c r="O40" i="163"/>
  <c r="K40" i="163"/>
  <c r="G40" i="163"/>
  <c r="X39" i="163"/>
  <c r="W39" i="163"/>
  <c r="V39" i="163"/>
  <c r="O39" i="163"/>
  <c r="M39" i="163"/>
  <c r="N39" i="163" s="1"/>
  <c r="K39" i="163"/>
  <c r="G39" i="163"/>
  <c r="O38" i="163"/>
  <c r="K38" i="163"/>
  <c r="V37" i="163"/>
  <c r="M37" i="163" s="1"/>
  <c r="U37" i="163"/>
  <c r="O37" i="163"/>
  <c r="K37" i="163"/>
  <c r="G37" i="163"/>
  <c r="V36" i="163"/>
  <c r="M36" i="163" s="1"/>
  <c r="U36" i="163"/>
  <c r="O36" i="163"/>
  <c r="K36" i="163"/>
  <c r="G36" i="163"/>
  <c r="AA35" i="163"/>
  <c r="V35" i="163"/>
  <c r="U35" i="163"/>
  <c r="O35" i="163"/>
  <c r="N35" i="163"/>
  <c r="Q35" i="163" s="1"/>
  <c r="M35" i="163"/>
  <c r="AB35" i="163" s="1"/>
  <c r="K35" i="163"/>
  <c r="G35" i="163"/>
  <c r="X34" i="163"/>
  <c r="W34" i="163"/>
  <c r="V34" i="163"/>
  <c r="M34" i="163" s="1"/>
  <c r="U34" i="163"/>
  <c r="O34" i="163"/>
  <c r="K34" i="163"/>
  <c r="G34" i="163"/>
  <c r="V33" i="163"/>
  <c r="M33" i="163" s="1"/>
  <c r="U33" i="163"/>
  <c r="O33" i="163"/>
  <c r="K33" i="163"/>
  <c r="G33" i="163"/>
  <c r="V32" i="163"/>
  <c r="U32" i="163"/>
  <c r="O32" i="163"/>
  <c r="M32" i="163"/>
  <c r="AB32" i="163" s="1"/>
  <c r="K32" i="163"/>
  <c r="G32" i="163"/>
  <c r="V31" i="163"/>
  <c r="M31" i="163" s="1"/>
  <c r="U31" i="163"/>
  <c r="O31" i="163"/>
  <c r="K31" i="163"/>
  <c r="G31" i="163"/>
  <c r="X30" i="163"/>
  <c r="W30" i="163"/>
  <c r="V30" i="163"/>
  <c r="O30" i="163"/>
  <c r="N30" i="163"/>
  <c r="Q30" i="163" s="1"/>
  <c r="M30" i="163"/>
  <c r="AB30" i="163" s="1"/>
  <c r="K30" i="163"/>
  <c r="G30" i="163"/>
  <c r="O29" i="163"/>
  <c r="K29" i="163"/>
  <c r="V28" i="163"/>
  <c r="M28" i="163" s="1"/>
  <c r="U28" i="163"/>
  <c r="O28" i="163"/>
  <c r="K28" i="163"/>
  <c r="G28" i="163"/>
  <c r="AA27" i="163"/>
  <c r="V27" i="163"/>
  <c r="U27" i="163"/>
  <c r="O27" i="163"/>
  <c r="M27" i="163"/>
  <c r="N27" i="163" s="1"/>
  <c r="K27" i="163"/>
  <c r="G27" i="163"/>
  <c r="V26" i="163"/>
  <c r="M26" i="163" s="1"/>
  <c r="U26" i="163"/>
  <c r="O26" i="163"/>
  <c r="K26" i="163"/>
  <c r="G26" i="163"/>
  <c r="V25" i="163"/>
  <c r="U25" i="163"/>
  <c r="O25" i="163"/>
  <c r="M25" i="163"/>
  <c r="N25" i="163" s="1"/>
  <c r="K25" i="163"/>
  <c r="G25" i="163"/>
  <c r="V24" i="163"/>
  <c r="U24" i="163"/>
  <c r="Q24" i="163"/>
  <c r="P24" i="163"/>
  <c r="O24" i="163"/>
  <c r="N24" i="163"/>
  <c r="M24" i="163"/>
  <c r="AB24" i="163" s="1"/>
  <c r="K24" i="163"/>
  <c r="G24" i="163"/>
  <c r="V23" i="163"/>
  <c r="U23" i="163"/>
  <c r="O23" i="163"/>
  <c r="M23" i="163"/>
  <c r="N23" i="163" s="1"/>
  <c r="K23" i="163"/>
  <c r="G23" i="163"/>
  <c r="V22" i="163"/>
  <c r="O22" i="163"/>
  <c r="M22" i="163"/>
  <c r="N22" i="163" s="1"/>
  <c r="K22" i="163"/>
  <c r="G22" i="163"/>
  <c r="O21" i="163"/>
  <c r="K21" i="163"/>
  <c r="V20" i="163"/>
  <c r="U20" i="163"/>
  <c r="O20" i="163"/>
  <c r="M20" i="163"/>
  <c r="AB20" i="163" s="1"/>
  <c r="K20" i="163"/>
  <c r="G20" i="163"/>
  <c r="V19" i="163"/>
  <c r="M19" i="163" s="1"/>
  <c r="U19" i="163"/>
  <c r="O19" i="163"/>
  <c r="K19" i="163"/>
  <c r="G19" i="163"/>
  <c r="AB18" i="163"/>
  <c r="AA18" i="163"/>
  <c r="V18" i="163"/>
  <c r="U18" i="163"/>
  <c r="O18" i="163"/>
  <c r="M18" i="163"/>
  <c r="N18" i="163" s="1"/>
  <c r="K18" i="163"/>
  <c r="G18" i="163"/>
  <c r="AB17" i="163"/>
  <c r="AA17" i="163"/>
  <c r="V17" i="163"/>
  <c r="O17" i="163"/>
  <c r="M17" i="163"/>
  <c r="N17" i="163" s="1"/>
  <c r="K17" i="163"/>
  <c r="G17" i="163"/>
  <c r="O16" i="163"/>
  <c r="K16" i="163"/>
  <c r="V15" i="163"/>
  <c r="U15" i="163"/>
  <c r="O15" i="163"/>
  <c r="M15" i="163"/>
  <c r="N15" i="163" s="1"/>
  <c r="K15" i="163"/>
  <c r="G15" i="163"/>
  <c r="X14" i="163"/>
  <c r="W14" i="163"/>
  <c r="V14" i="163"/>
  <c r="U14" i="163"/>
  <c r="O14" i="163"/>
  <c r="M14" i="163"/>
  <c r="N14" i="163" s="1"/>
  <c r="K14" i="163"/>
  <c r="G14" i="163"/>
  <c r="V13" i="163"/>
  <c r="O13" i="163"/>
  <c r="M13" i="163"/>
  <c r="N13" i="163" s="1"/>
  <c r="K13" i="163"/>
  <c r="G13" i="163"/>
  <c r="O12" i="163"/>
  <c r="K12" i="163"/>
  <c r="AA11" i="163"/>
  <c r="V11" i="163"/>
  <c r="U11" i="163"/>
  <c r="O11" i="163"/>
  <c r="M11" i="163"/>
  <c r="AB11" i="163" s="1"/>
  <c r="K11" i="163"/>
  <c r="G11" i="163"/>
  <c r="X10" i="163"/>
  <c r="W10" i="163"/>
  <c r="V10" i="163"/>
  <c r="U10" i="163"/>
  <c r="O10" i="163"/>
  <c r="M10" i="163"/>
  <c r="AB10" i="163" s="1"/>
  <c r="K10" i="163"/>
  <c r="G10" i="163"/>
  <c r="V9" i="163"/>
  <c r="M9" i="163" s="1"/>
  <c r="U9" i="163"/>
  <c r="O9" i="163"/>
  <c r="K9" i="163"/>
  <c r="G9" i="163"/>
  <c r="V8" i="163"/>
  <c r="M8" i="163" s="1"/>
  <c r="U8" i="163"/>
  <c r="O8" i="163"/>
  <c r="K8" i="163"/>
  <c r="G8" i="163"/>
  <c r="F1" i="163" s="1"/>
  <c r="AB7" i="163"/>
  <c r="V7" i="163"/>
  <c r="U7" i="163"/>
  <c r="O7" i="163"/>
  <c r="M7" i="163"/>
  <c r="AA7" i="163" s="1"/>
  <c r="K7" i="163"/>
  <c r="G7" i="163"/>
  <c r="AB6" i="163"/>
  <c r="V6" i="163"/>
  <c r="U6" i="163"/>
  <c r="O6" i="163"/>
  <c r="M6" i="163"/>
  <c r="N6" i="163" s="1"/>
  <c r="K6" i="163"/>
  <c r="G6" i="163"/>
  <c r="AB5" i="163"/>
  <c r="V5" i="163"/>
  <c r="O5" i="163"/>
  <c r="M5" i="163"/>
  <c r="N5" i="163" s="1"/>
  <c r="K5" i="163"/>
  <c r="G5" i="163"/>
  <c r="H2" i="163"/>
  <c r="H1" i="163"/>
  <c r="D1" i="163"/>
  <c r="M18" i="162"/>
  <c r="L18" i="162"/>
  <c r="K18" i="162"/>
  <c r="J18" i="162"/>
  <c r="I18" i="162"/>
  <c r="H18" i="162"/>
  <c r="G18" i="162"/>
  <c r="F18" i="162"/>
  <c r="E18" i="162"/>
  <c r="D18" i="162"/>
  <c r="M17" i="162"/>
  <c r="L17" i="162"/>
  <c r="K17" i="162"/>
  <c r="J17" i="162"/>
  <c r="I17" i="162"/>
  <c r="H17" i="162"/>
  <c r="G17" i="162"/>
  <c r="F17" i="162"/>
  <c r="E17" i="162"/>
  <c r="D17" i="162"/>
  <c r="M16" i="162"/>
  <c r="L16" i="162"/>
  <c r="K16" i="162"/>
  <c r="J16" i="162"/>
  <c r="I16" i="162"/>
  <c r="H16" i="162"/>
  <c r="G16" i="162"/>
  <c r="F16" i="162"/>
  <c r="E16" i="162"/>
  <c r="D16" i="162"/>
  <c r="M13" i="162"/>
  <c r="L13" i="162"/>
  <c r="K13" i="162"/>
  <c r="I6" i="162" s="1"/>
  <c r="J13" i="162"/>
  <c r="I13" i="162"/>
  <c r="H13" i="162"/>
  <c r="G13" i="162"/>
  <c r="F13" i="162"/>
  <c r="E13" i="162"/>
  <c r="D13" i="162"/>
  <c r="G6" i="162" s="1"/>
  <c r="F3" i="162"/>
  <c r="C3" i="162"/>
  <c r="E8" i="170" l="1"/>
  <c r="E7" i="168"/>
  <c r="F7" i="168"/>
  <c r="G7" i="168"/>
  <c r="G8" i="168"/>
  <c r="F8" i="168"/>
  <c r="I7" i="168"/>
  <c r="K15" i="168"/>
  <c r="I8" i="168" s="1"/>
  <c r="Q45" i="167"/>
  <c r="R39" i="167" s="1"/>
  <c r="P45" i="167"/>
  <c r="H14" i="166"/>
  <c r="H15" i="166" s="1"/>
  <c r="Q16" i="167"/>
  <c r="R12" i="167" s="1"/>
  <c r="P16" i="167"/>
  <c r="F14" i="166"/>
  <c r="F15" i="166" s="1"/>
  <c r="Q65" i="167"/>
  <c r="R59" i="167" s="1"/>
  <c r="P65" i="167"/>
  <c r="M14" i="166"/>
  <c r="M15" i="166" s="1"/>
  <c r="P51" i="167"/>
  <c r="Q51" i="167"/>
  <c r="R46" i="167" s="1"/>
  <c r="I14" i="166"/>
  <c r="I15" i="166" s="1"/>
  <c r="J14" i="166"/>
  <c r="J15" i="166" s="1"/>
  <c r="Q58" i="167"/>
  <c r="R52" i="167" s="1"/>
  <c r="P58" i="167"/>
  <c r="Q31" i="167"/>
  <c r="R26" i="167" s="1"/>
  <c r="P31" i="167"/>
  <c r="K14" i="166"/>
  <c r="Q11" i="167"/>
  <c r="R9" i="167" s="1"/>
  <c r="P11" i="167"/>
  <c r="E14" i="166"/>
  <c r="E15" i="166" s="1"/>
  <c r="D2" i="167"/>
  <c r="Q8" i="167"/>
  <c r="R5" i="167" s="1"/>
  <c r="P8" i="167"/>
  <c r="D14" i="166"/>
  <c r="G14" i="166"/>
  <c r="G15" i="166" s="1"/>
  <c r="Q25" i="167"/>
  <c r="R17" i="167" s="1"/>
  <c r="P25" i="167"/>
  <c r="Q38" i="167"/>
  <c r="R32" i="167" s="1"/>
  <c r="L14" i="166"/>
  <c r="L15" i="166" s="1"/>
  <c r="P38" i="167"/>
  <c r="Q29" i="165"/>
  <c r="P29" i="165"/>
  <c r="Q43" i="165"/>
  <c r="P43" i="165"/>
  <c r="Q31" i="165"/>
  <c r="P31" i="165"/>
  <c r="N8" i="165"/>
  <c r="AA8" i="165"/>
  <c r="AB8" i="165"/>
  <c r="AC5" i="165" s="1"/>
  <c r="Q67" i="165"/>
  <c r="P67" i="165"/>
  <c r="Q65" i="165"/>
  <c r="P65" i="165"/>
  <c r="P45" i="165"/>
  <c r="Q45" i="165"/>
  <c r="Q26" i="165"/>
  <c r="P26" i="165"/>
  <c r="L14" i="164"/>
  <c r="L15" i="164" s="1"/>
  <c r="Q42" i="165"/>
  <c r="R35" i="165" s="1"/>
  <c r="P42" i="165"/>
  <c r="Q68" i="165"/>
  <c r="P68" i="165"/>
  <c r="N11" i="165"/>
  <c r="E14" i="164" s="1"/>
  <c r="E15" i="164" s="1"/>
  <c r="AA11" i="165"/>
  <c r="AB11" i="165"/>
  <c r="AC9" i="165" s="1"/>
  <c r="N57" i="165"/>
  <c r="AB57" i="165"/>
  <c r="AC52" i="165" s="1"/>
  <c r="AA57" i="165"/>
  <c r="Q30" i="165"/>
  <c r="P30" i="165"/>
  <c r="AB73" i="165"/>
  <c r="AC65" i="165" s="1"/>
  <c r="AA73" i="165"/>
  <c r="N73" i="165"/>
  <c r="M14" i="164" s="1"/>
  <c r="M15" i="164" s="1"/>
  <c r="Q61" i="165"/>
  <c r="P61" i="165"/>
  <c r="Q51" i="165"/>
  <c r="R43" i="165" s="1"/>
  <c r="P51" i="165"/>
  <c r="H14" i="164"/>
  <c r="H15" i="164" s="1"/>
  <c r="AA34" i="165"/>
  <c r="N34" i="165"/>
  <c r="K14" i="164" s="1"/>
  <c r="Q9" i="165"/>
  <c r="P9" i="165"/>
  <c r="I3" i="162"/>
  <c r="F2" i="163"/>
  <c r="AB33" i="163"/>
  <c r="AA33" i="163"/>
  <c r="N33" i="163"/>
  <c r="Q51" i="163"/>
  <c r="P51" i="163"/>
  <c r="AB74" i="163"/>
  <c r="AA74" i="163"/>
  <c r="N74" i="163"/>
  <c r="Q6" i="163"/>
  <c r="P6" i="163"/>
  <c r="Q27" i="163"/>
  <c r="P27" i="163"/>
  <c r="AB31" i="163"/>
  <c r="AA31" i="163"/>
  <c r="N31" i="163"/>
  <c r="N37" i="163"/>
  <c r="AB37" i="163"/>
  <c r="AA37" i="163"/>
  <c r="P55" i="163"/>
  <c r="Q55" i="163"/>
  <c r="N66" i="163"/>
  <c r="AB66" i="163"/>
  <c r="AA66" i="163"/>
  <c r="Q23" i="163"/>
  <c r="P23" i="163"/>
  <c r="P25" i="163"/>
  <c r="Q25" i="163"/>
  <c r="N40" i="163"/>
  <c r="AB40" i="163"/>
  <c r="AA40" i="163"/>
  <c r="M47" i="163"/>
  <c r="N64" i="163"/>
  <c r="AB64" i="163"/>
  <c r="M69" i="163"/>
  <c r="AA64" i="163"/>
  <c r="N77" i="163"/>
  <c r="AB77" i="163"/>
  <c r="AA77" i="163"/>
  <c r="AB8" i="163"/>
  <c r="AA8" i="163"/>
  <c r="N8" i="163"/>
  <c r="Q17" i="163"/>
  <c r="P17" i="163"/>
  <c r="P13" i="163"/>
  <c r="Q13" i="163"/>
  <c r="AB34" i="163"/>
  <c r="AA34" i="163"/>
  <c r="N34" i="163"/>
  <c r="N53" i="163"/>
  <c r="AB53" i="163"/>
  <c r="AA53" i="163"/>
  <c r="N75" i="163"/>
  <c r="AB75" i="163"/>
  <c r="AA75" i="163"/>
  <c r="Q15" i="163"/>
  <c r="P15" i="163"/>
  <c r="Q39" i="163"/>
  <c r="P39" i="163"/>
  <c r="N67" i="163"/>
  <c r="AB67" i="163"/>
  <c r="AA67" i="163"/>
  <c r="AA19" i="163"/>
  <c r="N19" i="163"/>
  <c r="AB19" i="163"/>
  <c r="M21" i="163"/>
  <c r="Q5" i="163"/>
  <c r="P5" i="163"/>
  <c r="Q22" i="163"/>
  <c r="P22" i="163"/>
  <c r="N48" i="163"/>
  <c r="AB48" i="163"/>
  <c r="AA48" i="163"/>
  <c r="M56" i="163"/>
  <c r="AB36" i="163"/>
  <c r="AA36" i="163"/>
  <c r="N36" i="163"/>
  <c r="N41" i="163"/>
  <c r="AB41" i="163"/>
  <c r="AA41" i="163"/>
  <c r="N65" i="163"/>
  <c r="AB65" i="163"/>
  <c r="AA65" i="163"/>
  <c r="N78" i="163"/>
  <c r="AB78" i="163"/>
  <c r="AA78" i="163"/>
  <c r="AB9" i="163"/>
  <c r="AA9" i="163"/>
  <c r="N9" i="163"/>
  <c r="Q18" i="163"/>
  <c r="P18" i="163"/>
  <c r="AB50" i="163"/>
  <c r="AA50" i="163"/>
  <c r="N50" i="163"/>
  <c r="AB63" i="163"/>
  <c r="AC57" i="163" s="1"/>
  <c r="AA63" i="163"/>
  <c r="N63" i="163"/>
  <c r="Q68" i="163"/>
  <c r="P68" i="163"/>
  <c r="P14" i="163"/>
  <c r="Q14" i="163"/>
  <c r="N26" i="163"/>
  <c r="AB26" i="163"/>
  <c r="AA26" i="163"/>
  <c r="N28" i="163"/>
  <c r="AA28" i="163"/>
  <c r="AB28" i="163"/>
  <c r="N43" i="163"/>
  <c r="AB43" i="163"/>
  <c r="AA43" i="163"/>
  <c r="N52" i="163"/>
  <c r="AB52" i="163"/>
  <c r="AA52" i="163"/>
  <c r="N54" i="163"/>
  <c r="AB54" i="163"/>
  <c r="AA54" i="163"/>
  <c r="N76" i="163"/>
  <c r="AB76" i="163"/>
  <c r="AA76" i="163"/>
  <c r="AA5" i="163"/>
  <c r="AA6" i="163"/>
  <c r="M12" i="163"/>
  <c r="N10" i="163"/>
  <c r="AB27" i="163"/>
  <c r="N32" i="163"/>
  <c r="AA39" i="163"/>
  <c r="N60" i="163"/>
  <c r="N62" i="163"/>
  <c r="N72" i="163"/>
  <c r="N11" i="163"/>
  <c r="AA25" i="163"/>
  <c r="M29" i="163"/>
  <c r="P30" i="163"/>
  <c r="P35" i="163"/>
  <c r="AB39" i="163"/>
  <c r="P49" i="163"/>
  <c r="AA55" i="163"/>
  <c r="P61" i="163"/>
  <c r="P70" i="163"/>
  <c r="N71" i="163"/>
  <c r="P73" i="163"/>
  <c r="AA13" i="163"/>
  <c r="N20" i="163"/>
  <c r="AA24" i="163"/>
  <c r="AB25" i="163"/>
  <c r="N46" i="163"/>
  <c r="AB55" i="163"/>
  <c r="N57" i="163"/>
  <c r="N58" i="163"/>
  <c r="N7" i="163"/>
  <c r="AB13" i="163"/>
  <c r="AA15" i="163"/>
  <c r="AA22" i="163"/>
  <c r="AA23" i="163"/>
  <c r="P59" i="163"/>
  <c r="M79" i="163"/>
  <c r="AA14" i="163"/>
  <c r="AB15" i="163"/>
  <c r="AB22" i="163"/>
  <c r="AB23" i="163"/>
  <c r="AB14" i="163"/>
  <c r="AA73" i="163"/>
  <c r="M16" i="163"/>
  <c r="AA32" i="163"/>
  <c r="M38" i="163"/>
  <c r="P42" i="163"/>
  <c r="P44" i="163"/>
  <c r="AA60" i="163"/>
  <c r="AA62" i="163"/>
  <c r="AA72" i="163"/>
  <c r="AA30" i="163"/>
  <c r="AA59" i="163"/>
  <c r="AA61" i="163"/>
  <c r="AA70" i="163"/>
  <c r="AA71" i="163"/>
  <c r="AA10" i="163"/>
  <c r="AA20" i="163"/>
  <c r="AA46" i="163"/>
  <c r="AA57" i="163"/>
  <c r="AA58" i="163"/>
  <c r="E6" i="162"/>
  <c r="F6" i="162"/>
  <c r="AB57" i="163"/>
  <c r="O79" i="161"/>
  <c r="K79" i="161"/>
  <c r="V78" i="161"/>
  <c r="M78" i="161" s="1"/>
  <c r="U78" i="161"/>
  <c r="O78" i="161"/>
  <c r="K78" i="161"/>
  <c r="G78" i="161"/>
  <c r="X77" i="161"/>
  <c r="W77" i="161"/>
  <c r="V77" i="161"/>
  <c r="M77" i="161" s="1"/>
  <c r="U77" i="161"/>
  <c r="O77" i="161"/>
  <c r="K77" i="161"/>
  <c r="G77" i="161"/>
  <c r="V76" i="161"/>
  <c r="M76" i="161" s="1"/>
  <c r="U76" i="161"/>
  <c r="O76" i="161"/>
  <c r="K76" i="161"/>
  <c r="G76" i="161"/>
  <c r="V75" i="161"/>
  <c r="M75" i="161" s="1"/>
  <c r="U75" i="161"/>
  <c r="O75" i="161"/>
  <c r="K75" i="161"/>
  <c r="G75" i="161"/>
  <c r="V74" i="161"/>
  <c r="M74" i="161" s="1"/>
  <c r="U74" i="161"/>
  <c r="O74" i="161"/>
  <c r="K74" i="161"/>
  <c r="G74" i="161"/>
  <c r="V73" i="161"/>
  <c r="M73" i="161" s="1"/>
  <c r="U73" i="161"/>
  <c r="O73" i="161"/>
  <c r="K73" i="161"/>
  <c r="G73" i="161"/>
  <c r="V72" i="161"/>
  <c r="M72" i="161" s="1"/>
  <c r="U72" i="161"/>
  <c r="O72" i="161"/>
  <c r="K72" i="161"/>
  <c r="G72" i="161"/>
  <c r="V71" i="161"/>
  <c r="U71" i="161"/>
  <c r="O71" i="161"/>
  <c r="N71" i="161"/>
  <c r="Q71" i="161" s="1"/>
  <c r="M71" i="161"/>
  <c r="AB71" i="161" s="1"/>
  <c r="K71" i="161"/>
  <c r="G71" i="161"/>
  <c r="X70" i="161"/>
  <c r="W70" i="161"/>
  <c r="V70" i="161"/>
  <c r="M70" i="161" s="1"/>
  <c r="O70" i="161"/>
  <c r="K70" i="161"/>
  <c r="G70" i="161"/>
  <c r="O69" i="161"/>
  <c r="K69" i="161"/>
  <c r="V68" i="161"/>
  <c r="U68" i="161"/>
  <c r="O68" i="161"/>
  <c r="N68" i="161"/>
  <c r="Q68" i="161" s="1"/>
  <c r="M68" i="161"/>
  <c r="AB68" i="161" s="1"/>
  <c r="K68" i="161"/>
  <c r="G68" i="161"/>
  <c r="V67" i="161"/>
  <c r="U67" i="161"/>
  <c r="O67" i="161"/>
  <c r="M67" i="161"/>
  <c r="AA67" i="161" s="1"/>
  <c r="K67" i="161"/>
  <c r="G67" i="161"/>
  <c r="AB66" i="161"/>
  <c r="AA66" i="161"/>
  <c r="V66" i="161"/>
  <c r="U66" i="161"/>
  <c r="O66" i="161"/>
  <c r="M66" i="161"/>
  <c r="N66" i="161" s="1"/>
  <c r="K66" i="161"/>
  <c r="G66" i="161"/>
  <c r="V65" i="161"/>
  <c r="M65" i="161" s="1"/>
  <c r="U65" i="161"/>
  <c r="O65" i="161"/>
  <c r="K65" i="161"/>
  <c r="G65" i="161"/>
  <c r="V64" i="161"/>
  <c r="M64" i="161" s="1"/>
  <c r="U64" i="161"/>
  <c r="O64" i="161"/>
  <c r="K64" i="161"/>
  <c r="G64" i="161"/>
  <c r="V63" i="161"/>
  <c r="M63" i="161" s="1"/>
  <c r="O63" i="161"/>
  <c r="K63" i="161"/>
  <c r="G63" i="161"/>
  <c r="O62" i="161"/>
  <c r="K62" i="161"/>
  <c r="V61" i="161"/>
  <c r="U61" i="161"/>
  <c r="O61" i="161"/>
  <c r="N61" i="161"/>
  <c r="Q61" i="161" s="1"/>
  <c r="M61" i="161"/>
  <c r="AB61" i="161" s="1"/>
  <c r="K61" i="161"/>
  <c r="G61" i="161"/>
  <c r="X60" i="161"/>
  <c r="W60" i="161"/>
  <c r="V60" i="161"/>
  <c r="M60" i="161" s="1"/>
  <c r="U60" i="161"/>
  <c r="O60" i="161"/>
  <c r="K60" i="161"/>
  <c r="G60" i="161"/>
  <c r="V59" i="161"/>
  <c r="U59" i="161"/>
  <c r="O59" i="161"/>
  <c r="N59" i="161"/>
  <c r="Q59" i="161" s="1"/>
  <c r="M59" i="161"/>
  <c r="AB59" i="161" s="1"/>
  <c r="K59" i="161"/>
  <c r="G59" i="161"/>
  <c r="V58" i="161"/>
  <c r="U58" i="161"/>
  <c r="O58" i="161"/>
  <c r="M58" i="161"/>
  <c r="AB58" i="161" s="1"/>
  <c r="K58" i="161"/>
  <c r="G58" i="161"/>
  <c r="V57" i="161"/>
  <c r="U57" i="161"/>
  <c r="O57" i="161"/>
  <c r="M57" i="161"/>
  <c r="AB57" i="161" s="1"/>
  <c r="K57" i="161"/>
  <c r="G57" i="161"/>
  <c r="V56" i="161"/>
  <c r="O56" i="161"/>
  <c r="M56" i="161"/>
  <c r="M62" i="161" s="1"/>
  <c r="K56" i="161"/>
  <c r="G56" i="161"/>
  <c r="O55" i="161"/>
  <c r="K55" i="161"/>
  <c r="V54" i="161"/>
  <c r="M54" i="161" s="1"/>
  <c r="U54" i="161"/>
  <c r="O54" i="161"/>
  <c r="K54" i="161"/>
  <c r="G54" i="161"/>
  <c r="V53" i="161"/>
  <c r="M53" i="161" s="1"/>
  <c r="U53" i="161"/>
  <c r="O53" i="161"/>
  <c r="K53" i="161"/>
  <c r="G53" i="161"/>
  <c r="V52" i="161"/>
  <c r="M52" i="161" s="1"/>
  <c r="U52" i="161"/>
  <c r="O52" i="161"/>
  <c r="K52" i="161"/>
  <c r="G52" i="161"/>
  <c r="X51" i="161"/>
  <c r="W51" i="161"/>
  <c r="V51" i="161"/>
  <c r="M51" i="161" s="1"/>
  <c r="U51" i="161"/>
  <c r="O51" i="161"/>
  <c r="K51" i="161"/>
  <c r="G51" i="161"/>
  <c r="AB50" i="161"/>
  <c r="AA50" i="161"/>
  <c r="V50" i="161"/>
  <c r="U50" i="161"/>
  <c r="O50" i="161"/>
  <c r="M50" i="161"/>
  <c r="N50" i="161" s="1"/>
  <c r="K50" i="161"/>
  <c r="G50" i="161"/>
  <c r="V49" i="161"/>
  <c r="M49" i="161" s="1"/>
  <c r="U49" i="161"/>
  <c r="O49" i="161"/>
  <c r="K49" i="161"/>
  <c r="G49" i="161"/>
  <c r="V48" i="161"/>
  <c r="M48" i="161" s="1"/>
  <c r="U48" i="161"/>
  <c r="O48" i="161"/>
  <c r="K48" i="161"/>
  <c r="G48" i="161"/>
  <c r="V47" i="161"/>
  <c r="M47" i="161" s="1"/>
  <c r="U47" i="161"/>
  <c r="O47" i="161"/>
  <c r="K47" i="161"/>
  <c r="G47" i="161"/>
  <c r="X46" i="161"/>
  <c r="W46" i="161"/>
  <c r="V46" i="161"/>
  <c r="M46" i="161" s="1"/>
  <c r="O46" i="161"/>
  <c r="K46" i="161"/>
  <c r="G46" i="161"/>
  <c r="O45" i="161"/>
  <c r="K45" i="161"/>
  <c r="V44" i="161"/>
  <c r="U44" i="161"/>
  <c r="P44" i="161"/>
  <c r="O44" i="161"/>
  <c r="N44" i="161"/>
  <c r="Q44" i="161" s="1"/>
  <c r="M44" i="161"/>
  <c r="AB44" i="161" s="1"/>
  <c r="K44" i="161"/>
  <c r="G44" i="161"/>
  <c r="V43" i="161"/>
  <c r="U43" i="161"/>
  <c r="O43" i="161"/>
  <c r="M43" i="161"/>
  <c r="AA43" i="161" s="1"/>
  <c r="K43" i="161"/>
  <c r="G43" i="161"/>
  <c r="AB42" i="161"/>
  <c r="V42" i="161"/>
  <c r="U42" i="161"/>
  <c r="O42" i="161"/>
  <c r="N42" i="161"/>
  <c r="Q42" i="161" s="1"/>
  <c r="M42" i="161"/>
  <c r="AA42" i="161" s="1"/>
  <c r="K42" i="161"/>
  <c r="G42" i="161"/>
  <c r="X41" i="161"/>
  <c r="W41" i="161"/>
  <c r="V41" i="161"/>
  <c r="U41" i="161"/>
  <c r="O41" i="161"/>
  <c r="M41" i="161"/>
  <c r="N41" i="161" s="1"/>
  <c r="K41" i="161"/>
  <c r="G41" i="161"/>
  <c r="AB40" i="161"/>
  <c r="V40" i="161"/>
  <c r="U40" i="161"/>
  <c r="O40" i="161"/>
  <c r="N40" i="161"/>
  <c r="Q40" i="161" s="1"/>
  <c r="M40" i="161"/>
  <c r="AA40" i="161" s="1"/>
  <c r="K40" i="161"/>
  <c r="G40" i="161"/>
  <c r="V39" i="161"/>
  <c r="U39" i="161"/>
  <c r="O39" i="161"/>
  <c r="M39" i="161"/>
  <c r="N39" i="161" s="1"/>
  <c r="K39" i="161"/>
  <c r="G39" i="161"/>
  <c r="V38" i="161"/>
  <c r="M38" i="161" s="1"/>
  <c r="U38" i="161"/>
  <c r="O38" i="161"/>
  <c r="K38" i="161"/>
  <c r="G38" i="161"/>
  <c r="X37" i="161"/>
  <c r="W37" i="161"/>
  <c r="V37" i="161"/>
  <c r="M37" i="161" s="1"/>
  <c r="O37" i="161"/>
  <c r="K37" i="161"/>
  <c r="G37" i="161"/>
  <c r="O36" i="161"/>
  <c r="K36" i="161"/>
  <c r="V35" i="161"/>
  <c r="M35" i="161" s="1"/>
  <c r="U35" i="161"/>
  <c r="O35" i="161"/>
  <c r="K35" i="161"/>
  <c r="G35" i="161"/>
  <c r="V34" i="161"/>
  <c r="M34" i="161" s="1"/>
  <c r="U34" i="161"/>
  <c r="O34" i="161"/>
  <c r="K34" i="161"/>
  <c r="G34" i="161"/>
  <c r="V33" i="161"/>
  <c r="M33" i="161" s="1"/>
  <c r="U33" i="161"/>
  <c r="O33" i="161"/>
  <c r="K33" i="161"/>
  <c r="G33" i="161"/>
  <c r="V32" i="161"/>
  <c r="U32" i="161"/>
  <c r="O32" i="161"/>
  <c r="M32" i="161"/>
  <c r="AB32" i="161" s="1"/>
  <c r="K32" i="161"/>
  <c r="G32" i="161"/>
  <c r="X31" i="161"/>
  <c r="W31" i="161"/>
  <c r="V31" i="161"/>
  <c r="M31" i="161" s="1"/>
  <c r="U31" i="161"/>
  <c r="O31" i="161"/>
  <c r="K31" i="161"/>
  <c r="G31" i="161"/>
  <c r="V30" i="161"/>
  <c r="U30" i="161"/>
  <c r="O30" i="161"/>
  <c r="M30" i="161"/>
  <c r="AB30" i="161" s="1"/>
  <c r="K30" i="161"/>
  <c r="G30" i="161"/>
  <c r="V29" i="161"/>
  <c r="M29" i="161" s="1"/>
  <c r="U29" i="161"/>
  <c r="O29" i="161"/>
  <c r="K29" i="161"/>
  <c r="G29" i="161"/>
  <c r="V28" i="161"/>
  <c r="U28" i="161"/>
  <c r="O28" i="161"/>
  <c r="M28" i="161"/>
  <c r="AB28" i="161" s="1"/>
  <c r="K28" i="161"/>
  <c r="G28" i="161"/>
  <c r="X27" i="161"/>
  <c r="W27" i="161"/>
  <c r="V27" i="161"/>
  <c r="O27" i="161"/>
  <c r="M27" i="161"/>
  <c r="AB27" i="161" s="1"/>
  <c r="K27" i="161"/>
  <c r="G27" i="161"/>
  <c r="O26" i="161"/>
  <c r="K26" i="161"/>
  <c r="V25" i="161"/>
  <c r="U25" i="161"/>
  <c r="O25" i="161"/>
  <c r="M25" i="161"/>
  <c r="N25" i="161" s="1"/>
  <c r="K25" i="161"/>
  <c r="G25" i="161"/>
  <c r="V24" i="161"/>
  <c r="U24" i="161"/>
  <c r="O24" i="161"/>
  <c r="M24" i="161"/>
  <c r="N24" i="161" s="1"/>
  <c r="K24" i="161"/>
  <c r="G24" i="161"/>
  <c r="V23" i="161"/>
  <c r="M23" i="161" s="1"/>
  <c r="U23" i="161"/>
  <c r="O23" i="161"/>
  <c r="K23" i="161"/>
  <c r="G23" i="161"/>
  <c r="V22" i="161"/>
  <c r="M22" i="161" s="1"/>
  <c r="U22" i="161"/>
  <c r="O22" i="161"/>
  <c r="K22" i="161"/>
  <c r="G22" i="161"/>
  <c r="V21" i="161"/>
  <c r="M21" i="161" s="1"/>
  <c r="U21" i="161"/>
  <c r="O21" i="161"/>
  <c r="K21" i="161"/>
  <c r="G21" i="161"/>
  <c r="V20" i="161"/>
  <c r="U20" i="161"/>
  <c r="O20" i="161"/>
  <c r="M20" i="161"/>
  <c r="AB20" i="161" s="1"/>
  <c r="K20" i="161"/>
  <c r="G20" i="161"/>
  <c r="V19" i="161"/>
  <c r="U19" i="161"/>
  <c r="O19" i="161"/>
  <c r="N19" i="161"/>
  <c r="Q19" i="161" s="1"/>
  <c r="M19" i="161"/>
  <c r="AB19" i="161" s="1"/>
  <c r="K19" i="161"/>
  <c r="G19" i="161"/>
  <c r="V18" i="161"/>
  <c r="O18" i="161"/>
  <c r="N18" i="161"/>
  <c r="Q18" i="161" s="1"/>
  <c r="M18" i="161"/>
  <c r="AB18" i="161" s="1"/>
  <c r="K18" i="161"/>
  <c r="G18" i="161"/>
  <c r="O17" i="161"/>
  <c r="K17" i="161"/>
  <c r="AB16" i="161"/>
  <c r="V16" i="161"/>
  <c r="U16" i="161"/>
  <c r="O16" i="161"/>
  <c r="M16" i="161"/>
  <c r="N16" i="161" s="1"/>
  <c r="K16" i="161"/>
  <c r="G16" i="161"/>
  <c r="V15" i="161"/>
  <c r="M15" i="161" s="1"/>
  <c r="U15" i="161"/>
  <c r="O15" i="161"/>
  <c r="K15" i="161"/>
  <c r="G15" i="161"/>
  <c r="V14" i="161"/>
  <c r="M14" i="161" s="1"/>
  <c r="U14" i="161"/>
  <c r="O14" i="161"/>
  <c r="K14" i="161"/>
  <c r="G14" i="161"/>
  <c r="V13" i="161"/>
  <c r="M13" i="161" s="1"/>
  <c r="O13" i="161"/>
  <c r="K13" i="161"/>
  <c r="G13" i="161"/>
  <c r="O12" i="161"/>
  <c r="K12" i="161"/>
  <c r="V11" i="161"/>
  <c r="U11" i="161"/>
  <c r="O11" i="161"/>
  <c r="M11" i="161"/>
  <c r="AB11" i="161" s="1"/>
  <c r="K11" i="161"/>
  <c r="G11" i="161"/>
  <c r="X10" i="161"/>
  <c r="W10" i="161"/>
  <c r="V10" i="161"/>
  <c r="O10" i="161"/>
  <c r="N10" i="161"/>
  <c r="Q10" i="161" s="1"/>
  <c r="M10" i="161"/>
  <c r="M12" i="161" s="1"/>
  <c r="K10" i="161"/>
  <c r="G10" i="161"/>
  <c r="O9" i="161"/>
  <c r="K9" i="161"/>
  <c r="V8" i="161"/>
  <c r="M8" i="161" s="1"/>
  <c r="U8" i="161"/>
  <c r="O8" i="161"/>
  <c r="K8" i="161"/>
  <c r="G8" i="161"/>
  <c r="X7" i="161"/>
  <c r="W7" i="161"/>
  <c r="V7" i="161"/>
  <c r="M7" i="161" s="1"/>
  <c r="U7" i="161"/>
  <c r="O7" i="161"/>
  <c r="K7" i="161"/>
  <c r="G7" i="161"/>
  <c r="AB6" i="161"/>
  <c r="V6" i="161"/>
  <c r="U6" i="161"/>
  <c r="O6" i="161"/>
  <c r="M6" i="161"/>
  <c r="AA6" i="161" s="1"/>
  <c r="K6" i="161"/>
  <c r="G6" i="161"/>
  <c r="AB5" i="161"/>
  <c r="V5" i="161"/>
  <c r="O5" i="161"/>
  <c r="M5" i="161"/>
  <c r="AA5" i="161" s="1"/>
  <c r="K5" i="161"/>
  <c r="G5" i="161"/>
  <c r="H2" i="161"/>
  <c r="H1" i="161"/>
  <c r="F1" i="161"/>
  <c r="F2" i="161" s="1"/>
  <c r="D1" i="161"/>
  <c r="M18" i="160"/>
  <c r="L18" i="160"/>
  <c r="K18" i="160"/>
  <c r="J18" i="160"/>
  <c r="I18" i="160"/>
  <c r="H18" i="160"/>
  <c r="G18" i="160"/>
  <c r="F18" i="160"/>
  <c r="E18" i="160"/>
  <c r="D18" i="160"/>
  <c r="M17" i="160"/>
  <c r="L17" i="160"/>
  <c r="K17" i="160"/>
  <c r="J17" i="160"/>
  <c r="I17" i="160"/>
  <c r="H17" i="160"/>
  <c r="G17" i="160"/>
  <c r="F17" i="160"/>
  <c r="E17" i="160"/>
  <c r="D17" i="160"/>
  <c r="M16" i="160"/>
  <c r="L16" i="160"/>
  <c r="K16" i="160"/>
  <c r="J16" i="160"/>
  <c r="I16" i="160"/>
  <c r="H16" i="160"/>
  <c r="G16" i="160"/>
  <c r="F16" i="160"/>
  <c r="E16" i="160"/>
  <c r="D16" i="160"/>
  <c r="M13" i="160"/>
  <c r="L13" i="160"/>
  <c r="K13" i="160"/>
  <c r="I6" i="160" s="1"/>
  <c r="J13" i="160"/>
  <c r="I13" i="160"/>
  <c r="H13" i="160"/>
  <c r="G13" i="160"/>
  <c r="F13" i="160"/>
  <c r="E13" i="160"/>
  <c r="D13" i="160"/>
  <c r="G6" i="160" s="1"/>
  <c r="I3" i="160"/>
  <c r="F3" i="160"/>
  <c r="C3" i="160"/>
  <c r="E8" i="168" l="1"/>
  <c r="K15" i="166"/>
  <c r="I8" i="166" s="1"/>
  <c r="I7" i="166"/>
  <c r="F7" i="166"/>
  <c r="E7" i="166"/>
  <c r="G7" i="166"/>
  <c r="D15" i="166"/>
  <c r="D2" i="165"/>
  <c r="Q8" i="165"/>
  <c r="R5" i="165" s="1"/>
  <c r="P8" i="165"/>
  <c r="D14" i="164"/>
  <c r="P11" i="165"/>
  <c r="Q11" i="165"/>
  <c r="R9" i="165" s="1"/>
  <c r="K15" i="164"/>
  <c r="I8" i="164" s="1"/>
  <c r="I7" i="164"/>
  <c r="I14" i="164"/>
  <c r="I15" i="164" s="1"/>
  <c r="P57" i="165"/>
  <c r="Q57" i="165"/>
  <c r="R52" i="165" s="1"/>
  <c r="Q34" i="165"/>
  <c r="R26" i="165" s="1"/>
  <c r="P34" i="165"/>
  <c r="Q73" i="165"/>
  <c r="R65" i="165" s="1"/>
  <c r="P73" i="165"/>
  <c r="Q71" i="163"/>
  <c r="P71" i="163"/>
  <c r="Q20" i="163"/>
  <c r="P20" i="163"/>
  <c r="Q48" i="163"/>
  <c r="P48" i="163"/>
  <c r="AB69" i="163"/>
  <c r="AC64" i="163" s="1"/>
  <c r="AA69" i="163"/>
  <c r="N69" i="163"/>
  <c r="Q11" i="163"/>
  <c r="P11" i="163"/>
  <c r="Q50" i="163"/>
  <c r="P50" i="163"/>
  <c r="Q66" i="163"/>
  <c r="P66" i="163"/>
  <c r="Q63" i="163"/>
  <c r="R57" i="163" s="1"/>
  <c r="P63" i="163"/>
  <c r="I14" i="162"/>
  <c r="I15" i="162" s="1"/>
  <c r="Q34" i="163"/>
  <c r="P34" i="163"/>
  <c r="P77" i="163"/>
  <c r="Q77" i="163"/>
  <c r="N38" i="163"/>
  <c r="AB38" i="163"/>
  <c r="AC30" i="163" s="1"/>
  <c r="AA38" i="163"/>
  <c r="Q72" i="163"/>
  <c r="P72" i="163"/>
  <c r="P76" i="163"/>
  <c r="Q76" i="163"/>
  <c r="Q28" i="163"/>
  <c r="P28" i="163"/>
  <c r="P65" i="163"/>
  <c r="Q65" i="163"/>
  <c r="P64" i="163"/>
  <c r="Q64" i="163"/>
  <c r="Q74" i="163"/>
  <c r="P74" i="163"/>
  <c r="Q7" i="163"/>
  <c r="P7" i="163"/>
  <c r="P54" i="163"/>
  <c r="Q54" i="163"/>
  <c r="Q26" i="163"/>
  <c r="P26" i="163"/>
  <c r="Q41" i="163"/>
  <c r="P41" i="163"/>
  <c r="AB21" i="163"/>
  <c r="AC17" i="163" s="1"/>
  <c r="AA21" i="163"/>
  <c r="N21" i="163"/>
  <c r="Q8" i="163"/>
  <c r="P8" i="163"/>
  <c r="Q58" i="163"/>
  <c r="P58" i="163"/>
  <c r="Q32" i="163"/>
  <c r="P32" i="163"/>
  <c r="Q9" i="163"/>
  <c r="P9" i="163"/>
  <c r="Q36" i="163"/>
  <c r="P36" i="163"/>
  <c r="Q75" i="163"/>
  <c r="P75" i="163"/>
  <c r="Q40" i="163"/>
  <c r="P40" i="163"/>
  <c r="Q37" i="163"/>
  <c r="P37" i="163"/>
  <c r="Q57" i="163"/>
  <c r="P57" i="163"/>
  <c r="Q19" i="163"/>
  <c r="P19" i="163"/>
  <c r="Q31" i="163"/>
  <c r="P31" i="163"/>
  <c r="Q33" i="163"/>
  <c r="P33" i="163"/>
  <c r="AB47" i="163"/>
  <c r="AC39" i="163" s="1"/>
  <c r="AA47" i="163"/>
  <c r="N47" i="163"/>
  <c r="N16" i="163"/>
  <c r="AB16" i="163"/>
  <c r="AC13" i="163" s="1"/>
  <c r="AA16" i="163"/>
  <c r="Q10" i="163"/>
  <c r="P10" i="163"/>
  <c r="P52" i="163"/>
  <c r="Q52" i="163"/>
  <c r="Q60" i="163"/>
  <c r="P60" i="163"/>
  <c r="Q46" i="163"/>
  <c r="P46" i="163"/>
  <c r="AB12" i="163"/>
  <c r="AC5" i="163" s="1"/>
  <c r="AA12" i="163"/>
  <c r="N12" i="163"/>
  <c r="AA56" i="163"/>
  <c r="N56" i="163"/>
  <c r="AB56" i="163"/>
  <c r="AC48" i="163" s="1"/>
  <c r="Q53" i="163"/>
  <c r="P53" i="163"/>
  <c r="Q62" i="163"/>
  <c r="P62" i="163"/>
  <c r="AB79" i="163"/>
  <c r="AC70" i="163" s="1"/>
  <c r="AA79" i="163"/>
  <c r="N79" i="163"/>
  <c r="AB29" i="163"/>
  <c r="AC22" i="163" s="1"/>
  <c r="AA29" i="163"/>
  <c r="N29" i="163"/>
  <c r="Q43" i="163"/>
  <c r="P43" i="163"/>
  <c r="Q78" i="163"/>
  <c r="P78" i="163"/>
  <c r="Q67" i="163"/>
  <c r="P67" i="163"/>
  <c r="N22" i="161"/>
  <c r="AB22" i="161"/>
  <c r="AA22" i="161"/>
  <c r="N38" i="161"/>
  <c r="AB38" i="161"/>
  <c r="AA38" i="161"/>
  <c r="Q66" i="161"/>
  <c r="P66" i="161"/>
  <c r="N70" i="161"/>
  <c r="AB70" i="161"/>
  <c r="AA70" i="161"/>
  <c r="M79" i="161"/>
  <c r="N74" i="161"/>
  <c r="AB74" i="161"/>
  <c r="AA74" i="161"/>
  <c r="Q16" i="161"/>
  <c r="P16" i="161"/>
  <c r="AB29" i="161"/>
  <c r="AA29" i="161"/>
  <c r="N29" i="161"/>
  <c r="AB33" i="161"/>
  <c r="AA33" i="161"/>
  <c r="N33" i="161"/>
  <c r="N54" i="161"/>
  <c r="AB54" i="161"/>
  <c r="AA54" i="161"/>
  <c r="N15" i="161"/>
  <c r="AB15" i="161"/>
  <c r="AA15" i="161"/>
  <c r="N35" i="161"/>
  <c r="AB35" i="161"/>
  <c r="AA35" i="161"/>
  <c r="N13" i="161"/>
  <c r="M17" i="161"/>
  <c r="AB13" i="161"/>
  <c r="AA13" i="161"/>
  <c r="AB31" i="161"/>
  <c r="AA31" i="161"/>
  <c r="N31" i="161"/>
  <c r="AB8" i="161"/>
  <c r="AA8" i="161"/>
  <c r="N8" i="161"/>
  <c r="Q25" i="161"/>
  <c r="P25" i="161"/>
  <c r="N46" i="161"/>
  <c r="AB46" i="161"/>
  <c r="AA46" i="161"/>
  <c r="M55" i="161"/>
  <c r="AB48" i="161"/>
  <c r="AA48" i="161"/>
  <c r="N48" i="161"/>
  <c r="AB72" i="161"/>
  <c r="AA72" i="161"/>
  <c r="N72" i="161"/>
  <c r="N77" i="161"/>
  <c r="AB77" i="161"/>
  <c r="AA77" i="161"/>
  <c r="N64" i="161"/>
  <c r="AB64" i="161"/>
  <c r="AA64" i="161"/>
  <c r="Q39" i="161"/>
  <c r="P39" i="161"/>
  <c r="N52" i="161"/>
  <c r="AB52" i="161"/>
  <c r="AA52" i="161"/>
  <c r="N23" i="161"/>
  <c r="AB23" i="161"/>
  <c r="AA23" i="161"/>
  <c r="N37" i="161"/>
  <c r="AB37" i="161"/>
  <c r="AA37" i="161"/>
  <c r="M45" i="161"/>
  <c r="Q41" i="161"/>
  <c r="P41" i="161"/>
  <c r="N75" i="161"/>
  <c r="AB75" i="161"/>
  <c r="AA75" i="161"/>
  <c r="AB34" i="161"/>
  <c r="AA34" i="161"/>
  <c r="N34" i="161"/>
  <c r="N62" i="161"/>
  <c r="AB62" i="161"/>
  <c r="AC56" i="161" s="1"/>
  <c r="AA62" i="161"/>
  <c r="N14" i="161"/>
  <c r="AB14" i="161"/>
  <c r="AA14" i="161"/>
  <c r="AA7" i="161"/>
  <c r="N7" i="161"/>
  <c r="AB7" i="161"/>
  <c r="N21" i="161"/>
  <c r="AB21" i="161"/>
  <c r="AA21" i="161"/>
  <c r="N49" i="161"/>
  <c r="AB49" i="161"/>
  <c r="AA49" i="161"/>
  <c r="N73" i="161"/>
  <c r="AB73" i="161"/>
  <c r="AA73" i="161"/>
  <c r="Q24" i="161"/>
  <c r="P24" i="161"/>
  <c r="N53" i="161"/>
  <c r="AB53" i="161"/>
  <c r="AA53" i="161"/>
  <c r="AB60" i="161"/>
  <c r="AA60" i="161"/>
  <c r="N60" i="161"/>
  <c r="N12" i="161"/>
  <c r="AB12" i="161"/>
  <c r="AC10" i="161" s="1"/>
  <c r="AA12" i="161"/>
  <c r="N51" i="161"/>
  <c r="AB51" i="161"/>
  <c r="AA51" i="161"/>
  <c r="AB47" i="161"/>
  <c r="AA47" i="161"/>
  <c r="N47" i="161"/>
  <c r="N65" i="161"/>
  <c r="AB65" i="161"/>
  <c r="AA65" i="161"/>
  <c r="Q50" i="161"/>
  <c r="P50" i="161"/>
  <c r="N76" i="161"/>
  <c r="AB76" i="161"/>
  <c r="AA76" i="161"/>
  <c r="N78" i="161"/>
  <c r="AB78" i="161"/>
  <c r="AA78" i="161"/>
  <c r="N63" i="161"/>
  <c r="AB63" i="161"/>
  <c r="AA63" i="161"/>
  <c r="M69" i="161"/>
  <c r="AA16" i="161"/>
  <c r="N20" i="161"/>
  <c r="AB43" i="161"/>
  <c r="AB67" i="161"/>
  <c r="M9" i="161"/>
  <c r="P10" i="161"/>
  <c r="N11" i="161"/>
  <c r="AA25" i="161"/>
  <c r="AA39" i="161"/>
  <c r="AA41" i="161"/>
  <c r="AA24" i="161"/>
  <c r="AB25" i="161"/>
  <c r="N27" i="161"/>
  <c r="N30" i="161"/>
  <c r="N32" i="161"/>
  <c r="AB39" i="161"/>
  <c r="AB41" i="161"/>
  <c r="N58" i="161"/>
  <c r="P18" i="161"/>
  <c r="P19" i="161"/>
  <c r="AB24" i="161"/>
  <c r="N56" i="161"/>
  <c r="N57" i="161"/>
  <c r="P59" i="161"/>
  <c r="P61" i="161"/>
  <c r="P71" i="161"/>
  <c r="N5" i="161"/>
  <c r="N6" i="161"/>
  <c r="M26" i="161"/>
  <c r="N28" i="161"/>
  <c r="N43" i="161"/>
  <c r="N67" i="161"/>
  <c r="AA20" i="161"/>
  <c r="P68" i="161"/>
  <c r="AA10" i="161"/>
  <c r="AA11" i="161"/>
  <c r="AA18" i="161"/>
  <c r="AA19" i="161"/>
  <c r="AA59" i="161"/>
  <c r="AA61" i="161"/>
  <c r="AA71" i="161"/>
  <c r="AB10" i="161"/>
  <c r="AA30" i="161"/>
  <c r="AA32" i="161"/>
  <c r="M36" i="161"/>
  <c r="P40" i="161"/>
  <c r="P42" i="161"/>
  <c r="AA58" i="161"/>
  <c r="E6" i="160"/>
  <c r="F6" i="160"/>
  <c r="AA56" i="161"/>
  <c r="AA57" i="161"/>
  <c r="AA27" i="161"/>
  <c r="AA28" i="161"/>
  <c r="AA44" i="161"/>
  <c r="AB56" i="161"/>
  <c r="AA68" i="161"/>
  <c r="O74" i="157"/>
  <c r="M74" i="157"/>
  <c r="AB74" i="157" s="1"/>
  <c r="AC66" i="157" s="1"/>
  <c r="K74" i="157"/>
  <c r="AB73" i="157"/>
  <c r="AA73" i="157"/>
  <c r="V73" i="157"/>
  <c r="U73" i="157"/>
  <c r="O73" i="157"/>
  <c r="M73" i="157"/>
  <c r="N73" i="157" s="1"/>
  <c r="K73" i="157"/>
  <c r="G73" i="157"/>
  <c r="AB72" i="157"/>
  <c r="AA72" i="157"/>
  <c r="X72" i="157"/>
  <c r="W72" i="157"/>
  <c r="V72" i="157"/>
  <c r="U72" i="157"/>
  <c r="O72" i="157"/>
  <c r="M72" i="157"/>
  <c r="N72" i="157" s="1"/>
  <c r="K72" i="157"/>
  <c r="G72" i="157"/>
  <c r="AB71" i="157"/>
  <c r="AA71" i="157"/>
  <c r="V71" i="157"/>
  <c r="U71" i="157"/>
  <c r="O71" i="157"/>
  <c r="M71" i="157"/>
  <c r="N71" i="157" s="1"/>
  <c r="K71" i="157"/>
  <c r="G71" i="157"/>
  <c r="AB70" i="157"/>
  <c r="AA70" i="157"/>
  <c r="V70" i="157"/>
  <c r="U70" i="157"/>
  <c r="O70" i="157"/>
  <c r="M70" i="157"/>
  <c r="N70" i="157" s="1"/>
  <c r="K70" i="157"/>
  <c r="G70" i="157"/>
  <c r="AB69" i="157"/>
  <c r="AA69" i="157"/>
  <c r="V69" i="157"/>
  <c r="U69" i="157"/>
  <c r="O69" i="157"/>
  <c r="M69" i="157"/>
  <c r="N69" i="157" s="1"/>
  <c r="K69" i="157"/>
  <c r="G69" i="157"/>
  <c r="AB68" i="157"/>
  <c r="AA68" i="157"/>
  <c r="V68" i="157"/>
  <c r="U68" i="157"/>
  <c r="O68" i="157"/>
  <c r="M68" i="157"/>
  <c r="N68" i="157" s="1"/>
  <c r="K68" i="157"/>
  <c r="G68" i="157"/>
  <c r="AB67" i="157"/>
  <c r="AA67" i="157"/>
  <c r="V67" i="157"/>
  <c r="U67" i="157"/>
  <c r="Q67" i="157"/>
  <c r="P67" i="157"/>
  <c r="O67" i="157"/>
  <c r="N67" i="157"/>
  <c r="M67" i="157"/>
  <c r="K67" i="157"/>
  <c r="G67" i="157"/>
  <c r="AB66" i="157"/>
  <c r="AA66" i="157"/>
  <c r="X66" i="157"/>
  <c r="W66" i="157"/>
  <c r="V66" i="157"/>
  <c r="O66" i="157"/>
  <c r="M66" i="157"/>
  <c r="N66" i="157" s="1"/>
  <c r="K66" i="157"/>
  <c r="G66" i="157"/>
  <c r="O65" i="157"/>
  <c r="N65" i="157"/>
  <c r="J14" i="156" s="1"/>
  <c r="M65" i="157"/>
  <c r="AB65" i="157" s="1"/>
  <c r="AC61" i="157" s="1"/>
  <c r="K65" i="157"/>
  <c r="AB64" i="157"/>
  <c r="AA64" i="157"/>
  <c r="V64" i="157"/>
  <c r="U64" i="157"/>
  <c r="O64" i="157"/>
  <c r="N64" i="157"/>
  <c r="Q64" i="157" s="1"/>
  <c r="M64" i="157"/>
  <c r="K64" i="157"/>
  <c r="G64" i="157"/>
  <c r="AB63" i="157"/>
  <c r="AA63" i="157"/>
  <c r="V63" i="157"/>
  <c r="U63" i="157"/>
  <c r="O63" i="157"/>
  <c r="N63" i="157"/>
  <c r="P63" i="157" s="1"/>
  <c r="M63" i="157"/>
  <c r="K63" i="157"/>
  <c r="G63" i="157"/>
  <c r="AB62" i="157"/>
  <c r="AA62" i="157"/>
  <c r="V62" i="157"/>
  <c r="U62" i="157"/>
  <c r="Q62" i="157"/>
  <c r="P62" i="157"/>
  <c r="O62" i="157"/>
  <c r="N62" i="157"/>
  <c r="M62" i="157"/>
  <c r="K62" i="157"/>
  <c r="G62" i="157"/>
  <c r="AB61" i="157"/>
  <c r="AA61" i="157"/>
  <c r="V61" i="157"/>
  <c r="Q61" i="157"/>
  <c r="P61" i="157"/>
  <c r="O61" i="157"/>
  <c r="N61" i="157"/>
  <c r="M61" i="157"/>
  <c r="K61" i="157"/>
  <c r="G61" i="157"/>
  <c r="AB60" i="157"/>
  <c r="AC54" i="157" s="1"/>
  <c r="AA60" i="157"/>
  <c r="O60" i="157"/>
  <c r="M60" i="157"/>
  <c r="N60" i="157" s="1"/>
  <c r="K60" i="157"/>
  <c r="AB59" i="157"/>
  <c r="AA59" i="157"/>
  <c r="V59" i="157"/>
  <c r="U59" i="157"/>
  <c r="O59" i="157"/>
  <c r="M59" i="157"/>
  <c r="N59" i="157" s="1"/>
  <c r="K59" i="157"/>
  <c r="G59" i="157"/>
  <c r="AB58" i="157"/>
  <c r="AA58" i="157"/>
  <c r="X58" i="157"/>
  <c r="W58" i="157"/>
  <c r="V58" i="157"/>
  <c r="U58" i="157"/>
  <c r="O58" i="157"/>
  <c r="M58" i="157"/>
  <c r="N58" i="157" s="1"/>
  <c r="K58" i="157"/>
  <c r="G58" i="157"/>
  <c r="AB57" i="157"/>
  <c r="AA57" i="157"/>
  <c r="V57" i="157"/>
  <c r="U57" i="157"/>
  <c r="O57" i="157"/>
  <c r="M57" i="157"/>
  <c r="N57" i="157" s="1"/>
  <c r="K57" i="157"/>
  <c r="G57" i="157"/>
  <c r="AB56" i="157"/>
  <c r="AA56" i="157"/>
  <c r="V56" i="157"/>
  <c r="U56" i="157"/>
  <c r="O56" i="157"/>
  <c r="M56" i="157"/>
  <c r="N56" i="157" s="1"/>
  <c r="K56" i="157"/>
  <c r="G56" i="157"/>
  <c r="AB55" i="157"/>
  <c r="AA55" i="157"/>
  <c r="V55" i="157"/>
  <c r="U55" i="157"/>
  <c r="P55" i="157"/>
  <c r="O55" i="157"/>
  <c r="N55" i="157"/>
  <c r="Q55" i="157" s="1"/>
  <c r="M55" i="157"/>
  <c r="K55" i="157"/>
  <c r="G55" i="157"/>
  <c r="AB54" i="157"/>
  <c r="AA54" i="157"/>
  <c r="V54" i="157"/>
  <c r="P54" i="157"/>
  <c r="O54" i="157"/>
  <c r="N54" i="157"/>
  <c r="Q54" i="157" s="1"/>
  <c r="M54" i="157"/>
  <c r="K54" i="157"/>
  <c r="G54" i="157"/>
  <c r="O53" i="157"/>
  <c r="M53" i="157"/>
  <c r="AB53" i="157" s="1"/>
  <c r="AC45" i="157" s="1"/>
  <c r="K53" i="157"/>
  <c r="AB52" i="157"/>
  <c r="AA52" i="157"/>
  <c r="V52" i="157"/>
  <c r="U52" i="157"/>
  <c r="Q52" i="157"/>
  <c r="P52" i="157"/>
  <c r="O52" i="157"/>
  <c r="N52" i="157"/>
  <c r="M52" i="157"/>
  <c r="K52" i="157"/>
  <c r="G52" i="157"/>
  <c r="AB51" i="157"/>
  <c r="AA51" i="157"/>
  <c r="X51" i="157"/>
  <c r="W51" i="157"/>
  <c r="V51" i="157"/>
  <c r="U51" i="157"/>
  <c r="O51" i="157"/>
  <c r="N51" i="157"/>
  <c r="P51" i="157" s="1"/>
  <c r="M51" i="157"/>
  <c r="K51" i="157"/>
  <c r="G51" i="157"/>
  <c r="AB50" i="157"/>
  <c r="AA50" i="157"/>
  <c r="V50" i="157"/>
  <c r="U50" i="157"/>
  <c r="Q50" i="157"/>
  <c r="P50" i="157"/>
  <c r="O50" i="157"/>
  <c r="N50" i="157"/>
  <c r="M50" i="157"/>
  <c r="K50" i="157"/>
  <c r="G50" i="157"/>
  <c r="AB49" i="157"/>
  <c r="AA49" i="157"/>
  <c r="V49" i="157"/>
  <c r="U49" i="157"/>
  <c r="O49" i="157"/>
  <c r="N49" i="157"/>
  <c r="Q49" i="157" s="1"/>
  <c r="M49" i="157"/>
  <c r="K49" i="157"/>
  <c r="G49" i="157"/>
  <c r="AB48" i="157"/>
  <c r="AA48" i="157"/>
  <c r="V48" i="157"/>
  <c r="U48" i="157"/>
  <c r="O48" i="157"/>
  <c r="M48" i="157"/>
  <c r="N48" i="157" s="1"/>
  <c r="K48" i="157"/>
  <c r="G48" i="157"/>
  <c r="AB47" i="157"/>
  <c r="AA47" i="157"/>
  <c r="V47" i="157"/>
  <c r="U47" i="157"/>
  <c r="O47" i="157"/>
  <c r="M47" i="157"/>
  <c r="N47" i="157" s="1"/>
  <c r="K47" i="157"/>
  <c r="G47" i="157"/>
  <c r="AB46" i="157"/>
  <c r="AA46" i="157"/>
  <c r="V46" i="157"/>
  <c r="U46" i="157"/>
  <c r="O46" i="157"/>
  <c r="M46" i="157"/>
  <c r="N46" i="157" s="1"/>
  <c r="K46" i="157"/>
  <c r="G46" i="157"/>
  <c r="AB45" i="157"/>
  <c r="AA45" i="157"/>
  <c r="X45" i="157"/>
  <c r="W45" i="157"/>
  <c r="V45" i="157"/>
  <c r="O45" i="157"/>
  <c r="M45" i="157"/>
  <c r="N45" i="157" s="1"/>
  <c r="K45" i="157"/>
  <c r="G45" i="157"/>
  <c r="AB44" i="157"/>
  <c r="AC37" i="157" s="1"/>
  <c r="AA44" i="157"/>
  <c r="O44" i="157"/>
  <c r="M44" i="157"/>
  <c r="N44" i="157" s="1"/>
  <c r="K44" i="157"/>
  <c r="AB43" i="157"/>
  <c r="AA43" i="157"/>
  <c r="V43" i="157"/>
  <c r="U43" i="157"/>
  <c r="P43" i="157"/>
  <c r="O43" i="157"/>
  <c r="N43" i="157"/>
  <c r="Q43" i="157" s="1"/>
  <c r="M43" i="157"/>
  <c r="K43" i="157"/>
  <c r="G43" i="157"/>
  <c r="AB42" i="157"/>
  <c r="AA42" i="157"/>
  <c r="V42" i="157"/>
  <c r="U42" i="157"/>
  <c r="Q42" i="157"/>
  <c r="P42" i="157"/>
  <c r="O42" i="157"/>
  <c r="N42" i="157"/>
  <c r="M42" i="157"/>
  <c r="K42" i="157"/>
  <c r="G42" i="157"/>
  <c r="AB41" i="157"/>
  <c r="AA41" i="157"/>
  <c r="X41" i="157"/>
  <c r="W41" i="157"/>
  <c r="V41" i="157"/>
  <c r="U41" i="157"/>
  <c r="P41" i="157"/>
  <c r="O41" i="157"/>
  <c r="N41" i="157"/>
  <c r="Q41" i="157" s="1"/>
  <c r="M41" i="157"/>
  <c r="K41" i="157"/>
  <c r="G41" i="157"/>
  <c r="AB40" i="157"/>
  <c r="AA40" i="157"/>
  <c r="V40" i="157"/>
  <c r="U40" i="157"/>
  <c r="Q40" i="157"/>
  <c r="P40" i="157"/>
  <c r="O40" i="157"/>
  <c r="N40" i="157"/>
  <c r="M40" i="157"/>
  <c r="K40" i="157"/>
  <c r="G40" i="157"/>
  <c r="AB39" i="157"/>
  <c r="AA39" i="157"/>
  <c r="V39" i="157"/>
  <c r="U39" i="157"/>
  <c r="Q39" i="157"/>
  <c r="P39" i="157"/>
  <c r="O39" i="157"/>
  <c r="N39" i="157"/>
  <c r="M39" i="157"/>
  <c r="K39" i="157"/>
  <c r="G39" i="157"/>
  <c r="AB38" i="157"/>
  <c r="AA38" i="157"/>
  <c r="V38" i="157"/>
  <c r="U38" i="157"/>
  <c r="O38" i="157"/>
  <c r="N38" i="157"/>
  <c r="Q38" i="157" s="1"/>
  <c r="M38" i="157"/>
  <c r="K38" i="157"/>
  <c r="G38" i="157"/>
  <c r="AB37" i="157"/>
  <c r="AA37" i="157"/>
  <c r="X37" i="157"/>
  <c r="W37" i="157"/>
  <c r="V37" i="157"/>
  <c r="Q37" i="157"/>
  <c r="P37" i="157"/>
  <c r="O37" i="157"/>
  <c r="N37" i="157"/>
  <c r="M37" i="157"/>
  <c r="K37" i="157"/>
  <c r="G37" i="157"/>
  <c r="O36" i="157"/>
  <c r="M36" i="157"/>
  <c r="AB36" i="157" s="1"/>
  <c r="AC28" i="157" s="1"/>
  <c r="K36" i="157"/>
  <c r="AB35" i="157"/>
  <c r="AA35" i="157"/>
  <c r="V35" i="157"/>
  <c r="U35" i="157"/>
  <c r="O35" i="157"/>
  <c r="N35" i="157"/>
  <c r="Q35" i="157" s="1"/>
  <c r="M35" i="157"/>
  <c r="K35" i="157"/>
  <c r="G35" i="157"/>
  <c r="AB34" i="157"/>
  <c r="AA34" i="157"/>
  <c r="V34" i="157"/>
  <c r="U34" i="157"/>
  <c r="O34" i="157"/>
  <c r="M34" i="157"/>
  <c r="N34" i="157" s="1"/>
  <c r="K34" i="157"/>
  <c r="G34" i="157"/>
  <c r="AB33" i="157"/>
  <c r="AA33" i="157"/>
  <c r="V33" i="157"/>
  <c r="U33" i="157"/>
  <c r="O33" i="157"/>
  <c r="M33" i="157"/>
  <c r="N33" i="157" s="1"/>
  <c r="K33" i="157"/>
  <c r="G33" i="157"/>
  <c r="AB32" i="157"/>
  <c r="AA32" i="157"/>
  <c r="X32" i="157"/>
  <c r="W32" i="157"/>
  <c r="V32" i="157"/>
  <c r="U32" i="157"/>
  <c r="O32" i="157"/>
  <c r="M32" i="157"/>
  <c r="N32" i="157" s="1"/>
  <c r="K32" i="157"/>
  <c r="G32" i="157"/>
  <c r="AB31" i="157"/>
  <c r="AA31" i="157"/>
  <c r="V31" i="157"/>
  <c r="U31" i="157"/>
  <c r="O31" i="157"/>
  <c r="M31" i="157"/>
  <c r="N31" i="157" s="1"/>
  <c r="K31" i="157"/>
  <c r="G31" i="157"/>
  <c r="AB30" i="157"/>
  <c r="AA30" i="157"/>
  <c r="V30" i="157"/>
  <c r="U30" i="157"/>
  <c r="O30" i="157"/>
  <c r="M30" i="157"/>
  <c r="N30" i="157" s="1"/>
  <c r="K30" i="157"/>
  <c r="G30" i="157"/>
  <c r="AB29" i="157"/>
  <c r="AA29" i="157"/>
  <c r="V29" i="157"/>
  <c r="U29" i="157"/>
  <c r="O29" i="157"/>
  <c r="M29" i="157"/>
  <c r="N29" i="157" s="1"/>
  <c r="K29" i="157"/>
  <c r="G29" i="157"/>
  <c r="AB28" i="157"/>
  <c r="AA28" i="157"/>
  <c r="X28" i="157"/>
  <c r="W28" i="157"/>
  <c r="V28" i="157"/>
  <c r="O28" i="157"/>
  <c r="M28" i="157"/>
  <c r="N28" i="157" s="1"/>
  <c r="K28" i="157"/>
  <c r="G28" i="157"/>
  <c r="O27" i="157"/>
  <c r="K27" i="157"/>
  <c r="AB26" i="157"/>
  <c r="AA26" i="157"/>
  <c r="V26" i="157"/>
  <c r="U26" i="157"/>
  <c r="Q26" i="157"/>
  <c r="P26" i="157"/>
  <c r="O26" i="157"/>
  <c r="N26" i="157"/>
  <c r="M26" i="157"/>
  <c r="K26" i="157"/>
  <c r="G26" i="157"/>
  <c r="AB25" i="157"/>
  <c r="AA25" i="157"/>
  <c r="V25" i="157"/>
  <c r="U25" i="157"/>
  <c r="Q25" i="157"/>
  <c r="P25" i="157"/>
  <c r="O25" i="157"/>
  <c r="N25" i="157"/>
  <c r="M25" i="157"/>
  <c r="K25" i="157"/>
  <c r="G25" i="157"/>
  <c r="AB24" i="157"/>
  <c r="AA24" i="157"/>
  <c r="V24" i="157"/>
  <c r="U24" i="157"/>
  <c r="O24" i="157"/>
  <c r="N24" i="157"/>
  <c r="Q24" i="157" s="1"/>
  <c r="M24" i="157"/>
  <c r="K24" i="157"/>
  <c r="G24" i="157"/>
  <c r="AB23" i="157"/>
  <c r="AA23" i="157"/>
  <c r="V23" i="157"/>
  <c r="U23" i="157"/>
  <c r="O23" i="157"/>
  <c r="N23" i="157"/>
  <c r="P23" i="157" s="1"/>
  <c r="M23" i="157"/>
  <c r="K23" i="157"/>
  <c r="G23" i="157"/>
  <c r="AB22" i="157"/>
  <c r="AA22" i="157"/>
  <c r="V22" i="157"/>
  <c r="U22" i="157"/>
  <c r="Q22" i="157"/>
  <c r="P22" i="157"/>
  <c r="O22" i="157"/>
  <c r="N22" i="157"/>
  <c r="M22" i="157"/>
  <c r="K22" i="157"/>
  <c r="G22" i="157"/>
  <c r="AB21" i="157"/>
  <c r="AA21" i="157"/>
  <c r="V21" i="157"/>
  <c r="U21" i="157"/>
  <c r="O21" i="157"/>
  <c r="N21" i="157"/>
  <c r="Q21" i="157" s="1"/>
  <c r="M21" i="157"/>
  <c r="K21" i="157"/>
  <c r="G21" i="157"/>
  <c r="AB20" i="157"/>
  <c r="AA20" i="157"/>
  <c r="V20" i="157"/>
  <c r="U20" i="157"/>
  <c r="O20" i="157"/>
  <c r="M20" i="157"/>
  <c r="N20" i="157" s="1"/>
  <c r="K20" i="157"/>
  <c r="G20" i="157"/>
  <c r="AB19" i="157"/>
  <c r="AA19" i="157"/>
  <c r="V19" i="157"/>
  <c r="O19" i="157"/>
  <c r="M19" i="157"/>
  <c r="M27" i="157" s="1"/>
  <c r="K19" i="157"/>
  <c r="G19" i="157"/>
  <c r="AB18" i="157"/>
  <c r="AC13" i="157" s="1"/>
  <c r="AA18" i="157"/>
  <c r="O18" i="157"/>
  <c r="M18" i="157"/>
  <c r="N18" i="157" s="1"/>
  <c r="K18" i="157"/>
  <c r="AB17" i="157"/>
  <c r="AA17" i="157"/>
  <c r="V17" i="157"/>
  <c r="U17" i="157"/>
  <c r="P17" i="157"/>
  <c r="O17" i="157"/>
  <c r="N17" i="157"/>
  <c r="Q17" i="157" s="1"/>
  <c r="M17" i="157"/>
  <c r="K17" i="157"/>
  <c r="G17" i="157"/>
  <c r="AB16" i="157"/>
  <c r="AA16" i="157"/>
  <c r="V16" i="157"/>
  <c r="U16" i="157"/>
  <c r="Q16" i="157"/>
  <c r="P16" i="157"/>
  <c r="O16" i="157"/>
  <c r="N16" i="157"/>
  <c r="M16" i="157"/>
  <c r="K16" i="157"/>
  <c r="G16" i="157"/>
  <c r="AB15" i="157"/>
  <c r="AA15" i="157"/>
  <c r="V15" i="157"/>
  <c r="U15" i="157"/>
  <c r="O15" i="157"/>
  <c r="N15" i="157"/>
  <c r="Q15" i="157" s="1"/>
  <c r="M15" i="157"/>
  <c r="K15" i="157"/>
  <c r="G15" i="157"/>
  <c r="AB14" i="157"/>
  <c r="AA14" i="157"/>
  <c r="V14" i="157"/>
  <c r="U14" i="157"/>
  <c r="O14" i="157"/>
  <c r="N14" i="157"/>
  <c r="Q14" i="157" s="1"/>
  <c r="M14" i="157"/>
  <c r="K14" i="157"/>
  <c r="G14" i="157"/>
  <c r="AB13" i="157"/>
  <c r="AA13" i="157"/>
  <c r="V13" i="157"/>
  <c r="O13" i="157"/>
  <c r="N13" i="157"/>
  <c r="P13" i="157" s="1"/>
  <c r="M13" i="157"/>
  <c r="K13" i="157"/>
  <c r="G13" i="157"/>
  <c r="O12" i="157"/>
  <c r="M12" i="157"/>
  <c r="AB12" i="157" s="1"/>
  <c r="AC10" i="157" s="1"/>
  <c r="K12" i="157"/>
  <c r="AB11" i="157"/>
  <c r="AA11" i="157"/>
  <c r="V11" i="157"/>
  <c r="U11" i="157"/>
  <c r="O11" i="157"/>
  <c r="M11" i="157"/>
  <c r="N11" i="157" s="1"/>
  <c r="K11" i="157"/>
  <c r="G11" i="157"/>
  <c r="AB10" i="157"/>
  <c r="AA10" i="157"/>
  <c r="X10" i="157"/>
  <c r="W10" i="157"/>
  <c r="V10" i="157"/>
  <c r="O10" i="157"/>
  <c r="N10" i="157"/>
  <c r="Q10" i="157" s="1"/>
  <c r="M10" i="157"/>
  <c r="K10" i="157"/>
  <c r="G10" i="157"/>
  <c r="AB9" i="157"/>
  <c r="AC5" i="157" s="1"/>
  <c r="AA9" i="157"/>
  <c r="O9" i="157"/>
  <c r="M9" i="157"/>
  <c r="N9" i="157" s="1"/>
  <c r="K9" i="157"/>
  <c r="AB8" i="157"/>
  <c r="AA8" i="157"/>
  <c r="V8" i="157"/>
  <c r="U8" i="157"/>
  <c r="O8" i="157"/>
  <c r="M8" i="157"/>
  <c r="N8" i="157" s="1"/>
  <c r="K8" i="157"/>
  <c r="G8" i="157"/>
  <c r="AB7" i="157"/>
  <c r="AA7" i="157"/>
  <c r="X7" i="157"/>
  <c r="W7" i="157"/>
  <c r="V7" i="157"/>
  <c r="U7" i="157"/>
  <c r="O7" i="157"/>
  <c r="M7" i="157"/>
  <c r="N7" i="157" s="1"/>
  <c r="K7" i="157"/>
  <c r="G7" i="157"/>
  <c r="AB6" i="157"/>
  <c r="AA6" i="157"/>
  <c r="V6" i="157"/>
  <c r="U6" i="157"/>
  <c r="O6" i="157"/>
  <c r="M6" i="157"/>
  <c r="N6" i="157" s="1"/>
  <c r="K6" i="157"/>
  <c r="G6" i="157"/>
  <c r="AB5" i="157"/>
  <c r="AA5" i="157"/>
  <c r="V5" i="157"/>
  <c r="O5" i="157"/>
  <c r="M5" i="157"/>
  <c r="N5" i="157" s="1"/>
  <c r="K5" i="157"/>
  <c r="G5" i="157"/>
  <c r="H2" i="157"/>
  <c r="H1" i="157"/>
  <c r="F1" i="157"/>
  <c r="F2" i="157" s="1"/>
  <c r="D1" i="157"/>
  <c r="M18" i="156"/>
  <c r="L18" i="156"/>
  <c r="K18" i="156"/>
  <c r="J18" i="156"/>
  <c r="I18" i="156"/>
  <c r="H18" i="156"/>
  <c r="G18" i="156"/>
  <c r="F18" i="156"/>
  <c r="E18" i="156"/>
  <c r="D18" i="156"/>
  <c r="M17" i="156"/>
  <c r="L17" i="156"/>
  <c r="K17" i="156"/>
  <c r="J17" i="156"/>
  <c r="I17" i="156"/>
  <c r="H17" i="156"/>
  <c r="G17" i="156"/>
  <c r="F17" i="156"/>
  <c r="E17" i="156"/>
  <c r="D17" i="156"/>
  <c r="M16" i="156"/>
  <c r="L16" i="156"/>
  <c r="K16" i="156"/>
  <c r="J16" i="156"/>
  <c r="I16" i="156"/>
  <c r="H16" i="156"/>
  <c r="G16" i="156"/>
  <c r="F16" i="156"/>
  <c r="E16" i="156"/>
  <c r="D16" i="156"/>
  <c r="M13" i="156"/>
  <c r="L13" i="156"/>
  <c r="K13" i="156"/>
  <c r="I6" i="156" s="1"/>
  <c r="J13" i="156"/>
  <c r="I13" i="156"/>
  <c r="H13" i="156"/>
  <c r="G13" i="156"/>
  <c r="F13" i="156"/>
  <c r="E13" i="156"/>
  <c r="D13" i="156"/>
  <c r="I3" i="156"/>
  <c r="F3" i="156"/>
  <c r="C3" i="156"/>
  <c r="G8" i="166" l="1"/>
  <c r="F8" i="166"/>
  <c r="E8" i="166"/>
  <c r="G7" i="164"/>
  <c r="F7" i="164"/>
  <c r="D15" i="164"/>
  <c r="E7" i="164"/>
  <c r="F14" i="162"/>
  <c r="F15" i="162" s="1"/>
  <c r="Q21" i="163"/>
  <c r="R17" i="163" s="1"/>
  <c r="P21" i="163"/>
  <c r="P38" i="163"/>
  <c r="K14" i="162"/>
  <c r="Q38" i="163"/>
  <c r="R30" i="163" s="1"/>
  <c r="J14" i="162"/>
  <c r="J15" i="162" s="1"/>
  <c r="Q69" i="163"/>
  <c r="R64" i="163" s="1"/>
  <c r="P69" i="163"/>
  <c r="H14" i="162"/>
  <c r="H15" i="162" s="1"/>
  <c r="Q56" i="163"/>
  <c r="R48" i="163" s="1"/>
  <c r="P56" i="163"/>
  <c r="D14" i="162"/>
  <c r="Q12" i="163"/>
  <c r="R5" i="163" s="1"/>
  <c r="P12" i="163"/>
  <c r="D2" i="163"/>
  <c r="G14" i="162"/>
  <c r="G15" i="162" s="1"/>
  <c r="Q29" i="163"/>
  <c r="R22" i="163" s="1"/>
  <c r="P29" i="163"/>
  <c r="P16" i="163"/>
  <c r="Q16" i="163"/>
  <c r="R13" i="163" s="1"/>
  <c r="E14" i="162"/>
  <c r="E15" i="162" s="1"/>
  <c r="Q79" i="163"/>
  <c r="R70" i="163" s="1"/>
  <c r="P79" i="163"/>
  <c r="M14" i="162"/>
  <c r="M15" i="162" s="1"/>
  <c r="Q47" i="163"/>
  <c r="R39" i="163" s="1"/>
  <c r="P47" i="163"/>
  <c r="L14" i="162"/>
  <c r="L15" i="162" s="1"/>
  <c r="Q27" i="161"/>
  <c r="P27" i="161"/>
  <c r="Q30" i="161"/>
  <c r="P30" i="161"/>
  <c r="Q20" i="161"/>
  <c r="P20" i="161"/>
  <c r="Q73" i="161"/>
  <c r="P73" i="161"/>
  <c r="Q14" i="161"/>
  <c r="P14" i="161"/>
  <c r="AB45" i="161"/>
  <c r="AC37" i="161" s="1"/>
  <c r="AA45" i="161"/>
  <c r="N45" i="161"/>
  <c r="AB55" i="161"/>
  <c r="AC46" i="161" s="1"/>
  <c r="AA55" i="161"/>
  <c r="N55" i="161"/>
  <c r="Q54" i="161"/>
  <c r="P54" i="161"/>
  <c r="AB79" i="161"/>
  <c r="AC70" i="161" s="1"/>
  <c r="AA79" i="161"/>
  <c r="N79" i="161"/>
  <c r="AB69" i="161"/>
  <c r="AC63" i="161" s="1"/>
  <c r="AA69" i="161"/>
  <c r="N69" i="161"/>
  <c r="Q60" i="161"/>
  <c r="P60" i="161"/>
  <c r="Q64" i="161"/>
  <c r="P64" i="161"/>
  <c r="AB17" i="161"/>
  <c r="AC13" i="161" s="1"/>
  <c r="AA17" i="161"/>
  <c r="N17" i="161"/>
  <c r="Q33" i="161"/>
  <c r="P33" i="161"/>
  <c r="Q57" i="161"/>
  <c r="P57" i="161"/>
  <c r="Q49" i="161"/>
  <c r="P49" i="161"/>
  <c r="I14" i="160"/>
  <c r="I15" i="160" s="1"/>
  <c r="Q62" i="161"/>
  <c r="R56" i="161" s="1"/>
  <c r="P62" i="161"/>
  <c r="Q37" i="161"/>
  <c r="P37" i="161"/>
  <c r="Q46" i="161"/>
  <c r="P46" i="161"/>
  <c r="Q13" i="161"/>
  <c r="P13" i="161"/>
  <c r="Q70" i="161"/>
  <c r="P70" i="161"/>
  <c r="Q56" i="161"/>
  <c r="P56" i="161"/>
  <c r="Q65" i="161"/>
  <c r="P65" i="161"/>
  <c r="Q34" i="161"/>
  <c r="P34" i="161"/>
  <c r="Q29" i="161"/>
  <c r="P29" i="161"/>
  <c r="N36" i="161"/>
  <c r="AB36" i="161"/>
  <c r="AC27" i="161" s="1"/>
  <c r="AA36" i="161"/>
  <c r="Q63" i="161"/>
  <c r="P63" i="161"/>
  <c r="Q47" i="161"/>
  <c r="P47" i="161"/>
  <c r="Q77" i="161"/>
  <c r="P77" i="161"/>
  <c r="Q67" i="161"/>
  <c r="P67" i="161"/>
  <c r="Q21" i="161"/>
  <c r="P21" i="161"/>
  <c r="P23" i="161"/>
  <c r="Q23" i="161"/>
  <c r="Q72" i="161"/>
  <c r="P72" i="161"/>
  <c r="Q8" i="161"/>
  <c r="P8" i="161"/>
  <c r="Q35" i="161"/>
  <c r="P35" i="161"/>
  <c r="Q43" i="161"/>
  <c r="P43" i="161"/>
  <c r="Q11" i="161"/>
  <c r="P11" i="161"/>
  <c r="P53" i="161"/>
  <c r="Q53" i="161"/>
  <c r="Q28" i="161"/>
  <c r="P28" i="161"/>
  <c r="Q58" i="161"/>
  <c r="P58" i="161"/>
  <c r="Q78" i="161"/>
  <c r="P78" i="161"/>
  <c r="Q7" i="161"/>
  <c r="P7" i="161"/>
  <c r="Q38" i="161"/>
  <c r="P38" i="161"/>
  <c r="AB26" i="161"/>
  <c r="AC18" i="161" s="1"/>
  <c r="AA26" i="161"/>
  <c r="N26" i="161"/>
  <c r="AB9" i="161"/>
  <c r="AC5" i="161" s="1"/>
  <c r="AA9" i="161"/>
  <c r="N9" i="161"/>
  <c r="P75" i="161"/>
  <c r="Q75" i="161"/>
  <c r="Q52" i="161"/>
  <c r="P52" i="161"/>
  <c r="Q48" i="161"/>
  <c r="P48" i="161"/>
  <c r="Q31" i="161"/>
  <c r="P31" i="161"/>
  <c r="Q15" i="161"/>
  <c r="P15" i="161"/>
  <c r="Q6" i="161"/>
  <c r="P6" i="161"/>
  <c r="P51" i="161"/>
  <c r="Q51" i="161"/>
  <c r="E14" i="160"/>
  <c r="E15" i="160" s="1"/>
  <c r="Q12" i="161"/>
  <c r="R10" i="161" s="1"/>
  <c r="P12" i="161"/>
  <c r="Q5" i="161"/>
  <c r="P5" i="161"/>
  <c r="Q32" i="161"/>
  <c r="P32" i="161"/>
  <c r="Q76" i="161"/>
  <c r="P76" i="161"/>
  <c r="Q74" i="161"/>
  <c r="P74" i="161"/>
  <c r="Q22" i="161"/>
  <c r="P22" i="161"/>
  <c r="E6" i="156"/>
  <c r="J15" i="156"/>
  <c r="Q60" i="157"/>
  <c r="R54" i="157" s="1"/>
  <c r="P60" i="157"/>
  <c r="I14" i="156"/>
  <c r="I15" i="156" s="1"/>
  <c r="N27" i="157"/>
  <c r="AB27" i="157"/>
  <c r="AC19" i="157" s="1"/>
  <c r="AA27" i="157"/>
  <c r="Q33" i="157"/>
  <c r="P33" i="157"/>
  <c r="Q66" i="157"/>
  <c r="P66" i="157"/>
  <c r="P70" i="157"/>
  <c r="Q70" i="157"/>
  <c r="Q45" i="157"/>
  <c r="P45" i="157"/>
  <c r="Q29" i="157"/>
  <c r="P29" i="157"/>
  <c r="Q32" i="157"/>
  <c r="P32" i="157"/>
  <c r="Q48" i="157"/>
  <c r="P48" i="157"/>
  <c r="Q56" i="157"/>
  <c r="P56" i="157"/>
  <c r="Q73" i="157"/>
  <c r="P73" i="157"/>
  <c r="Q6" i="157"/>
  <c r="P6" i="157"/>
  <c r="Q59" i="157"/>
  <c r="P59" i="157"/>
  <c r="Q69" i="157"/>
  <c r="P69" i="157"/>
  <c r="Q72" i="157"/>
  <c r="P72" i="157"/>
  <c r="P9" i="157"/>
  <c r="D2" i="157"/>
  <c r="Q9" i="157"/>
  <c r="R5" i="157" s="1"/>
  <c r="D14" i="156"/>
  <c r="Q28" i="157"/>
  <c r="P28" i="157"/>
  <c r="F14" i="156"/>
  <c r="F15" i="156" s="1"/>
  <c r="Q18" i="157"/>
  <c r="R13" i="157" s="1"/>
  <c r="P18" i="157"/>
  <c r="Q31" i="157"/>
  <c r="P31" i="157"/>
  <c r="Q47" i="157"/>
  <c r="P47" i="157"/>
  <c r="P58" i="157"/>
  <c r="Q58" i="157"/>
  <c r="Q20" i="157"/>
  <c r="P20" i="157"/>
  <c r="L14" i="156"/>
  <c r="L15" i="156" s="1"/>
  <c r="Q44" i="157"/>
  <c r="R37" i="157" s="1"/>
  <c r="P44" i="157"/>
  <c r="Q34" i="157"/>
  <c r="P34" i="157"/>
  <c r="Q71" i="157"/>
  <c r="P71" i="157"/>
  <c r="Q7" i="157"/>
  <c r="P7" i="157"/>
  <c r="Q68" i="157"/>
  <c r="P68" i="157"/>
  <c r="P5" i="157"/>
  <c r="Q5" i="157"/>
  <c r="Q11" i="157"/>
  <c r="P11" i="157"/>
  <c r="P8" i="157"/>
  <c r="Q8" i="157"/>
  <c r="P30" i="157"/>
  <c r="Q30" i="157"/>
  <c r="P46" i="157"/>
  <c r="Q46" i="157"/>
  <c r="Q57" i="157"/>
  <c r="P57" i="157"/>
  <c r="F6" i="156"/>
  <c r="G6" i="156"/>
  <c r="N53" i="157"/>
  <c r="P65" i="157"/>
  <c r="P14" i="157"/>
  <c r="P64" i="157"/>
  <c r="AA65" i="157"/>
  <c r="Q13" i="157"/>
  <c r="N19" i="157"/>
  <c r="Q23" i="157"/>
  <c r="Q51" i="157"/>
  <c r="AA53" i="157"/>
  <c r="Q63" i="157"/>
  <c r="P15" i="157"/>
  <c r="N36" i="157"/>
  <c r="Q65" i="157"/>
  <c r="R61" i="157" s="1"/>
  <c r="P24" i="157"/>
  <c r="P38" i="157"/>
  <c r="N74" i="157"/>
  <c r="P10" i="157"/>
  <c r="P21" i="157"/>
  <c r="P35" i="157"/>
  <c r="AA36" i="157"/>
  <c r="P49" i="157"/>
  <c r="N12" i="157"/>
  <c r="AA12" i="157"/>
  <c r="AA74" i="157"/>
  <c r="O75" i="155"/>
  <c r="M75" i="155"/>
  <c r="AB75" i="155" s="1"/>
  <c r="AC67" i="155" s="1"/>
  <c r="K75" i="155"/>
  <c r="AB74" i="155"/>
  <c r="AA74" i="155"/>
  <c r="V74" i="155"/>
  <c r="U74" i="155"/>
  <c r="O74" i="155"/>
  <c r="M74" i="155"/>
  <c r="N74" i="155" s="1"/>
  <c r="K74" i="155"/>
  <c r="G74" i="155"/>
  <c r="AA73" i="155"/>
  <c r="X73" i="155"/>
  <c r="W73" i="155"/>
  <c r="V73" i="155"/>
  <c r="U73" i="155"/>
  <c r="O73" i="155"/>
  <c r="M73" i="155"/>
  <c r="N73" i="155" s="1"/>
  <c r="K73" i="155"/>
  <c r="G73" i="155"/>
  <c r="AB72" i="155"/>
  <c r="AA72" i="155"/>
  <c r="V72" i="155"/>
  <c r="U72" i="155"/>
  <c r="O72" i="155"/>
  <c r="M72" i="155"/>
  <c r="N72" i="155" s="1"/>
  <c r="K72" i="155"/>
  <c r="G72" i="155"/>
  <c r="AB71" i="155"/>
  <c r="AA71" i="155"/>
  <c r="V71" i="155"/>
  <c r="U71" i="155"/>
  <c r="Q71" i="155"/>
  <c r="O71" i="155"/>
  <c r="N71" i="155"/>
  <c r="P71" i="155" s="1"/>
  <c r="M71" i="155"/>
  <c r="K71" i="155"/>
  <c r="G71" i="155"/>
  <c r="AB70" i="155"/>
  <c r="AA70" i="155"/>
  <c r="V70" i="155"/>
  <c r="U70" i="155"/>
  <c r="O70" i="155"/>
  <c r="M70" i="155"/>
  <c r="N70" i="155" s="1"/>
  <c r="K70" i="155"/>
  <c r="G70" i="155"/>
  <c r="AB69" i="155"/>
  <c r="AA69" i="155"/>
  <c r="V69" i="155"/>
  <c r="U69" i="155"/>
  <c r="Q69" i="155"/>
  <c r="P69" i="155"/>
  <c r="O69" i="155"/>
  <c r="N69" i="155"/>
  <c r="M69" i="155"/>
  <c r="K69" i="155"/>
  <c r="G69" i="155"/>
  <c r="AB68" i="155"/>
  <c r="AA68" i="155"/>
  <c r="V68" i="155"/>
  <c r="U68" i="155"/>
  <c r="O68" i="155"/>
  <c r="N68" i="155"/>
  <c r="Q68" i="155" s="1"/>
  <c r="M68" i="155"/>
  <c r="K68" i="155"/>
  <c r="G68" i="155"/>
  <c r="AA67" i="155"/>
  <c r="X67" i="155"/>
  <c r="W67" i="155"/>
  <c r="V67" i="155"/>
  <c r="O67" i="155"/>
  <c r="M67" i="155"/>
  <c r="N67" i="155" s="1"/>
  <c r="K67" i="155"/>
  <c r="G67" i="155"/>
  <c r="O66" i="155"/>
  <c r="M66" i="155"/>
  <c r="AA66" i="155" s="1"/>
  <c r="K66" i="155"/>
  <c r="AB65" i="155"/>
  <c r="AA65" i="155"/>
  <c r="V65" i="155"/>
  <c r="U65" i="155"/>
  <c r="O65" i="155"/>
  <c r="N65" i="155"/>
  <c r="P65" i="155" s="1"/>
  <c r="M65" i="155"/>
  <c r="K65" i="155"/>
  <c r="G65" i="155"/>
  <c r="AB64" i="155"/>
  <c r="AA64" i="155"/>
  <c r="V64" i="155"/>
  <c r="U64" i="155"/>
  <c r="P64" i="155"/>
  <c r="O64" i="155"/>
  <c r="N64" i="155"/>
  <c r="Q64" i="155" s="1"/>
  <c r="M64" i="155"/>
  <c r="K64" i="155"/>
  <c r="G64" i="155"/>
  <c r="AB63" i="155"/>
  <c r="AA63" i="155"/>
  <c r="V63" i="155"/>
  <c r="U63" i="155"/>
  <c r="O63" i="155"/>
  <c r="N63" i="155"/>
  <c r="Q63" i="155" s="1"/>
  <c r="M63" i="155"/>
  <c r="K63" i="155"/>
  <c r="G63" i="155"/>
  <c r="AB62" i="155"/>
  <c r="AA62" i="155"/>
  <c r="V62" i="155"/>
  <c r="O62" i="155"/>
  <c r="N62" i="155"/>
  <c r="Q62" i="155" s="1"/>
  <c r="M62" i="155"/>
  <c r="K62" i="155"/>
  <c r="G62" i="155"/>
  <c r="O61" i="155"/>
  <c r="K61" i="155"/>
  <c r="AB60" i="155"/>
  <c r="AA60" i="155"/>
  <c r="V60" i="155"/>
  <c r="U60" i="155"/>
  <c r="O60" i="155"/>
  <c r="M60" i="155"/>
  <c r="N60" i="155" s="1"/>
  <c r="K60" i="155"/>
  <c r="G60" i="155"/>
  <c r="AB59" i="155"/>
  <c r="AA59" i="155"/>
  <c r="X59" i="155"/>
  <c r="W59" i="155"/>
  <c r="V59" i="155"/>
  <c r="U59" i="155"/>
  <c r="Q59" i="155"/>
  <c r="O59" i="155"/>
  <c r="N59" i="155"/>
  <c r="P59" i="155" s="1"/>
  <c r="M59" i="155"/>
  <c r="K59" i="155"/>
  <c r="G59" i="155"/>
  <c r="AB58" i="155"/>
  <c r="AA58" i="155"/>
  <c r="V58" i="155"/>
  <c r="U58" i="155"/>
  <c r="O58" i="155"/>
  <c r="M58" i="155"/>
  <c r="N58" i="155" s="1"/>
  <c r="K58" i="155"/>
  <c r="G58" i="155"/>
  <c r="AB57" i="155"/>
  <c r="AA57" i="155"/>
  <c r="V57" i="155"/>
  <c r="U57" i="155"/>
  <c r="Q57" i="155"/>
  <c r="P57" i="155"/>
  <c r="O57" i="155"/>
  <c r="N57" i="155"/>
  <c r="M57" i="155"/>
  <c r="K57" i="155"/>
  <c r="G57" i="155"/>
  <c r="AB56" i="155"/>
  <c r="AA56" i="155"/>
  <c r="V56" i="155"/>
  <c r="U56" i="155"/>
  <c r="O56" i="155"/>
  <c r="N56" i="155"/>
  <c r="Q56" i="155" s="1"/>
  <c r="M56" i="155"/>
  <c r="K56" i="155"/>
  <c r="G56" i="155"/>
  <c r="AB55" i="155"/>
  <c r="AA55" i="155"/>
  <c r="V55" i="155"/>
  <c r="O55" i="155"/>
  <c r="N55" i="155"/>
  <c r="Q55" i="155" s="1"/>
  <c r="M55" i="155"/>
  <c r="K55" i="155"/>
  <c r="G55" i="155"/>
  <c r="O54" i="155"/>
  <c r="K54" i="155"/>
  <c r="AB53" i="155"/>
  <c r="AA53" i="155"/>
  <c r="V53" i="155"/>
  <c r="U53" i="155"/>
  <c r="O53" i="155"/>
  <c r="N53" i="155"/>
  <c r="Q53" i="155" s="1"/>
  <c r="M53" i="155"/>
  <c r="K53" i="155"/>
  <c r="G53" i="155"/>
  <c r="AB52" i="155"/>
  <c r="AA52" i="155"/>
  <c r="X52" i="155"/>
  <c r="W52" i="155"/>
  <c r="V52" i="155"/>
  <c r="U52" i="155"/>
  <c r="P52" i="155"/>
  <c r="O52" i="155"/>
  <c r="N52" i="155"/>
  <c r="Q52" i="155" s="1"/>
  <c r="M52" i="155"/>
  <c r="K52" i="155"/>
  <c r="G52" i="155"/>
  <c r="AB51" i="155"/>
  <c r="AA51" i="155"/>
  <c r="V51" i="155"/>
  <c r="U51" i="155"/>
  <c r="O51" i="155"/>
  <c r="N51" i="155"/>
  <c r="Q51" i="155" s="1"/>
  <c r="M51" i="155"/>
  <c r="K51" i="155"/>
  <c r="G51" i="155"/>
  <c r="AB50" i="155"/>
  <c r="AA50" i="155"/>
  <c r="V50" i="155"/>
  <c r="U50" i="155"/>
  <c r="O50" i="155"/>
  <c r="N50" i="155"/>
  <c r="Q50" i="155" s="1"/>
  <c r="M50" i="155"/>
  <c r="K50" i="155"/>
  <c r="G50" i="155"/>
  <c r="AA49" i="155"/>
  <c r="V49" i="155"/>
  <c r="U49" i="155"/>
  <c r="O49" i="155"/>
  <c r="M49" i="155"/>
  <c r="N49" i="155" s="1"/>
  <c r="K49" i="155"/>
  <c r="G49" i="155"/>
  <c r="AB48" i="155"/>
  <c r="AA48" i="155"/>
  <c r="V48" i="155"/>
  <c r="U48" i="155"/>
  <c r="O48" i="155"/>
  <c r="M48" i="155"/>
  <c r="N48" i="155" s="1"/>
  <c r="K48" i="155"/>
  <c r="G48" i="155"/>
  <c r="AB47" i="155"/>
  <c r="AA47" i="155"/>
  <c r="V47" i="155"/>
  <c r="U47" i="155"/>
  <c r="Q47" i="155"/>
  <c r="O47" i="155"/>
  <c r="N47" i="155"/>
  <c r="P47" i="155" s="1"/>
  <c r="M47" i="155"/>
  <c r="K47" i="155"/>
  <c r="G47" i="155"/>
  <c r="AA46" i="155"/>
  <c r="X46" i="155"/>
  <c r="W46" i="155"/>
  <c r="V46" i="155"/>
  <c r="O46" i="155"/>
  <c r="M46" i="155"/>
  <c r="N46" i="155" s="1"/>
  <c r="K46" i="155"/>
  <c r="G46" i="155"/>
  <c r="AB45" i="155"/>
  <c r="AC38" i="155" s="1"/>
  <c r="AA45" i="155"/>
  <c r="O45" i="155"/>
  <c r="M45" i="155"/>
  <c r="N45" i="155" s="1"/>
  <c r="K45" i="155"/>
  <c r="AB44" i="155"/>
  <c r="AA44" i="155"/>
  <c r="V44" i="155"/>
  <c r="U44" i="155"/>
  <c r="O44" i="155"/>
  <c r="N44" i="155"/>
  <c r="Q44" i="155" s="1"/>
  <c r="M44" i="155"/>
  <c r="K44" i="155"/>
  <c r="G44" i="155"/>
  <c r="AB43" i="155"/>
  <c r="AA43" i="155"/>
  <c r="V43" i="155"/>
  <c r="U43" i="155"/>
  <c r="Q43" i="155"/>
  <c r="P43" i="155"/>
  <c r="O43" i="155"/>
  <c r="N43" i="155"/>
  <c r="M43" i="155"/>
  <c r="K43" i="155"/>
  <c r="G43" i="155"/>
  <c r="AB42" i="155"/>
  <c r="AA42" i="155"/>
  <c r="X42" i="155"/>
  <c r="W42" i="155"/>
  <c r="V42" i="155"/>
  <c r="U42" i="155"/>
  <c r="O42" i="155"/>
  <c r="N42" i="155"/>
  <c r="Q42" i="155" s="1"/>
  <c r="M42" i="155"/>
  <c r="K42" i="155"/>
  <c r="G42" i="155"/>
  <c r="AB41" i="155"/>
  <c r="AA41" i="155"/>
  <c r="V41" i="155"/>
  <c r="U41" i="155"/>
  <c r="Q41" i="155"/>
  <c r="P41" i="155"/>
  <c r="O41" i="155"/>
  <c r="N41" i="155"/>
  <c r="M41" i="155"/>
  <c r="K41" i="155"/>
  <c r="G41" i="155"/>
  <c r="AB40" i="155"/>
  <c r="AA40" i="155"/>
  <c r="V40" i="155"/>
  <c r="U40" i="155"/>
  <c r="Q40" i="155"/>
  <c r="P40" i="155"/>
  <c r="O40" i="155"/>
  <c r="N40" i="155"/>
  <c r="M40" i="155"/>
  <c r="K40" i="155"/>
  <c r="G40" i="155"/>
  <c r="AB39" i="155"/>
  <c r="AA39" i="155"/>
  <c r="V39" i="155"/>
  <c r="U39" i="155"/>
  <c r="O39" i="155"/>
  <c r="N39" i="155"/>
  <c r="P39" i="155" s="1"/>
  <c r="M39" i="155"/>
  <c r="K39" i="155"/>
  <c r="G39" i="155"/>
  <c r="AB38" i="155"/>
  <c r="AA38" i="155"/>
  <c r="X38" i="155"/>
  <c r="W38" i="155"/>
  <c r="V38" i="155"/>
  <c r="Q38" i="155"/>
  <c r="P38" i="155"/>
  <c r="O38" i="155"/>
  <c r="N38" i="155"/>
  <c r="M38" i="155"/>
  <c r="K38" i="155"/>
  <c r="G38" i="155"/>
  <c r="O37" i="155"/>
  <c r="M37" i="155"/>
  <c r="AB37" i="155" s="1"/>
  <c r="AC29" i="155" s="1"/>
  <c r="K37" i="155"/>
  <c r="AB36" i="155"/>
  <c r="AA36" i="155"/>
  <c r="V36" i="155"/>
  <c r="U36" i="155"/>
  <c r="O36" i="155"/>
  <c r="N36" i="155"/>
  <c r="Q36" i="155" s="1"/>
  <c r="M36" i="155"/>
  <c r="K36" i="155"/>
  <c r="G36" i="155"/>
  <c r="AA35" i="155"/>
  <c r="V35" i="155"/>
  <c r="U35" i="155"/>
  <c r="O35" i="155"/>
  <c r="M35" i="155"/>
  <c r="N35" i="155" s="1"/>
  <c r="K35" i="155"/>
  <c r="G35" i="155"/>
  <c r="AB34" i="155"/>
  <c r="AA34" i="155"/>
  <c r="V34" i="155"/>
  <c r="U34" i="155"/>
  <c r="O34" i="155"/>
  <c r="M34" i="155"/>
  <c r="N34" i="155" s="1"/>
  <c r="K34" i="155"/>
  <c r="G34" i="155"/>
  <c r="AA33" i="155"/>
  <c r="X33" i="155"/>
  <c r="W33" i="155"/>
  <c r="V33" i="155"/>
  <c r="U33" i="155"/>
  <c r="O33" i="155"/>
  <c r="M33" i="155"/>
  <c r="N33" i="155" s="1"/>
  <c r="K33" i="155"/>
  <c r="G33" i="155"/>
  <c r="AB32" i="155"/>
  <c r="AA32" i="155"/>
  <c r="V32" i="155"/>
  <c r="U32" i="155"/>
  <c r="O32" i="155"/>
  <c r="M32" i="155"/>
  <c r="N32" i="155" s="1"/>
  <c r="K32" i="155"/>
  <c r="G32" i="155"/>
  <c r="AB31" i="155"/>
  <c r="AA31" i="155"/>
  <c r="V31" i="155"/>
  <c r="U31" i="155"/>
  <c r="Q31" i="155"/>
  <c r="O31" i="155"/>
  <c r="N31" i="155"/>
  <c r="P31" i="155" s="1"/>
  <c r="M31" i="155"/>
  <c r="K31" i="155"/>
  <c r="G31" i="155"/>
  <c r="AB30" i="155"/>
  <c r="AA30" i="155"/>
  <c r="V30" i="155"/>
  <c r="U30" i="155"/>
  <c r="O30" i="155"/>
  <c r="M30" i="155"/>
  <c r="N30" i="155" s="1"/>
  <c r="K30" i="155"/>
  <c r="G30" i="155"/>
  <c r="AB29" i="155"/>
  <c r="AA29" i="155"/>
  <c r="X29" i="155"/>
  <c r="W29" i="155"/>
  <c r="V29" i="155"/>
  <c r="O29" i="155"/>
  <c r="M29" i="155"/>
  <c r="N29" i="155" s="1"/>
  <c r="K29" i="155"/>
  <c r="G29" i="155"/>
  <c r="O28" i="155"/>
  <c r="K28" i="155"/>
  <c r="AB27" i="155"/>
  <c r="AA27" i="155"/>
  <c r="V27" i="155"/>
  <c r="U27" i="155"/>
  <c r="Q27" i="155"/>
  <c r="P27" i="155"/>
  <c r="O27" i="155"/>
  <c r="N27" i="155"/>
  <c r="M27" i="155"/>
  <c r="K27" i="155"/>
  <c r="G27" i="155"/>
  <c r="AB26" i="155"/>
  <c r="AA26" i="155"/>
  <c r="V26" i="155"/>
  <c r="U26" i="155"/>
  <c r="Q26" i="155"/>
  <c r="P26" i="155"/>
  <c r="O26" i="155"/>
  <c r="N26" i="155"/>
  <c r="M26" i="155"/>
  <c r="K26" i="155"/>
  <c r="G26" i="155"/>
  <c r="AB25" i="155"/>
  <c r="AA25" i="155"/>
  <c r="V25" i="155"/>
  <c r="U25" i="155"/>
  <c r="O25" i="155"/>
  <c r="N25" i="155"/>
  <c r="P25" i="155" s="1"/>
  <c r="M25" i="155"/>
  <c r="K25" i="155"/>
  <c r="G25" i="155"/>
  <c r="AB24" i="155"/>
  <c r="AA24" i="155"/>
  <c r="V24" i="155"/>
  <c r="U24" i="155"/>
  <c r="P24" i="155"/>
  <c r="O24" i="155"/>
  <c r="N24" i="155"/>
  <c r="Q24" i="155" s="1"/>
  <c r="M24" i="155"/>
  <c r="K24" i="155"/>
  <c r="G24" i="155"/>
  <c r="AB23" i="155"/>
  <c r="AA23" i="155"/>
  <c r="V23" i="155"/>
  <c r="U23" i="155"/>
  <c r="O23" i="155"/>
  <c r="N23" i="155"/>
  <c r="Q23" i="155" s="1"/>
  <c r="M23" i="155"/>
  <c r="K23" i="155"/>
  <c r="G23" i="155"/>
  <c r="AB22" i="155"/>
  <c r="AA22" i="155"/>
  <c r="V22" i="155"/>
  <c r="U22" i="155"/>
  <c r="O22" i="155"/>
  <c r="N22" i="155"/>
  <c r="Q22" i="155" s="1"/>
  <c r="M22" i="155"/>
  <c r="K22" i="155"/>
  <c r="G22" i="155"/>
  <c r="AA21" i="155"/>
  <c r="V21" i="155"/>
  <c r="U21" i="155"/>
  <c r="O21" i="155"/>
  <c r="M21" i="155"/>
  <c r="N21" i="155" s="1"/>
  <c r="K21" i="155"/>
  <c r="G21" i="155"/>
  <c r="AA20" i="155"/>
  <c r="V20" i="155"/>
  <c r="O20" i="155"/>
  <c r="M20" i="155"/>
  <c r="M28" i="155" s="1"/>
  <c r="K20" i="155"/>
  <c r="G20" i="155"/>
  <c r="AB19" i="155"/>
  <c r="AC13" i="155" s="1"/>
  <c r="AA19" i="155"/>
  <c r="O19" i="155"/>
  <c r="M19" i="155"/>
  <c r="N19" i="155" s="1"/>
  <c r="K19" i="155"/>
  <c r="AB18" i="155"/>
  <c r="AA18" i="155"/>
  <c r="V18" i="155"/>
  <c r="U18" i="155"/>
  <c r="O18" i="155"/>
  <c r="N18" i="155"/>
  <c r="Q18" i="155" s="1"/>
  <c r="M18" i="155"/>
  <c r="K18" i="155"/>
  <c r="G18" i="155"/>
  <c r="AB17" i="155"/>
  <c r="AA17" i="155"/>
  <c r="X17" i="155"/>
  <c r="W17" i="155"/>
  <c r="V17" i="155"/>
  <c r="U17" i="155"/>
  <c r="Q17" i="155"/>
  <c r="P17" i="155"/>
  <c r="O17" i="155"/>
  <c r="N17" i="155"/>
  <c r="M17" i="155"/>
  <c r="K17" i="155"/>
  <c r="G17" i="155"/>
  <c r="AB16" i="155"/>
  <c r="AA16" i="155"/>
  <c r="V16" i="155"/>
  <c r="U16" i="155"/>
  <c r="O16" i="155"/>
  <c r="N16" i="155"/>
  <c r="Q16" i="155" s="1"/>
  <c r="M16" i="155"/>
  <c r="K16" i="155"/>
  <c r="G16" i="155"/>
  <c r="AB15" i="155"/>
  <c r="AA15" i="155"/>
  <c r="V15" i="155"/>
  <c r="U15" i="155"/>
  <c r="Q15" i="155"/>
  <c r="P15" i="155"/>
  <c r="O15" i="155"/>
  <c r="N15" i="155"/>
  <c r="M15" i="155"/>
  <c r="K15" i="155"/>
  <c r="G15" i="155"/>
  <c r="AB14" i="155"/>
  <c r="AA14" i="155"/>
  <c r="V14" i="155"/>
  <c r="U14" i="155"/>
  <c r="Q14" i="155"/>
  <c r="P14" i="155"/>
  <c r="O14" i="155"/>
  <c r="N14" i="155"/>
  <c r="M14" i="155"/>
  <c r="K14" i="155"/>
  <c r="G14" i="155"/>
  <c r="AB13" i="155"/>
  <c r="AA13" i="155"/>
  <c r="V13" i="155"/>
  <c r="Q13" i="155"/>
  <c r="P13" i="155"/>
  <c r="O13" i="155"/>
  <c r="N13" i="155"/>
  <c r="M13" i="155"/>
  <c r="K13" i="155"/>
  <c r="G13" i="155"/>
  <c r="O12" i="155"/>
  <c r="K12" i="155"/>
  <c r="AA11" i="155"/>
  <c r="V11" i="155"/>
  <c r="U11" i="155"/>
  <c r="O11" i="155"/>
  <c r="M11" i="155"/>
  <c r="N11" i="155" s="1"/>
  <c r="K11" i="155"/>
  <c r="G11" i="155"/>
  <c r="AB10" i="155"/>
  <c r="AA10" i="155"/>
  <c r="X10" i="155"/>
  <c r="W10" i="155"/>
  <c r="V10" i="155"/>
  <c r="O10" i="155"/>
  <c r="N10" i="155"/>
  <c r="Q10" i="155" s="1"/>
  <c r="M10" i="155"/>
  <c r="K10" i="155"/>
  <c r="G10" i="155"/>
  <c r="O9" i="155"/>
  <c r="K9" i="155"/>
  <c r="AB8" i="155"/>
  <c r="AA8" i="155"/>
  <c r="V8" i="155"/>
  <c r="U8" i="155"/>
  <c r="O8" i="155"/>
  <c r="M8" i="155"/>
  <c r="N8" i="155" s="1"/>
  <c r="K8" i="155"/>
  <c r="G8" i="155"/>
  <c r="AB7" i="155"/>
  <c r="AA7" i="155"/>
  <c r="X7" i="155"/>
  <c r="W7" i="155"/>
  <c r="V7" i="155"/>
  <c r="U7" i="155"/>
  <c r="Q7" i="155"/>
  <c r="O7" i="155"/>
  <c r="N7" i="155"/>
  <c r="P7" i="155" s="1"/>
  <c r="M7" i="155"/>
  <c r="K7" i="155"/>
  <c r="G7" i="155"/>
  <c r="AB6" i="155"/>
  <c r="AA6" i="155"/>
  <c r="V6" i="155"/>
  <c r="U6" i="155"/>
  <c r="O6" i="155"/>
  <c r="M6" i="155"/>
  <c r="N6" i="155" s="1"/>
  <c r="K6" i="155"/>
  <c r="G6" i="155"/>
  <c r="AB5" i="155"/>
  <c r="AA5" i="155"/>
  <c r="V5" i="155"/>
  <c r="O5" i="155"/>
  <c r="M5" i="155"/>
  <c r="N5" i="155" s="1"/>
  <c r="K5" i="155"/>
  <c r="G5" i="155"/>
  <c r="H2" i="155"/>
  <c r="H1" i="155"/>
  <c r="F1" i="155"/>
  <c r="D1" i="155"/>
  <c r="F3" i="154" s="1"/>
  <c r="M18" i="154"/>
  <c r="L18" i="154"/>
  <c r="K18" i="154"/>
  <c r="J18" i="154"/>
  <c r="I18" i="154"/>
  <c r="H18" i="154"/>
  <c r="G18" i="154"/>
  <c r="F18" i="154"/>
  <c r="E18" i="154"/>
  <c r="D18" i="154"/>
  <c r="M17" i="154"/>
  <c r="L17" i="154"/>
  <c r="K17" i="154"/>
  <c r="J17" i="154"/>
  <c r="I17" i="154"/>
  <c r="H17" i="154"/>
  <c r="G17" i="154"/>
  <c r="F17" i="154"/>
  <c r="E17" i="154"/>
  <c r="D17" i="154"/>
  <c r="M16" i="154"/>
  <c r="L16" i="154"/>
  <c r="K16" i="154"/>
  <c r="J16" i="154"/>
  <c r="I16" i="154"/>
  <c r="H16" i="154"/>
  <c r="G16" i="154"/>
  <c r="F16" i="154"/>
  <c r="E16" i="154"/>
  <c r="D16" i="154"/>
  <c r="M13" i="154"/>
  <c r="L13" i="154"/>
  <c r="K13" i="154"/>
  <c r="J13" i="154"/>
  <c r="I13" i="154"/>
  <c r="H13" i="154"/>
  <c r="G13" i="154"/>
  <c r="F13" i="154"/>
  <c r="E13" i="154"/>
  <c r="D13" i="154"/>
  <c r="I3" i="154"/>
  <c r="C3" i="154"/>
  <c r="E8" i="164" l="1"/>
  <c r="G8" i="164"/>
  <c r="F8" i="164"/>
  <c r="G7" i="162"/>
  <c r="E7" i="162"/>
  <c r="D15" i="162"/>
  <c r="F7" i="162"/>
  <c r="K15" i="162"/>
  <c r="I8" i="162" s="1"/>
  <c r="I7" i="162"/>
  <c r="G14" i="160"/>
  <c r="G15" i="160" s="1"/>
  <c r="Q26" i="161"/>
  <c r="R18" i="161" s="1"/>
  <c r="P26" i="161"/>
  <c r="J14" i="160"/>
  <c r="J15" i="160" s="1"/>
  <c r="Q69" i="161"/>
  <c r="R63" i="161" s="1"/>
  <c r="P69" i="161"/>
  <c r="D2" i="161"/>
  <c r="D14" i="160"/>
  <c r="Q9" i="161"/>
  <c r="R5" i="161" s="1"/>
  <c r="P9" i="161"/>
  <c r="P36" i="161"/>
  <c r="K14" i="160"/>
  <c r="Q36" i="161"/>
  <c r="R27" i="161" s="1"/>
  <c r="M14" i="160"/>
  <c r="M15" i="160" s="1"/>
  <c r="Q79" i="161"/>
  <c r="R70" i="161" s="1"/>
  <c r="P79" i="161"/>
  <c r="F14" i="160"/>
  <c r="F15" i="160" s="1"/>
  <c r="Q17" i="161"/>
  <c r="R13" i="161" s="1"/>
  <c r="P17" i="161"/>
  <c r="Q55" i="161"/>
  <c r="R46" i="161" s="1"/>
  <c r="H14" i="160"/>
  <c r="H15" i="160" s="1"/>
  <c r="P55" i="161"/>
  <c r="L14" i="160"/>
  <c r="L15" i="160" s="1"/>
  <c r="Q45" i="161"/>
  <c r="R37" i="161" s="1"/>
  <c r="P45" i="161"/>
  <c r="I6" i="154"/>
  <c r="G6" i="154"/>
  <c r="D15" i="156"/>
  <c r="Q19" i="157"/>
  <c r="P19" i="157"/>
  <c r="Q74" i="157"/>
  <c r="R66" i="157" s="1"/>
  <c r="M14" i="156"/>
  <c r="M15" i="156" s="1"/>
  <c r="P74" i="157"/>
  <c r="Q27" i="157"/>
  <c r="R19" i="157" s="1"/>
  <c r="G14" i="156"/>
  <c r="G15" i="156" s="1"/>
  <c r="P27" i="157"/>
  <c r="Q36" i="157"/>
  <c r="R28" i="157" s="1"/>
  <c r="K14" i="156"/>
  <c r="P36" i="157"/>
  <c r="Q53" i="157"/>
  <c r="R45" i="157" s="1"/>
  <c r="H14" i="156"/>
  <c r="H15" i="156" s="1"/>
  <c r="P53" i="157"/>
  <c r="Q12" i="157"/>
  <c r="R10" i="157" s="1"/>
  <c r="P12" i="157"/>
  <c r="E14" i="156"/>
  <c r="E15" i="156" s="1"/>
  <c r="Q8" i="155"/>
  <c r="P8" i="155"/>
  <c r="N28" i="155"/>
  <c r="AA28" i="155"/>
  <c r="AB28" i="155"/>
  <c r="AC20" i="155" s="1"/>
  <c r="L14" i="154"/>
  <c r="L15" i="154" s="1"/>
  <c r="P45" i="155"/>
  <c r="Q45" i="155"/>
  <c r="R38" i="155" s="1"/>
  <c r="Q74" i="155"/>
  <c r="P74" i="155"/>
  <c r="Q6" i="155"/>
  <c r="P6" i="155"/>
  <c r="P30" i="155"/>
  <c r="Q30" i="155"/>
  <c r="P67" i="155"/>
  <c r="Q67" i="155"/>
  <c r="Q33" i="155"/>
  <c r="P33" i="155"/>
  <c r="Q29" i="155"/>
  <c r="P29" i="155"/>
  <c r="P58" i="155"/>
  <c r="Q58" i="155"/>
  <c r="Q32" i="155"/>
  <c r="P32" i="155"/>
  <c r="P19" i="155"/>
  <c r="F14" i="154"/>
  <c r="F15" i="154" s="1"/>
  <c r="Q19" i="155"/>
  <c r="R13" i="155" s="1"/>
  <c r="Q35" i="155"/>
  <c r="P35" i="155"/>
  <c r="Q11" i="155"/>
  <c r="P11" i="155"/>
  <c r="Q5" i="155"/>
  <c r="P5" i="155"/>
  <c r="Q46" i="155"/>
  <c r="P46" i="155"/>
  <c r="Q72" i="155"/>
  <c r="P72" i="155"/>
  <c r="Q48" i="155"/>
  <c r="P48" i="155"/>
  <c r="P70" i="155"/>
  <c r="Q70" i="155"/>
  <c r="Q73" i="155"/>
  <c r="P73" i="155"/>
  <c r="Q21" i="155"/>
  <c r="P21" i="155"/>
  <c r="Q34" i="155"/>
  <c r="P34" i="155"/>
  <c r="Q49" i="155"/>
  <c r="P49" i="155"/>
  <c r="P60" i="155"/>
  <c r="Q60" i="155"/>
  <c r="N66" i="155"/>
  <c r="F6" i="154"/>
  <c r="AB11" i="155"/>
  <c r="P16" i="155"/>
  <c r="P18" i="155"/>
  <c r="AB20" i="155"/>
  <c r="AB21" i="155"/>
  <c r="AB35" i="155"/>
  <c r="P42" i="155"/>
  <c r="P44" i="155"/>
  <c r="AB49" i="155"/>
  <c r="M54" i="155"/>
  <c r="P55" i="155"/>
  <c r="P56" i="155"/>
  <c r="P68" i="155"/>
  <c r="E6" i="154"/>
  <c r="M12" i="155"/>
  <c r="AB33" i="155"/>
  <c r="N37" i="155"/>
  <c r="AB46" i="155"/>
  <c r="AB73" i="155"/>
  <c r="Q25" i="155"/>
  <c r="Q39" i="155"/>
  <c r="Q65" i="155"/>
  <c r="AB66" i="155"/>
  <c r="AC62" i="155" s="1"/>
  <c r="N75" i="155"/>
  <c r="M9" i="155"/>
  <c r="P10" i="155"/>
  <c r="N20" i="155"/>
  <c r="P23" i="155"/>
  <c r="P51" i="155"/>
  <c r="P53" i="155"/>
  <c r="M61" i="155"/>
  <c r="P62" i="155"/>
  <c r="P63" i="155"/>
  <c r="AB67" i="155"/>
  <c r="F2" i="155"/>
  <c r="P22" i="155"/>
  <c r="P36" i="155"/>
  <c r="AA37" i="155"/>
  <c r="P50" i="155"/>
  <c r="AA75" i="155"/>
  <c r="O67" i="153"/>
  <c r="K67" i="153"/>
  <c r="AB66" i="153"/>
  <c r="AA66" i="153"/>
  <c r="V66" i="153"/>
  <c r="U66" i="153"/>
  <c r="O66" i="153"/>
  <c r="N66" i="153"/>
  <c r="P66" i="153" s="1"/>
  <c r="M66" i="153"/>
  <c r="K66" i="153"/>
  <c r="G66" i="153"/>
  <c r="AB65" i="153"/>
  <c r="AA65" i="153"/>
  <c r="V65" i="153"/>
  <c r="U65" i="153"/>
  <c r="Q65" i="153"/>
  <c r="P65" i="153"/>
  <c r="O65" i="153"/>
  <c r="N65" i="153"/>
  <c r="M65" i="153"/>
  <c r="K65" i="153"/>
  <c r="G65" i="153"/>
  <c r="V64" i="153"/>
  <c r="U64" i="153"/>
  <c r="O64" i="153"/>
  <c r="M64" i="153"/>
  <c r="AB64" i="153" s="1"/>
  <c r="K64" i="153"/>
  <c r="G64" i="153"/>
  <c r="AB63" i="153"/>
  <c r="AA63" i="153"/>
  <c r="V63" i="153"/>
  <c r="U63" i="153"/>
  <c r="P63" i="153"/>
  <c r="O63" i="153"/>
  <c r="N63" i="153"/>
  <c r="Q63" i="153" s="1"/>
  <c r="M63" i="153"/>
  <c r="K63" i="153"/>
  <c r="G63" i="153"/>
  <c r="AB62" i="153"/>
  <c r="AA62" i="153"/>
  <c r="V62" i="153"/>
  <c r="U62" i="153"/>
  <c r="O62" i="153"/>
  <c r="N62" i="153"/>
  <c r="Q62" i="153" s="1"/>
  <c r="M62" i="153"/>
  <c r="K62" i="153"/>
  <c r="G62" i="153"/>
  <c r="AB61" i="153"/>
  <c r="AA61" i="153"/>
  <c r="V61" i="153"/>
  <c r="U61" i="153"/>
  <c r="O61" i="153"/>
  <c r="N61" i="153"/>
  <c r="Q61" i="153" s="1"/>
  <c r="M61" i="153"/>
  <c r="K61" i="153"/>
  <c r="G61" i="153"/>
  <c r="AB60" i="153"/>
  <c r="AA60" i="153"/>
  <c r="X60" i="153"/>
  <c r="W60" i="153"/>
  <c r="V60" i="153"/>
  <c r="O60" i="153"/>
  <c r="M60" i="153"/>
  <c r="N60" i="153" s="1"/>
  <c r="K60" i="153"/>
  <c r="G60" i="153"/>
  <c r="O59" i="153"/>
  <c r="K59" i="153"/>
  <c r="AB58" i="153"/>
  <c r="AA58" i="153"/>
  <c r="V58" i="153"/>
  <c r="U58" i="153"/>
  <c r="O58" i="153"/>
  <c r="M58" i="153"/>
  <c r="N58" i="153" s="1"/>
  <c r="K58" i="153"/>
  <c r="G58" i="153"/>
  <c r="AB57" i="153"/>
  <c r="AA57" i="153"/>
  <c r="V57" i="153"/>
  <c r="U57" i="153"/>
  <c r="Q57" i="153"/>
  <c r="P57" i="153"/>
  <c r="O57" i="153"/>
  <c r="N57" i="153"/>
  <c r="M57" i="153"/>
  <c r="K57" i="153"/>
  <c r="G57" i="153"/>
  <c r="AB56" i="153"/>
  <c r="AA56" i="153"/>
  <c r="V56" i="153"/>
  <c r="U56" i="153"/>
  <c r="O56" i="153"/>
  <c r="N56" i="153"/>
  <c r="Q56" i="153" s="1"/>
  <c r="M56" i="153"/>
  <c r="K56" i="153"/>
  <c r="G56" i="153"/>
  <c r="V55" i="153"/>
  <c r="O55" i="153"/>
  <c r="M55" i="153"/>
  <c r="AB55" i="153" s="1"/>
  <c r="K55" i="153"/>
  <c r="G55" i="153"/>
  <c r="O54" i="153"/>
  <c r="K54" i="153"/>
  <c r="V53" i="153"/>
  <c r="U53" i="153"/>
  <c r="O53" i="153"/>
  <c r="M53" i="153"/>
  <c r="AB53" i="153" s="1"/>
  <c r="K53" i="153"/>
  <c r="G53" i="153"/>
  <c r="AB52" i="153"/>
  <c r="AA52" i="153"/>
  <c r="V52" i="153"/>
  <c r="U52" i="153"/>
  <c r="P52" i="153"/>
  <c r="O52" i="153"/>
  <c r="N52" i="153"/>
  <c r="Q52" i="153" s="1"/>
  <c r="M52" i="153"/>
  <c r="K52" i="153"/>
  <c r="G52" i="153"/>
  <c r="V51" i="153"/>
  <c r="U51" i="153"/>
  <c r="O51" i="153"/>
  <c r="M51" i="153"/>
  <c r="N51" i="153" s="1"/>
  <c r="K51" i="153"/>
  <c r="G51" i="153"/>
  <c r="AB50" i="153"/>
  <c r="AA50" i="153"/>
  <c r="V50" i="153"/>
  <c r="U50" i="153"/>
  <c r="O50" i="153"/>
  <c r="N50" i="153"/>
  <c r="Q50" i="153" s="1"/>
  <c r="M50" i="153"/>
  <c r="K50" i="153"/>
  <c r="G50" i="153"/>
  <c r="AB49" i="153"/>
  <c r="AA49" i="153"/>
  <c r="V49" i="153"/>
  <c r="O49" i="153"/>
  <c r="M49" i="153"/>
  <c r="N49" i="153" s="1"/>
  <c r="K49" i="153"/>
  <c r="G49" i="153"/>
  <c r="O48" i="153"/>
  <c r="M48" i="153"/>
  <c r="AB48" i="153" s="1"/>
  <c r="AC41" i="153" s="1"/>
  <c r="K48" i="153"/>
  <c r="AB47" i="153"/>
  <c r="AA47" i="153"/>
  <c r="V47" i="153"/>
  <c r="U47" i="153"/>
  <c r="O47" i="153"/>
  <c r="M47" i="153"/>
  <c r="N47" i="153" s="1"/>
  <c r="K47" i="153"/>
  <c r="G47" i="153"/>
  <c r="AB46" i="153"/>
  <c r="AA46" i="153"/>
  <c r="V46" i="153"/>
  <c r="U46" i="153"/>
  <c r="O46" i="153"/>
  <c r="N46" i="153"/>
  <c r="P46" i="153" s="1"/>
  <c r="M46" i="153"/>
  <c r="K46" i="153"/>
  <c r="G46" i="153"/>
  <c r="AB45" i="153"/>
  <c r="AA45" i="153"/>
  <c r="V45" i="153"/>
  <c r="U45" i="153"/>
  <c r="O45" i="153"/>
  <c r="M45" i="153"/>
  <c r="N45" i="153" s="1"/>
  <c r="K45" i="153"/>
  <c r="G45" i="153"/>
  <c r="AB44" i="153"/>
  <c r="AA44" i="153"/>
  <c r="V44" i="153"/>
  <c r="U44" i="153"/>
  <c r="O44" i="153"/>
  <c r="N44" i="153"/>
  <c r="Q44" i="153" s="1"/>
  <c r="M44" i="153"/>
  <c r="K44" i="153"/>
  <c r="G44" i="153"/>
  <c r="AB43" i="153"/>
  <c r="AA43" i="153"/>
  <c r="V43" i="153"/>
  <c r="U43" i="153"/>
  <c r="O43" i="153"/>
  <c r="M43" i="153"/>
  <c r="N43" i="153" s="1"/>
  <c r="K43" i="153"/>
  <c r="G43" i="153"/>
  <c r="AB42" i="153"/>
  <c r="AA42" i="153"/>
  <c r="V42" i="153"/>
  <c r="U42" i="153"/>
  <c r="O42" i="153"/>
  <c r="N42" i="153"/>
  <c r="Q42" i="153" s="1"/>
  <c r="M42" i="153"/>
  <c r="K42" i="153"/>
  <c r="G42" i="153"/>
  <c r="AB41" i="153"/>
  <c r="AA41" i="153"/>
  <c r="X41" i="153"/>
  <c r="W41" i="153"/>
  <c r="V41" i="153"/>
  <c r="O41" i="153"/>
  <c r="N41" i="153"/>
  <c r="Q41" i="153" s="1"/>
  <c r="M41" i="153"/>
  <c r="K41" i="153"/>
  <c r="G41" i="153"/>
  <c r="O40" i="153"/>
  <c r="M40" i="153"/>
  <c r="N40" i="153" s="1"/>
  <c r="K40" i="153"/>
  <c r="AB39" i="153"/>
  <c r="AA39" i="153"/>
  <c r="V39" i="153"/>
  <c r="U39" i="153"/>
  <c r="P39" i="153"/>
  <c r="O39" i="153"/>
  <c r="N39" i="153"/>
  <c r="Q39" i="153" s="1"/>
  <c r="M39" i="153"/>
  <c r="K39" i="153"/>
  <c r="G39" i="153"/>
  <c r="AB38" i="153"/>
  <c r="AA38" i="153"/>
  <c r="X38" i="153"/>
  <c r="W38" i="153"/>
  <c r="V38" i="153"/>
  <c r="U38" i="153"/>
  <c r="O38" i="153"/>
  <c r="M38" i="153"/>
  <c r="N38" i="153" s="1"/>
  <c r="K38" i="153"/>
  <c r="G38" i="153"/>
  <c r="AB37" i="153"/>
  <c r="AA37" i="153"/>
  <c r="V37" i="153"/>
  <c r="U37" i="153"/>
  <c r="O37" i="153"/>
  <c r="N37" i="153"/>
  <c r="Q37" i="153" s="1"/>
  <c r="M37" i="153"/>
  <c r="K37" i="153"/>
  <c r="G37" i="153"/>
  <c r="AB36" i="153"/>
  <c r="AA36" i="153"/>
  <c r="V36" i="153"/>
  <c r="U36" i="153"/>
  <c r="O36" i="153"/>
  <c r="M36" i="153"/>
  <c r="N36" i="153" s="1"/>
  <c r="K36" i="153"/>
  <c r="G36" i="153"/>
  <c r="AB35" i="153"/>
  <c r="AA35" i="153"/>
  <c r="V35" i="153"/>
  <c r="U35" i="153"/>
  <c r="Q35" i="153"/>
  <c r="P35" i="153"/>
  <c r="O35" i="153"/>
  <c r="N35" i="153"/>
  <c r="M35" i="153"/>
  <c r="K35" i="153"/>
  <c r="G35" i="153"/>
  <c r="AB34" i="153"/>
  <c r="AA34" i="153"/>
  <c r="X34" i="153"/>
  <c r="W34" i="153"/>
  <c r="V34" i="153"/>
  <c r="P34" i="153"/>
  <c r="O34" i="153"/>
  <c r="N34" i="153"/>
  <c r="Q34" i="153" s="1"/>
  <c r="M34" i="153"/>
  <c r="K34" i="153"/>
  <c r="G34" i="153"/>
  <c r="O33" i="153"/>
  <c r="M33" i="153"/>
  <c r="AB33" i="153" s="1"/>
  <c r="AC27" i="153" s="1"/>
  <c r="K33" i="153"/>
  <c r="AB32" i="153"/>
  <c r="AA32" i="153"/>
  <c r="V32" i="153"/>
  <c r="U32" i="153"/>
  <c r="P32" i="153"/>
  <c r="O32" i="153"/>
  <c r="N32" i="153"/>
  <c r="Q32" i="153" s="1"/>
  <c r="M32" i="153"/>
  <c r="K32" i="153"/>
  <c r="G32" i="153"/>
  <c r="AB31" i="153"/>
  <c r="AA31" i="153"/>
  <c r="X31" i="153"/>
  <c r="W31" i="153"/>
  <c r="V31" i="153"/>
  <c r="U31" i="153"/>
  <c r="Q31" i="153"/>
  <c r="P31" i="153"/>
  <c r="O31" i="153"/>
  <c r="N31" i="153"/>
  <c r="M31" i="153"/>
  <c r="K31" i="153"/>
  <c r="G31" i="153"/>
  <c r="AB30" i="153"/>
  <c r="AA30" i="153"/>
  <c r="V30" i="153"/>
  <c r="U30" i="153"/>
  <c r="O30" i="153"/>
  <c r="N30" i="153"/>
  <c r="P30" i="153" s="1"/>
  <c r="M30" i="153"/>
  <c r="K30" i="153"/>
  <c r="G30" i="153"/>
  <c r="AB29" i="153"/>
  <c r="AA29" i="153"/>
  <c r="V29" i="153"/>
  <c r="U29" i="153"/>
  <c r="O29" i="153"/>
  <c r="M29" i="153"/>
  <c r="N29" i="153" s="1"/>
  <c r="K29" i="153"/>
  <c r="G29" i="153"/>
  <c r="AB28" i="153"/>
  <c r="AA28" i="153"/>
  <c r="V28" i="153"/>
  <c r="U28" i="153"/>
  <c r="O28" i="153"/>
  <c r="N28" i="153"/>
  <c r="Q28" i="153" s="1"/>
  <c r="M28" i="153"/>
  <c r="K28" i="153"/>
  <c r="G28" i="153"/>
  <c r="AB27" i="153"/>
  <c r="AA27" i="153"/>
  <c r="X27" i="153"/>
  <c r="W27" i="153"/>
  <c r="V27" i="153"/>
  <c r="P27" i="153"/>
  <c r="O27" i="153"/>
  <c r="N27" i="153"/>
  <c r="Q27" i="153" s="1"/>
  <c r="M27" i="153"/>
  <c r="K27" i="153"/>
  <c r="G27" i="153"/>
  <c r="O26" i="153"/>
  <c r="K26" i="153"/>
  <c r="AB25" i="153"/>
  <c r="AA25" i="153"/>
  <c r="V25" i="153"/>
  <c r="U25" i="153"/>
  <c r="Q25" i="153"/>
  <c r="P25" i="153"/>
  <c r="O25" i="153"/>
  <c r="N25" i="153"/>
  <c r="M25" i="153"/>
  <c r="K25" i="153"/>
  <c r="G25" i="153"/>
  <c r="V24" i="153"/>
  <c r="U24" i="153"/>
  <c r="O24" i="153"/>
  <c r="M24" i="153"/>
  <c r="AB24" i="153" s="1"/>
  <c r="K24" i="153"/>
  <c r="G24" i="153"/>
  <c r="AB23" i="153"/>
  <c r="AA23" i="153"/>
  <c r="V23" i="153"/>
  <c r="U23" i="153"/>
  <c r="Q23" i="153"/>
  <c r="P23" i="153"/>
  <c r="O23" i="153"/>
  <c r="N23" i="153"/>
  <c r="M23" i="153"/>
  <c r="K23" i="153"/>
  <c r="G23" i="153"/>
  <c r="AB22" i="153"/>
  <c r="AA22" i="153"/>
  <c r="V22" i="153"/>
  <c r="U22" i="153"/>
  <c r="O22" i="153"/>
  <c r="N22" i="153"/>
  <c r="P22" i="153" s="1"/>
  <c r="M22" i="153"/>
  <c r="K22" i="153"/>
  <c r="G22" i="153"/>
  <c r="AB21" i="153"/>
  <c r="AA21" i="153"/>
  <c r="V21" i="153"/>
  <c r="U21" i="153"/>
  <c r="O21" i="153"/>
  <c r="N21" i="153"/>
  <c r="Q21" i="153" s="1"/>
  <c r="M21" i="153"/>
  <c r="K21" i="153"/>
  <c r="G21" i="153"/>
  <c r="AB20" i="153"/>
  <c r="AA20" i="153"/>
  <c r="V20" i="153"/>
  <c r="U20" i="153"/>
  <c r="O20" i="153"/>
  <c r="M20" i="153"/>
  <c r="N20" i="153" s="1"/>
  <c r="K20" i="153"/>
  <c r="G20" i="153"/>
  <c r="AB19" i="153"/>
  <c r="AA19" i="153"/>
  <c r="V19" i="153"/>
  <c r="U19" i="153"/>
  <c r="O19" i="153"/>
  <c r="N19" i="153"/>
  <c r="Q19" i="153" s="1"/>
  <c r="M19" i="153"/>
  <c r="K19" i="153"/>
  <c r="G19" i="153"/>
  <c r="AB18" i="153"/>
  <c r="AA18" i="153"/>
  <c r="V18" i="153"/>
  <c r="O18" i="153"/>
  <c r="M18" i="153"/>
  <c r="N18" i="153" s="1"/>
  <c r="K18" i="153"/>
  <c r="G18" i="153"/>
  <c r="O17" i="153"/>
  <c r="K17" i="153"/>
  <c r="AB16" i="153"/>
  <c r="AA16" i="153"/>
  <c r="V16" i="153"/>
  <c r="U16" i="153"/>
  <c r="O16" i="153"/>
  <c r="M16" i="153"/>
  <c r="N16" i="153" s="1"/>
  <c r="K16" i="153"/>
  <c r="G16" i="153"/>
  <c r="AB15" i="153"/>
  <c r="AA15" i="153"/>
  <c r="V15" i="153"/>
  <c r="U15" i="153"/>
  <c r="Q15" i="153"/>
  <c r="P15" i="153"/>
  <c r="O15" i="153"/>
  <c r="N15" i="153"/>
  <c r="M15" i="153"/>
  <c r="K15" i="153"/>
  <c r="G15" i="153"/>
  <c r="AB14" i="153"/>
  <c r="AA14" i="153"/>
  <c r="V14" i="153"/>
  <c r="U14" i="153"/>
  <c r="O14" i="153"/>
  <c r="N14" i="153"/>
  <c r="P14" i="153" s="1"/>
  <c r="M14" i="153"/>
  <c r="K14" i="153"/>
  <c r="G14" i="153"/>
  <c r="V13" i="153"/>
  <c r="U13" i="153"/>
  <c r="O13" i="153"/>
  <c r="M13" i="153"/>
  <c r="AB13" i="153" s="1"/>
  <c r="K13" i="153"/>
  <c r="G13" i="153"/>
  <c r="AB12" i="153"/>
  <c r="AA12" i="153"/>
  <c r="X12" i="153"/>
  <c r="W12" i="153"/>
  <c r="V12" i="153"/>
  <c r="O12" i="153"/>
  <c r="N12" i="153"/>
  <c r="Q12" i="153" s="1"/>
  <c r="M12" i="153"/>
  <c r="K12" i="153"/>
  <c r="G12" i="153"/>
  <c r="O11" i="153"/>
  <c r="K11" i="153"/>
  <c r="AB10" i="153"/>
  <c r="AA10" i="153"/>
  <c r="V10" i="153"/>
  <c r="U10" i="153"/>
  <c r="O10" i="153"/>
  <c r="N10" i="153"/>
  <c r="Q10" i="153" s="1"/>
  <c r="M10" i="153"/>
  <c r="K10" i="153"/>
  <c r="G10" i="153"/>
  <c r="AB9" i="153"/>
  <c r="AA9" i="153"/>
  <c r="V9" i="153"/>
  <c r="O9" i="153"/>
  <c r="M9" i="153"/>
  <c r="M11" i="153" s="1"/>
  <c r="K9" i="153"/>
  <c r="G9" i="153"/>
  <c r="O8" i="153"/>
  <c r="M8" i="153"/>
  <c r="AB8" i="153" s="1"/>
  <c r="AC5" i="153" s="1"/>
  <c r="K8" i="153"/>
  <c r="AB7" i="153"/>
  <c r="AA7" i="153"/>
  <c r="V7" i="153"/>
  <c r="U7" i="153"/>
  <c r="Q7" i="153"/>
  <c r="P7" i="153"/>
  <c r="O7" i="153"/>
  <c r="N7" i="153"/>
  <c r="M7" i="153"/>
  <c r="K7" i="153"/>
  <c r="G7" i="153"/>
  <c r="AB6" i="153"/>
  <c r="AA6" i="153"/>
  <c r="V6" i="153"/>
  <c r="U6" i="153"/>
  <c r="O6" i="153"/>
  <c r="N6" i="153"/>
  <c r="P6" i="153" s="1"/>
  <c r="M6" i="153"/>
  <c r="K6" i="153"/>
  <c r="G6" i="153"/>
  <c r="AB5" i="153"/>
  <c r="AA5" i="153"/>
  <c r="V5" i="153"/>
  <c r="O5" i="153"/>
  <c r="M5" i="153"/>
  <c r="N5" i="153" s="1"/>
  <c r="K5" i="153"/>
  <c r="G5" i="153"/>
  <c r="H2" i="153"/>
  <c r="H1" i="153"/>
  <c r="F1" i="153"/>
  <c r="I3" i="152" s="1"/>
  <c r="D1" i="153"/>
  <c r="M18" i="152"/>
  <c r="L18" i="152"/>
  <c r="K18" i="152"/>
  <c r="J18" i="152"/>
  <c r="I18" i="152"/>
  <c r="H18" i="152"/>
  <c r="G18" i="152"/>
  <c r="F18" i="152"/>
  <c r="E18" i="152"/>
  <c r="D18" i="152"/>
  <c r="M17" i="152"/>
  <c r="L17" i="152"/>
  <c r="K17" i="152"/>
  <c r="J17" i="152"/>
  <c r="I17" i="152"/>
  <c r="H17" i="152"/>
  <c r="G17" i="152"/>
  <c r="F17" i="152"/>
  <c r="E17" i="152"/>
  <c r="D17" i="152"/>
  <c r="M16" i="152"/>
  <c r="L16" i="152"/>
  <c r="K16" i="152"/>
  <c r="J16" i="152"/>
  <c r="I16" i="152"/>
  <c r="H16" i="152"/>
  <c r="G16" i="152"/>
  <c r="F16" i="152"/>
  <c r="E16" i="152"/>
  <c r="D16" i="152"/>
  <c r="M13" i="152"/>
  <c r="L13" i="152"/>
  <c r="K13" i="152"/>
  <c r="I6" i="152" s="1"/>
  <c r="J13" i="152"/>
  <c r="I13" i="152"/>
  <c r="H13" i="152"/>
  <c r="G13" i="152"/>
  <c r="F13" i="152"/>
  <c r="E13" i="152"/>
  <c r="D13" i="152"/>
  <c r="F3" i="152"/>
  <c r="C3" i="152"/>
  <c r="F8" i="162" l="1"/>
  <c r="G8" i="162"/>
  <c r="E8" i="162"/>
  <c r="K15" i="160"/>
  <c r="I8" i="160" s="1"/>
  <c r="I7" i="160"/>
  <c r="D15" i="160"/>
  <c r="G7" i="160"/>
  <c r="F7" i="160"/>
  <c r="E7" i="160"/>
  <c r="F6" i="152"/>
  <c r="G7" i="156"/>
  <c r="I7" i="156"/>
  <c r="K15" i="156"/>
  <c r="I8" i="156" s="1"/>
  <c r="F7" i="156"/>
  <c r="E7" i="156"/>
  <c r="F8" i="156"/>
  <c r="E8" i="156"/>
  <c r="G8" i="156"/>
  <c r="Q20" i="155"/>
  <c r="P20" i="155"/>
  <c r="AA9" i="155"/>
  <c r="N9" i="155"/>
  <c r="AB9" i="155"/>
  <c r="AC5" i="155" s="1"/>
  <c r="Q75" i="155"/>
  <c r="R67" i="155" s="1"/>
  <c r="P75" i="155"/>
  <c r="M14" i="154"/>
  <c r="M15" i="154" s="1"/>
  <c r="AB54" i="155"/>
  <c r="AC46" i="155" s="1"/>
  <c r="AA54" i="155"/>
  <c r="N54" i="155"/>
  <c r="P28" i="155"/>
  <c r="Q28" i="155"/>
  <c r="R20" i="155" s="1"/>
  <c r="G14" i="154"/>
  <c r="G15" i="154" s="1"/>
  <c r="N61" i="155"/>
  <c r="AB61" i="155"/>
  <c r="AC55" i="155" s="1"/>
  <c r="AA61" i="155"/>
  <c r="Q37" i="155"/>
  <c r="R29" i="155" s="1"/>
  <c r="P37" i="155"/>
  <c r="K14" i="154"/>
  <c r="AB12" i="155"/>
  <c r="AC10" i="155" s="1"/>
  <c r="AA12" i="155"/>
  <c r="N12" i="155"/>
  <c r="J14" i="154"/>
  <c r="J15" i="154" s="1"/>
  <c r="P66" i="155"/>
  <c r="Q66" i="155"/>
  <c r="R62" i="155" s="1"/>
  <c r="Q36" i="153"/>
  <c r="P36" i="153"/>
  <c r="Q51" i="153"/>
  <c r="P51" i="153"/>
  <c r="Q18" i="153"/>
  <c r="P18" i="153"/>
  <c r="P49" i="153"/>
  <c r="Q49" i="153"/>
  <c r="Q5" i="153"/>
  <c r="P5" i="153"/>
  <c r="Q58" i="153"/>
  <c r="P58" i="153"/>
  <c r="Q16" i="153"/>
  <c r="P16" i="153"/>
  <c r="P47" i="153"/>
  <c r="Q47" i="153"/>
  <c r="P29" i="153"/>
  <c r="Q29" i="153"/>
  <c r="Q40" i="153"/>
  <c r="R34" i="153" s="1"/>
  <c r="P40" i="153"/>
  <c r="L14" i="152"/>
  <c r="L15" i="152" s="1"/>
  <c r="P45" i="153"/>
  <c r="Q45" i="153"/>
  <c r="P38" i="153"/>
  <c r="Q38" i="153"/>
  <c r="AA11" i="153"/>
  <c r="N11" i="153"/>
  <c r="AB11" i="153"/>
  <c r="AC9" i="153" s="1"/>
  <c r="P20" i="153"/>
  <c r="Q20" i="153"/>
  <c r="P43" i="153"/>
  <c r="Q43" i="153"/>
  <c r="P60" i="153"/>
  <c r="Q60" i="153"/>
  <c r="M26" i="153"/>
  <c r="N33" i="153"/>
  <c r="N55" i="153"/>
  <c r="P62" i="153"/>
  <c r="M59" i="153"/>
  <c r="AA33" i="153"/>
  <c r="AB40" i="153"/>
  <c r="AC34" i="153" s="1"/>
  <c r="P42" i="153"/>
  <c r="AA51" i="153"/>
  <c r="Q66" i="153"/>
  <c r="AA24" i="153"/>
  <c r="P28" i="153"/>
  <c r="AB51" i="153"/>
  <c r="AA55" i="153"/>
  <c r="P37" i="153"/>
  <c r="AA53" i="153"/>
  <c r="F2" i="153"/>
  <c r="Q6" i="153"/>
  <c r="P12" i="153"/>
  <c r="P21" i="153"/>
  <c r="Q30" i="153"/>
  <c r="Q46" i="153"/>
  <c r="P61" i="153"/>
  <c r="P10" i="153"/>
  <c r="P41" i="153"/>
  <c r="P50" i="153"/>
  <c r="M54" i="153"/>
  <c r="N13" i="153"/>
  <c r="Q22" i="153"/>
  <c r="N53" i="153"/>
  <c r="M17" i="153"/>
  <c r="AA40" i="153"/>
  <c r="N64" i="153"/>
  <c r="P44" i="153"/>
  <c r="AA64" i="153"/>
  <c r="N8" i="153"/>
  <c r="AA8" i="153"/>
  <c r="AA48" i="153"/>
  <c r="M67" i="153"/>
  <c r="G6" i="152"/>
  <c r="Q14" i="153"/>
  <c r="N9" i="153"/>
  <c r="N24" i="153"/>
  <c r="AA13" i="153"/>
  <c r="P19" i="153"/>
  <c r="N48" i="153"/>
  <c r="E6" i="152"/>
  <c r="P56" i="153"/>
  <c r="O67" i="151"/>
  <c r="K67" i="151"/>
  <c r="AB66" i="151"/>
  <c r="AA66" i="151"/>
  <c r="V66" i="151"/>
  <c r="U66" i="151"/>
  <c r="O66" i="151"/>
  <c r="N66" i="151"/>
  <c r="Q66" i="151" s="1"/>
  <c r="M66" i="151"/>
  <c r="K66" i="151"/>
  <c r="G66" i="151"/>
  <c r="V65" i="151"/>
  <c r="M65" i="151" s="1"/>
  <c r="U65" i="151"/>
  <c r="O65" i="151"/>
  <c r="K65" i="151"/>
  <c r="G65" i="151"/>
  <c r="V64" i="151"/>
  <c r="M64" i="151" s="1"/>
  <c r="U64" i="151"/>
  <c r="O64" i="151"/>
  <c r="K64" i="151"/>
  <c r="G64" i="151"/>
  <c r="AB63" i="151"/>
  <c r="AA63" i="151"/>
  <c r="V63" i="151"/>
  <c r="U63" i="151"/>
  <c r="O63" i="151"/>
  <c r="M63" i="151"/>
  <c r="N63" i="151" s="1"/>
  <c r="K63" i="151"/>
  <c r="G63" i="151"/>
  <c r="AB62" i="151"/>
  <c r="AA62" i="151"/>
  <c r="V62" i="151"/>
  <c r="U62" i="151"/>
  <c r="O62" i="151"/>
  <c r="N62" i="151"/>
  <c r="P62" i="151" s="1"/>
  <c r="M62" i="151"/>
  <c r="K62" i="151"/>
  <c r="G62" i="151"/>
  <c r="V61" i="151"/>
  <c r="U61" i="151"/>
  <c r="O61" i="151"/>
  <c r="M61" i="151"/>
  <c r="AB61" i="151" s="1"/>
  <c r="K61" i="151"/>
  <c r="G61" i="151"/>
  <c r="AB60" i="151"/>
  <c r="AA60" i="151"/>
  <c r="X60" i="151"/>
  <c r="W60" i="151"/>
  <c r="V60" i="151"/>
  <c r="O60" i="151"/>
  <c r="M60" i="151"/>
  <c r="N60" i="151" s="1"/>
  <c r="K60" i="151"/>
  <c r="G60" i="151"/>
  <c r="O59" i="151"/>
  <c r="M59" i="151"/>
  <c r="N59" i="151" s="1"/>
  <c r="K59" i="151"/>
  <c r="V58" i="151"/>
  <c r="U58" i="151"/>
  <c r="O58" i="151"/>
  <c r="M58" i="151"/>
  <c r="AB58" i="151" s="1"/>
  <c r="K58" i="151"/>
  <c r="G58" i="151"/>
  <c r="AB57" i="151"/>
  <c r="AA57" i="151"/>
  <c r="V57" i="151"/>
  <c r="U57" i="151"/>
  <c r="O57" i="151"/>
  <c r="N57" i="151"/>
  <c r="Q57" i="151" s="1"/>
  <c r="M57" i="151"/>
  <c r="K57" i="151"/>
  <c r="G57" i="151"/>
  <c r="AB56" i="151"/>
  <c r="AA56" i="151"/>
  <c r="V56" i="151"/>
  <c r="U56" i="151"/>
  <c r="O56" i="151"/>
  <c r="N56" i="151"/>
  <c r="Q56" i="151" s="1"/>
  <c r="M56" i="151"/>
  <c r="K56" i="151"/>
  <c r="G56" i="151"/>
  <c r="AB55" i="151"/>
  <c r="AA55" i="151"/>
  <c r="V55" i="151"/>
  <c r="O55" i="151"/>
  <c r="N55" i="151"/>
  <c r="Q55" i="151" s="1"/>
  <c r="M55" i="151"/>
  <c r="K55" i="151"/>
  <c r="G55" i="151"/>
  <c r="O54" i="151"/>
  <c r="K54" i="151"/>
  <c r="AB53" i="151"/>
  <c r="AA53" i="151"/>
  <c r="V53" i="151"/>
  <c r="U53" i="151"/>
  <c r="Q53" i="151"/>
  <c r="P53" i="151"/>
  <c r="O53" i="151"/>
  <c r="N53" i="151"/>
  <c r="M53" i="151"/>
  <c r="K53" i="151"/>
  <c r="G53" i="151"/>
  <c r="AB52" i="151"/>
  <c r="AA52" i="151"/>
  <c r="V52" i="151"/>
  <c r="U52" i="151"/>
  <c r="O52" i="151"/>
  <c r="N52" i="151"/>
  <c r="P52" i="151" s="1"/>
  <c r="M52" i="151"/>
  <c r="K52" i="151"/>
  <c r="G52" i="151"/>
  <c r="V51" i="151"/>
  <c r="U51" i="151"/>
  <c r="O51" i="151"/>
  <c r="M51" i="151"/>
  <c r="AB51" i="151" s="1"/>
  <c r="K51" i="151"/>
  <c r="G51" i="151"/>
  <c r="V50" i="151"/>
  <c r="U50" i="151"/>
  <c r="O50" i="151"/>
  <c r="M50" i="151"/>
  <c r="AB50" i="151" s="1"/>
  <c r="K50" i="151"/>
  <c r="G50" i="151"/>
  <c r="V49" i="151"/>
  <c r="O49" i="151"/>
  <c r="M49" i="151"/>
  <c r="AB49" i="151" s="1"/>
  <c r="K49" i="151"/>
  <c r="G49" i="151"/>
  <c r="O48" i="151"/>
  <c r="K48" i="151"/>
  <c r="H13" i="150" s="1"/>
  <c r="V47" i="151"/>
  <c r="M47" i="151" s="1"/>
  <c r="U47" i="151"/>
  <c r="O47" i="151"/>
  <c r="K47" i="151"/>
  <c r="G47" i="151"/>
  <c r="AB46" i="151"/>
  <c r="AA46" i="151"/>
  <c r="V46" i="151"/>
  <c r="U46" i="151"/>
  <c r="O46" i="151"/>
  <c r="N46" i="151"/>
  <c r="Q46" i="151" s="1"/>
  <c r="M46" i="151"/>
  <c r="K46" i="151"/>
  <c r="G46" i="151"/>
  <c r="V45" i="151"/>
  <c r="M45" i="151" s="1"/>
  <c r="U45" i="151"/>
  <c r="O45" i="151"/>
  <c r="K45" i="151"/>
  <c r="G45" i="151"/>
  <c r="V44" i="151"/>
  <c r="M44" i="151" s="1"/>
  <c r="U44" i="151"/>
  <c r="O44" i="151"/>
  <c r="K44" i="151"/>
  <c r="G44" i="151"/>
  <c r="AB43" i="151"/>
  <c r="AA43" i="151"/>
  <c r="V43" i="151"/>
  <c r="U43" i="151"/>
  <c r="O43" i="151"/>
  <c r="M43" i="151"/>
  <c r="N43" i="151" s="1"/>
  <c r="K43" i="151"/>
  <c r="G43" i="151"/>
  <c r="AB42" i="151"/>
  <c r="AA42" i="151"/>
  <c r="V42" i="151"/>
  <c r="U42" i="151"/>
  <c r="O42" i="151"/>
  <c r="N42" i="151"/>
  <c r="Q42" i="151" s="1"/>
  <c r="M42" i="151"/>
  <c r="K42" i="151"/>
  <c r="G42" i="151"/>
  <c r="X41" i="151"/>
  <c r="W41" i="151"/>
  <c r="V41" i="151"/>
  <c r="M41" i="151" s="1"/>
  <c r="O41" i="151"/>
  <c r="K41" i="151"/>
  <c r="G41" i="151"/>
  <c r="O40" i="151"/>
  <c r="M40" i="151"/>
  <c r="AB40" i="151" s="1"/>
  <c r="AC34" i="151" s="1"/>
  <c r="K40" i="151"/>
  <c r="V39" i="151"/>
  <c r="U39" i="151"/>
  <c r="O39" i="151"/>
  <c r="M39" i="151"/>
  <c r="AB39" i="151" s="1"/>
  <c r="K39" i="151"/>
  <c r="G39" i="151"/>
  <c r="X38" i="151"/>
  <c r="W38" i="151"/>
  <c r="V38" i="151"/>
  <c r="U38" i="151"/>
  <c r="O38" i="151"/>
  <c r="M38" i="151"/>
  <c r="AB38" i="151" s="1"/>
  <c r="K38" i="151"/>
  <c r="G38" i="151"/>
  <c r="V37" i="151"/>
  <c r="U37" i="151"/>
  <c r="O37" i="151"/>
  <c r="M37" i="151"/>
  <c r="AB37" i="151" s="1"/>
  <c r="K37" i="151"/>
  <c r="G37" i="151"/>
  <c r="V36" i="151"/>
  <c r="U36" i="151"/>
  <c r="O36" i="151"/>
  <c r="M36" i="151"/>
  <c r="AB36" i="151" s="1"/>
  <c r="K36" i="151"/>
  <c r="G36" i="151"/>
  <c r="AB35" i="151"/>
  <c r="AA35" i="151"/>
  <c r="V35" i="151"/>
  <c r="U35" i="151"/>
  <c r="O35" i="151"/>
  <c r="N35" i="151"/>
  <c r="Q35" i="151" s="1"/>
  <c r="M35" i="151"/>
  <c r="K35" i="151"/>
  <c r="G35" i="151"/>
  <c r="AB34" i="151"/>
  <c r="X34" i="151"/>
  <c r="W34" i="151"/>
  <c r="V34" i="151"/>
  <c r="O34" i="151"/>
  <c r="M34" i="151"/>
  <c r="AA34" i="151" s="1"/>
  <c r="K34" i="151"/>
  <c r="G34" i="151"/>
  <c r="O33" i="151"/>
  <c r="K33" i="151"/>
  <c r="AB32" i="151"/>
  <c r="AA32" i="151"/>
  <c r="V32" i="151"/>
  <c r="U32" i="151"/>
  <c r="O32" i="151"/>
  <c r="N32" i="151"/>
  <c r="Q32" i="151" s="1"/>
  <c r="M32" i="151"/>
  <c r="K32" i="151"/>
  <c r="G32" i="151"/>
  <c r="X31" i="151"/>
  <c r="W31" i="151"/>
  <c r="V31" i="151"/>
  <c r="M31" i="151" s="1"/>
  <c r="U31" i="151"/>
  <c r="O31" i="151"/>
  <c r="K31" i="151"/>
  <c r="G31" i="151"/>
  <c r="AB30" i="151"/>
  <c r="AA30" i="151"/>
  <c r="V30" i="151"/>
  <c r="U30" i="151"/>
  <c r="O30" i="151"/>
  <c r="N30" i="151"/>
  <c r="Q30" i="151" s="1"/>
  <c r="M30" i="151"/>
  <c r="K30" i="151"/>
  <c r="G30" i="151"/>
  <c r="V29" i="151"/>
  <c r="M29" i="151" s="1"/>
  <c r="U29" i="151"/>
  <c r="O29" i="151"/>
  <c r="K29" i="151"/>
  <c r="G29" i="151"/>
  <c r="V28" i="151"/>
  <c r="M28" i="151" s="1"/>
  <c r="U28" i="151"/>
  <c r="O28" i="151"/>
  <c r="K28" i="151"/>
  <c r="G28" i="151"/>
  <c r="AB27" i="151"/>
  <c r="AA27" i="151"/>
  <c r="X27" i="151"/>
  <c r="W27" i="151"/>
  <c r="V27" i="151"/>
  <c r="O27" i="151"/>
  <c r="N27" i="151"/>
  <c r="Q27" i="151" s="1"/>
  <c r="M27" i="151"/>
  <c r="K27" i="151"/>
  <c r="G27" i="151"/>
  <c r="O26" i="151"/>
  <c r="K26" i="151"/>
  <c r="V25" i="151"/>
  <c r="U25" i="151"/>
  <c r="O25" i="151"/>
  <c r="M25" i="151"/>
  <c r="AB25" i="151" s="1"/>
  <c r="K25" i="151"/>
  <c r="G25" i="151"/>
  <c r="V24" i="151"/>
  <c r="U24" i="151"/>
  <c r="O24" i="151"/>
  <c r="M24" i="151"/>
  <c r="AB24" i="151" s="1"/>
  <c r="K24" i="151"/>
  <c r="G24" i="151"/>
  <c r="V23" i="151"/>
  <c r="U23" i="151"/>
  <c r="O23" i="151"/>
  <c r="M23" i="151"/>
  <c r="AB23" i="151" s="1"/>
  <c r="K23" i="151"/>
  <c r="G23" i="151"/>
  <c r="V22" i="151"/>
  <c r="U22" i="151"/>
  <c r="O22" i="151"/>
  <c r="M22" i="151"/>
  <c r="AB22" i="151" s="1"/>
  <c r="K22" i="151"/>
  <c r="G22" i="151"/>
  <c r="AB21" i="151"/>
  <c r="V21" i="151"/>
  <c r="U21" i="151"/>
  <c r="O21" i="151"/>
  <c r="M21" i="151"/>
  <c r="AA21" i="151" s="1"/>
  <c r="K21" i="151"/>
  <c r="G21" i="151"/>
  <c r="AB20" i="151"/>
  <c r="AA20" i="151"/>
  <c r="V20" i="151"/>
  <c r="U20" i="151"/>
  <c r="O20" i="151"/>
  <c r="N20" i="151"/>
  <c r="Q20" i="151" s="1"/>
  <c r="M20" i="151"/>
  <c r="K20" i="151"/>
  <c r="G20" i="151"/>
  <c r="V19" i="151"/>
  <c r="M19" i="151" s="1"/>
  <c r="U19" i="151"/>
  <c r="O19" i="151"/>
  <c r="K19" i="151"/>
  <c r="G19" i="151"/>
  <c r="V18" i="151"/>
  <c r="M18" i="151" s="1"/>
  <c r="O18" i="151"/>
  <c r="K18" i="151"/>
  <c r="G18" i="151"/>
  <c r="O17" i="151"/>
  <c r="K17" i="151"/>
  <c r="AB16" i="151"/>
  <c r="AA16" i="151"/>
  <c r="V16" i="151"/>
  <c r="U16" i="151"/>
  <c r="O16" i="151"/>
  <c r="N16" i="151"/>
  <c r="P16" i="151" s="1"/>
  <c r="M16" i="151"/>
  <c r="K16" i="151"/>
  <c r="G16" i="151"/>
  <c r="V15" i="151"/>
  <c r="U15" i="151"/>
  <c r="O15" i="151"/>
  <c r="M15" i="151"/>
  <c r="AB15" i="151" s="1"/>
  <c r="K15" i="151"/>
  <c r="G15" i="151"/>
  <c r="V14" i="151"/>
  <c r="U14" i="151"/>
  <c r="O14" i="151"/>
  <c r="M14" i="151"/>
  <c r="AB14" i="151" s="1"/>
  <c r="K14" i="151"/>
  <c r="G14" i="151"/>
  <c r="V13" i="151"/>
  <c r="U13" i="151"/>
  <c r="O13" i="151"/>
  <c r="M13" i="151"/>
  <c r="AB13" i="151" s="1"/>
  <c r="K13" i="151"/>
  <c r="G13" i="151"/>
  <c r="X12" i="151"/>
  <c r="W12" i="151"/>
  <c r="V12" i="151"/>
  <c r="O12" i="151"/>
  <c r="M12" i="151"/>
  <c r="AB12" i="151" s="1"/>
  <c r="K12" i="151"/>
  <c r="G12" i="151"/>
  <c r="O11" i="151"/>
  <c r="M11" i="151"/>
  <c r="AB11" i="151" s="1"/>
  <c r="AC9" i="151" s="1"/>
  <c r="K11" i="151"/>
  <c r="E13" i="150" s="1"/>
  <c r="AB10" i="151"/>
  <c r="AA10" i="151"/>
  <c r="V10" i="151"/>
  <c r="U10" i="151"/>
  <c r="O10" i="151"/>
  <c r="N10" i="151"/>
  <c r="Q10" i="151" s="1"/>
  <c r="M10" i="151"/>
  <c r="K10" i="151"/>
  <c r="G10" i="151"/>
  <c r="AB9" i="151"/>
  <c r="AA9" i="151"/>
  <c r="V9" i="151"/>
  <c r="O9" i="151"/>
  <c r="N9" i="151"/>
  <c r="Q9" i="151" s="1"/>
  <c r="M9" i="151"/>
  <c r="K9" i="151"/>
  <c r="G9" i="151"/>
  <c r="F1" i="151" s="1"/>
  <c r="O8" i="151"/>
  <c r="K8" i="151"/>
  <c r="V7" i="151"/>
  <c r="M7" i="151" s="1"/>
  <c r="U7" i="151"/>
  <c r="O7" i="151"/>
  <c r="K7" i="151"/>
  <c r="G7" i="151"/>
  <c r="AB6" i="151"/>
  <c r="AA6" i="151"/>
  <c r="V6" i="151"/>
  <c r="U6" i="151"/>
  <c r="O6" i="151"/>
  <c r="N6" i="151"/>
  <c r="Q6" i="151" s="1"/>
  <c r="M6" i="151"/>
  <c r="K6" i="151"/>
  <c r="G6" i="151"/>
  <c r="AB5" i="151"/>
  <c r="AA5" i="151"/>
  <c r="V5" i="151"/>
  <c r="O5" i="151"/>
  <c r="N5" i="151"/>
  <c r="Q5" i="151" s="1"/>
  <c r="M5" i="151"/>
  <c r="K5" i="151"/>
  <c r="G5" i="151"/>
  <c r="H2" i="151"/>
  <c r="H1" i="151"/>
  <c r="D1" i="151"/>
  <c r="M18" i="150"/>
  <c r="L18" i="150"/>
  <c r="K18" i="150"/>
  <c r="J18" i="150"/>
  <c r="I18" i="150"/>
  <c r="H18" i="150"/>
  <c r="G18" i="150"/>
  <c r="F18" i="150"/>
  <c r="E18" i="150"/>
  <c r="D18" i="150"/>
  <c r="M17" i="150"/>
  <c r="L17" i="150"/>
  <c r="K17" i="150"/>
  <c r="J17" i="150"/>
  <c r="I17" i="150"/>
  <c r="H17" i="150"/>
  <c r="G17" i="150"/>
  <c r="F17" i="150"/>
  <c r="E17" i="150"/>
  <c r="D17" i="150"/>
  <c r="M16" i="150"/>
  <c r="L16" i="150"/>
  <c r="K16" i="150"/>
  <c r="J16" i="150"/>
  <c r="I16" i="150"/>
  <c r="H16" i="150"/>
  <c r="G16" i="150"/>
  <c r="F16" i="150"/>
  <c r="E16" i="150"/>
  <c r="D16" i="150"/>
  <c r="M13" i="150"/>
  <c r="L13" i="150"/>
  <c r="K13" i="150"/>
  <c r="J13" i="150"/>
  <c r="I13" i="150"/>
  <c r="G13" i="150"/>
  <c r="F13" i="150"/>
  <c r="D13" i="150"/>
  <c r="F3" i="150"/>
  <c r="C3" i="150"/>
  <c r="G8" i="160" l="1"/>
  <c r="E8" i="160"/>
  <c r="F8" i="160"/>
  <c r="I6" i="150"/>
  <c r="E14" i="154"/>
  <c r="E15" i="154" s="1"/>
  <c r="Q12" i="155"/>
  <c r="R10" i="155" s="1"/>
  <c r="P12" i="155"/>
  <c r="P54" i="155"/>
  <c r="Q54" i="155"/>
  <c r="R46" i="155" s="1"/>
  <c r="H14" i="154"/>
  <c r="H15" i="154" s="1"/>
  <c r="I7" i="154"/>
  <c r="K15" i="154"/>
  <c r="I8" i="154" s="1"/>
  <c r="Q9" i="155"/>
  <c r="R5" i="155" s="1"/>
  <c r="D14" i="154"/>
  <c r="P9" i="155"/>
  <c r="D2" i="155"/>
  <c r="Q61" i="155"/>
  <c r="R55" i="155" s="1"/>
  <c r="P61" i="155"/>
  <c r="I14" i="154"/>
  <c r="I15" i="154" s="1"/>
  <c r="H14" i="152"/>
  <c r="H15" i="152" s="1"/>
  <c r="Q48" i="153"/>
  <c r="R41" i="153" s="1"/>
  <c r="P48" i="153"/>
  <c r="P55" i="153"/>
  <c r="Q55" i="153"/>
  <c r="K14" i="152"/>
  <c r="P33" i="153"/>
  <c r="Q33" i="153"/>
  <c r="R27" i="153" s="1"/>
  <c r="AB67" i="153"/>
  <c r="AC60" i="153" s="1"/>
  <c r="N67" i="153"/>
  <c r="AA67" i="153"/>
  <c r="E14" i="152"/>
  <c r="E15" i="152" s="1"/>
  <c r="Q11" i="153"/>
  <c r="R9" i="153" s="1"/>
  <c r="P11" i="153"/>
  <c r="AA59" i="153"/>
  <c r="AB59" i="153"/>
  <c r="AC55" i="153" s="1"/>
  <c r="N59" i="153"/>
  <c r="N26" i="153"/>
  <c r="AB26" i="153"/>
  <c r="AC18" i="153" s="1"/>
  <c r="AA26" i="153"/>
  <c r="D14" i="152"/>
  <c r="Q8" i="153"/>
  <c r="R5" i="153" s="1"/>
  <c r="P8" i="153"/>
  <c r="Q64" i="153"/>
  <c r="P64" i="153"/>
  <c r="AA17" i="153"/>
  <c r="N17" i="153"/>
  <c r="AB17" i="153"/>
  <c r="AC12" i="153" s="1"/>
  <c r="Q53" i="153"/>
  <c r="P53" i="153"/>
  <c r="Q13" i="153"/>
  <c r="P13" i="153"/>
  <c r="Q24" i="153"/>
  <c r="P24" i="153"/>
  <c r="Q9" i="153"/>
  <c r="P9" i="153"/>
  <c r="AB54" i="153"/>
  <c r="AC49" i="153" s="1"/>
  <c r="AA54" i="153"/>
  <c r="N54" i="153"/>
  <c r="D2" i="153" s="1"/>
  <c r="AB47" i="151"/>
  <c r="N47" i="151"/>
  <c r="AA47" i="151"/>
  <c r="AA31" i="151"/>
  <c r="N31" i="151"/>
  <c r="AB31" i="151"/>
  <c r="E6" i="150"/>
  <c r="N7" i="151"/>
  <c r="M8" i="151"/>
  <c r="AB7" i="151"/>
  <c r="AA7" i="151"/>
  <c r="M26" i="151"/>
  <c r="AB18" i="151"/>
  <c r="N18" i="151"/>
  <c r="AA18" i="151"/>
  <c r="N41" i="151"/>
  <c r="AB41" i="151"/>
  <c r="AA41" i="151"/>
  <c r="M48" i="151"/>
  <c r="N44" i="151"/>
  <c r="AB44" i="151"/>
  <c r="AA44" i="151"/>
  <c r="N64" i="151"/>
  <c r="AB64" i="151"/>
  <c r="AA64" i="151"/>
  <c r="N19" i="151"/>
  <c r="AB19" i="151"/>
  <c r="AA19" i="151"/>
  <c r="N45" i="151"/>
  <c r="AA45" i="151"/>
  <c r="AB45" i="151"/>
  <c r="AA65" i="151"/>
  <c r="N65" i="151"/>
  <c r="AB65" i="151"/>
  <c r="AA29" i="151"/>
  <c r="N29" i="151"/>
  <c r="AB29" i="151"/>
  <c r="J14" i="150"/>
  <c r="J15" i="150" s="1"/>
  <c r="Q59" i="151"/>
  <c r="R55" i="151" s="1"/>
  <c r="P59" i="151"/>
  <c r="F2" i="151"/>
  <c r="I3" i="150"/>
  <c r="N28" i="151"/>
  <c r="M33" i="151"/>
  <c r="AB28" i="151"/>
  <c r="AA28" i="151"/>
  <c r="Q43" i="151"/>
  <c r="P43" i="151"/>
  <c r="Q60" i="151"/>
  <c r="P60" i="151"/>
  <c r="Q63" i="151"/>
  <c r="P63" i="151"/>
  <c r="N11" i="151"/>
  <c r="N22" i="151"/>
  <c r="N36" i="151"/>
  <c r="N58" i="151"/>
  <c r="G6" i="150"/>
  <c r="N21" i="151"/>
  <c r="AA40" i="151"/>
  <c r="M67" i="151"/>
  <c r="N12" i="151"/>
  <c r="N15" i="151"/>
  <c r="N25" i="151"/>
  <c r="N40" i="151"/>
  <c r="N51" i="151"/>
  <c r="N61" i="151"/>
  <c r="P5" i="151"/>
  <c r="N14" i="151"/>
  <c r="N24" i="151"/>
  <c r="N38" i="151"/>
  <c r="Q16" i="151"/>
  <c r="N23" i="151"/>
  <c r="N39" i="151"/>
  <c r="AA59" i="151"/>
  <c r="P6" i="151"/>
  <c r="N49" i="151"/>
  <c r="Q52" i="151"/>
  <c r="Q62" i="151"/>
  <c r="F6" i="150"/>
  <c r="AA15" i="151"/>
  <c r="AA25" i="151"/>
  <c r="P35" i="151"/>
  <c r="AA51" i="151"/>
  <c r="P57" i="151"/>
  <c r="AB59" i="151"/>
  <c r="AC55" i="151" s="1"/>
  <c r="AA61" i="151"/>
  <c r="P42" i="151"/>
  <c r="N50" i="151"/>
  <c r="N13" i="151"/>
  <c r="P9" i="151"/>
  <c r="P10" i="151"/>
  <c r="AA11" i="151"/>
  <c r="AA14" i="151"/>
  <c r="P20" i="151"/>
  <c r="AA24" i="151"/>
  <c r="AA49" i="151"/>
  <c r="AA50" i="151"/>
  <c r="M54" i="151"/>
  <c r="P55" i="151"/>
  <c r="P56" i="151"/>
  <c r="AA12" i="151"/>
  <c r="AA13" i="151"/>
  <c r="M17" i="151"/>
  <c r="AA23" i="151"/>
  <c r="AA37" i="151"/>
  <c r="AA39" i="151"/>
  <c r="N34" i="151"/>
  <c r="N37" i="151"/>
  <c r="AA22" i="151"/>
  <c r="P27" i="151"/>
  <c r="P30" i="151"/>
  <c r="P32" i="151"/>
  <c r="AA36" i="151"/>
  <c r="AA38" i="151"/>
  <c r="P46" i="151"/>
  <c r="AA58" i="151"/>
  <c r="P66" i="151"/>
  <c r="O70" i="149"/>
  <c r="K70" i="149"/>
  <c r="V69" i="149"/>
  <c r="M69" i="149" s="1"/>
  <c r="U69" i="149"/>
  <c r="O69" i="149"/>
  <c r="K69" i="149"/>
  <c r="G69" i="149"/>
  <c r="AA68" i="149"/>
  <c r="X68" i="149"/>
  <c r="W68" i="149"/>
  <c r="V68" i="149"/>
  <c r="U68" i="149"/>
  <c r="O68" i="149"/>
  <c r="M68" i="149"/>
  <c r="N68" i="149" s="1"/>
  <c r="K68" i="149"/>
  <c r="G68" i="149"/>
  <c r="AB67" i="149"/>
  <c r="AA67" i="149"/>
  <c r="V67" i="149"/>
  <c r="M67" i="149" s="1"/>
  <c r="N67" i="149" s="1"/>
  <c r="U67" i="149"/>
  <c r="O67" i="149"/>
  <c r="K67" i="149"/>
  <c r="G67" i="149"/>
  <c r="AA66" i="149"/>
  <c r="V66" i="149"/>
  <c r="M66" i="149" s="1"/>
  <c r="U66" i="149"/>
  <c r="O66" i="149"/>
  <c r="K66" i="149"/>
  <c r="G66" i="149"/>
  <c r="V65" i="149"/>
  <c r="M65" i="149" s="1"/>
  <c r="U65" i="149"/>
  <c r="O65" i="149"/>
  <c r="K65" i="149"/>
  <c r="G65" i="149"/>
  <c r="V64" i="149"/>
  <c r="M64" i="149" s="1"/>
  <c r="U64" i="149"/>
  <c r="O64" i="149"/>
  <c r="K64" i="149"/>
  <c r="G64" i="149"/>
  <c r="V63" i="149"/>
  <c r="M63" i="149" s="1"/>
  <c r="U63" i="149"/>
  <c r="O63" i="149"/>
  <c r="K63" i="149"/>
  <c r="G63" i="149"/>
  <c r="X62" i="149"/>
  <c r="W62" i="149"/>
  <c r="V62" i="149"/>
  <c r="M62" i="149" s="1"/>
  <c r="O62" i="149"/>
  <c r="K62" i="149"/>
  <c r="G62" i="149"/>
  <c r="O61" i="149"/>
  <c r="K61" i="149"/>
  <c r="V60" i="149"/>
  <c r="U60" i="149"/>
  <c r="O60" i="149"/>
  <c r="N60" i="149"/>
  <c r="M60" i="149"/>
  <c r="K60" i="149"/>
  <c r="G60" i="149"/>
  <c r="V59" i="149"/>
  <c r="U59" i="149"/>
  <c r="O59" i="149"/>
  <c r="M59" i="149"/>
  <c r="K59" i="149"/>
  <c r="G59" i="149"/>
  <c r="AB58" i="149"/>
  <c r="V58" i="149"/>
  <c r="U58" i="149"/>
  <c r="O58" i="149"/>
  <c r="N58" i="149"/>
  <c r="Q58" i="149" s="1"/>
  <c r="M58" i="149"/>
  <c r="AA58" i="149" s="1"/>
  <c r="K58" i="149"/>
  <c r="G58" i="149"/>
  <c r="AB57" i="149"/>
  <c r="V57" i="149"/>
  <c r="O57" i="149"/>
  <c r="N57" i="149"/>
  <c r="Q57" i="149" s="1"/>
  <c r="M57" i="149"/>
  <c r="AA57" i="149" s="1"/>
  <c r="K57" i="149"/>
  <c r="G57" i="149"/>
  <c r="O56" i="149"/>
  <c r="K56" i="149"/>
  <c r="V55" i="149"/>
  <c r="M55" i="149" s="1"/>
  <c r="U55" i="149"/>
  <c r="O55" i="149"/>
  <c r="K55" i="149"/>
  <c r="G55" i="149"/>
  <c r="V54" i="149"/>
  <c r="M54" i="149" s="1"/>
  <c r="U54" i="149"/>
  <c r="O54" i="149"/>
  <c r="K54" i="149"/>
  <c r="G54" i="149"/>
  <c r="V53" i="149"/>
  <c r="M53" i="149" s="1"/>
  <c r="U53" i="149"/>
  <c r="O53" i="149"/>
  <c r="K53" i="149"/>
  <c r="G53" i="149"/>
  <c r="V52" i="149"/>
  <c r="M52" i="149" s="1"/>
  <c r="U52" i="149"/>
  <c r="O52" i="149"/>
  <c r="N52" i="149"/>
  <c r="Q52" i="149" s="1"/>
  <c r="K52" i="149"/>
  <c r="G52" i="149"/>
  <c r="V51" i="149"/>
  <c r="M51" i="149" s="1"/>
  <c r="P51" i="149"/>
  <c r="O51" i="149"/>
  <c r="N51" i="149"/>
  <c r="Q51" i="149" s="1"/>
  <c r="K51" i="149"/>
  <c r="G51" i="149"/>
  <c r="O50" i="149"/>
  <c r="M50" i="149"/>
  <c r="K50" i="149"/>
  <c r="AB49" i="149"/>
  <c r="V49" i="149"/>
  <c r="U49" i="149"/>
  <c r="O49" i="149"/>
  <c r="M49" i="149"/>
  <c r="N49" i="149" s="1"/>
  <c r="K49" i="149"/>
  <c r="G49" i="149"/>
  <c r="AB48" i="149"/>
  <c r="AA48" i="149"/>
  <c r="V48" i="149"/>
  <c r="U48" i="149"/>
  <c r="O48" i="149"/>
  <c r="M48" i="149"/>
  <c r="N48" i="149" s="1"/>
  <c r="K48" i="149"/>
  <c r="G48" i="149"/>
  <c r="AB47" i="149"/>
  <c r="AA47" i="149"/>
  <c r="V47" i="149"/>
  <c r="M47" i="149" s="1"/>
  <c r="N47" i="149" s="1"/>
  <c r="U47" i="149"/>
  <c r="O47" i="149"/>
  <c r="K47" i="149"/>
  <c r="G47" i="149"/>
  <c r="AA46" i="149"/>
  <c r="V46" i="149"/>
  <c r="M46" i="149" s="1"/>
  <c r="U46" i="149"/>
  <c r="O46" i="149"/>
  <c r="K46" i="149"/>
  <c r="G46" i="149"/>
  <c r="V45" i="149"/>
  <c r="M45" i="149" s="1"/>
  <c r="U45" i="149"/>
  <c r="O45" i="149"/>
  <c r="K45" i="149"/>
  <c r="G45" i="149"/>
  <c r="V44" i="149"/>
  <c r="M44" i="149" s="1"/>
  <c r="U44" i="149"/>
  <c r="O44" i="149"/>
  <c r="K44" i="149"/>
  <c r="G44" i="149"/>
  <c r="X43" i="149"/>
  <c r="W43" i="149"/>
  <c r="V43" i="149"/>
  <c r="M43" i="149" s="1"/>
  <c r="O43" i="149"/>
  <c r="K43" i="149"/>
  <c r="G43" i="149"/>
  <c r="O42" i="149"/>
  <c r="K42" i="149"/>
  <c r="V41" i="149"/>
  <c r="U41" i="149"/>
  <c r="O41" i="149"/>
  <c r="N41" i="149"/>
  <c r="M41" i="149"/>
  <c r="K41" i="149"/>
  <c r="G41" i="149"/>
  <c r="V40" i="149"/>
  <c r="U40" i="149"/>
  <c r="O40" i="149"/>
  <c r="N40" i="149"/>
  <c r="M40" i="149"/>
  <c r="K40" i="149"/>
  <c r="G40" i="149"/>
  <c r="X39" i="149"/>
  <c r="W39" i="149"/>
  <c r="V39" i="149"/>
  <c r="U39" i="149"/>
  <c r="O39" i="149"/>
  <c r="N39" i="149"/>
  <c r="M39" i="149"/>
  <c r="K39" i="149"/>
  <c r="G39" i="149"/>
  <c r="V38" i="149"/>
  <c r="U38" i="149"/>
  <c r="O38" i="149"/>
  <c r="N38" i="149"/>
  <c r="M38" i="149"/>
  <c r="K38" i="149"/>
  <c r="G38" i="149"/>
  <c r="V37" i="149"/>
  <c r="U37" i="149"/>
  <c r="O37" i="149"/>
  <c r="M37" i="149"/>
  <c r="K37" i="149"/>
  <c r="G37" i="149"/>
  <c r="V36" i="149"/>
  <c r="U36" i="149"/>
  <c r="O36" i="149"/>
  <c r="N36" i="149"/>
  <c r="Q36" i="149" s="1"/>
  <c r="M36" i="149"/>
  <c r="AA36" i="149" s="1"/>
  <c r="K36" i="149"/>
  <c r="G36" i="149"/>
  <c r="X35" i="149"/>
  <c r="W35" i="149"/>
  <c r="V35" i="149"/>
  <c r="O35" i="149"/>
  <c r="N35" i="149"/>
  <c r="M35" i="149"/>
  <c r="K35" i="149"/>
  <c r="G35" i="149"/>
  <c r="O34" i="149"/>
  <c r="K34" i="149"/>
  <c r="AB33" i="149"/>
  <c r="AA33" i="149"/>
  <c r="V33" i="149"/>
  <c r="M33" i="149" s="1"/>
  <c r="N33" i="149" s="1"/>
  <c r="U33" i="149"/>
  <c r="O33" i="149"/>
  <c r="K33" i="149"/>
  <c r="G33" i="149"/>
  <c r="AA32" i="149"/>
  <c r="V32" i="149"/>
  <c r="M32" i="149" s="1"/>
  <c r="U32" i="149"/>
  <c r="O32" i="149"/>
  <c r="K32" i="149"/>
  <c r="G32" i="149"/>
  <c r="X31" i="149"/>
  <c r="W31" i="149"/>
  <c r="V31" i="149"/>
  <c r="M31" i="149" s="1"/>
  <c r="U31" i="149"/>
  <c r="O31" i="149"/>
  <c r="K31" i="149"/>
  <c r="G31" i="149"/>
  <c r="AA30" i="149"/>
  <c r="V30" i="149"/>
  <c r="M30" i="149" s="1"/>
  <c r="U30" i="149"/>
  <c r="O30" i="149"/>
  <c r="K30" i="149"/>
  <c r="G30" i="149"/>
  <c r="V29" i="149"/>
  <c r="M29" i="149" s="1"/>
  <c r="U29" i="149"/>
  <c r="O29" i="149"/>
  <c r="K29" i="149"/>
  <c r="G29" i="149"/>
  <c r="V28" i="149"/>
  <c r="M28" i="149" s="1"/>
  <c r="U28" i="149"/>
  <c r="O28" i="149"/>
  <c r="K28" i="149"/>
  <c r="G28" i="149"/>
  <c r="X27" i="149"/>
  <c r="W27" i="149"/>
  <c r="V27" i="149"/>
  <c r="M27" i="149" s="1"/>
  <c r="O27" i="149"/>
  <c r="K27" i="149"/>
  <c r="G27" i="149"/>
  <c r="O26" i="149"/>
  <c r="K26" i="149"/>
  <c r="V25" i="149"/>
  <c r="U25" i="149"/>
  <c r="O25" i="149"/>
  <c r="N25" i="149"/>
  <c r="M25" i="149"/>
  <c r="K25" i="149"/>
  <c r="G25" i="149"/>
  <c r="V24" i="149"/>
  <c r="U24" i="149"/>
  <c r="O24" i="149"/>
  <c r="N24" i="149"/>
  <c r="M24" i="149"/>
  <c r="K24" i="149"/>
  <c r="G24" i="149"/>
  <c r="V23" i="149"/>
  <c r="U23" i="149"/>
  <c r="O23" i="149"/>
  <c r="M23" i="149"/>
  <c r="K23" i="149"/>
  <c r="G23" i="149"/>
  <c r="V22" i="149"/>
  <c r="U22" i="149"/>
  <c r="O22" i="149"/>
  <c r="N22" i="149"/>
  <c r="Q22" i="149" s="1"/>
  <c r="M22" i="149"/>
  <c r="AA22" i="149" s="1"/>
  <c r="K22" i="149"/>
  <c r="G22" i="149"/>
  <c r="AB21" i="149"/>
  <c r="V21" i="149"/>
  <c r="U21" i="149"/>
  <c r="O21" i="149"/>
  <c r="M21" i="149"/>
  <c r="N21" i="149" s="1"/>
  <c r="K21" i="149"/>
  <c r="G21" i="149"/>
  <c r="AB20" i="149"/>
  <c r="AA20" i="149"/>
  <c r="V20" i="149"/>
  <c r="U20" i="149"/>
  <c r="O20" i="149"/>
  <c r="M20" i="149"/>
  <c r="N20" i="149" s="1"/>
  <c r="K20" i="149"/>
  <c r="G20" i="149"/>
  <c r="AB19" i="149"/>
  <c r="AA19" i="149"/>
  <c r="V19" i="149"/>
  <c r="M19" i="149" s="1"/>
  <c r="N19" i="149" s="1"/>
  <c r="U19" i="149"/>
  <c r="O19" i="149"/>
  <c r="K19" i="149"/>
  <c r="G19" i="149"/>
  <c r="AB18" i="149"/>
  <c r="AA18" i="149"/>
  <c r="V18" i="149"/>
  <c r="M18" i="149" s="1"/>
  <c r="O18" i="149"/>
  <c r="K18" i="149"/>
  <c r="G18" i="149"/>
  <c r="O17" i="149"/>
  <c r="K17" i="149"/>
  <c r="V16" i="149"/>
  <c r="U16" i="149"/>
  <c r="P16" i="149"/>
  <c r="O16" i="149"/>
  <c r="N16" i="149"/>
  <c r="Q16" i="149" s="1"/>
  <c r="M16" i="149"/>
  <c r="AB16" i="149" s="1"/>
  <c r="K16" i="149"/>
  <c r="G16" i="149"/>
  <c r="V15" i="149"/>
  <c r="U15" i="149"/>
  <c r="O15" i="149"/>
  <c r="N15" i="149"/>
  <c r="M15" i="149"/>
  <c r="K15" i="149"/>
  <c r="G15" i="149"/>
  <c r="V14" i="149"/>
  <c r="U14" i="149"/>
  <c r="O14" i="149"/>
  <c r="N14" i="149"/>
  <c r="M14" i="149"/>
  <c r="K14" i="149"/>
  <c r="G14" i="149"/>
  <c r="V13" i="149"/>
  <c r="U13" i="149"/>
  <c r="O13" i="149"/>
  <c r="M13" i="149"/>
  <c r="K13" i="149"/>
  <c r="G13" i="149"/>
  <c r="X12" i="149"/>
  <c r="W12" i="149"/>
  <c r="V12" i="149"/>
  <c r="O12" i="149"/>
  <c r="N12" i="149"/>
  <c r="M12" i="149"/>
  <c r="K12" i="149"/>
  <c r="G12" i="149"/>
  <c r="O11" i="149"/>
  <c r="K11" i="149"/>
  <c r="AB10" i="149"/>
  <c r="AA10" i="149"/>
  <c r="V10" i="149"/>
  <c r="M10" i="149" s="1"/>
  <c r="N10" i="149" s="1"/>
  <c r="U10" i="149"/>
  <c r="O10" i="149"/>
  <c r="K10" i="149"/>
  <c r="G10" i="149"/>
  <c r="AB9" i="149"/>
  <c r="AA9" i="149"/>
  <c r="V9" i="149"/>
  <c r="M9" i="149" s="1"/>
  <c r="O9" i="149"/>
  <c r="K9" i="149"/>
  <c r="G9" i="149"/>
  <c r="AB8" i="149"/>
  <c r="AC5" i="149" s="1"/>
  <c r="AA8" i="149"/>
  <c r="Q8" i="149"/>
  <c r="R5" i="149" s="1"/>
  <c r="O8" i="149"/>
  <c r="K8" i="149"/>
  <c r="V7" i="149"/>
  <c r="M7" i="149" s="1"/>
  <c r="U7" i="149"/>
  <c r="O7" i="149"/>
  <c r="K7" i="149"/>
  <c r="G7" i="149"/>
  <c r="V6" i="149"/>
  <c r="U6" i="149"/>
  <c r="P6" i="149"/>
  <c r="O6" i="149"/>
  <c r="N6" i="149"/>
  <c r="Q6" i="149" s="1"/>
  <c r="M6" i="149"/>
  <c r="AB6" i="149" s="1"/>
  <c r="K6" i="149"/>
  <c r="G6" i="149"/>
  <c r="V5" i="149"/>
  <c r="P5" i="149"/>
  <c r="O5" i="149"/>
  <c r="N5" i="149"/>
  <c r="Q5" i="149" s="1"/>
  <c r="M5" i="149"/>
  <c r="M8" i="149" s="1"/>
  <c r="N8" i="149" s="1"/>
  <c r="K5" i="149"/>
  <c r="G5" i="149"/>
  <c r="H2" i="149"/>
  <c r="H1" i="149"/>
  <c r="F1" i="149"/>
  <c r="F2" i="149" s="1"/>
  <c r="D1" i="149"/>
  <c r="M18" i="148"/>
  <c r="L18" i="148"/>
  <c r="K18" i="148"/>
  <c r="J18" i="148"/>
  <c r="I18" i="148"/>
  <c r="H18" i="148"/>
  <c r="G18" i="148"/>
  <c r="F18" i="148"/>
  <c r="E18" i="148"/>
  <c r="D18" i="148"/>
  <c r="M17" i="148"/>
  <c r="L17" i="148"/>
  <c r="K17" i="148"/>
  <c r="J17" i="148"/>
  <c r="I17" i="148"/>
  <c r="H17" i="148"/>
  <c r="G17" i="148"/>
  <c r="F17" i="148"/>
  <c r="E17" i="148"/>
  <c r="D17" i="148"/>
  <c r="M16" i="148"/>
  <c r="L16" i="148"/>
  <c r="K16" i="148"/>
  <c r="J16" i="148"/>
  <c r="I16" i="148"/>
  <c r="H16" i="148"/>
  <c r="G16" i="148"/>
  <c r="F16" i="148"/>
  <c r="E16" i="148"/>
  <c r="D16" i="148"/>
  <c r="D14" i="148"/>
  <c r="D15" i="148" s="1"/>
  <c r="M13" i="148"/>
  <c r="L13" i="148"/>
  <c r="K13" i="148"/>
  <c r="I6" i="148" s="1"/>
  <c r="J13" i="148"/>
  <c r="I13" i="148"/>
  <c r="H13" i="148"/>
  <c r="G13" i="148"/>
  <c r="F13" i="148"/>
  <c r="E6" i="148" s="1"/>
  <c r="E13" i="148"/>
  <c r="D13" i="148"/>
  <c r="F6" i="148" s="1"/>
  <c r="F3" i="148"/>
  <c r="C3" i="148"/>
  <c r="G6" i="148" l="1"/>
  <c r="G7" i="154"/>
  <c r="D15" i="154"/>
  <c r="F7" i="154"/>
  <c r="E7" i="154"/>
  <c r="K15" i="152"/>
  <c r="Q59" i="153"/>
  <c r="R55" i="153" s="1"/>
  <c r="J14" i="152"/>
  <c r="J15" i="152" s="1"/>
  <c r="P59" i="153"/>
  <c r="F14" i="152"/>
  <c r="F15" i="152" s="1"/>
  <c r="Q17" i="153"/>
  <c r="R12" i="153" s="1"/>
  <c r="P17" i="153"/>
  <c r="Q67" i="153"/>
  <c r="R60" i="153" s="1"/>
  <c r="P67" i="153"/>
  <c r="M14" i="152"/>
  <c r="M15" i="152" s="1"/>
  <c r="Q54" i="153"/>
  <c r="R49" i="153" s="1"/>
  <c r="P54" i="153"/>
  <c r="I14" i="152"/>
  <c r="I15" i="152" s="1"/>
  <c r="G14" i="152"/>
  <c r="G15" i="152" s="1"/>
  <c r="Q26" i="153"/>
  <c r="R18" i="153" s="1"/>
  <c r="P26" i="153"/>
  <c r="D15" i="152"/>
  <c r="P15" i="151"/>
  <c r="Q15" i="151"/>
  <c r="Q37" i="151"/>
  <c r="P37" i="151"/>
  <c r="Q23" i="151"/>
  <c r="P23" i="151"/>
  <c r="AB67" i="151"/>
  <c r="AC60" i="151" s="1"/>
  <c r="AA67" i="151"/>
  <c r="N67" i="151"/>
  <c r="P29" i="151"/>
  <c r="Q29" i="151"/>
  <c r="N26" i="151"/>
  <c r="AA26" i="151"/>
  <c r="AB26" i="151"/>
  <c r="AC18" i="151" s="1"/>
  <c r="Q34" i="151"/>
  <c r="P34" i="151"/>
  <c r="Q64" i="151"/>
  <c r="P64" i="151"/>
  <c r="Q38" i="151"/>
  <c r="P38" i="151"/>
  <c r="Q21" i="151"/>
  <c r="P21" i="151"/>
  <c r="Q24" i="151"/>
  <c r="P24" i="151"/>
  <c r="P65" i="151"/>
  <c r="Q65" i="151"/>
  <c r="N8" i="151"/>
  <c r="AB8" i="151"/>
  <c r="AC5" i="151" s="1"/>
  <c r="AA8" i="151"/>
  <c r="P12" i="151"/>
  <c r="Q12" i="151"/>
  <c r="AB33" i="151"/>
  <c r="AC27" i="151" s="1"/>
  <c r="AA33" i="151"/>
  <c r="N33" i="151"/>
  <c r="Q44" i="151"/>
  <c r="P44" i="151"/>
  <c r="Q36" i="151"/>
  <c r="P36" i="151"/>
  <c r="P61" i="151"/>
  <c r="Q61" i="151"/>
  <c r="Q22" i="151"/>
  <c r="P22" i="151"/>
  <c r="Q13" i="151"/>
  <c r="P13" i="151"/>
  <c r="P51" i="151"/>
  <c r="Q51" i="151"/>
  <c r="E14" i="150"/>
  <c r="E15" i="150" s="1"/>
  <c r="Q11" i="151"/>
  <c r="R9" i="151" s="1"/>
  <c r="P11" i="151"/>
  <c r="P45" i="151"/>
  <c r="Q45" i="151"/>
  <c r="Q31" i="151"/>
  <c r="P31" i="151"/>
  <c r="Q39" i="151"/>
  <c r="P39" i="151"/>
  <c r="Q14" i="151"/>
  <c r="P14" i="151"/>
  <c r="Q58" i="151"/>
  <c r="P58" i="151"/>
  <c r="Q7" i="151"/>
  <c r="P7" i="151"/>
  <c r="AB17" i="151"/>
  <c r="AC12" i="151" s="1"/>
  <c r="N17" i="151"/>
  <c r="AA17" i="151"/>
  <c r="Q28" i="151"/>
  <c r="P28" i="151"/>
  <c r="AB48" i="151"/>
  <c r="AC41" i="151" s="1"/>
  <c r="AA48" i="151"/>
  <c r="N48" i="151"/>
  <c r="Q50" i="151"/>
  <c r="P50" i="151"/>
  <c r="Q49" i="151"/>
  <c r="P49" i="151"/>
  <c r="L14" i="150"/>
  <c r="L15" i="150" s="1"/>
  <c r="P40" i="151"/>
  <c r="Q40" i="151"/>
  <c r="R34" i="151" s="1"/>
  <c r="Q41" i="151"/>
  <c r="P41" i="151"/>
  <c r="P25" i="151"/>
  <c r="Q25" i="151"/>
  <c r="Q19" i="151"/>
  <c r="P19" i="151"/>
  <c r="Q18" i="151"/>
  <c r="P18" i="151"/>
  <c r="Q47" i="151"/>
  <c r="P47" i="151"/>
  <c r="N54" i="151"/>
  <c r="AB54" i="151"/>
  <c r="AC49" i="151" s="1"/>
  <c r="AA54" i="151"/>
  <c r="P52" i="149"/>
  <c r="I3" i="148"/>
  <c r="P8" i="149"/>
  <c r="AB7" i="149"/>
  <c r="AA7" i="149"/>
  <c r="N7" i="149"/>
  <c r="N9" i="149"/>
  <c r="M11" i="149"/>
  <c r="Q10" i="149"/>
  <c r="P10" i="149"/>
  <c r="AB12" i="149"/>
  <c r="M17" i="149"/>
  <c r="AA17" i="149" s="1"/>
  <c r="AA12" i="149"/>
  <c r="Q12" i="149"/>
  <c r="P12" i="149"/>
  <c r="AB13" i="149"/>
  <c r="AA13" i="149"/>
  <c r="N13" i="149"/>
  <c r="AB14" i="149"/>
  <c r="AA14" i="149"/>
  <c r="P14" i="149"/>
  <c r="Q14" i="149"/>
  <c r="AB15" i="149"/>
  <c r="AA15" i="149"/>
  <c r="Q15" i="149"/>
  <c r="P15" i="149"/>
  <c r="M26" i="149"/>
  <c r="N18" i="149"/>
  <c r="Q19" i="149"/>
  <c r="P19" i="149"/>
  <c r="Q20" i="149"/>
  <c r="P20" i="149"/>
  <c r="Q21" i="149"/>
  <c r="P21" i="149"/>
  <c r="AB23" i="149"/>
  <c r="AA23" i="149"/>
  <c r="N23" i="149"/>
  <c r="AB24" i="149"/>
  <c r="AA24" i="149"/>
  <c r="Q24" i="149"/>
  <c r="P24" i="149"/>
  <c r="AB25" i="149"/>
  <c r="AA25" i="149"/>
  <c r="Q25" i="149"/>
  <c r="P25" i="149"/>
  <c r="N27" i="149"/>
  <c r="M34" i="149"/>
  <c r="AA27" i="149"/>
  <c r="AB27" i="149"/>
  <c r="N28" i="149"/>
  <c r="AB28" i="149"/>
  <c r="AA28" i="149"/>
  <c r="N29" i="149"/>
  <c r="AB29" i="149"/>
  <c r="AA29" i="149"/>
  <c r="N30" i="149"/>
  <c r="AB30" i="149"/>
  <c r="N31" i="149"/>
  <c r="AB31" i="149"/>
  <c r="AA31" i="149"/>
  <c r="N32" i="149"/>
  <c r="AB32" i="149"/>
  <c r="Q33" i="149"/>
  <c r="P33" i="149"/>
  <c r="M42" i="149"/>
  <c r="AA35" i="149"/>
  <c r="AB35" i="149"/>
  <c r="Q35" i="149"/>
  <c r="P35" i="149"/>
  <c r="AB37" i="149"/>
  <c r="AA37" i="149"/>
  <c r="N37" i="149"/>
  <c r="AB38" i="149"/>
  <c r="AA38" i="149"/>
  <c r="Q38" i="149"/>
  <c r="P38" i="149"/>
  <c r="AB39" i="149"/>
  <c r="AA39" i="149"/>
  <c r="Q39" i="149"/>
  <c r="P39" i="149"/>
  <c r="AB40" i="149"/>
  <c r="AA40" i="149"/>
  <c r="P40" i="149"/>
  <c r="Q40" i="149"/>
  <c r="AB41" i="149"/>
  <c r="AA41" i="149"/>
  <c r="Q41" i="149"/>
  <c r="P41" i="149"/>
  <c r="N43" i="149"/>
  <c r="AB43" i="149"/>
  <c r="AA43" i="149"/>
  <c r="N44" i="149"/>
  <c r="AA44" i="149"/>
  <c r="AB44" i="149"/>
  <c r="N45" i="149"/>
  <c r="AB45" i="149"/>
  <c r="AA45" i="149"/>
  <c r="N46" i="149"/>
  <c r="AB46" i="149"/>
  <c r="Q47" i="149"/>
  <c r="P47" i="149"/>
  <c r="Q48" i="149"/>
  <c r="P48" i="149"/>
  <c r="Q49" i="149"/>
  <c r="P49" i="149"/>
  <c r="AB50" i="149"/>
  <c r="AC43" i="149" s="1"/>
  <c r="AA50" i="149"/>
  <c r="N50" i="149"/>
  <c r="AB51" i="149"/>
  <c r="M56" i="149"/>
  <c r="AB56" i="149" s="1"/>
  <c r="AC51" i="149" s="1"/>
  <c r="AA51" i="149"/>
  <c r="AB52" i="149"/>
  <c r="AA52" i="149"/>
  <c r="AB53" i="149"/>
  <c r="AA53" i="149"/>
  <c r="N53" i="149"/>
  <c r="N54" i="149"/>
  <c r="AA54" i="149"/>
  <c r="AB54" i="149"/>
  <c r="N55" i="149"/>
  <c r="AB55" i="149"/>
  <c r="AA55" i="149"/>
  <c r="AB59" i="149"/>
  <c r="AA59" i="149"/>
  <c r="N59" i="149"/>
  <c r="M61" i="149"/>
  <c r="N61" i="149" s="1"/>
  <c r="AB60" i="149"/>
  <c r="AA60" i="149"/>
  <c r="P60" i="149"/>
  <c r="Q60" i="149"/>
  <c r="N62" i="149"/>
  <c r="AB62" i="149"/>
  <c r="AA62" i="149"/>
  <c r="M70" i="149"/>
  <c r="AB63" i="149"/>
  <c r="AA63" i="149"/>
  <c r="N63" i="149"/>
  <c r="N64" i="149"/>
  <c r="AA64" i="149"/>
  <c r="AB64" i="149"/>
  <c r="N65" i="149"/>
  <c r="AB65" i="149"/>
  <c r="AA65" i="149"/>
  <c r="N66" i="149"/>
  <c r="AB66" i="149"/>
  <c r="Q67" i="149"/>
  <c r="P67" i="149"/>
  <c r="Q68" i="149"/>
  <c r="P68" i="149"/>
  <c r="N69" i="149"/>
  <c r="AB69" i="149"/>
  <c r="AA69" i="149"/>
  <c r="AA21" i="149"/>
  <c r="AB22" i="149"/>
  <c r="AB36" i="149"/>
  <c r="AA49" i="149"/>
  <c r="AB68" i="149"/>
  <c r="AA5" i="149"/>
  <c r="AA6" i="149"/>
  <c r="AA16" i="149"/>
  <c r="P22" i="149"/>
  <c r="P36" i="149"/>
  <c r="P57" i="149"/>
  <c r="P58" i="149"/>
  <c r="AB5" i="149"/>
  <c r="G8" i="154" l="1"/>
  <c r="E8" i="154"/>
  <c r="F8" i="154"/>
  <c r="G8" i="152"/>
  <c r="F8" i="152"/>
  <c r="E8" i="152"/>
  <c r="G7" i="152"/>
  <c r="E7" i="152"/>
  <c r="I8" i="152"/>
  <c r="F7" i="152"/>
  <c r="I7" i="152"/>
  <c r="Q26" i="151"/>
  <c r="R18" i="151" s="1"/>
  <c r="P26" i="151"/>
  <c r="G14" i="150"/>
  <c r="G15" i="150" s="1"/>
  <c r="Q33" i="151"/>
  <c r="R27" i="151" s="1"/>
  <c r="P33" i="151"/>
  <c r="K14" i="150"/>
  <c r="Q48" i="151"/>
  <c r="R41" i="151" s="1"/>
  <c r="P48" i="151"/>
  <c r="H14" i="150"/>
  <c r="H15" i="150" s="1"/>
  <c r="M14" i="150"/>
  <c r="M15" i="150" s="1"/>
  <c r="Q67" i="151"/>
  <c r="R60" i="151" s="1"/>
  <c r="P67" i="151"/>
  <c r="P54" i="151"/>
  <c r="I14" i="150"/>
  <c r="I15" i="150" s="1"/>
  <c r="Q54" i="151"/>
  <c r="R49" i="151" s="1"/>
  <c r="F14" i="150"/>
  <c r="F15" i="150" s="1"/>
  <c r="Q17" i="151"/>
  <c r="R12" i="151" s="1"/>
  <c r="P17" i="151"/>
  <c r="P8" i="151"/>
  <c r="D14" i="150"/>
  <c r="Q8" i="151"/>
  <c r="R5" i="151" s="1"/>
  <c r="D2" i="151"/>
  <c r="Q63" i="149"/>
  <c r="P63" i="149"/>
  <c r="P62" i="149"/>
  <c r="Q62" i="149"/>
  <c r="P45" i="149"/>
  <c r="Q45" i="149"/>
  <c r="Q44" i="149"/>
  <c r="P44" i="149"/>
  <c r="P29" i="149"/>
  <c r="Q29" i="149"/>
  <c r="Q28" i="149"/>
  <c r="P28" i="149"/>
  <c r="P55" i="149"/>
  <c r="Q55" i="149"/>
  <c r="P65" i="149"/>
  <c r="Q65" i="149"/>
  <c r="Q54" i="149"/>
  <c r="P54" i="149"/>
  <c r="Q53" i="149"/>
  <c r="P53" i="149"/>
  <c r="Q64" i="149"/>
  <c r="P64" i="149"/>
  <c r="Q61" i="149"/>
  <c r="R57" i="149" s="1"/>
  <c r="J14" i="148"/>
  <c r="J15" i="148" s="1"/>
  <c r="P61" i="149"/>
  <c r="Q7" i="149"/>
  <c r="P7" i="149"/>
  <c r="Q69" i="149"/>
  <c r="P69" i="149"/>
  <c r="P66" i="149"/>
  <c r="Q66" i="149"/>
  <c r="AB70" i="149"/>
  <c r="AC62" i="149" s="1"/>
  <c r="AA70" i="149"/>
  <c r="N70" i="149"/>
  <c r="M14" i="148" s="1"/>
  <c r="M15" i="148" s="1"/>
  <c r="AA61" i="149"/>
  <c r="AB61" i="149"/>
  <c r="AC57" i="149" s="1"/>
  <c r="Q59" i="149"/>
  <c r="P59" i="149"/>
  <c r="N56" i="149"/>
  <c r="AA56" i="149"/>
  <c r="Q50" i="149"/>
  <c r="R43" i="149" s="1"/>
  <c r="H14" i="148"/>
  <c r="H15" i="148" s="1"/>
  <c r="P50" i="149"/>
  <c r="P46" i="149"/>
  <c r="Q46" i="149"/>
  <c r="P43" i="149"/>
  <c r="Q43" i="149"/>
  <c r="Q37" i="149"/>
  <c r="P37" i="149"/>
  <c r="AB42" i="149"/>
  <c r="AC35" i="149" s="1"/>
  <c r="AA42" i="149"/>
  <c r="N42" i="149"/>
  <c r="P32" i="149"/>
  <c r="Q32" i="149"/>
  <c r="Q31" i="149"/>
  <c r="P31" i="149"/>
  <c r="P30" i="149"/>
  <c r="Q30" i="149"/>
  <c r="AB34" i="149"/>
  <c r="AC27" i="149" s="1"/>
  <c r="AA34" i="149"/>
  <c r="N34" i="149"/>
  <c r="K14" i="148" s="1"/>
  <c r="P27" i="149"/>
  <c r="Q27" i="149"/>
  <c r="Q23" i="149"/>
  <c r="P23" i="149"/>
  <c r="Q18" i="149"/>
  <c r="P18" i="149"/>
  <c r="AB26" i="149"/>
  <c r="AC18" i="149" s="1"/>
  <c r="AA26" i="149"/>
  <c r="N26" i="149"/>
  <c r="Q13" i="149"/>
  <c r="P13" i="149"/>
  <c r="N17" i="149"/>
  <c r="AB17" i="149"/>
  <c r="AC12" i="149" s="1"/>
  <c r="AB11" i="149"/>
  <c r="AC9" i="149" s="1"/>
  <c r="AA11" i="149"/>
  <c r="N11" i="149"/>
  <c r="Q9" i="149"/>
  <c r="P9" i="149"/>
  <c r="I7" i="150" l="1"/>
  <c r="K15" i="150"/>
  <c r="I8" i="150" s="1"/>
  <c r="D15" i="150"/>
  <c r="G7" i="150"/>
  <c r="F7" i="150"/>
  <c r="E7" i="150"/>
  <c r="Q26" i="149"/>
  <c r="R18" i="149" s="1"/>
  <c r="G14" i="148"/>
  <c r="G15" i="148" s="1"/>
  <c r="P26" i="149"/>
  <c r="E14" i="148"/>
  <c r="D2" i="149"/>
  <c r="Q42" i="149"/>
  <c r="R35" i="149" s="1"/>
  <c r="L14" i="148"/>
  <c r="L15" i="148" s="1"/>
  <c r="P42" i="149"/>
  <c r="Q17" i="149"/>
  <c r="R12" i="149" s="1"/>
  <c r="P17" i="149"/>
  <c r="F14" i="148"/>
  <c r="F15" i="148" s="1"/>
  <c r="K15" i="148"/>
  <c r="Q11" i="149"/>
  <c r="R9" i="149" s="1"/>
  <c r="P11" i="149"/>
  <c r="Q34" i="149"/>
  <c r="R27" i="149" s="1"/>
  <c r="P34" i="149"/>
  <c r="Q56" i="149"/>
  <c r="R51" i="149" s="1"/>
  <c r="P56" i="149"/>
  <c r="I14" i="148"/>
  <c r="I15" i="148" s="1"/>
  <c r="Q70" i="149"/>
  <c r="R62" i="149" s="1"/>
  <c r="P70" i="149"/>
  <c r="I8" i="148" l="1"/>
  <c r="E8" i="150"/>
  <c r="F8" i="150"/>
  <c r="G8" i="150"/>
  <c r="E15" i="148"/>
  <c r="E7" i="148"/>
  <c r="F7" i="148"/>
  <c r="G7" i="148"/>
  <c r="I7" i="148"/>
  <c r="G8" i="148" l="1"/>
  <c r="E8" i="148"/>
  <c r="F8" i="148"/>
  <c r="O74" i="145" l="1"/>
  <c r="K74" i="145"/>
  <c r="V73" i="145"/>
  <c r="M73" i="145" s="1"/>
  <c r="U73" i="145"/>
  <c r="O73" i="145"/>
  <c r="K73" i="145"/>
  <c r="G73" i="145"/>
  <c r="X72" i="145"/>
  <c r="W72" i="145"/>
  <c r="V72" i="145"/>
  <c r="M72" i="145" s="1"/>
  <c r="U72" i="145"/>
  <c r="O72" i="145"/>
  <c r="K72" i="145"/>
  <c r="G72" i="145"/>
  <c r="V71" i="145"/>
  <c r="M71" i="145" s="1"/>
  <c r="U71" i="145"/>
  <c r="O71" i="145"/>
  <c r="K71" i="145"/>
  <c r="G71" i="145"/>
  <c r="V70" i="145"/>
  <c r="M70" i="145" s="1"/>
  <c r="U70" i="145"/>
  <c r="O70" i="145"/>
  <c r="K70" i="145"/>
  <c r="G70" i="145"/>
  <c r="V69" i="145"/>
  <c r="M69" i="145" s="1"/>
  <c r="U69" i="145"/>
  <c r="O69" i="145"/>
  <c r="K69" i="145"/>
  <c r="G69" i="145"/>
  <c r="V68" i="145"/>
  <c r="M68" i="145" s="1"/>
  <c r="U68" i="145"/>
  <c r="O68" i="145"/>
  <c r="K68" i="145"/>
  <c r="G68" i="145"/>
  <c r="V67" i="145"/>
  <c r="M67" i="145" s="1"/>
  <c r="U67" i="145"/>
  <c r="O67" i="145"/>
  <c r="K67" i="145"/>
  <c r="G67" i="145"/>
  <c r="X66" i="145"/>
  <c r="W66" i="145"/>
  <c r="V66" i="145"/>
  <c r="M66" i="145" s="1"/>
  <c r="O66" i="145"/>
  <c r="K66" i="145"/>
  <c r="G66" i="145"/>
  <c r="O65" i="145"/>
  <c r="K65" i="145"/>
  <c r="V64" i="145"/>
  <c r="U64" i="145"/>
  <c r="O64" i="145"/>
  <c r="M64" i="145"/>
  <c r="AB64" i="145" s="1"/>
  <c r="K64" i="145"/>
  <c r="G64" i="145"/>
  <c r="V63" i="145"/>
  <c r="U63" i="145"/>
  <c r="O63" i="145"/>
  <c r="M63" i="145"/>
  <c r="AB63" i="145" s="1"/>
  <c r="K63" i="145"/>
  <c r="G63" i="145"/>
  <c r="AB62" i="145"/>
  <c r="V62" i="145"/>
  <c r="U62" i="145"/>
  <c r="O62" i="145"/>
  <c r="N62" i="145"/>
  <c r="Q62" i="145" s="1"/>
  <c r="M62" i="145"/>
  <c r="AA62" i="145" s="1"/>
  <c r="K62" i="145"/>
  <c r="G62" i="145"/>
  <c r="AB61" i="145"/>
  <c r="V61" i="145"/>
  <c r="O61" i="145"/>
  <c r="N61" i="145"/>
  <c r="Q61" i="145" s="1"/>
  <c r="M61" i="145"/>
  <c r="AA61" i="145" s="1"/>
  <c r="K61" i="145"/>
  <c r="G61" i="145"/>
  <c r="O60" i="145"/>
  <c r="K60" i="145"/>
  <c r="V59" i="145"/>
  <c r="M59" i="145" s="1"/>
  <c r="U59" i="145"/>
  <c r="O59" i="145"/>
  <c r="K59" i="145"/>
  <c r="G59" i="145"/>
  <c r="X58" i="145"/>
  <c r="W58" i="145"/>
  <c r="V58" i="145"/>
  <c r="M58" i="145" s="1"/>
  <c r="U58" i="145"/>
  <c r="O58" i="145"/>
  <c r="K58" i="145"/>
  <c r="G58" i="145"/>
  <c r="V57" i="145"/>
  <c r="M57" i="145" s="1"/>
  <c r="U57" i="145"/>
  <c r="O57" i="145"/>
  <c r="K57" i="145"/>
  <c r="G57" i="145"/>
  <c r="V56" i="145"/>
  <c r="M56" i="145" s="1"/>
  <c r="U56" i="145"/>
  <c r="O56" i="145"/>
  <c r="K56" i="145"/>
  <c r="G56" i="145"/>
  <c r="V55" i="145"/>
  <c r="M55" i="145" s="1"/>
  <c r="U55" i="145"/>
  <c r="O55" i="145"/>
  <c r="K55" i="145"/>
  <c r="G55" i="145"/>
  <c r="V54" i="145"/>
  <c r="M54" i="145" s="1"/>
  <c r="O54" i="145"/>
  <c r="K54" i="145"/>
  <c r="G54" i="145"/>
  <c r="O53" i="145"/>
  <c r="K53" i="145"/>
  <c r="V52" i="145"/>
  <c r="U52" i="145"/>
  <c r="O52" i="145"/>
  <c r="M52" i="145"/>
  <c r="AA52" i="145" s="1"/>
  <c r="K52" i="145"/>
  <c r="G52" i="145"/>
  <c r="AB51" i="145"/>
  <c r="X51" i="145"/>
  <c r="W51" i="145"/>
  <c r="V51" i="145"/>
  <c r="U51" i="145"/>
  <c r="O51" i="145"/>
  <c r="M51" i="145"/>
  <c r="N51" i="145" s="1"/>
  <c r="K51" i="145"/>
  <c r="G51" i="145"/>
  <c r="V50" i="145"/>
  <c r="U50" i="145"/>
  <c r="O50" i="145"/>
  <c r="M50" i="145"/>
  <c r="AA50" i="145" s="1"/>
  <c r="K50" i="145"/>
  <c r="G50" i="145"/>
  <c r="AB49" i="145"/>
  <c r="V49" i="145"/>
  <c r="U49" i="145"/>
  <c r="O49" i="145"/>
  <c r="M49" i="145"/>
  <c r="N49" i="145" s="1"/>
  <c r="K49" i="145"/>
  <c r="G49" i="145"/>
  <c r="V48" i="145"/>
  <c r="M48" i="145" s="1"/>
  <c r="U48" i="145"/>
  <c r="O48" i="145"/>
  <c r="K48" i="145"/>
  <c r="G48" i="145"/>
  <c r="V47" i="145"/>
  <c r="M47" i="145" s="1"/>
  <c r="U47" i="145"/>
  <c r="O47" i="145"/>
  <c r="K47" i="145"/>
  <c r="G47" i="145"/>
  <c r="V46" i="145"/>
  <c r="M46" i="145" s="1"/>
  <c r="U46" i="145"/>
  <c r="O46" i="145"/>
  <c r="K46" i="145"/>
  <c r="G46" i="145"/>
  <c r="X45" i="145"/>
  <c r="W45" i="145"/>
  <c r="V45" i="145"/>
  <c r="M45" i="145" s="1"/>
  <c r="O45" i="145"/>
  <c r="K45" i="145"/>
  <c r="G45" i="145"/>
  <c r="O44" i="145"/>
  <c r="K44" i="145"/>
  <c r="V43" i="145"/>
  <c r="M43" i="145" s="1"/>
  <c r="U43" i="145"/>
  <c r="O43" i="145"/>
  <c r="K43" i="145"/>
  <c r="G43" i="145"/>
  <c r="V42" i="145"/>
  <c r="U42" i="145"/>
  <c r="O42" i="145"/>
  <c r="N42" i="145"/>
  <c r="Q42" i="145" s="1"/>
  <c r="M42" i="145"/>
  <c r="AB42" i="145" s="1"/>
  <c r="K42" i="145"/>
  <c r="G42" i="145"/>
  <c r="X41" i="145"/>
  <c r="W41" i="145"/>
  <c r="V41" i="145"/>
  <c r="M41" i="145" s="1"/>
  <c r="U41" i="145"/>
  <c r="O41" i="145"/>
  <c r="K41" i="145"/>
  <c r="G41" i="145"/>
  <c r="V40" i="145"/>
  <c r="U40" i="145"/>
  <c r="O40" i="145"/>
  <c r="N40" i="145"/>
  <c r="Q40" i="145" s="1"/>
  <c r="M40" i="145"/>
  <c r="AB40" i="145" s="1"/>
  <c r="K40" i="145"/>
  <c r="G40" i="145"/>
  <c r="V39" i="145"/>
  <c r="U39" i="145"/>
  <c r="O39" i="145"/>
  <c r="M39" i="145"/>
  <c r="AB39" i="145" s="1"/>
  <c r="K39" i="145"/>
  <c r="G39" i="145"/>
  <c r="V38" i="145"/>
  <c r="U38" i="145"/>
  <c r="O38" i="145"/>
  <c r="M38" i="145"/>
  <c r="AB38" i="145" s="1"/>
  <c r="K38" i="145"/>
  <c r="G38" i="145"/>
  <c r="X37" i="145"/>
  <c r="W37" i="145"/>
  <c r="V37" i="145"/>
  <c r="O37" i="145"/>
  <c r="N37" i="145"/>
  <c r="Q37" i="145" s="1"/>
  <c r="M37" i="145"/>
  <c r="AB37" i="145" s="1"/>
  <c r="K37" i="145"/>
  <c r="G37" i="145"/>
  <c r="O36" i="145"/>
  <c r="K36" i="145"/>
  <c r="AB35" i="145"/>
  <c r="V35" i="145"/>
  <c r="U35" i="145"/>
  <c r="O35" i="145"/>
  <c r="M35" i="145"/>
  <c r="N35" i="145" s="1"/>
  <c r="K35" i="145"/>
  <c r="G35" i="145"/>
  <c r="V34" i="145"/>
  <c r="M34" i="145" s="1"/>
  <c r="U34" i="145"/>
  <c r="O34" i="145"/>
  <c r="K34" i="145"/>
  <c r="G34" i="145"/>
  <c r="V33" i="145"/>
  <c r="M33" i="145" s="1"/>
  <c r="U33" i="145"/>
  <c r="O33" i="145"/>
  <c r="K33" i="145"/>
  <c r="G33" i="145"/>
  <c r="X32" i="145"/>
  <c r="W32" i="145"/>
  <c r="V32" i="145"/>
  <c r="M32" i="145" s="1"/>
  <c r="U32" i="145"/>
  <c r="O32" i="145"/>
  <c r="K32" i="145"/>
  <c r="G32" i="145"/>
  <c r="V31" i="145"/>
  <c r="M31" i="145" s="1"/>
  <c r="U31" i="145"/>
  <c r="O31" i="145"/>
  <c r="K31" i="145"/>
  <c r="G31" i="145"/>
  <c r="V30" i="145"/>
  <c r="M30" i="145" s="1"/>
  <c r="U30" i="145"/>
  <c r="O30" i="145"/>
  <c r="K30" i="145"/>
  <c r="G30" i="145"/>
  <c r="V29" i="145"/>
  <c r="M29" i="145" s="1"/>
  <c r="U29" i="145"/>
  <c r="O29" i="145"/>
  <c r="K29" i="145"/>
  <c r="G29" i="145"/>
  <c r="X28" i="145"/>
  <c r="W28" i="145"/>
  <c r="V28" i="145"/>
  <c r="M28" i="145" s="1"/>
  <c r="O28" i="145"/>
  <c r="K28" i="145"/>
  <c r="G28" i="145"/>
  <c r="O27" i="145"/>
  <c r="K27" i="145"/>
  <c r="V26" i="145"/>
  <c r="U26" i="145"/>
  <c r="O26" i="145"/>
  <c r="N26" i="145"/>
  <c r="Q26" i="145" s="1"/>
  <c r="M26" i="145"/>
  <c r="AB26" i="145" s="1"/>
  <c r="K26" i="145"/>
  <c r="G26" i="145"/>
  <c r="V25" i="145"/>
  <c r="U25" i="145"/>
  <c r="O25" i="145"/>
  <c r="M25" i="145"/>
  <c r="AB25" i="145" s="1"/>
  <c r="K25" i="145"/>
  <c r="G25" i="145"/>
  <c r="V24" i="145"/>
  <c r="U24" i="145"/>
  <c r="O24" i="145"/>
  <c r="M24" i="145"/>
  <c r="AB24" i="145" s="1"/>
  <c r="K24" i="145"/>
  <c r="G24" i="145"/>
  <c r="V23" i="145"/>
  <c r="U23" i="145"/>
  <c r="O23" i="145"/>
  <c r="M23" i="145"/>
  <c r="AB23" i="145" s="1"/>
  <c r="K23" i="145"/>
  <c r="G23" i="145"/>
  <c r="V22" i="145"/>
  <c r="U22" i="145"/>
  <c r="O22" i="145"/>
  <c r="M22" i="145"/>
  <c r="AA22" i="145" s="1"/>
  <c r="K22" i="145"/>
  <c r="G22" i="145"/>
  <c r="F1" i="145" s="1"/>
  <c r="AB21" i="145"/>
  <c r="V21" i="145"/>
  <c r="U21" i="145"/>
  <c r="O21" i="145"/>
  <c r="M21" i="145"/>
  <c r="N21" i="145" s="1"/>
  <c r="K21" i="145"/>
  <c r="G21" i="145"/>
  <c r="AB20" i="145"/>
  <c r="AA20" i="145"/>
  <c r="V20" i="145"/>
  <c r="U20" i="145"/>
  <c r="O20" i="145"/>
  <c r="N20" i="145"/>
  <c r="Q20" i="145" s="1"/>
  <c r="M20" i="145"/>
  <c r="K20" i="145"/>
  <c r="G20" i="145"/>
  <c r="AB19" i="145"/>
  <c r="AA19" i="145"/>
  <c r="V19" i="145"/>
  <c r="O19" i="145"/>
  <c r="N19" i="145"/>
  <c r="Q19" i="145" s="1"/>
  <c r="M19" i="145"/>
  <c r="M27" i="145" s="1"/>
  <c r="K19" i="145"/>
  <c r="G19" i="145"/>
  <c r="O18" i="145"/>
  <c r="K18" i="145"/>
  <c r="V17" i="145"/>
  <c r="M17" i="145" s="1"/>
  <c r="U17" i="145"/>
  <c r="O17" i="145"/>
  <c r="K17" i="145"/>
  <c r="G17" i="145"/>
  <c r="V16" i="145"/>
  <c r="M16" i="145" s="1"/>
  <c r="U16" i="145"/>
  <c r="O16" i="145"/>
  <c r="K16" i="145"/>
  <c r="G16" i="145"/>
  <c r="V15" i="145"/>
  <c r="U15" i="145"/>
  <c r="O15" i="145"/>
  <c r="M15" i="145"/>
  <c r="AB15" i="145" s="1"/>
  <c r="K15" i="145"/>
  <c r="G15" i="145"/>
  <c r="V14" i="145"/>
  <c r="U14" i="145"/>
  <c r="O14" i="145"/>
  <c r="M14" i="145"/>
  <c r="AB14" i="145" s="1"/>
  <c r="K14" i="145"/>
  <c r="G14" i="145"/>
  <c r="X13" i="145"/>
  <c r="W13" i="145"/>
  <c r="V13" i="145"/>
  <c r="M13" i="145" s="1"/>
  <c r="O13" i="145"/>
  <c r="K13" i="145"/>
  <c r="G13" i="145"/>
  <c r="O12" i="145"/>
  <c r="M12" i="145"/>
  <c r="AB12" i="145" s="1"/>
  <c r="AC10" i="145" s="1"/>
  <c r="K12" i="145"/>
  <c r="AB11" i="145"/>
  <c r="V11" i="145"/>
  <c r="U11" i="145"/>
  <c r="O11" i="145"/>
  <c r="N11" i="145"/>
  <c r="Q11" i="145" s="1"/>
  <c r="M11" i="145"/>
  <c r="AA11" i="145" s="1"/>
  <c r="K11" i="145"/>
  <c r="G11" i="145"/>
  <c r="AB10" i="145"/>
  <c r="V10" i="145"/>
  <c r="O10" i="145"/>
  <c r="N10" i="145"/>
  <c r="Q10" i="145" s="1"/>
  <c r="M10" i="145"/>
  <c r="AA10" i="145" s="1"/>
  <c r="K10" i="145"/>
  <c r="G10" i="145"/>
  <c r="O9" i="145"/>
  <c r="K9" i="145"/>
  <c r="V8" i="145"/>
  <c r="M8" i="145" s="1"/>
  <c r="U8" i="145"/>
  <c r="O8" i="145"/>
  <c r="K8" i="145"/>
  <c r="G8" i="145"/>
  <c r="X7" i="145"/>
  <c r="W7" i="145"/>
  <c r="V7" i="145"/>
  <c r="M7" i="145" s="1"/>
  <c r="U7" i="145"/>
  <c r="O7" i="145"/>
  <c r="K7" i="145"/>
  <c r="G7" i="145"/>
  <c r="V6" i="145"/>
  <c r="M6" i="145" s="1"/>
  <c r="U6" i="145"/>
  <c r="O6" i="145"/>
  <c r="K6" i="145"/>
  <c r="G6" i="145"/>
  <c r="V5" i="145"/>
  <c r="M5" i="145" s="1"/>
  <c r="O5" i="145"/>
  <c r="K5" i="145"/>
  <c r="G5" i="145"/>
  <c r="H2" i="145"/>
  <c r="H1" i="145"/>
  <c r="D1" i="145"/>
  <c r="M18" i="144"/>
  <c r="L18" i="144"/>
  <c r="K18" i="144"/>
  <c r="J18" i="144"/>
  <c r="I18" i="144"/>
  <c r="H18" i="144"/>
  <c r="G18" i="144"/>
  <c r="F18" i="144"/>
  <c r="E18" i="144"/>
  <c r="D18" i="144"/>
  <c r="M17" i="144"/>
  <c r="L17" i="144"/>
  <c r="K17" i="144"/>
  <c r="J17" i="144"/>
  <c r="I17" i="144"/>
  <c r="H17" i="144"/>
  <c r="G17" i="144"/>
  <c r="F17" i="144"/>
  <c r="E17" i="144"/>
  <c r="D17" i="144"/>
  <c r="M16" i="144"/>
  <c r="L16" i="144"/>
  <c r="K16" i="144"/>
  <c r="J16" i="144"/>
  <c r="I16" i="144"/>
  <c r="H16" i="144"/>
  <c r="G16" i="144"/>
  <c r="F16" i="144"/>
  <c r="E16" i="144"/>
  <c r="D16" i="144"/>
  <c r="M13" i="144"/>
  <c r="L13" i="144"/>
  <c r="K13" i="144"/>
  <c r="J13" i="144"/>
  <c r="I13" i="144"/>
  <c r="H13" i="144"/>
  <c r="G13" i="144"/>
  <c r="F13" i="144"/>
  <c r="E13" i="144"/>
  <c r="D13" i="144"/>
  <c r="F3" i="144"/>
  <c r="C3" i="144"/>
  <c r="I6" i="144" l="1"/>
  <c r="F6" i="144"/>
  <c r="AB67" i="145"/>
  <c r="AA67" i="145"/>
  <c r="N67" i="145"/>
  <c r="N72" i="145"/>
  <c r="AB72" i="145"/>
  <c r="AA72" i="145"/>
  <c r="Q21" i="145"/>
  <c r="P21" i="145"/>
  <c r="N29" i="145"/>
  <c r="AB29" i="145"/>
  <c r="AA29" i="145"/>
  <c r="AB55" i="145"/>
  <c r="AA55" i="145"/>
  <c r="N55" i="145"/>
  <c r="N71" i="145"/>
  <c r="AB71" i="145"/>
  <c r="AA71" i="145"/>
  <c r="Q51" i="145"/>
  <c r="P51" i="145"/>
  <c r="N6" i="145"/>
  <c r="AB6" i="145"/>
  <c r="AA6" i="145"/>
  <c r="N8" i="145"/>
  <c r="AB8" i="145"/>
  <c r="AA8" i="145"/>
  <c r="AB13" i="145"/>
  <c r="M18" i="145"/>
  <c r="AA13" i="145"/>
  <c r="N13" i="145"/>
  <c r="AB17" i="145"/>
  <c r="AA17" i="145"/>
  <c r="N17" i="145"/>
  <c r="N32" i="145"/>
  <c r="AB32" i="145"/>
  <c r="AA32" i="145"/>
  <c r="N34" i="145"/>
  <c r="AB34" i="145"/>
  <c r="AA34" i="145"/>
  <c r="N58" i="145"/>
  <c r="AB58" i="145"/>
  <c r="AA58" i="145"/>
  <c r="N45" i="145"/>
  <c r="AB45" i="145"/>
  <c r="AA45" i="145"/>
  <c r="M53" i="145"/>
  <c r="N47" i="145"/>
  <c r="AB47" i="145"/>
  <c r="AA47" i="145"/>
  <c r="F2" i="145"/>
  <c r="I3" i="144"/>
  <c r="N28" i="145"/>
  <c r="AB28" i="145"/>
  <c r="AA28" i="145"/>
  <c r="M36" i="145"/>
  <c r="N30" i="145"/>
  <c r="AB30" i="145"/>
  <c r="AA30" i="145"/>
  <c r="N56" i="145"/>
  <c r="AB56" i="145"/>
  <c r="AA56" i="145"/>
  <c r="Q35" i="145"/>
  <c r="P35" i="145"/>
  <c r="N7" i="145"/>
  <c r="AB7" i="145"/>
  <c r="AA7" i="145"/>
  <c r="N27" i="145"/>
  <c r="AB27" i="145"/>
  <c r="AC19" i="145" s="1"/>
  <c r="AA27" i="145"/>
  <c r="M60" i="145"/>
  <c r="AB54" i="145"/>
  <c r="AA54" i="145"/>
  <c r="N54" i="145"/>
  <c r="N70" i="145"/>
  <c r="AB70" i="145"/>
  <c r="AA70" i="145"/>
  <c r="AB41" i="145"/>
  <c r="AA41" i="145"/>
  <c r="N41" i="145"/>
  <c r="N68" i="145"/>
  <c r="AB68" i="145"/>
  <c r="AA68" i="145"/>
  <c r="N46" i="145"/>
  <c r="AB46" i="145"/>
  <c r="AA46" i="145"/>
  <c r="Q49" i="145"/>
  <c r="P49" i="145"/>
  <c r="N5" i="145"/>
  <c r="M9" i="145"/>
  <c r="AB5" i="145"/>
  <c r="AA5" i="145"/>
  <c r="AB16" i="145"/>
  <c r="AA16" i="145"/>
  <c r="N16" i="145"/>
  <c r="N48" i="145"/>
  <c r="AB48" i="145"/>
  <c r="AA48" i="145"/>
  <c r="N66" i="145"/>
  <c r="AB66" i="145"/>
  <c r="AA66" i="145"/>
  <c r="M74" i="145"/>
  <c r="N31" i="145"/>
  <c r="AB31" i="145"/>
  <c r="AA31" i="145"/>
  <c r="N33" i="145"/>
  <c r="AB33" i="145"/>
  <c r="AA33" i="145"/>
  <c r="AB43" i="145"/>
  <c r="AA43" i="145"/>
  <c r="N43" i="145"/>
  <c r="N57" i="145"/>
  <c r="AB57" i="145"/>
  <c r="AA57" i="145"/>
  <c r="N59" i="145"/>
  <c r="AB59" i="145"/>
  <c r="AA59" i="145"/>
  <c r="N73" i="145"/>
  <c r="AB73" i="145"/>
  <c r="AA73" i="145"/>
  <c r="N69" i="145"/>
  <c r="AB69" i="145"/>
  <c r="AA69" i="145"/>
  <c r="AA21" i="145"/>
  <c r="AB22" i="145"/>
  <c r="AA35" i="145"/>
  <c r="AA49" i="145"/>
  <c r="AB50" i="145"/>
  <c r="AA51" i="145"/>
  <c r="AB52" i="145"/>
  <c r="M65" i="145"/>
  <c r="N15" i="145"/>
  <c r="N25" i="145"/>
  <c r="N39" i="145"/>
  <c r="N14" i="145"/>
  <c r="N24" i="145"/>
  <c r="P26" i="145"/>
  <c r="P37" i="145"/>
  <c r="N38" i="145"/>
  <c r="P40" i="145"/>
  <c r="P42" i="145"/>
  <c r="N64" i="145"/>
  <c r="E6" i="144"/>
  <c r="G6" i="144"/>
  <c r="N12" i="145"/>
  <c r="N23" i="145"/>
  <c r="N63" i="145"/>
  <c r="N22" i="145"/>
  <c r="N50" i="145"/>
  <c r="N52" i="145"/>
  <c r="AA26" i="145"/>
  <c r="AA40" i="145"/>
  <c r="AA42" i="145"/>
  <c r="P61" i="145"/>
  <c r="P62" i="145"/>
  <c r="P10" i="145"/>
  <c r="P11" i="145"/>
  <c r="AA12" i="145"/>
  <c r="AA15" i="145"/>
  <c r="AA25" i="145"/>
  <c r="AA39" i="145"/>
  <c r="AA14" i="145"/>
  <c r="P19" i="145"/>
  <c r="P20" i="145"/>
  <c r="AA24" i="145"/>
  <c r="AA37" i="145"/>
  <c r="AA38" i="145"/>
  <c r="M44" i="145"/>
  <c r="AA64" i="145"/>
  <c r="AA23" i="145"/>
  <c r="AA63" i="145"/>
  <c r="O73" i="143"/>
  <c r="K73" i="143"/>
  <c r="V72" i="143"/>
  <c r="U72" i="143"/>
  <c r="O72" i="143"/>
  <c r="M72" i="143"/>
  <c r="N72" i="143" s="1"/>
  <c r="K72" i="143"/>
  <c r="G72" i="143"/>
  <c r="AB71" i="143"/>
  <c r="AA71" i="143"/>
  <c r="X71" i="143"/>
  <c r="W71" i="143"/>
  <c r="V71" i="143"/>
  <c r="U71" i="143"/>
  <c r="O71" i="143"/>
  <c r="N71" i="143"/>
  <c r="Q71" i="143" s="1"/>
  <c r="M71" i="143"/>
  <c r="K71" i="143"/>
  <c r="G71" i="143"/>
  <c r="AB70" i="143"/>
  <c r="AA70" i="143"/>
  <c r="V70" i="143"/>
  <c r="U70" i="143"/>
  <c r="O70" i="143"/>
  <c r="N70" i="143"/>
  <c r="M70" i="143"/>
  <c r="K70" i="143"/>
  <c r="G70" i="143"/>
  <c r="V69" i="143"/>
  <c r="U69" i="143"/>
  <c r="O69" i="143"/>
  <c r="M69" i="143"/>
  <c r="N69" i="143" s="1"/>
  <c r="K69" i="143"/>
  <c r="G69" i="143"/>
  <c r="AB68" i="143"/>
  <c r="AA68" i="143"/>
  <c r="V68" i="143"/>
  <c r="U68" i="143"/>
  <c r="Q68" i="143"/>
  <c r="P68" i="143"/>
  <c r="O68" i="143"/>
  <c r="N68" i="143"/>
  <c r="M68" i="143"/>
  <c r="K68" i="143"/>
  <c r="G68" i="143"/>
  <c r="AB67" i="143"/>
  <c r="AA67" i="143"/>
  <c r="V67" i="143"/>
  <c r="U67" i="143"/>
  <c r="Q67" i="143"/>
  <c r="P67" i="143"/>
  <c r="O67" i="143"/>
  <c r="N67" i="143"/>
  <c r="M67" i="143"/>
  <c r="K67" i="143"/>
  <c r="G67" i="143"/>
  <c r="AB66" i="143"/>
  <c r="AA66" i="143"/>
  <c r="V66" i="143"/>
  <c r="U66" i="143"/>
  <c r="O66" i="143"/>
  <c r="M66" i="143"/>
  <c r="N66" i="143" s="1"/>
  <c r="K66" i="143"/>
  <c r="G66" i="143"/>
  <c r="X65" i="143"/>
  <c r="W65" i="143"/>
  <c r="V65" i="143"/>
  <c r="O65" i="143"/>
  <c r="M65" i="143"/>
  <c r="K65" i="143"/>
  <c r="G65" i="143"/>
  <c r="O64" i="143"/>
  <c r="K64" i="143"/>
  <c r="V63" i="143"/>
  <c r="U63" i="143"/>
  <c r="O63" i="143"/>
  <c r="M63" i="143"/>
  <c r="N63" i="143" s="1"/>
  <c r="K63" i="143"/>
  <c r="G63" i="143"/>
  <c r="AB62" i="143"/>
  <c r="AA62" i="143"/>
  <c r="V62" i="143"/>
  <c r="U62" i="143"/>
  <c r="Q62" i="143"/>
  <c r="P62" i="143"/>
  <c r="O62" i="143"/>
  <c r="N62" i="143"/>
  <c r="M62" i="143"/>
  <c r="K62" i="143"/>
  <c r="G62" i="143"/>
  <c r="AB61" i="143"/>
  <c r="AA61" i="143"/>
  <c r="V61" i="143"/>
  <c r="U61" i="143"/>
  <c r="O61" i="143"/>
  <c r="N61" i="143"/>
  <c r="M61" i="143"/>
  <c r="K61" i="143"/>
  <c r="G61" i="143"/>
  <c r="V60" i="143"/>
  <c r="O60" i="143"/>
  <c r="M60" i="143"/>
  <c r="AA60" i="143" s="1"/>
  <c r="K60" i="143"/>
  <c r="G60" i="143"/>
  <c r="O59" i="143"/>
  <c r="K59" i="143"/>
  <c r="AB58" i="143"/>
  <c r="AA58" i="143"/>
  <c r="V58" i="143"/>
  <c r="U58" i="143"/>
  <c r="Q58" i="143"/>
  <c r="P58" i="143"/>
  <c r="O58" i="143"/>
  <c r="N58" i="143"/>
  <c r="M58" i="143"/>
  <c r="K58" i="143"/>
  <c r="G58" i="143"/>
  <c r="AB57" i="143"/>
  <c r="AA57" i="143"/>
  <c r="X57" i="143"/>
  <c r="W57" i="143"/>
  <c r="V57" i="143"/>
  <c r="U57" i="143"/>
  <c r="O57" i="143"/>
  <c r="M57" i="143"/>
  <c r="N57" i="143" s="1"/>
  <c r="P57" i="143" s="1"/>
  <c r="K57" i="143"/>
  <c r="G57" i="143"/>
  <c r="AB56" i="143"/>
  <c r="AA56" i="143"/>
  <c r="V56" i="143"/>
  <c r="U56" i="143"/>
  <c r="Q56" i="143"/>
  <c r="P56" i="143"/>
  <c r="O56" i="143"/>
  <c r="N56" i="143"/>
  <c r="M56" i="143"/>
  <c r="K56" i="143"/>
  <c r="G56" i="143"/>
  <c r="AB55" i="143"/>
  <c r="AA55" i="143"/>
  <c r="V55" i="143"/>
  <c r="U55" i="143"/>
  <c r="O55" i="143"/>
  <c r="N55" i="143"/>
  <c r="Q55" i="143" s="1"/>
  <c r="M55" i="143"/>
  <c r="K55" i="143"/>
  <c r="G55" i="143"/>
  <c r="V54" i="143"/>
  <c r="U54" i="143"/>
  <c r="O54" i="143"/>
  <c r="M54" i="143"/>
  <c r="M59" i="143" s="1"/>
  <c r="K54" i="143"/>
  <c r="G54" i="143"/>
  <c r="AB53" i="143"/>
  <c r="AA53" i="143"/>
  <c r="V53" i="143"/>
  <c r="Q53" i="143"/>
  <c r="P53" i="143"/>
  <c r="O53" i="143"/>
  <c r="N53" i="143"/>
  <c r="M53" i="143"/>
  <c r="K53" i="143"/>
  <c r="G53" i="143"/>
  <c r="O52" i="143"/>
  <c r="M52" i="143"/>
  <c r="AB52" i="143" s="1"/>
  <c r="K52" i="143"/>
  <c r="AB51" i="143"/>
  <c r="AA51" i="143"/>
  <c r="V51" i="143"/>
  <c r="U51" i="143"/>
  <c r="Q51" i="143"/>
  <c r="P51" i="143"/>
  <c r="O51" i="143"/>
  <c r="N51" i="143"/>
  <c r="M51" i="143"/>
  <c r="K51" i="143"/>
  <c r="G51" i="143"/>
  <c r="AB50" i="143"/>
  <c r="AA50" i="143"/>
  <c r="X50" i="143"/>
  <c r="W50" i="143"/>
  <c r="V50" i="143"/>
  <c r="U50" i="143"/>
  <c r="O50" i="143"/>
  <c r="N50" i="143"/>
  <c r="M50" i="143"/>
  <c r="K50" i="143"/>
  <c r="G50" i="143"/>
  <c r="V49" i="143"/>
  <c r="U49" i="143"/>
  <c r="O49" i="143"/>
  <c r="M49" i="143"/>
  <c r="AA49" i="143" s="1"/>
  <c r="K49" i="143"/>
  <c r="G49" i="143"/>
  <c r="AB48" i="143"/>
  <c r="AA48" i="143"/>
  <c r="V48" i="143"/>
  <c r="U48" i="143"/>
  <c r="Q48" i="143"/>
  <c r="P48" i="143"/>
  <c r="O48" i="143"/>
  <c r="N48" i="143"/>
  <c r="M48" i="143"/>
  <c r="K48" i="143"/>
  <c r="G48" i="143"/>
  <c r="AB47" i="143"/>
  <c r="AA47" i="143"/>
  <c r="V47" i="143"/>
  <c r="U47" i="143"/>
  <c r="Q47" i="143"/>
  <c r="P47" i="143"/>
  <c r="O47" i="143"/>
  <c r="N47" i="143"/>
  <c r="M47" i="143"/>
  <c r="K47" i="143"/>
  <c r="G47" i="143"/>
  <c r="AB46" i="143"/>
  <c r="AA46" i="143"/>
  <c r="V46" i="143"/>
  <c r="U46" i="143"/>
  <c r="O46" i="143"/>
  <c r="M46" i="143"/>
  <c r="N46" i="143" s="1"/>
  <c r="K46" i="143"/>
  <c r="G46" i="143"/>
  <c r="V45" i="143"/>
  <c r="U45" i="143"/>
  <c r="O45" i="143"/>
  <c r="M45" i="143"/>
  <c r="AB45" i="143" s="1"/>
  <c r="K45" i="143"/>
  <c r="G45" i="143"/>
  <c r="AC44" i="143"/>
  <c r="AB44" i="143"/>
  <c r="AA44" i="143"/>
  <c r="X44" i="143"/>
  <c r="W44" i="143"/>
  <c r="V44" i="143"/>
  <c r="O44" i="143"/>
  <c r="N44" i="143"/>
  <c r="Q44" i="143" s="1"/>
  <c r="M44" i="143"/>
  <c r="K44" i="143"/>
  <c r="G44" i="143"/>
  <c r="O43" i="143"/>
  <c r="M43" i="143"/>
  <c r="K43" i="143"/>
  <c r="AB42" i="143"/>
  <c r="AA42" i="143"/>
  <c r="V42" i="143"/>
  <c r="U42" i="143"/>
  <c r="Q42" i="143"/>
  <c r="P42" i="143"/>
  <c r="O42" i="143"/>
  <c r="N42" i="143"/>
  <c r="M42" i="143"/>
  <c r="K42" i="143"/>
  <c r="G42" i="143"/>
  <c r="AB41" i="143"/>
  <c r="AA41" i="143"/>
  <c r="V41" i="143"/>
  <c r="U41" i="143"/>
  <c r="O41" i="143"/>
  <c r="N41" i="143"/>
  <c r="M41" i="143"/>
  <c r="K41" i="143"/>
  <c r="G41" i="143"/>
  <c r="AB40" i="143"/>
  <c r="AA40" i="143"/>
  <c r="X40" i="143"/>
  <c r="W40" i="143"/>
  <c r="V40" i="143"/>
  <c r="U40" i="143"/>
  <c r="O40" i="143"/>
  <c r="N40" i="143"/>
  <c r="Q40" i="143" s="1"/>
  <c r="M40" i="143"/>
  <c r="K40" i="143"/>
  <c r="G40" i="143"/>
  <c r="AB39" i="143"/>
  <c r="AA39" i="143"/>
  <c r="V39" i="143"/>
  <c r="U39" i="143"/>
  <c r="O39" i="143"/>
  <c r="M39" i="143"/>
  <c r="N39" i="143" s="1"/>
  <c r="P39" i="143" s="1"/>
  <c r="K39" i="143"/>
  <c r="G39" i="143"/>
  <c r="AB38" i="143"/>
  <c r="AA38" i="143"/>
  <c r="V38" i="143"/>
  <c r="U38" i="143"/>
  <c r="Q38" i="143"/>
  <c r="P38" i="143"/>
  <c r="O38" i="143"/>
  <c r="N38" i="143"/>
  <c r="M38" i="143"/>
  <c r="K38" i="143"/>
  <c r="G38" i="143"/>
  <c r="AB37" i="143"/>
  <c r="AA37" i="143"/>
  <c r="V37" i="143"/>
  <c r="U37" i="143"/>
  <c r="O37" i="143"/>
  <c r="N37" i="143"/>
  <c r="Q37" i="143" s="1"/>
  <c r="M37" i="143"/>
  <c r="K37" i="143"/>
  <c r="G37" i="143"/>
  <c r="AB36" i="143"/>
  <c r="AA36" i="143"/>
  <c r="X36" i="143"/>
  <c r="W36" i="143"/>
  <c r="V36" i="143"/>
  <c r="O36" i="143"/>
  <c r="N36" i="143"/>
  <c r="M36" i="143"/>
  <c r="K36" i="143"/>
  <c r="G36" i="143"/>
  <c r="O35" i="143"/>
  <c r="K35" i="143"/>
  <c r="V34" i="143"/>
  <c r="U34" i="143"/>
  <c r="O34" i="143"/>
  <c r="M34" i="143"/>
  <c r="K34" i="143"/>
  <c r="G34" i="143"/>
  <c r="AB33" i="143"/>
  <c r="AA33" i="143"/>
  <c r="V33" i="143"/>
  <c r="U33" i="143"/>
  <c r="O33" i="143"/>
  <c r="N33" i="143"/>
  <c r="P33" i="143" s="1"/>
  <c r="M33" i="143"/>
  <c r="K33" i="143"/>
  <c r="G33" i="143"/>
  <c r="AB32" i="143"/>
  <c r="AA32" i="143"/>
  <c r="X32" i="143"/>
  <c r="W32" i="143"/>
  <c r="V32" i="143"/>
  <c r="U32" i="143"/>
  <c r="Q32" i="143"/>
  <c r="P32" i="143"/>
  <c r="O32" i="143"/>
  <c r="N32" i="143"/>
  <c r="M32" i="143"/>
  <c r="K32" i="143"/>
  <c r="G32" i="143"/>
  <c r="AB31" i="143"/>
  <c r="AA31" i="143"/>
  <c r="V31" i="143"/>
  <c r="U31" i="143"/>
  <c r="Q31" i="143"/>
  <c r="P31" i="143"/>
  <c r="O31" i="143"/>
  <c r="N31" i="143"/>
  <c r="M31" i="143"/>
  <c r="K31" i="143"/>
  <c r="G31" i="143"/>
  <c r="AB30" i="143"/>
  <c r="AA30" i="143"/>
  <c r="V30" i="143"/>
  <c r="U30" i="143"/>
  <c r="O30" i="143"/>
  <c r="M30" i="143"/>
  <c r="N30" i="143" s="1"/>
  <c r="K30" i="143"/>
  <c r="G30" i="143"/>
  <c r="V29" i="143"/>
  <c r="U29" i="143"/>
  <c r="O29" i="143"/>
  <c r="M29" i="143"/>
  <c r="AB29" i="143" s="1"/>
  <c r="K29" i="143"/>
  <c r="G29" i="143"/>
  <c r="AB28" i="143"/>
  <c r="AA28" i="143"/>
  <c r="X28" i="143"/>
  <c r="W28" i="143"/>
  <c r="V28" i="143"/>
  <c r="O28" i="143"/>
  <c r="N28" i="143"/>
  <c r="Q28" i="143" s="1"/>
  <c r="M28" i="143"/>
  <c r="K28" i="143"/>
  <c r="G28" i="143"/>
  <c r="O27" i="143"/>
  <c r="M27" i="143"/>
  <c r="K27" i="143"/>
  <c r="AB26" i="143"/>
  <c r="AA26" i="143"/>
  <c r="V26" i="143"/>
  <c r="U26" i="143"/>
  <c r="Q26" i="143"/>
  <c r="P26" i="143"/>
  <c r="O26" i="143"/>
  <c r="N26" i="143"/>
  <c r="M26" i="143"/>
  <c r="K26" i="143"/>
  <c r="G26" i="143"/>
  <c r="AB25" i="143"/>
  <c r="AA25" i="143"/>
  <c r="V25" i="143"/>
  <c r="U25" i="143"/>
  <c r="O25" i="143"/>
  <c r="N25" i="143"/>
  <c r="M25" i="143"/>
  <c r="K25" i="143"/>
  <c r="G25" i="143"/>
  <c r="AB24" i="143"/>
  <c r="AA24" i="143"/>
  <c r="V24" i="143"/>
  <c r="U24" i="143"/>
  <c r="Q24" i="143"/>
  <c r="P24" i="143"/>
  <c r="O24" i="143"/>
  <c r="N24" i="143"/>
  <c r="M24" i="143"/>
  <c r="K24" i="143"/>
  <c r="G24" i="143"/>
  <c r="AB23" i="143"/>
  <c r="AA23" i="143"/>
  <c r="V23" i="143"/>
  <c r="U23" i="143"/>
  <c r="Q23" i="143"/>
  <c r="O23" i="143"/>
  <c r="M23" i="143"/>
  <c r="N23" i="143" s="1"/>
  <c r="P23" i="143" s="1"/>
  <c r="K23" i="143"/>
  <c r="G23" i="143"/>
  <c r="AB22" i="143"/>
  <c r="AA22" i="143"/>
  <c r="V22" i="143"/>
  <c r="U22" i="143"/>
  <c r="O22" i="143"/>
  <c r="N22" i="143"/>
  <c r="Q22" i="143" s="1"/>
  <c r="M22" i="143"/>
  <c r="K22" i="143"/>
  <c r="G22" i="143"/>
  <c r="AB21" i="143"/>
  <c r="AA21" i="143"/>
  <c r="V21" i="143"/>
  <c r="U21" i="143"/>
  <c r="O21" i="143"/>
  <c r="M21" i="143"/>
  <c r="N21" i="143" s="1"/>
  <c r="P21" i="143" s="1"/>
  <c r="K21" i="143"/>
  <c r="G21" i="143"/>
  <c r="AB20" i="143"/>
  <c r="AA20" i="143"/>
  <c r="V20" i="143"/>
  <c r="U20" i="143"/>
  <c r="Q20" i="143"/>
  <c r="P20" i="143"/>
  <c r="O20" i="143"/>
  <c r="N20" i="143"/>
  <c r="M20" i="143"/>
  <c r="K20" i="143"/>
  <c r="G20" i="143"/>
  <c r="AB19" i="143"/>
  <c r="AA19" i="143"/>
  <c r="V19" i="143"/>
  <c r="Q19" i="143"/>
  <c r="P19" i="143"/>
  <c r="O19" i="143"/>
  <c r="N19" i="143"/>
  <c r="M19" i="143"/>
  <c r="K19" i="143"/>
  <c r="G19" i="143"/>
  <c r="O18" i="143"/>
  <c r="K18" i="143"/>
  <c r="AB17" i="143"/>
  <c r="AA17" i="143"/>
  <c r="V17" i="143"/>
  <c r="U17" i="143"/>
  <c r="O17" i="143"/>
  <c r="N17" i="143"/>
  <c r="Q17" i="143" s="1"/>
  <c r="M17" i="143"/>
  <c r="K17" i="143"/>
  <c r="G17" i="143"/>
  <c r="V16" i="143"/>
  <c r="U16" i="143"/>
  <c r="O16" i="143"/>
  <c r="M16" i="143"/>
  <c r="N16" i="143" s="1"/>
  <c r="K16" i="143"/>
  <c r="G16" i="143"/>
  <c r="AB15" i="143"/>
  <c r="AA15" i="143"/>
  <c r="V15" i="143"/>
  <c r="U15" i="143"/>
  <c r="Q15" i="143"/>
  <c r="P15" i="143"/>
  <c r="O15" i="143"/>
  <c r="N15" i="143"/>
  <c r="M15" i="143"/>
  <c r="K15" i="143"/>
  <c r="G15" i="143"/>
  <c r="V14" i="143"/>
  <c r="U14" i="143"/>
  <c r="O14" i="143"/>
  <c r="M14" i="143"/>
  <c r="K14" i="143"/>
  <c r="G14" i="143"/>
  <c r="AB13" i="143"/>
  <c r="AA13" i="143"/>
  <c r="X13" i="143"/>
  <c r="W13" i="143"/>
  <c r="V13" i="143"/>
  <c r="O13" i="143"/>
  <c r="N13" i="143"/>
  <c r="Q13" i="143" s="1"/>
  <c r="M13" i="143"/>
  <c r="K13" i="143"/>
  <c r="G13" i="143"/>
  <c r="O12" i="143"/>
  <c r="K12" i="143"/>
  <c r="V11" i="143"/>
  <c r="U11" i="143"/>
  <c r="O11" i="143"/>
  <c r="M11" i="143"/>
  <c r="N11" i="143" s="1"/>
  <c r="K11" i="143"/>
  <c r="G11" i="143"/>
  <c r="AB10" i="143"/>
  <c r="AA10" i="143"/>
  <c r="V10" i="143"/>
  <c r="O10" i="143"/>
  <c r="M10" i="143"/>
  <c r="M12" i="143" s="1"/>
  <c r="K10" i="143"/>
  <c r="G10" i="143"/>
  <c r="O9" i="143"/>
  <c r="K9" i="143"/>
  <c r="AB8" i="143"/>
  <c r="AA8" i="143"/>
  <c r="V8" i="143"/>
  <c r="U8" i="143"/>
  <c r="Q8" i="143"/>
  <c r="P8" i="143"/>
  <c r="O8" i="143"/>
  <c r="N8" i="143"/>
  <c r="M8" i="143"/>
  <c r="K8" i="143"/>
  <c r="G8" i="143"/>
  <c r="X7" i="143"/>
  <c r="W7" i="143"/>
  <c r="V7" i="143"/>
  <c r="U7" i="143"/>
  <c r="O7" i="143"/>
  <c r="M7" i="143"/>
  <c r="AB7" i="143" s="1"/>
  <c r="K7" i="143"/>
  <c r="G7" i="143"/>
  <c r="AB6" i="143"/>
  <c r="AA6" i="143"/>
  <c r="V6" i="143"/>
  <c r="U6" i="143"/>
  <c r="Q6" i="143"/>
  <c r="P6" i="143"/>
  <c r="O6" i="143"/>
  <c r="N6" i="143"/>
  <c r="M6" i="143"/>
  <c r="K6" i="143"/>
  <c r="G6" i="143"/>
  <c r="V5" i="143"/>
  <c r="O5" i="143"/>
  <c r="M5" i="143"/>
  <c r="N5" i="143" s="1"/>
  <c r="K5" i="143"/>
  <c r="G5" i="143"/>
  <c r="H2" i="143"/>
  <c r="F2" i="143"/>
  <c r="H1" i="143"/>
  <c r="F1" i="143"/>
  <c r="D1" i="143"/>
  <c r="M18" i="142"/>
  <c r="L18" i="142"/>
  <c r="K18" i="142"/>
  <c r="J18" i="142"/>
  <c r="I18" i="142"/>
  <c r="H18" i="142"/>
  <c r="G18" i="142"/>
  <c r="F18" i="142"/>
  <c r="E18" i="142"/>
  <c r="D18" i="142"/>
  <c r="M17" i="142"/>
  <c r="L17" i="142"/>
  <c r="K17" i="142"/>
  <c r="J17" i="142"/>
  <c r="I17" i="142"/>
  <c r="H17" i="142"/>
  <c r="G17" i="142"/>
  <c r="F17" i="142"/>
  <c r="E17" i="142"/>
  <c r="D17" i="142"/>
  <c r="M16" i="142"/>
  <c r="L16" i="142"/>
  <c r="K16" i="142"/>
  <c r="J16" i="142"/>
  <c r="I16" i="142"/>
  <c r="H16" i="142"/>
  <c r="G16" i="142"/>
  <c r="F16" i="142"/>
  <c r="E16" i="142"/>
  <c r="D16" i="142"/>
  <c r="M13" i="142"/>
  <c r="L13" i="142"/>
  <c r="K13" i="142"/>
  <c r="J13" i="142"/>
  <c r="I13" i="142"/>
  <c r="H13" i="142"/>
  <c r="G13" i="142"/>
  <c r="F13" i="142"/>
  <c r="E13" i="142"/>
  <c r="D13" i="142"/>
  <c r="G6" i="142" s="1"/>
  <c r="I3" i="142"/>
  <c r="F3" i="142"/>
  <c r="C3" i="142"/>
  <c r="I6" i="142" l="1"/>
  <c r="F6" i="142"/>
  <c r="E6" i="142"/>
  <c r="Q55" i="145"/>
  <c r="P55" i="145"/>
  <c r="Q23" i="145"/>
  <c r="P23" i="145"/>
  <c r="Q39" i="145"/>
  <c r="P39" i="145"/>
  <c r="Q54" i="145"/>
  <c r="P54" i="145"/>
  <c r="Q34" i="145"/>
  <c r="P34" i="145"/>
  <c r="Q25" i="145"/>
  <c r="P25" i="145"/>
  <c r="N44" i="145"/>
  <c r="AB44" i="145"/>
  <c r="AC37" i="145" s="1"/>
  <c r="AA44" i="145"/>
  <c r="Q15" i="145"/>
  <c r="P15" i="145"/>
  <c r="Q48" i="145"/>
  <c r="P48" i="145"/>
  <c r="P46" i="145"/>
  <c r="Q46" i="145"/>
  <c r="Q56" i="145"/>
  <c r="P56" i="145"/>
  <c r="Q47" i="145"/>
  <c r="P47" i="145"/>
  <c r="Q12" i="145"/>
  <c r="R10" i="145" s="1"/>
  <c r="P12" i="145"/>
  <c r="E14" i="144"/>
  <c r="E15" i="144" s="1"/>
  <c r="Q69" i="145"/>
  <c r="P69" i="145"/>
  <c r="Q8" i="145"/>
  <c r="P8" i="145"/>
  <c r="AB65" i="145"/>
  <c r="AC61" i="145" s="1"/>
  <c r="AA65" i="145"/>
  <c r="N65" i="145"/>
  <c r="Q16" i="145"/>
  <c r="P16" i="145"/>
  <c r="N60" i="145"/>
  <c r="AB60" i="145"/>
  <c r="AC54" i="145" s="1"/>
  <c r="AA60" i="145"/>
  <c r="AB53" i="145"/>
  <c r="AC45" i="145" s="1"/>
  <c r="AA53" i="145"/>
  <c r="N53" i="145"/>
  <c r="Q32" i="145"/>
  <c r="P32" i="145"/>
  <c r="Q29" i="145"/>
  <c r="P29" i="145"/>
  <c r="Q6" i="145"/>
  <c r="P6" i="145"/>
  <c r="Q68" i="145"/>
  <c r="P68" i="145"/>
  <c r="P30" i="145"/>
  <c r="Q30" i="145"/>
  <c r="Q41" i="145"/>
  <c r="P41" i="145"/>
  <c r="G14" i="144"/>
  <c r="G15" i="144" s="1"/>
  <c r="Q27" i="145"/>
  <c r="R19" i="145" s="1"/>
  <c r="P27" i="145"/>
  <c r="AB36" i="145"/>
  <c r="AC28" i="145" s="1"/>
  <c r="AA36" i="145"/>
  <c r="N36" i="145"/>
  <c r="Q45" i="145"/>
  <c r="P45" i="145"/>
  <c r="Q17" i="145"/>
  <c r="P17" i="145"/>
  <c r="Q38" i="145"/>
  <c r="P38" i="145"/>
  <c r="Q59" i="145"/>
  <c r="P59" i="145"/>
  <c r="Q31" i="145"/>
  <c r="P31" i="145"/>
  <c r="Q13" i="145"/>
  <c r="P13" i="145"/>
  <c r="Q73" i="145"/>
  <c r="P73" i="145"/>
  <c r="Q52" i="145"/>
  <c r="P52" i="145"/>
  <c r="AB74" i="145"/>
  <c r="AC66" i="145" s="1"/>
  <c r="AA74" i="145"/>
  <c r="N74" i="145"/>
  <c r="N9" i="145"/>
  <c r="AB9" i="145"/>
  <c r="AC5" i="145" s="1"/>
  <c r="AA9" i="145"/>
  <c r="Q72" i="145"/>
  <c r="P72" i="145"/>
  <c r="Q64" i="145"/>
  <c r="P64" i="145"/>
  <c r="Q33" i="145"/>
  <c r="P33" i="145"/>
  <c r="Q50" i="145"/>
  <c r="P50" i="145"/>
  <c r="Q5" i="145"/>
  <c r="P5" i="145"/>
  <c r="Q7" i="145"/>
  <c r="P7" i="145"/>
  <c r="Q28" i="145"/>
  <c r="P28" i="145"/>
  <c r="P58" i="145"/>
  <c r="Q58" i="145"/>
  <c r="N18" i="145"/>
  <c r="AB18" i="145"/>
  <c r="AC13" i="145" s="1"/>
  <c r="AA18" i="145"/>
  <c r="Q71" i="145"/>
  <c r="P71" i="145"/>
  <c r="Q67" i="145"/>
  <c r="P67" i="145"/>
  <c r="Q22" i="145"/>
  <c r="P22" i="145"/>
  <c r="Q24" i="145"/>
  <c r="P24" i="145"/>
  <c r="Q57" i="145"/>
  <c r="P57" i="145"/>
  <c r="Q63" i="145"/>
  <c r="P63" i="145"/>
  <c r="Q14" i="145"/>
  <c r="P14" i="145"/>
  <c r="Q43" i="145"/>
  <c r="P43" i="145"/>
  <c r="Q66" i="145"/>
  <c r="P66" i="145"/>
  <c r="P70" i="145"/>
  <c r="Q70" i="145"/>
  <c r="Q5" i="143"/>
  <c r="P5" i="143"/>
  <c r="M18" i="143"/>
  <c r="AB14" i="143"/>
  <c r="AA14" i="143"/>
  <c r="N14" i="143"/>
  <c r="Q61" i="143"/>
  <c r="P61" i="143"/>
  <c r="AA59" i="143"/>
  <c r="AB59" i="143"/>
  <c r="AC53" i="143" s="1"/>
  <c r="M73" i="143"/>
  <c r="AB65" i="143"/>
  <c r="N65" i="143"/>
  <c r="AA65" i="143"/>
  <c r="N59" i="143"/>
  <c r="Q72" i="143"/>
  <c r="P72" i="143"/>
  <c r="AB27" i="143"/>
  <c r="AC19" i="143" s="1"/>
  <c r="N27" i="143"/>
  <c r="AA27" i="143"/>
  <c r="Q46" i="143"/>
  <c r="P46" i="143"/>
  <c r="Q57" i="143"/>
  <c r="Q70" i="143"/>
  <c r="P70" i="143"/>
  <c r="Q11" i="143"/>
  <c r="P11" i="143"/>
  <c r="P63" i="143"/>
  <c r="Q63" i="143"/>
  <c r="Q36" i="143"/>
  <c r="P36" i="143"/>
  <c r="Q69" i="143"/>
  <c r="P69" i="143"/>
  <c r="N12" i="143"/>
  <c r="AB12" i="143"/>
  <c r="AC10" i="143" s="1"/>
  <c r="AA12" i="143"/>
  <c r="N43" i="143"/>
  <c r="AB43" i="143"/>
  <c r="AC36" i="143" s="1"/>
  <c r="AA43" i="143"/>
  <c r="Q30" i="143"/>
  <c r="P30" i="143"/>
  <c r="Q41" i="143"/>
  <c r="P41" i="143"/>
  <c r="Q25" i="143"/>
  <c r="P25" i="143"/>
  <c r="AB34" i="143"/>
  <c r="AA34" i="143"/>
  <c r="N34" i="143"/>
  <c r="Q39" i="143"/>
  <c r="Q50" i="143"/>
  <c r="P50" i="143"/>
  <c r="AB5" i="143"/>
  <c r="AA5" i="143"/>
  <c r="M9" i="143"/>
  <c r="Q16" i="143"/>
  <c r="P16" i="143"/>
  <c r="Q66" i="143"/>
  <c r="P66" i="143"/>
  <c r="Q21" i="143"/>
  <c r="P13" i="143"/>
  <c r="AA16" i="143"/>
  <c r="P22" i="143"/>
  <c r="P40" i="143"/>
  <c r="AA54" i="143"/>
  <c r="AB63" i="143"/>
  <c r="AA72" i="143"/>
  <c r="AB72" i="143"/>
  <c r="AA69" i="143"/>
  <c r="N7" i="143"/>
  <c r="N29" i="143"/>
  <c r="N45" i="143"/>
  <c r="AB16" i="143"/>
  <c r="AA29" i="143"/>
  <c r="M35" i="143"/>
  <c r="AA45" i="143"/>
  <c r="AB54" i="143"/>
  <c r="M64" i="143"/>
  <c r="AA7" i="143"/>
  <c r="P28" i="143"/>
  <c r="Q33" i="143"/>
  <c r="AA11" i="143"/>
  <c r="AB11" i="143"/>
  <c r="AB49" i="143"/>
  <c r="AB60" i="143"/>
  <c r="AB69" i="143"/>
  <c r="N10" i="143"/>
  <c r="P17" i="143"/>
  <c r="P37" i="143"/>
  <c r="P55" i="143"/>
  <c r="N49" i="143"/>
  <c r="N60" i="143"/>
  <c r="AA63" i="143"/>
  <c r="N52" i="143"/>
  <c r="N54" i="143"/>
  <c r="AA52" i="143"/>
  <c r="P44" i="143"/>
  <c r="P71" i="143"/>
  <c r="O73" i="141"/>
  <c r="K73" i="141"/>
  <c r="V72" i="141"/>
  <c r="U72" i="141"/>
  <c r="O72" i="141"/>
  <c r="M72" i="141"/>
  <c r="AB72" i="141" s="1"/>
  <c r="K72" i="141"/>
  <c r="G72" i="141"/>
  <c r="X71" i="141"/>
  <c r="W71" i="141"/>
  <c r="V71" i="141"/>
  <c r="U71" i="141"/>
  <c r="O71" i="141"/>
  <c r="M71" i="141"/>
  <c r="AB71" i="141" s="1"/>
  <c r="K71" i="141"/>
  <c r="G71" i="141"/>
  <c r="AB70" i="141"/>
  <c r="AA70" i="141"/>
  <c r="V70" i="141"/>
  <c r="U70" i="141"/>
  <c r="O70" i="141"/>
  <c r="N70" i="141"/>
  <c r="Q70" i="141" s="1"/>
  <c r="M70" i="141"/>
  <c r="K70" i="141"/>
  <c r="G70" i="141"/>
  <c r="AB69" i="141"/>
  <c r="AA69" i="141"/>
  <c r="V69" i="141"/>
  <c r="U69" i="141"/>
  <c r="O69" i="141"/>
  <c r="N69" i="141"/>
  <c r="M69" i="141"/>
  <c r="K69" i="141"/>
  <c r="G69" i="141"/>
  <c r="AA68" i="141"/>
  <c r="V68" i="141"/>
  <c r="M68" i="141" s="1"/>
  <c r="U68" i="141"/>
  <c r="O68" i="141"/>
  <c r="K68" i="141"/>
  <c r="G68" i="141"/>
  <c r="AB67" i="141"/>
  <c r="AA67" i="141"/>
  <c r="V67" i="141"/>
  <c r="U67" i="141"/>
  <c r="O67" i="141"/>
  <c r="M67" i="141"/>
  <c r="N67" i="141" s="1"/>
  <c r="Q67" i="141" s="1"/>
  <c r="K67" i="141"/>
  <c r="G67" i="141"/>
  <c r="V66" i="141"/>
  <c r="M66" i="141" s="1"/>
  <c r="N66" i="141" s="1"/>
  <c r="U66" i="141"/>
  <c r="O66" i="141"/>
  <c r="K66" i="141"/>
  <c r="G66" i="141"/>
  <c r="X65" i="141"/>
  <c r="W65" i="141"/>
  <c r="V65" i="141"/>
  <c r="O65" i="141"/>
  <c r="M65" i="141"/>
  <c r="AA65" i="141" s="1"/>
  <c r="K65" i="141"/>
  <c r="G65" i="141"/>
  <c r="O64" i="141"/>
  <c r="K64" i="141"/>
  <c r="AB63" i="141"/>
  <c r="AA63" i="141"/>
  <c r="V63" i="141"/>
  <c r="U63" i="141"/>
  <c r="O63" i="141"/>
  <c r="M63" i="141"/>
  <c r="N63" i="141" s="1"/>
  <c r="K63" i="141"/>
  <c r="G63" i="141"/>
  <c r="V62" i="141"/>
  <c r="U62" i="141"/>
  <c r="O62" i="141"/>
  <c r="M62" i="141"/>
  <c r="AB62" i="141" s="1"/>
  <c r="K62" i="141"/>
  <c r="G62" i="141"/>
  <c r="V61" i="141"/>
  <c r="U61" i="141"/>
  <c r="O61" i="141"/>
  <c r="M61" i="141"/>
  <c r="K61" i="141"/>
  <c r="G61" i="141"/>
  <c r="AB60" i="141"/>
  <c r="AA60" i="141"/>
  <c r="V60" i="141"/>
  <c r="O60" i="141"/>
  <c r="N60" i="141"/>
  <c r="M60" i="141"/>
  <c r="K60" i="141"/>
  <c r="G60" i="141"/>
  <c r="O59" i="141"/>
  <c r="K59" i="141"/>
  <c r="V58" i="141"/>
  <c r="U58" i="141"/>
  <c r="O58" i="141"/>
  <c r="M58" i="141"/>
  <c r="K58" i="141"/>
  <c r="G58" i="141"/>
  <c r="X57" i="141"/>
  <c r="W57" i="141"/>
  <c r="V57" i="141"/>
  <c r="M57" i="141" s="1"/>
  <c r="U57" i="141"/>
  <c r="O57" i="141"/>
  <c r="K57" i="141"/>
  <c r="G57" i="141"/>
  <c r="AB56" i="141"/>
  <c r="V56" i="141"/>
  <c r="U56" i="141"/>
  <c r="O56" i="141"/>
  <c r="M56" i="141"/>
  <c r="AA56" i="141" s="1"/>
  <c r="K56" i="141"/>
  <c r="G56" i="141"/>
  <c r="V55" i="141"/>
  <c r="M55" i="141" s="1"/>
  <c r="N55" i="141" s="1"/>
  <c r="U55" i="141"/>
  <c r="O55" i="141"/>
  <c r="K55" i="141"/>
  <c r="G55" i="141"/>
  <c r="V54" i="141"/>
  <c r="U54" i="141"/>
  <c r="O54" i="141"/>
  <c r="M54" i="141"/>
  <c r="AB54" i="141" s="1"/>
  <c r="K54" i="141"/>
  <c r="G54" i="141"/>
  <c r="V53" i="141"/>
  <c r="O53" i="141"/>
  <c r="M53" i="141"/>
  <c r="K53" i="141"/>
  <c r="G53" i="141"/>
  <c r="O52" i="141"/>
  <c r="K52" i="141"/>
  <c r="AB51" i="141"/>
  <c r="V51" i="141"/>
  <c r="U51" i="141"/>
  <c r="O51" i="141"/>
  <c r="N51" i="141"/>
  <c r="Q51" i="141" s="1"/>
  <c r="M51" i="141"/>
  <c r="AA51" i="141" s="1"/>
  <c r="K51" i="141"/>
  <c r="G51" i="141"/>
  <c r="AB50" i="141"/>
  <c r="AA50" i="141"/>
  <c r="X50" i="141"/>
  <c r="W50" i="141"/>
  <c r="V50" i="141"/>
  <c r="U50" i="141"/>
  <c r="O50" i="141"/>
  <c r="N50" i="141"/>
  <c r="Q50" i="141" s="1"/>
  <c r="M50" i="141"/>
  <c r="K50" i="141"/>
  <c r="G50" i="141"/>
  <c r="AB49" i="141"/>
  <c r="AA49" i="141"/>
  <c r="V49" i="141"/>
  <c r="U49" i="141"/>
  <c r="O49" i="141"/>
  <c r="N49" i="141"/>
  <c r="M49" i="141"/>
  <c r="K49" i="141"/>
  <c r="G49" i="141"/>
  <c r="V48" i="141"/>
  <c r="M48" i="141" s="1"/>
  <c r="AA48" i="141" s="1"/>
  <c r="U48" i="141"/>
  <c r="O48" i="141"/>
  <c r="K48" i="141"/>
  <c r="G48" i="141"/>
  <c r="AB47" i="141"/>
  <c r="AA47" i="141"/>
  <c r="V47" i="141"/>
  <c r="U47" i="141"/>
  <c r="O47" i="141"/>
  <c r="M47" i="141"/>
  <c r="N47" i="141" s="1"/>
  <c r="P47" i="141" s="1"/>
  <c r="K47" i="141"/>
  <c r="G47" i="141"/>
  <c r="V46" i="141"/>
  <c r="M46" i="141" s="1"/>
  <c r="N46" i="141" s="1"/>
  <c r="U46" i="141"/>
  <c r="O46" i="141"/>
  <c r="K46" i="141"/>
  <c r="G46" i="141"/>
  <c r="V45" i="141"/>
  <c r="M45" i="141" s="1"/>
  <c r="U45" i="141"/>
  <c r="O45" i="141"/>
  <c r="K45" i="141"/>
  <c r="G45" i="141"/>
  <c r="X44" i="141"/>
  <c r="W44" i="141"/>
  <c r="V44" i="141"/>
  <c r="O44" i="141"/>
  <c r="M44" i="141"/>
  <c r="AB44" i="141" s="1"/>
  <c r="K44" i="141"/>
  <c r="G44" i="141"/>
  <c r="O43" i="141"/>
  <c r="M43" i="141"/>
  <c r="K43" i="141"/>
  <c r="L13" i="140" s="1"/>
  <c r="V42" i="141"/>
  <c r="U42" i="141"/>
  <c r="O42" i="141"/>
  <c r="M42" i="141"/>
  <c r="AB42" i="141" s="1"/>
  <c r="K42" i="141"/>
  <c r="G42" i="141"/>
  <c r="V41" i="141"/>
  <c r="U41" i="141"/>
  <c r="O41" i="141"/>
  <c r="M41" i="141"/>
  <c r="K41" i="141"/>
  <c r="G41" i="141"/>
  <c r="AA40" i="141"/>
  <c r="X40" i="141"/>
  <c r="W40" i="141"/>
  <c r="V40" i="141"/>
  <c r="U40" i="141"/>
  <c r="O40" i="141"/>
  <c r="M40" i="141"/>
  <c r="AB40" i="141" s="1"/>
  <c r="K40" i="141"/>
  <c r="G40" i="141"/>
  <c r="V39" i="141"/>
  <c r="M39" i="141" s="1"/>
  <c r="N39" i="141" s="1"/>
  <c r="P39" i="141" s="1"/>
  <c r="U39" i="141"/>
  <c r="Q39" i="141"/>
  <c r="O39" i="141"/>
  <c r="K39" i="141"/>
  <c r="G39" i="141"/>
  <c r="AB38" i="141"/>
  <c r="V38" i="141"/>
  <c r="U38" i="141"/>
  <c r="O38" i="141"/>
  <c r="M38" i="141"/>
  <c r="AA38" i="141" s="1"/>
  <c r="K38" i="141"/>
  <c r="G38" i="141"/>
  <c r="AB37" i="141"/>
  <c r="AA37" i="141"/>
  <c r="V37" i="141"/>
  <c r="M37" i="141" s="1"/>
  <c r="N37" i="141" s="1"/>
  <c r="U37" i="141"/>
  <c r="O37" i="141"/>
  <c r="K37" i="141"/>
  <c r="G37" i="141"/>
  <c r="X36" i="141"/>
  <c r="W36" i="141"/>
  <c r="V36" i="141"/>
  <c r="O36" i="141"/>
  <c r="M36" i="141"/>
  <c r="AB36" i="141" s="1"/>
  <c r="K36" i="141"/>
  <c r="G36" i="141"/>
  <c r="O35" i="141"/>
  <c r="K35" i="141"/>
  <c r="K13" i="140" s="1"/>
  <c r="I6" i="140" s="1"/>
  <c r="AB34" i="141"/>
  <c r="V34" i="141"/>
  <c r="U34" i="141"/>
  <c r="O34" i="141"/>
  <c r="M34" i="141"/>
  <c r="AA34" i="141" s="1"/>
  <c r="K34" i="141"/>
  <c r="G34" i="141"/>
  <c r="V33" i="141"/>
  <c r="U33" i="141"/>
  <c r="O33" i="141"/>
  <c r="M33" i="141"/>
  <c r="K33" i="141"/>
  <c r="G33" i="141"/>
  <c r="AB32" i="141"/>
  <c r="AA32" i="141"/>
  <c r="V32" i="141"/>
  <c r="U32" i="141"/>
  <c r="Q32" i="141"/>
  <c r="P32" i="141"/>
  <c r="O32" i="141"/>
  <c r="N32" i="141"/>
  <c r="M32" i="141"/>
  <c r="K32" i="141"/>
  <c r="G32" i="141"/>
  <c r="AA31" i="141"/>
  <c r="X31" i="141"/>
  <c r="W31" i="141"/>
  <c r="V31" i="141"/>
  <c r="U31" i="141"/>
  <c r="O31" i="141"/>
  <c r="M31" i="141"/>
  <c r="AB31" i="141" s="1"/>
  <c r="K31" i="141"/>
  <c r="G31" i="141"/>
  <c r="V30" i="141"/>
  <c r="M30" i="141" s="1"/>
  <c r="N30" i="141" s="1"/>
  <c r="U30" i="141"/>
  <c r="O30" i="141"/>
  <c r="K30" i="141"/>
  <c r="G30" i="141"/>
  <c r="V29" i="141"/>
  <c r="U29" i="141"/>
  <c r="O29" i="141"/>
  <c r="M29" i="141"/>
  <c r="K29" i="141"/>
  <c r="G29" i="141"/>
  <c r="AB28" i="141"/>
  <c r="AA28" i="141"/>
  <c r="V28" i="141"/>
  <c r="U28" i="141"/>
  <c r="O28" i="141"/>
  <c r="N28" i="141"/>
  <c r="P28" i="141" s="1"/>
  <c r="M28" i="141"/>
  <c r="K28" i="141"/>
  <c r="G28" i="141"/>
  <c r="AB27" i="141"/>
  <c r="AA27" i="141"/>
  <c r="X27" i="141"/>
  <c r="W27" i="141"/>
  <c r="V27" i="141"/>
  <c r="O27" i="141"/>
  <c r="N27" i="141"/>
  <c r="Q27" i="141" s="1"/>
  <c r="M27" i="141"/>
  <c r="K27" i="141"/>
  <c r="G27" i="141"/>
  <c r="O26" i="141"/>
  <c r="K26" i="141"/>
  <c r="G13" i="140" s="1"/>
  <c r="E6" i="140" s="1"/>
  <c r="V25" i="141"/>
  <c r="U25" i="141"/>
  <c r="O25" i="141"/>
  <c r="M25" i="141"/>
  <c r="K25" i="141"/>
  <c r="G25" i="141"/>
  <c r="V24" i="141"/>
  <c r="U24" i="141"/>
  <c r="O24" i="141"/>
  <c r="M24" i="141"/>
  <c r="N24" i="141" s="1"/>
  <c r="K24" i="141"/>
  <c r="G24" i="141"/>
  <c r="AB23" i="141"/>
  <c r="AA23" i="141"/>
  <c r="V23" i="141"/>
  <c r="U23" i="141"/>
  <c r="O23" i="141"/>
  <c r="M23" i="141"/>
  <c r="N23" i="141" s="1"/>
  <c r="Q23" i="141" s="1"/>
  <c r="K23" i="141"/>
  <c r="G23" i="141"/>
  <c r="V22" i="141"/>
  <c r="M22" i="141" s="1"/>
  <c r="U22" i="141"/>
  <c r="O22" i="141"/>
  <c r="K22" i="141"/>
  <c r="G22" i="141"/>
  <c r="V21" i="141"/>
  <c r="M21" i="141" s="1"/>
  <c r="N21" i="141" s="1"/>
  <c r="P21" i="141" s="1"/>
  <c r="U21" i="141"/>
  <c r="Q21" i="141"/>
  <c r="O21" i="141"/>
  <c r="K21" i="141"/>
  <c r="G21" i="141"/>
  <c r="AB20" i="141"/>
  <c r="V20" i="141"/>
  <c r="U20" i="141"/>
  <c r="O20" i="141"/>
  <c r="M20" i="141"/>
  <c r="AA20" i="141" s="1"/>
  <c r="K20" i="141"/>
  <c r="G20" i="141"/>
  <c r="V19" i="141"/>
  <c r="M19" i="141" s="1"/>
  <c r="N19" i="141" s="1"/>
  <c r="U19" i="141"/>
  <c r="O19" i="141"/>
  <c r="K19" i="141"/>
  <c r="G19" i="141"/>
  <c r="V18" i="141"/>
  <c r="O18" i="141"/>
  <c r="M18" i="141"/>
  <c r="AA18" i="141" s="1"/>
  <c r="K18" i="141"/>
  <c r="G18" i="141"/>
  <c r="O17" i="141"/>
  <c r="K17" i="141"/>
  <c r="V16" i="141"/>
  <c r="U16" i="141"/>
  <c r="O16" i="141"/>
  <c r="M16" i="141"/>
  <c r="AB16" i="141" s="1"/>
  <c r="K16" i="141"/>
  <c r="G16" i="141"/>
  <c r="AB15" i="141"/>
  <c r="V15" i="141"/>
  <c r="U15" i="141"/>
  <c r="O15" i="141"/>
  <c r="N15" i="141"/>
  <c r="Q15" i="141" s="1"/>
  <c r="M15" i="141"/>
  <c r="AA15" i="141" s="1"/>
  <c r="K15" i="141"/>
  <c r="G15" i="141"/>
  <c r="AB14" i="141"/>
  <c r="V14" i="141"/>
  <c r="U14" i="141"/>
  <c r="O14" i="141"/>
  <c r="M14" i="141"/>
  <c r="AA14" i="141" s="1"/>
  <c r="K14" i="141"/>
  <c r="G14" i="141"/>
  <c r="V13" i="141"/>
  <c r="U13" i="141"/>
  <c r="O13" i="141"/>
  <c r="M13" i="141"/>
  <c r="K13" i="141"/>
  <c r="G13" i="141"/>
  <c r="X12" i="141"/>
  <c r="W12" i="141"/>
  <c r="V12" i="141"/>
  <c r="M12" i="141" s="1"/>
  <c r="O12" i="141"/>
  <c r="K12" i="141"/>
  <c r="G12" i="141"/>
  <c r="O11" i="141"/>
  <c r="K11" i="141"/>
  <c r="E13" i="140" s="1"/>
  <c r="V10" i="141"/>
  <c r="M10" i="141" s="1"/>
  <c r="O10" i="141"/>
  <c r="K10" i="141"/>
  <c r="G10" i="141"/>
  <c r="O9" i="141"/>
  <c r="K9" i="141"/>
  <c r="D13" i="140" s="1"/>
  <c r="V8" i="141"/>
  <c r="M8" i="141" s="1"/>
  <c r="AA8" i="141" s="1"/>
  <c r="U8" i="141"/>
  <c r="O8" i="141"/>
  <c r="K8" i="141"/>
  <c r="G8" i="141"/>
  <c r="X7" i="141"/>
  <c r="W7" i="141"/>
  <c r="V7" i="141"/>
  <c r="U7" i="141"/>
  <c r="O7" i="141"/>
  <c r="M7" i="141"/>
  <c r="K7" i="141"/>
  <c r="G7" i="141"/>
  <c r="V6" i="141"/>
  <c r="U6" i="141"/>
  <c r="O6" i="141"/>
  <c r="M6" i="141"/>
  <c r="N6" i="141" s="1"/>
  <c r="K6" i="141"/>
  <c r="G6" i="141"/>
  <c r="V5" i="141"/>
  <c r="O5" i="141"/>
  <c r="M5" i="141"/>
  <c r="N5" i="141" s="1"/>
  <c r="K5" i="141"/>
  <c r="G5" i="141"/>
  <c r="H2" i="141"/>
  <c r="H1" i="141"/>
  <c r="M18" i="140"/>
  <c r="L18" i="140"/>
  <c r="K18" i="140"/>
  <c r="J18" i="140"/>
  <c r="I18" i="140"/>
  <c r="H18" i="140"/>
  <c r="G18" i="140"/>
  <c r="F18" i="140"/>
  <c r="E18" i="140"/>
  <c r="D18" i="140"/>
  <c r="M17" i="140"/>
  <c r="L17" i="140"/>
  <c r="K17" i="140"/>
  <c r="J17" i="140"/>
  <c r="I17" i="140"/>
  <c r="H17" i="140"/>
  <c r="G17" i="140"/>
  <c r="F17" i="140"/>
  <c r="E17" i="140"/>
  <c r="D17" i="140"/>
  <c r="M16" i="140"/>
  <c r="L16" i="140"/>
  <c r="K16" i="140"/>
  <c r="J16" i="140"/>
  <c r="I16" i="140"/>
  <c r="H16" i="140"/>
  <c r="G16" i="140"/>
  <c r="F16" i="140"/>
  <c r="E16" i="140"/>
  <c r="D16" i="140"/>
  <c r="M13" i="140"/>
  <c r="J13" i="140"/>
  <c r="I13" i="140"/>
  <c r="H13" i="140"/>
  <c r="F13" i="140"/>
  <c r="I3" i="140"/>
  <c r="F3" i="140"/>
  <c r="C3" i="140"/>
  <c r="Q65" i="145" l="1"/>
  <c r="R61" i="145" s="1"/>
  <c r="J14" i="144"/>
  <c r="J15" i="144" s="1"/>
  <c r="P65" i="145"/>
  <c r="P9" i="145"/>
  <c r="D2" i="145"/>
  <c r="D14" i="144"/>
  <c r="Q9" i="145"/>
  <c r="R5" i="145" s="1"/>
  <c r="Q53" i="145"/>
  <c r="R45" i="145" s="1"/>
  <c r="P53" i="145"/>
  <c r="H14" i="144"/>
  <c r="H15" i="144" s="1"/>
  <c r="Q74" i="145"/>
  <c r="R66" i="145" s="1"/>
  <c r="P74" i="145"/>
  <c r="M14" i="144"/>
  <c r="M15" i="144" s="1"/>
  <c r="F14" i="144"/>
  <c r="F15" i="144" s="1"/>
  <c r="Q18" i="145"/>
  <c r="R13" i="145" s="1"/>
  <c r="P18" i="145"/>
  <c r="Q60" i="145"/>
  <c r="R54" i="145" s="1"/>
  <c r="P60" i="145"/>
  <c r="I14" i="144"/>
  <c r="I15" i="144" s="1"/>
  <c r="Q36" i="145"/>
  <c r="R28" i="145" s="1"/>
  <c r="P36" i="145"/>
  <c r="K14" i="144"/>
  <c r="L14" i="144"/>
  <c r="L15" i="144" s="1"/>
  <c r="Q44" i="145"/>
  <c r="R37" i="145" s="1"/>
  <c r="P44" i="145"/>
  <c r="E14" i="142"/>
  <c r="E15" i="142" s="1"/>
  <c r="Q12" i="143"/>
  <c r="R10" i="143" s="1"/>
  <c r="P12" i="143"/>
  <c r="H14" i="142"/>
  <c r="H15" i="142" s="1"/>
  <c r="P52" i="143"/>
  <c r="Q52" i="143"/>
  <c r="R44" i="143" s="1"/>
  <c r="P65" i="143"/>
  <c r="Q65" i="143"/>
  <c r="AB73" i="143"/>
  <c r="AC65" i="143" s="1"/>
  <c r="AA73" i="143"/>
  <c r="N73" i="143"/>
  <c r="P34" i="143"/>
  <c r="Q34" i="143"/>
  <c r="Q54" i="143"/>
  <c r="P54" i="143"/>
  <c r="Q49" i="143"/>
  <c r="P49" i="143"/>
  <c r="AB64" i="143"/>
  <c r="AC60" i="143" s="1"/>
  <c r="N64" i="143"/>
  <c r="AA64" i="143"/>
  <c r="AB35" i="143"/>
  <c r="AC28" i="143" s="1"/>
  <c r="AA35" i="143"/>
  <c r="N35" i="143"/>
  <c r="P7" i="143"/>
  <c r="Q7" i="143"/>
  <c r="Q14" i="143"/>
  <c r="P14" i="143"/>
  <c r="P27" i="143"/>
  <c r="Q27" i="143"/>
  <c r="R19" i="143" s="1"/>
  <c r="G14" i="142"/>
  <c r="G15" i="142" s="1"/>
  <c r="AB9" i="143"/>
  <c r="AC5" i="143" s="1"/>
  <c r="AA9" i="143"/>
  <c r="N9" i="143"/>
  <c r="P29" i="143"/>
  <c r="Q29" i="143"/>
  <c r="P43" i="143"/>
  <c r="L14" i="142"/>
  <c r="L15" i="142" s="1"/>
  <c r="Q43" i="143"/>
  <c r="R36" i="143" s="1"/>
  <c r="Q59" i="143"/>
  <c r="R53" i="143" s="1"/>
  <c r="I14" i="142"/>
  <c r="I15" i="142" s="1"/>
  <c r="P59" i="143"/>
  <c r="Q60" i="143"/>
  <c r="P60" i="143"/>
  <c r="P45" i="143"/>
  <c r="Q45" i="143"/>
  <c r="P10" i="143"/>
  <c r="Q10" i="143"/>
  <c r="AA18" i="143"/>
  <c r="N18" i="143"/>
  <c r="AB18" i="143"/>
  <c r="AC13" i="143" s="1"/>
  <c r="Q5" i="141"/>
  <c r="P5" i="141"/>
  <c r="AB45" i="141"/>
  <c r="AA45" i="141"/>
  <c r="N45" i="141"/>
  <c r="Q24" i="141"/>
  <c r="P24" i="141"/>
  <c r="Q63" i="141"/>
  <c r="P63" i="141"/>
  <c r="AA55" i="141"/>
  <c r="AA58" i="141"/>
  <c r="AB58" i="141"/>
  <c r="AA30" i="141"/>
  <c r="P50" i="141"/>
  <c r="AB55" i="141"/>
  <c r="M64" i="141"/>
  <c r="AB61" i="141"/>
  <c r="AA61" i="141"/>
  <c r="AB66" i="141"/>
  <c r="P6" i="141"/>
  <c r="Q6" i="141"/>
  <c r="P23" i="141"/>
  <c r="N58" i="141"/>
  <c r="P67" i="141"/>
  <c r="Q66" i="141"/>
  <c r="P66" i="141"/>
  <c r="AA66" i="141"/>
  <c r="Q55" i="141"/>
  <c r="P55" i="141"/>
  <c r="Q30" i="141"/>
  <c r="P30" i="141"/>
  <c r="AB30" i="141"/>
  <c r="AB43" i="141"/>
  <c r="AC36" i="141" s="1"/>
  <c r="AA43" i="141"/>
  <c r="M59" i="141"/>
  <c r="Q69" i="141"/>
  <c r="P69" i="141"/>
  <c r="N18" i="141"/>
  <c r="AA6" i="141"/>
  <c r="Q46" i="141"/>
  <c r="P46" i="141"/>
  <c r="AB18" i="141"/>
  <c r="AB46" i="141"/>
  <c r="N65" i="141"/>
  <c r="AB21" i="141"/>
  <c r="N10" i="141"/>
  <c r="M11" i="141"/>
  <c r="N16" i="141"/>
  <c r="AA19" i="141"/>
  <c r="N34" i="141"/>
  <c r="Q47" i="141"/>
  <c r="AA54" i="141"/>
  <c r="Q60" i="141"/>
  <c r="P60" i="141"/>
  <c r="P70" i="141"/>
  <c r="AA10" i="141"/>
  <c r="AB19" i="141"/>
  <c r="AA39" i="141"/>
  <c r="N57" i="141"/>
  <c r="AB57" i="141"/>
  <c r="AA57" i="141"/>
  <c r="AA72" i="141"/>
  <c r="N61" i="141"/>
  <c r="AA71" i="141"/>
  <c r="N71" i="141"/>
  <c r="N8" i="141"/>
  <c r="AB8" i="141"/>
  <c r="N43" i="141"/>
  <c r="G6" i="140"/>
  <c r="F6" i="140"/>
  <c r="M17" i="141"/>
  <c r="N12" i="141"/>
  <c r="AB12" i="141"/>
  <c r="AA12" i="141"/>
  <c r="M26" i="141"/>
  <c r="N36" i="141"/>
  <c r="N48" i="141"/>
  <c r="AB48" i="141"/>
  <c r="AB6" i="141"/>
  <c r="AB33" i="141"/>
  <c r="AA33" i="141"/>
  <c r="N33" i="141"/>
  <c r="AA46" i="141"/>
  <c r="M73" i="141"/>
  <c r="AB65" i="141"/>
  <c r="AB41" i="141"/>
  <c r="AA41" i="141"/>
  <c r="AA44" i="141"/>
  <c r="N44" i="141"/>
  <c r="AB7" i="141"/>
  <c r="N7" i="141"/>
  <c r="AB13" i="141"/>
  <c r="AA13" i="141"/>
  <c r="N13" i="141"/>
  <c r="AA21" i="141"/>
  <c r="AA24" i="141"/>
  <c r="AB24" i="141"/>
  <c r="N41" i="141"/>
  <c r="Q49" i="141"/>
  <c r="P49" i="141"/>
  <c r="N54" i="141"/>
  <c r="P27" i="141"/>
  <c r="AB29" i="141"/>
  <c r="M35" i="141"/>
  <c r="AA29" i="141"/>
  <c r="N29" i="141"/>
  <c r="AA36" i="141"/>
  <c r="N72" i="141"/>
  <c r="AA7" i="141"/>
  <c r="AB10" i="141"/>
  <c r="AB39" i="141"/>
  <c r="AA5" i="141"/>
  <c r="M9" i="141"/>
  <c r="Q19" i="141"/>
  <c r="P19" i="141"/>
  <c r="N14" i="141"/>
  <c r="AB22" i="141"/>
  <c r="AA22" i="141"/>
  <c r="N22" i="141"/>
  <c r="AB25" i="141"/>
  <c r="AA25" i="141"/>
  <c r="AB5" i="141"/>
  <c r="AA16" i="141"/>
  <c r="N25" i="141"/>
  <c r="Q37" i="141"/>
  <c r="P37" i="141"/>
  <c r="M52" i="141"/>
  <c r="N68" i="141"/>
  <c r="AB68" i="141"/>
  <c r="N20" i="141"/>
  <c r="N38" i="141"/>
  <c r="N56" i="141"/>
  <c r="N31" i="141"/>
  <c r="N40" i="141"/>
  <c r="N42" i="141"/>
  <c r="N53" i="141"/>
  <c r="N62" i="141"/>
  <c r="Q28" i="141"/>
  <c r="P15" i="141"/>
  <c r="P51" i="141"/>
  <c r="AA42" i="141"/>
  <c r="AA53" i="141"/>
  <c r="AA62" i="141"/>
  <c r="AB53" i="141"/>
  <c r="K15" i="144" l="1"/>
  <c r="I8" i="144" s="1"/>
  <c r="I7" i="144"/>
  <c r="D15" i="144"/>
  <c r="G7" i="144"/>
  <c r="F7" i="144"/>
  <c r="E7" i="144"/>
  <c r="Q18" i="143"/>
  <c r="R13" i="143" s="1"/>
  <c r="F14" i="142"/>
  <c r="F15" i="142" s="1"/>
  <c r="P18" i="143"/>
  <c r="P64" i="143"/>
  <c r="J14" i="142"/>
  <c r="J15" i="142" s="1"/>
  <c r="Q64" i="143"/>
  <c r="R60" i="143" s="1"/>
  <c r="D14" i="142"/>
  <c r="P9" i="143"/>
  <c r="D2" i="143"/>
  <c r="Q9" i="143"/>
  <c r="R5" i="143" s="1"/>
  <c r="M14" i="142"/>
  <c r="M15" i="142" s="1"/>
  <c r="Q73" i="143"/>
  <c r="R65" i="143" s="1"/>
  <c r="P73" i="143"/>
  <c r="Q35" i="143"/>
  <c r="R28" i="143" s="1"/>
  <c r="P35" i="143"/>
  <c r="K14" i="142"/>
  <c r="P12" i="141"/>
  <c r="Q12" i="141"/>
  <c r="P20" i="141"/>
  <c r="Q20" i="141"/>
  <c r="Q72" i="141"/>
  <c r="P72" i="141"/>
  <c r="Q29" i="141"/>
  <c r="P29" i="141"/>
  <c r="P71" i="141"/>
  <c r="Q71" i="141"/>
  <c r="Q45" i="141"/>
  <c r="P45" i="141"/>
  <c r="Q41" i="141"/>
  <c r="P41" i="141"/>
  <c r="Q14" i="141"/>
  <c r="P14" i="141"/>
  <c r="Q42" i="141"/>
  <c r="P42" i="141"/>
  <c r="P31" i="141"/>
  <c r="Q31" i="141"/>
  <c r="P38" i="141"/>
  <c r="Q38" i="141"/>
  <c r="P44" i="141"/>
  <c r="Q44" i="141"/>
  <c r="Q68" i="141"/>
  <c r="P68" i="141"/>
  <c r="Q16" i="141"/>
  <c r="P16" i="141"/>
  <c r="AB52" i="141"/>
  <c r="AC44" i="141" s="1"/>
  <c r="AA52" i="141"/>
  <c r="N52" i="141"/>
  <c r="Q25" i="141"/>
  <c r="P25" i="141"/>
  <c r="AA35" i="141"/>
  <c r="AB35" i="141"/>
  <c r="AC27" i="141" s="1"/>
  <c r="N35" i="141"/>
  <c r="AB73" i="141"/>
  <c r="AC65" i="141" s="1"/>
  <c r="AA73" i="141"/>
  <c r="N73" i="141"/>
  <c r="Q65" i="141"/>
  <c r="P65" i="141"/>
  <c r="P48" i="141"/>
  <c r="Q48" i="141"/>
  <c r="AB26" i="141"/>
  <c r="AC18" i="141" s="1"/>
  <c r="AA26" i="141"/>
  <c r="N26" i="141"/>
  <c r="AA9" i="141"/>
  <c r="N9" i="141"/>
  <c r="AB9" i="141"/>
  <c r="AC5" i="141" s="1"/>
  <c r="AB17" i="141"/>
  <c r="AC12" i="141" s="1"/>
  <c r="AA17" i="141"/>
  <c r="N17" i="141"/>
  <c r="P10" i="141"/>
  <c r="Q10" i="141"/>
  <c r="Q61" i="141"/>
  <c r="P61" i="141"/>
  <c r="Q58" i="141"/>
  <c r="P58" i="141"/>
  <c r="Q18" i="141"/>
  <c r="P18" i="141"/>
  <c r="Q53" i="141"/>
  <c r="P53" i="141"/>
  <c r="P36" i="141"/>
  <c r="Q36" i="141"/>
  <c r="AB59" i="141"/>
  <c r="AC53" i="141" s="1"/>
  <c r="AA59" i="141"/>
  <c r="N59" i="141"/>
  <c r="Q40" i="141"/>
  <c r="P40" i="141"/>
  <c r="P13" i="141"/>
  <c r="Q13" i="141"/>
  <c r="Q7" i="141"/>
  <c r="P7" i="141"/>
  <c r="AB11" i="141"/>
  <c r="AC10" i="141" s="1"/>
  <c r="AA11" i="141"/>
  <c r="N11" i="141"/>
  <c r="Q8" i="141"/>
  <c r="P8" i="141"/>
  <c r="P33" i="141"/>
  <c r="Q33" i="141"/>
  <c r="Q22" i="141"/>
  <c r="P22" i="141"/>
  <c r="P57" i="141"/>
  <c r="Q57" i="141"/>
  <c r="Q62" i="141"/>
  <c r="P62" i="141"/>
  <c r="AB64" i="141"/>
  <c r="AC60" i="141" s="1"/>
  <c r="N64" i="141"/>
  <c r="AA64" i="141"/>
  <c r="P56" i="141"/>
  <c r="Q56" i="141"/>
  <c r="Q34" i="141"/>
  <c r="P34" i="141"/>
  <c r="L14" i="140"/>
  <c r="L15" i="140" s="1"/>
  <c r="Q43" i="141"/>
  <c r="R36" i="141" s="1"/>
  <c r="P43" i="141"/>
  <c r="Q54" i="141"/>
  <c r="P54" i="141"/>
  <c r="G8" i="144" l="1"/>
  <c r="F8" i="144"/>
  <c r="E8" i="144"/>
  <c r="I7" i="142"/>
  <c r="K15" i="142"/>
  <c r="I8" i="142" s="1"/>
  <c r="D15" i="142"/>
  <c r="F7" i="142"/>
  <c r="E7" i="142"/>
  <c r="G7" i="142"/>
  <c r="P73" i="141"/>
  <c r="M14" i="140"/>
  <c r="M15" i="140" s="1"/>
  <c r="Q73" i="141"/>
  <c r="R65" i="141" s="1"/>
  <c r="Q35" i="141"/>
  <c r="R27" i="141" s="1"/>
  <c r="P35" i="141"/>
  <c r="K14" i="140"/>
  <c r="Q64" i="141"/>
  <c r="R60" i="141" s="1"/>
  <c r="P64" i="141"/>
  <c r="J14" i="140"/>
  <c r="J15" i="140" s="1"/>
  <c r="H14" i="140"/>
  <c r="H15" i="140" s="1"/>
  <c r="Q52" i="141"/>
  <c r="R44" i="141" s="1"/>
  <c r="P52" i="141"/>
  <c r="I14" i="140"/>
  <c r="I15" i="140" s="1"/>
  <c r="Q59" i="141"/>
  <c r="R53" i="141" s="1"/>
  <c r="P59" i="141"/>
  <c r="P17" i="141"/>
  <c r="Q17" i="141"/>
  <c r="R12" i="141" s="1"/>
  <c r="F14" i="140"/>
  <c r="F15" i="140" s="1"/>
  <c r="Q9" i="141"/>
  <c r="R5" i="141" s="1"/>
  <c r="D14" i="140"/>
  <c r="P9" i="141"/>
  <c r="P26" i="141"/>
  <c r="Q26" i="141"/>
  <c r="R18" i="141" s="1"/>
  <c r="G14" i="140"/>
  <c r="G15" i="140" s="1"/>
  <c r="Q11" i="141"/>
  <c r="R10" i="141" s="1"/>
  <c r="E14" i="140"/>
  <c r="E15" i="140" s="1"/>
  <c r="P11" i="141"/>
  <c r="F8" i="142" l="1"/>
  <c r="E8" i="142"/>
  <c r="G8" i="142"/>
  <c r="I7" i="140"/>
  <c r="K15" i="140"/>
  <c r="I8" i="140" s="1"/>
  <c r="D15" i="140"/>
  <c r="G7" i="140"/>
  <c r="F7" i="140"/>
  <c r="E7" i="140"/>
  <c r="F8" i="140" l="1"/>
  <c r="G8" i="140"/>
  <c r="E8" i="140"/>
</calcChain>
</file>

<file path=xl/sharedStrings.xml><?xml version="1.0" encoding="utf-8"?>
<sst xmlns="http://schemas.openxmlformats.org/spreadsheetml/2006/main" count="10949" uniqueCount="2294">
  <si>
    <t>平均廠價</t>
  </si>
  <si>
    <t>生產時間</t>
    <rPh sb="0" eb="4">
      <t>カイシジカン</t>
    </rPh>
    <phoneticPr fontId="6"/>
  </si>
  <si>
    <t>換線、休息/分</t>
    <rPh sb="0" eb="2">
      <t>キリカエ</t>
    </rPh>
    <phoneticPr fontId="6"/>
  </si>
  <si>
    <t>開始</t>
    <rPh sb="0" eb="2">
      <t>カイシジカン</t>
    </rPh>
    <phoneticPr fontId="6"/>
  </si>
  <si>
    <t>結束</t>
    <rPh sb="0" eb="2">
      <t>シュウリョウジカン</t>
    </rPh>
    <phoneticPr fontId="6"/>
  </si>
  <si>
    <t/>
  </si>
  <si>
    <t>微波主食</t>
  </si>
  <si>
    <t>二配煸椒烘蛋飯</t>
  </si>
  <si>
    <t>二配川味麻婆燒豆腐燴飯</t>
  </si>
  <si>
    <t>二配港式香滑嫩蛋牛肉燴飯</t>
  </si>
  <si>
    <t>沙拉</t>
  </si>
  <si>
    <t>青檸烤雞握沙拉(113年)</t>
  </si>
  <si>
    <t>小吃</t>
  </si>
  <si>
    <t>剝皮辣椒雞湯</t>
  </si>
  <si>
    <t>青醬優格雞肉握沙拉(113年)</t>
  </si>
  <si>
    <t>三明治</t>
  </si>
  <si>
    <t>瘋狂起司三明治(113年)</t>
  </si>
  <si>
    <t>藍莓優格三明治(114年)</t>
  </si>
  <si>
    <t>二配金咖哩果香甘口咖哩飯</t>
  </si>
  <si>
    <t>古早味炒炊粉</t>
  </si>
  <si>
    <t>鐵板滑蛋炸豬排丼</t>
  </si>
  <si>
    <t>極上炙烤親子丼</t>
  </si>
  <si>
    <t>二配美味蟹煲</t>
  </si>
  <si>
    <t>經典總匯三明治</t>
  </si>
  <si>
    <t>輕乳酪巧克力三明治</t>
  </si>
  <si>
    <t>陽光地瓜總匯三明治</t>
  </si>
  <si>
    <t>紐奧良風味烤雞鮮蔬三明治</t>
  </si>
  <si>
    <t>鮪魚起司溏心蛋三明治</t>
  </si>
  <si>
    <t>醬燒烤雞三明治</t>
  </si>
  <si>
    <t>經典火腿玉米蛋三明治</t>
  </si>
  <si>
    <t>泰奶奶蓋QQ三明治</t>
  </si>
  <si>
    <t>調理麵包</t>
  </si>
  <si>
    <t>豬肉起司堡</t>
  </si>
  <si>
    <t>豬肉起司蛋堡</t>
  </si>
  <si>
    <t>經典雙牛起司堡(113年)</t>
  </si>
  <si>
    <t>美式雞腿堡</t>
  </si>
  <si>
    <t>泰式酸辣炸雞堡</t>
  </si>
  <si>
    <t>蔥鹽雞肉麵沙拉(114年)</t>
  </si>
  <si>
    <t>莎莎烤雞麵沙拉</t>
  </si>
  <si>
    <t>二配香辣醬蒜味香腸蛋炒飯</t>
  </si>
  <si>
    <t>二配香拌海鮮醬肉絲蛋炒飯</t>
  </si>
  <si>
    <t>香雞蛋堡(112年)</t>
  </si>
  <si>
    <t>溏心蛋洋芋沙拉</t>
  </si>
  <si>
    <t>香鬆起司蛋三明治(114年)</t>
  </si>
  <si>
    <t>火腿起司蛋三明治</t>
  </si>
  <si>
    <t>肉鬆火腿三明治</t>
  </si>
  <si>
    <t>排關平均</t>
  </si>
  <si>
    <t>實績平均</t>
  </si>
  <si>
    <t>達成率平均</t>
  </si>
  <si>
    <t>新豐6線</t>
  </si>
  <si>
    <t>新豐2線</t>
  </si>
  <si>
    <t>新豐5線</t>
  </si>
  <si>
    <t>新豐7線</t>
  </si>
  <si>
    <t>新豐3線</t>
  </si>
  <si>
    <t>新豐1線</t>
  </si>
  <si>
    <t>新豐10線</t>
  </si>
  <si>
    <t>新豐8線</t>
  </si>
  <si>
    <t>新豐9線</t>
  </si>
  <si>
    <t>新豐4線</t>
  </si>
  <si>
    <t>ET-55</t>
  </si>
  <si>
    <t>熱縮爐</t>
  </si>
  <si>
    <t>伺服包裝機</t>
  </si>
  <si>
    <t>L型包裝機</t>
    <phoneticPr fontId="4" type="noConversion"/>
  </si>
  <si>
    <t>厚豆腐蛋白蕈菇豬肉堡</t>
  </si>
  <si>
    <t>蜂蜜芥末辣雞堡</t>
  </si>
  <si>
    <t>熱食義麵</t>
  </si>
  <si>
    <t>人時性</t>
    <phoneticPr fontId="4" type="noConversion"/>
  </si>
  <si>
    <t>平均</t>
    <phoneticPr fontId="4" type="noConversion"/>
  </si>
  <si>
    <t>二配泰式綠咖哩雞</t>
  </si>
  <si>
    <t>二配粗飽系雞排炒飯(114年)</t>
  </si>
  <si>
    <t>雞蛋沙拉三明治(114年)</t>
  </si>
  <si>
    <t>排骨雞起司炒麵麵包</t>
  </si>
  <si>
    <t>經典美式起司巨牛堡</t>
  </si>
  <si>
    <t>結束</t>
    <phoneticPr fontId="3" type="noConversion"/>
  </si>
  <si>
    <t>配置人數</t>
    <phoneticPr fontId="3" type="noConversion"/>
  </si>
  <si>
    <t>調理麵包</t>
    <phoneticPr fontId="4" type="noConversion"/>
  </si>
  <si>
    <t>產線配置圖</t>
    <phoneticPr fontId="4" type="noConversion"/>
  </si>
  <si>
    <t>分析說明</t>
    <phoneticPr fontId="4" type="noConversion"/>
  </si>
  <si>
    <t>線別</t>
    <phoneticPr fontId="3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</si>
  <si>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</si>
  <si>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</si>
  <si>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</si>
  <si>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</si>
  <si>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</si>
  <si>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</si>
  <si>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新豐2線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</si>
  <si>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</si>
  <si>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</si>
  <si>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</si>
  <si>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</si>
  <si>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新豐4線</t>
    <phoneticPr fontId="4" type="noConversion"/>
  </si>
  <si>
    <t>人時性差異分析</t>
    <phoneticPr fontId="4" type="noConversion"/>
  </si>
  <si>
    <t>多次生產數</t>
    <phoneticPr fontId="4" type="noConversion"/>
  </si>
  <si>
    <t>新豐10線</t>
    <phoneticPr fontId="4" type="noConversion"/>
  </si>
  <si>
    <t>二配厚香料咖哩雞排飯</t>
  </si>
  <si>
    <t>二配金咖哩濃厚辛口咖哩飯</t>
  </si>
  <si>
    <t>日式野菜烘蛋燴飯</t>
  </si>
  <si>
    <t>麻婆豆腐波浪麵</t>
  </si>
  <si>
    <t>好多菜三明治(114年)</t>
  </si>
  <si>
    <t>二配起司控培根白醬焗烤飯</t>
  </si>
  <si>
    <t>切達海鮮雙饗三明治</t>
  </si>
  <si>
    <t>檸檬紅茶三明治</t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</si>
  <si>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</si>
  <si>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</si>
  <si>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</si>
  <si>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</si>
  <si>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</si>
  <si>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</si>
  <si>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生產實績</t>
    <phoneticPr fontId="4" type="noConversion"/>
  </si>
  <si>
    <t>日報登錄</t>
    <phoneticPr fontId="4" type="noConversion"/>
  </si>
  <si>
    <t>產能差異分析</t>
    <phoneticPr fontId="4" type="noConversion"/>
  </si>
  <si>
    <t>廠價</t>
    <phoneticPr fontId="7" type="noConversion"/>
  </si>
  <si>
    <t>休息時間</t>
    <phoneticPr fontId="4" type="noConversion"/>
  </si>
  <si>
    <t>(新豐回填)</t>
    <phoneticPr fontId="4" type="noConversion"/>
  </si>
  <si>
    <t>達成率平均</t>
    <phoneticPr fontId="4" type="noConversion"/>
  </si>
  <si>
    <t>開始</t>
    <phoneticPr fontId="4" type="noConversion"/>
  </si>
  <si>
    <t>新豐6線</t>
    <phoneticPr fontId="4" type="noConversion"/>
  </si>
  <si>
    <t>新豐1線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</si>
  <si>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</si>
  <si>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</si>
  <si>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</si>
  <si>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</si>
  <si>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</si>
  <si>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</si>
  <si>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</si>
  <si>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</si>
  <si>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</si>
  <si>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</si>
  <si>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</si>
  <si>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</si>
  <si>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</si>
  <si>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</si>
  <si>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</si>
  <si>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</si>
  <si>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</si>
  <si>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</si>
  <si>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</si>
  <si>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</si>
  <si>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</si>
  <si>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</si>
  <si>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</si>
  <si>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</si>
  <si>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</si>
  <si>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</si>
  <si>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</si>
  <si>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</si>
  <si>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</si>
  <si>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</si>
  <si>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</si>
  <si>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</si>
  <si>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星期一</t>
  </si>
  <si>
    <t>品類</t>
    <phoneticPr fontId="4" type="noConversion"/>
  </si>
  <si>
    <t>品名</t>
    <phoneticPr fontId="3" type="noConversion"/>
  </si>
  <si>
    <t>稼動時間/分</t>
    <phoneticPr fontId="4" type="noConversion"/>
  </si>
  <si>
    <t>達成率</t>
    <phoneticPr fontId="4" type="noConversion"/>
  </si>
  <si>
    <t>達成率平均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</si>
  <si>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</si>
  <si>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</si>
  <si>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</si>
  <si>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</si>
  <si>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</si>
  <si>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</si>
  <si>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</si>
  <si>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</si>
  <si>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</si>
  <si>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</si>
  <si>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</si>
  <si>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</si>
  <si>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</si>
  <si>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</si>
  <si>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</si>
  <si>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</si>
  <si>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</si>
  <si>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</si>
  <si>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</si>
  <si>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</si>
  <si>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</si>
  <si>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</si>
  <si>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</si>
  <si>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</si>
  <si>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</si>
  <si>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</si>
  <si>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</si>
  <si>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</si>
  <si>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</si>
  <si>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</si>
  <si>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</si>
  <si>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③三明治-各編組展開</t>
    <phoneticPr fontId="4" type="noConversion"/>
  </si>
  <si>
    <t>編組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</si>
  <si>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</si>
  <si>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</si>
  <si>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</si>
  <si>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</si>
  <si>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配置人數</t>
    <phoneticPr fontId="3" type="noConversion"/>
  </si>
  <si>
    <t>主要應用設備</t>
    <phoneticPr fontId="3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</si>
  <si>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</si>
  <si>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</si>
  <si>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</si>
  <si>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</si>
  <si>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</si>
  <si>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共用L型包裝機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</si>
  <si>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</si>
  <si>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</si>
  <si>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</si>
  <si>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</si>
  <si>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</si>
  <si>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</si>
  <si>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</si>
  <si>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</si>
  <si>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</si>
  <si>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</si>
  <si>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</si>
  <si>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星期二</t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</si>
  <si>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</si>
  <si>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</si>
  <si>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</si>
  <si>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</si>
  <si>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</si>
  <si>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</si>
  <si>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</si>
  <si>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</si>
  <si>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</si>
  <si>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</si>
  <si>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</si>
  <si>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</si>
  <si>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</si>
  <si>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</si>
  <si>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</si>
  <si>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</si>
  <si>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</si>
  <si>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</si>
  <si>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</si>
  <si>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</si>
  <si>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</si>
  <si>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</si>
  <si>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</si>
  <si>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柚子雞白湯拉麵</t>
  </si>
  <si>
    <t>新豐7線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</si>
  <si>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</si>
  <si>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</si>
  <si>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</si>
  <si>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新豐8線</t>
    <phoneticPr fontId="4" type="noConversion"/>
  </si>
  <si>
    <t>平均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</si>
  <si>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</si>
  <si>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</si>
  <si>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</si>
  <si>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</si>
  <si>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</si>
  <si>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</si>
  <si>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</si>
  <si>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</si>
  <si>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</si>
  <si>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</si>
  <si>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</si>
  <si>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</si>
  <si>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</si>
  <si>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</si>
  <si>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</si>
  <si>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</si>
  <si>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</si>
  <si>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</si>
  <si>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</si>
  <si>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</si>
  <si>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</si>
  <si>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</si>
  <si>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</si>
  <si>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</si>
  <si>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</si>
  <si>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</si>
  <si>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</si>
  <si>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</si>
  <si>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</si>
  <si>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</si>
  <si>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</si>
  <si>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</si>
  <si>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</si>
  <si>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</si>
  <si>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</si>
  <si>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</si>
  <si>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</si>
  <si>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</si>
  <si>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</si>
  <si>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</si>
  <si>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</si>
  <si>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</si>
  <si>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</si>
  <si>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</si>
  <si>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</si>
  <si>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</si>
  <si>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</si>
  <si>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</si>
  <si>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</si>
  <si>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</si>
  <si>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</si>
  <si>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</si>
  <si>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星期三</t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</si>
  <si>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</si>
  <si>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</si>
  <si>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</si>
  <si>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</si>
  <si>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</si>
  <si>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</si>
  <si>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</si>
  <si>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</si>
  <si>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</si>
  <si>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</si>
  <si>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</si>
  <si>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</si>
  <si>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</si>
  <si>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</si>
  <si>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</si>
  <si>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</si>
  <si>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</si>
  <si>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</si>
  <si>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</si>
  <si>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</si>
  <si>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</si>
  <si>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</si>
  <si>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</si>
  <si>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</si>
  <si>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</si>
  <si>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</si>
  <si>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</si>
  <si>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</si>
  <si>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</si>
  <si>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</si>
  <si>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</si>
  <si>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</si>
  <si>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</si>
  <si>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t>星期四</t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</si>
  <si>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</si>
  <si>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</si>
  <si>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</si>
  <si>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</si>
  <si>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➀</t>
    <phoneticPr fontId="4" type="noConversion"/>
  </si>
  <si>
    <t>➂</t>
    <phoneticPr fontId="4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</si>
  <si>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</si>
  <si>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</si>
  <si>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</si>
  <si>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</si>
  <si>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</si>
  <si>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</si>
  <si>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人時性</t>
    <phoneticPr fontId="4" type="noConversion"/>
  </si>
  <si>
    <t>實績</t>
    <phoneticPr fontId="3" type="noConversion"/>
  </si>
  <si>
    <t>開始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</si>
  <si>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</si>
  <si>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</si>
  <si>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</si>
  <si>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</si>
  <si>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</si>
  <si>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</si>
  <si>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</si>
  <si>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</si>
  <si>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</si>
  <si>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</si>
  <si>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</si>
  <si>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總生產量</t>
    <phoneticPr fontId="4" type="noConversion"/>
  </si>
  <si>
    <t>出勤人數</t>
    <phoneticPr fontId="4" type="noConversion"/>
  </si>
  <si>
    <t>產線配置圖</t>
    <phoneticPr fontId="4" type="noConversion"/>
  </si>
  <si>
    <t>人時性差異分析</t>
    <phoneticPr fontId="4" type="noConversion"/>
  </si>
  <si>
    <t>分析說明</t>
    <phoneticPr fontId="4" type="noConversion"/>
  </si>
  <si>
    <t>產能差異分析</t>
    <phoneticPr fontId="4" type="noConversion"/>
  </si>
  <si>
    <t>品類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</si>
  <si>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</si>
  <si>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</si>
  <si>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</si>
  <si>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</si>
  <si>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</si>
  <si>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</si>
  <si>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</si>
  <si>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新豐6線</t>
    <phoneticPr fontId="4" type="noConversion"/>
  </si>
  <si>
    <t>平均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</si>
  <si>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</si>
  <si>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</si>
  <si>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</si>
  <si>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</si>
  <si>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</si>
  <si>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</si>
  <si>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</si>
  <si>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</si>
  <si>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</si>
  <si>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</si>
  <si>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</si>
  <si>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</si>
  <si>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</si>
  <si>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</si>
  <si>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</si>
  <si>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</si>
  <si>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</si>
  <si>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</si>
  <si>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</si>
  <si>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</si>
  <si>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</si>
  <si>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</si>
  <si>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</si>
  <si>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</si>
  <si>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</si>
  <si>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</si>
  <si>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</si>
  <si>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</si>
  <si>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</si>
  <si>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</si>
  <si>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</si>
  <si>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</si>
  <si>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</si>
  <si>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</si>
  <si>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</si>
  <si>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</si>
  <si>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</si>
  <si>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</si>
  <si>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</si>
  <si>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</si>
  <si>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</si>
  <si>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</si>
  <si>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</si>
  <si>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</si>
  <si>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</si>
  <si>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</si>
  <si>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星期五</t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</si>
  <si>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</si>
  <si>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</si>
  <si>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</si>
  <si>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</si>
  <si>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</si>
  <si>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</si>
  <si>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</si>
  <si>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</si>
  <si>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</si>
  <si>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產能/時</t>
    <phoneticPr fontId="4" type="noConversion"/>
  </si>
  <si>
    <t>人時性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</si>
  <si>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</si>
  <si>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</si>
  <si>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</si>
  <si>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</si>
  <si>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</si>
  <si>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</si>
  <si>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</si>
  <si>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</si>
  <si>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</si>
  <si>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</si>
  <si>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</si>
  <si>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</si>
  <si>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</si>
  <si>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</si>
  <si>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</si>
  <si>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</si>
  <si>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</si>
  <si>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</si>
  <si>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</si>
  <si>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</si>
  <si>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</si>
  <si>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</si>
  <si>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</si>
  <si>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</si>
  <si>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</si>
  <si>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</si>
  <si>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</si>
  <si>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</si>
  <si>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</si>
  <si>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</si>
  <si>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</si>
  <si>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</si>
  <si>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</si>
  <si>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</si>
  <si>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</si>
  <si>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</si>
  <si>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</si>
  <si>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</si>
  <si>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</si>
  <si>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</si>
  <si>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</si>
  <si>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</si>
  <si>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</si>
  <si>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</si>
  <si>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</si>
  <si>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</si>
  <si>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</si>
  <si>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</si>
  <si>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</si>
  <si>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</si>
  <si>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</si>
  <si>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</si>
  <si>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</si>
  <si>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</si>
  <si>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</si>
  <si>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</si>
  <si>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</si>
  <si>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</si>
  <si>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</si>
  <si>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</si>
  <si>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</si>
  <si>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</si>
  <si>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</si>
  <si>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</si>
  <si>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</si>
  <si>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</si>
  <si>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</si>
  <si>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星期六</t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</si>
  <si>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</si>
  <si>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</si>
  <si>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</si>
  <si>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</si>
  <si>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</si>
  <si>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</si>
  <si>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</si>
  <si>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</si>
  <si>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</si>
  <si>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</si>
  <si>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</si>
  <si>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</si>
  <si>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</si>
  <si>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</si>
  <si>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</si>
  <si>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</si>
  <si>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</si>
  <si>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</si>
  <si>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</si>
  <si>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</si>
  <si>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</si>
  <si>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</si>
  <si>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</si>
  <si>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</si>
  <si>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</si>
  <si>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</si>
  <si>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</si>
  <si>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</si>
  <si>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</si>
  <si>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</si>
  <si>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</si>
  <si>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</si>
  <si>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</si>
  <si>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</si>
  <si>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</si>
  <si>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</si>
  <si>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</si>
  <si>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</si>
  <si>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</si>
  <si>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</si>
  <si>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</si>
  <si>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</si>
  <si>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</si>
  <si>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</si>
  <si>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</si>
  <si>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平均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</si>
  <si>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</si>
  <si>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</si>
  <si>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</si>
  <si>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</si>
  <si>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</si>
  <si>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</si>
  <si>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新豐10線</t>
    <phoneticPr fontId="4" type="noConversion"/>
  </si>
  <si>
    <t>新豐10線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</si>
  <si>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</si>
  <si>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</si>
  <si>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</si>
  <si>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</si>
  <si>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</si>
  <si>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訂單量</t>
    <phoneticPr fontId="3" type="noConversion"/>
  </si>
  <si>
    <t>營業額</t>
    <phoneticPr fontId="3" type="noConversion"/>
  </si>
  <si>
    <t>➁</t>
    <phoneticPr fontId="4" type="noConversion"/>
  </si>
  <si>
    <t>③三明治-各編組展開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</si>
  <si>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</si>
  <si>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</si>
  <si>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作業
時間</t>
    <phoneticPr fontId="3" type="noConversion"/>
  </si>
  <si>
    <t>結束</t>
    <phoneticPr fontId="3" type="noConversion"/>
  </si>
  <si>
    <t>三明治包裝機</t>
    <phoneticPr fontId="4" type="noConversion"/>
  </si>
  <si>
    <t>次要應用設備</t>
    <phoneticPr fontId="3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</si>
  <si>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</si>
  <si>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</si>
  <si>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</si>
  <si>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</si>
  <si>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</si>
  <si>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</si>
  <si>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產能差異分析</t>
    <phoneticPr fontId="4" type="noConversion"/>
  </si>
  <si>
    <t>星期日</t>
  </si>
  <si>
    <t>人時性</t>
    <phoneticPr fontId="4" type="noConversion"/>
  </si>
  <si>
    <t>線別</t>
    <phoneticPr fontId="3" type="noConversion"/>
  </si>
  <si>
    <t>品名</t>
    <phoneticPr fontId="3" type="noConversion"/>
  </si>
  <si>
    <t>產能/時</t>
    <phoneticPr fontId="4" type="noConversion"/>
  </si>
  <si>
    <t>稼動時間/分</t>
    <phoneticPr fontId="4" type="noConversion"/>
  </si>
  <si>
    <t>休息時間</t>
    <phoneticPr fontId="4" type="noConversion"/>
  </si>
  <si>
    <t>達成率</t>
    <phoneticPr fontId="4" type="noConversion"/>
  </si>
  <si>
    <t>新豐6線</t>
    <phoneticPr fontId="4" type="noConversion"/>
  </si>
  <si>
    <t>平均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</si>
  <si>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</si>
  <si>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</si>
  <si>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</si>
  <si>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</si>
  <si>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</si>
  <si>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</si>
  <si>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</si>
  <si>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</si>
  <si>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</si>
  <si>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</si>
  <si>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</si>
  <si>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</si>
  <si>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</si>
  <si>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</si>
  <si>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</si>
  <si>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全溫層</t>
    <phoneticPr fontId="3" type="noConversion"/>
  </si>
  <si>
    <t>4度C-各編組展開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</si>
  <si>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</si>
  <si>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</si>
  <si>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</si>
  <si>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達成率</t>
    <phoneticPr fontId="3" type="noConversion"/>
  </si>
  <si>
    <t>作業
時間</t>
    <phoneticPr fontId="3" type="noConversion"/>
  </si>
  <si>
    <t>結束</t>
    <phoneticPr fontId="3" type="noConversion"/>
  </si>
  <si>
    <t>三明治包裝機</t>
    <phoneticPr fontId="4" type="noConversion"/>
  </si>
  <si>
    <t>次要應用設備</t>
    <phoneticPr fontId="3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</si>
  <si>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</si>
  <si>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</si>
  <si>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</si>
  <si>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</si>
  <si>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</si>
  <si>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</si>
  <si>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</si>
  <si>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</si>
  <si>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</si>
  <si>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</si>
  <si>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</si>
  <si>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</si>
  <si>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</si>
  <si>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</si>
  <si>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</si>
  <si>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</si>
  <si>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</si>
  <si>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</si>
  <si>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</si>
  <si>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</si>
  <si>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</si>
  <si>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</si>
  <si>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</si>
  <si>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</si>
  <si>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</si>
  <si>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</si>
  <si>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</si>
  <si>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</si>
  <si>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</si>
  <si>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達成率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</si>
  <si>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</si>
  <si>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</si>
  <si>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</si>
  <si>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</si>
  <si>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</si>
  <si>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</si>
  <si>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</si>
  <si>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</si>
  <si>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</si>
  <si>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</si>
  <si>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</si>
  <si>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</si>
  <si>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</si>
  <si>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</si>
  <si>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</si>
  <si>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</si>
  <si>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季節調理麵</t>
    <phoneticPr fontId="3" type="noConversion"/>
  </si>
  <si>
    <t>季節調理麵</t>
    <phoneticPr fontId="3" type="noConversion"/>
  </si>
  <si>
    <t>季節調理麵</t>
  </si>
  <si>
    <t>覆盆莓榛果可可三明治</t>
  </si>
  <si>
    <t>滿滿起司燻腸洋芋堡</t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</si>
  <si>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</si>
  <si>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</si>
  <si>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</si>
  <si>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</si>
  <si>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</si>
  <si>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</si>
  <si>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</si>
  <si>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</si>
  <si>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</si>
  <si>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</si>
  <si>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</si>
  <si>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</si>
  <si>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</si>
  <si>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</si>
  <si>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</si>
  <si>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</si>
  <si>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</si>
  <si>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</si>
  <si>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</si>
  <si>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</si>
  <si>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</si>
  <si>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</si>
  <si>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</si>
  <si>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</si>
  <si>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</si>
  <si>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</si>
  <si>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</si>
  <si>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</si>
  <si>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</si>
  <si>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</si>
  <si>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</si>
  <si>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</si>
  <si>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</si>
  <si>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</si>
  <si>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</si>
  <si>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</si>
  <si>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</si>
  <si>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</si>
  <si>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</si>
  <si>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</si>
  <si>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</si>
  <si>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</si>
  <si>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</si>
  <si>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</si>
  <si>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</si>
  <si>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</si>
  <si>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</si>
  <si>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</si>
  <si>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</si>
  <si>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</si>
  <si>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</si>
  <si>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</si>
  <si>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</si>
  <si>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</si>
  <si>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</si>
  <si>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</si>
  <si>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</si>
  <si>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</si>
  <si>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</si>
  <si>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</si>
  <si>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</si>
  <si>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</si>
  <si>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</si>
  <si>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</si>
  <si>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</si>
  <si>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</si>
  <si>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</si>
  <si>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</si>
  <si>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</si>
  <si>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</si>
  <si>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</si>
  <si>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</si>
  <si>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</si>
  <si>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</si>
  <si>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</si>
  <si>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</si>
  <si>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</si>
  <si>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</si>
  <si>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</si>
  <si>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</si>
  <si>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</si>
  <si>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</si>
  <si>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</si>
  <si>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</si>
  <si>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</si>
  <si>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</si>
  <si>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</si>
  <si>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</si>
  <si>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</si>
  <si>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</si>
  <si>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</si>
  <si>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</si>
  <si>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</si>
  <si>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</si>
  <si>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</si>
  <si>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</si>
  <si>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</si>
  <si>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</si>
  <si>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</si>
  <si>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</si>
  <si>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</si>
  <si>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</si>
  <si>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</si>
  <si>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</si>
  <si>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</si>
  <si>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</si>
  <si>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</si>
  <si>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</si>
  <si>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</si>
  <si>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</si>
  <si>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</si>
  <si>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營業額</t>
    <phoneticPr fontId="7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</si>
  <si>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</si>
  <si>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</si>
  <si>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</si>
  <si>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</si>
  <si>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</si>
  <si>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多次生產數</t>
    <phoneticPr fontId="4" type="noConversion"/>
  </si>
  <si>
    <t>廠價</t>
    <phoneticPr fontId="7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</si>
  <si>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</si>
  <si>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</si>
  <si>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</si>
  <si>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</si>
  <si>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</si>
  <si>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</si>
  <si>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</si>
  <si>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</si>
  <si>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達成率</t>
    <phoneticPr fontId="4" type="noConversion"/>
  </si>
  <si>
    <t>達成率平均</t>
    <phoneticPr fontId="4" type="noConversion"/>
  </si>
  <si>
    <t>休息時間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</si>
  <si>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</si>
  <si>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</si>
  <si>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</si>
  <si>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</si>
  <si>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</si>
  <si>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</si>
  <si>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</si>
  <si>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</si>
  <si>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</si>
  <si>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</si>
  <si>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</si>
  <si>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</si>
  <si>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</si>
  <si>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</si>
  <si>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</si>
  <si>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</si>
  <si>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</si>
  <si>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</si>
  <si>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</si>
  <si>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</si>
  <si>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</si>
  <si>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</si>
  <si>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</si>
  <si>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</si>
  <si>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</si>
  <si>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</si>
  <si>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</si>
  <si>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</si>
  <si>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</si>
  <si>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</si>
  <si>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</si>
  <si>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平均</t>
    <phoneticPr fontId="4" type="noConversion"/>
  </si>
  <si>
    <t>新豐10線</t>
    <phoneticPr fontId="4" type="noConversion"/>
  </si>
  <si>
    <t>新豐10線</t>
    <phoneticPr fontId="4" type="noConversion"/>
  </si>
  <si>
    <t>新豐10線</t>
    <phoneticPr fontId="4" type="noConversion"/>
  </si>
  <si>
    <t>新豐10線</t>
    <phoneticPr fontId="4" type="noConversion"/>
  </si>
  <si>
    <t>平均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</si>
  <si>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</si>
  <si>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</si>
  <si>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</si>
  <si>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</si>
  <si>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</si>
  <si>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</si>
  <si>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</si>
  <si>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</si>
  <si>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平均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</si>
  <si>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</si>
  <si>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</si>
  <si>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營業額</t>
    <phoneticPr fontId="3" type="noConversion"/>
  </si>
  <si>
    <t>項目</t>
    <phoneticPr fontId="4" type="noConversion"/>
  </si>
  <si>
    <t>➁</t>
    <phoneticPr fontId="4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</si>
  <si>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</si>
  <si>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</si>
  <si>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</si>
  <si>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</si>
  <si>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</si>
  <si>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達成率</t>
    <phoneticPr fontId="3" type="noConversion"/>
  </si>
  <si>
    <t>配置人數</t>
    <phoneticPr fontId="3" type="noConversion"/>
  </si>
  <si>
    <t>L型包裝機</t>
    <phoneticPr fontId="4" type="noConversion"/>
  </si>
  <si>
    <t>三明治包裝機</t>
    <phoneticPr fontId="4" type="noConversion"/>
  </si>
  <si>
    <t>圓盤機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</si>
  <si>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</si>
  <si>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</si>
  <si>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</si>
  <si>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人時性</t>
    <phoneticPr fontId="4" type="noConversion"/>
  </si>
  <si>
    <t>稼動時間/分</t>
    <phoneticPr fontId="4" type="noConversion"/>
  </si>
  <si>
    <t>新豐6線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</si>
  <si>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</si>
  <si>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</si>
  <si>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</si>
  <si>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</si>
  <si>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</si>
  <si>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</si>
  <si>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</si>
  <si>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</si>
  <si>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</si>
  <si>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</si>
  <si>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</si>
  <si>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</si>
  <si>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</si>
  <si>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</si>
  <si>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</si>
  <si>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</si>
  <si>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</si>
  <si>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</si>
  <si>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</si>
  <si>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</si>
  <si>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</si>
  <si>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</si>
  <si>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</si>
  <si>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</si>
  <si>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</si>
  <si>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</si>
  <si>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</si>
  <si>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</si>
  <si>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作業
時間</t>
    <phoneticPr fontId="3" type="noConversion"/>
  </si>
  <si>
    <t>結束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</si>
  <si>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</si>
  <si>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</si>
  <si>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</si>
  <si>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</si>
  <si>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</si>
  <si>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</si>
  <si>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</si>
  <si>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</si>
  <si>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</si>
  <si>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</si>
  <si>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</si>
  <si>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</si>
  <si>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</si>
  <si>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</si>
  <si>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</si>
  <si>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</si>
  <si>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</si>
  <si>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分析說明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</si>
  <si>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</si>
  <si>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</si>
  <si>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</si>
  <si>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</si>
  <si>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</si>
  <si>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</si>
  <si>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</si>
  <si>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</si>
  <si>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</si>
  <si>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</si>
  <si>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</si>
  <si>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</si>
  <si>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</si>
  <si>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</si>
  <si>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</si>
  <si>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</si>
  <si>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</si>
  <si>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</si>
  <si>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</si>
  <si>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</si>
  <si>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</si>
  <si>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</si>
  <si>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</si>
  <si>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</si>
  <si>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</si>
  <si>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</si>
  <si>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</si>
  <si>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</si>
  <si>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</si>
  <si>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</si>
  <si>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</si>
  <si>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</si>
  <si>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</si>
  <si>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</si>
  <si>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</si>
  <si>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</si>
  <si>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</si>
  <si>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</si>
  <si>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</si>
  <si>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</si>
  <si>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</si>
  <si>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</si>
  <si>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</si>
  <si>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</si>
  <si>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</si>
  <si>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</si>
  <si>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</si>
  <si>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</si>
  <si>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</si>
  <si>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</si>
  <si>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</si>
  <si>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</si>
  <si>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</si>
  <si>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</si>
  <si>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</si>
  <si>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</si>
  <si>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</si>
  <si>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</si>
  <si>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</si>
  <si>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</si>
  <si>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</si>
  <si>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</si>
  <si>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</si>
  <si>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</si>
  <si>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</si>
  <si>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</si>
  <si>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</si>
  <si>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</si>
  <si>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</si>
  <si>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</si>
  <si>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</si>
  <si>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</si>
  <si>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</si>
  <si>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</si>
  <si>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</si>
  <si>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</si>
  <si>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</si>
  <si>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</si>
  <si>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</si>
  <si>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</si>
  <si>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</si>
  <si>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</si>
  <si>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</si>
  <si>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</si>
  <si>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</si>
  <si>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</si>
  <si>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</si>
  <si>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</si>
  <si>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</si>
  <si>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</si>
  <si>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</si>
  <si>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</si>
  <si>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</si>
  <si>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達成率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</si>
  <si>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</si>
  <si>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</si>
  <si>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</si>
  <si>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</si>
  <si>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</si>
  <si>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</si>
  <si>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</si>
  <si>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</si>
  <si>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</si>
  <si>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</si>
  <si>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</si>
  <si>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</si>
  <si>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</si>
  <si>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</si>
  <si>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</si>
  <si>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新豐10線</t>
    <phoneticPr fontId="4" type="noConversion"/>
  </si>
  <si>
    <t>平均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</si>
  <si>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</si>
  <si>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</si>
  <si>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</si>
  <si>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</si>
  <si>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</si>
  <si>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</si>
  <si>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</si>
  <si>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</si>
  <si>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</si>
  <si>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</si>
  <si>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</si>
  <si>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</si>
  <si>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</si>
  <si>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</si>
  <si>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</si>
  <si>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</si>
  <si>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</si>
  <si>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</si>
  <si>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</si>
  <si>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</si>
  <si>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</si>
  <si>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</si>
  <si>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</si>
  <si>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</si>
  <si>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</si>
  <si>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</si>
  <si>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</si>
  <si>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</si>
  <si>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</si>
  <si>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</si>
  <si>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</si>
  <si>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</si>
  <si>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</si>
  <si>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炒飯+沙拉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</si>
  <si>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</si>
  <si>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</si>
  <si>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</si>
  <si>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</si>
  <si>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</si>
  <si>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</si>
  <si>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</si>
  <si>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</si>
  <si>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</si>
  <si>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</si>
  <si>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</si>
  <si>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</si>
  <si>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</si>
  <si>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</si>
  <si>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</si>
  <si>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</si>
  <si>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</si>
  <si>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</si>
  <si>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</si>
  <si>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人數</t>
    <phoneticPr fontId="4" type="noConversion"/>
  </si>
  <si>
    <t>達成率</t>
    <phoneticPr fontId="4" type="noConversion"/>
  </si>
  <si>
    <t>達成率平均</t>
    <phoneticPr fontId="4" type="noConversion"/>
  </si>
  <si>
    <t>休息時間</t>
    <phoneticPr fontId="4" type="noConversion"/>
  </si>
  <si>
    <t>產能/時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</si>
  <si>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</si>
  <si>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</si>
  <si>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</si>
  <si>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</si>
  <si>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</si>
  <si>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</si>
  <si>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</si>
  <si>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</si>
  <si>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</si>
  <si>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</si>
  <si>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</si>
  <si>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</si>
  <si>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</si>
  <si>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</si>
  <si>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</si>
  <si>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</si>
  <si>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</si>
  <si>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</si>
  <si>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</si>
  <si>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</si>
  <si>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</si>
  <si>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</si>
  <si>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</si>
  <si>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</si>
  <si>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</si>
  <si>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</si>
  <si>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</si>
  <si>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</si>
  <si>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新豐10線</t>
    <phoneticPr fontId="4" type="noConversion"/>
  </si>
  <si>
    <t>新豐10線</t>
    <phoneticPr fontId="4" type="noConversion"/>
  </si>
  <si>
    <t>新豐10線</t>
    <phoneticPr fontId="4" type="noConversion"/>
  </si>
  <si>
    <t>新豐10線</t>
    <phoneticPr fontId="4" type="noConversion"/>
  </si>
  <si>
    <t>平均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</si>
  <si>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</si>
  <si>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</si>
  <si>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</si>
  <si>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</si>
  <si>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</si>
  <si>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</si>
  <si>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</si>
  <si>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</si>
  <si>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</si>
  <si>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</si>
  <si>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</si>
  <si>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</si>
  <si>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</si>
  <si>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</si>
  <si>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</si>
  <si>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</si>
  <si>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</si>
  <si>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</si>
  <si>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</si>
  <si>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</si>
  <si>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</si>
  <si>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</si>
  <si>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</si>
  <si>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</si>
  <si>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</si>
  <si>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</si>
  <si>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</si>
  <si>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</si>
  <si>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</si>
  <si>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</si>
  <si>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</si>
  <si>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</si>
  <si>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</si>
  <si>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</si>
  <si>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</si>
  <si>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</si>
  <si>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</si>
  <si>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營業額</t>
    <phoneticPr fontId="7" type="noConversion"/>
  </si>
  <si>
    <t>出勤人數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</si>
  <si>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</si>
  <si>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</si>
  <si>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</si>
  <si>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</si>
  <si>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</si>
  <si>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</si>
  <si>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</si>
  <si>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</si>
  <si>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</si>
  <si>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</si>
  <si>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</si>
  <si>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</si>
  <si>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</si>
  <si>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</si>
  <si>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</si>
  <si>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</si>
  <si>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</si>
  <si>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</si>
  <si>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</si>
  <si>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</si>
  <si>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</si>
  <si>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</si>
  <si>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</si>
  <si>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</si>
  <si>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</si>
  <si>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</si>
  <si>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</si>
  <si>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</si>
  <si>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</si>
  <si>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</si>
  <si>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</si>
  <si>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</si>
  <si>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</si>
  <si>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</si>
  <si>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</si>
  <si>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t>蒜蒜燒豚飯</t>
  </si>
  <si>
    <t>壹號醬雞豚雙拼</t>
  </si>
  <si>
    <t>藍莓優格三明治</t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</si>
  <si>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</si>
  <si>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</si>
  <si>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</si>
  <si>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</si>
  <si>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</si>
  <si>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</si>
  <si>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</si>
  <si>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</si>
  <si>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</si>
  <si>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</si>
  <si>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</si>
  <si>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</si>
  <si>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</si>
  <si>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</si>
  <si>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</si>
  <si>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</si>
  <si>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</si>
  <si>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</si>
  <si>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</si>
  <si>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</si>
  <si>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</si>
  <si>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</si>
  <si>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</si>
  <si>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</si>
  <si>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</si>
  <si>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</si>
  <si>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</si>
  <si>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</si>
  <si>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</si>
  <si>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</si>
  <si>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</si>
  <si>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</si>
  <si>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</si>
  <si>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</si>
  <si>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</si>
  <si>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多次生產數</t>
    <phoneticPr fontId="4" type="noConversion"/>
  </si>
  <si>
    <t>品名</t>
    <phoneticPr fontId="3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</si>
  <si>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</si>
  <si>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</si>
  <si>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</si>
  <si>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</si>
  <si>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</si>
  <si>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</si>
  <si>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</si>
  <si>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休息時間</t>
    <phoneticPr fontId="4" type="noConversion"/>
  </si>
  <si>
    <t>開始</t>
    <phoneticPr fontId="4" type="noConversion"/>
  </si>
  <si>
    <t>新豐6線</t>
    <phoneticPr fontId="4" type="noConversion"/>
  </si>
  <si>
    <t>平均</t>
    <phoneticPr fontId="4" type="noConversion"/>
  </si>
  <si>
    <t>平均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</si>
  <si>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</si>
  <si>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</si>
  <si>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</si>
  <si>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</si>
  <si>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</si>
  <si>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人時性</t>
    <phoneticPr fontId="3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</si>
  <si>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</si>
  <si>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</si>
  <si>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</si>
  <si>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溫層</t>
    <phoneticPr fontId="3" type="noConversion"/>
  </si>
  <si>
    <t>達成率</t>
    <phoneticPr fontId="3" type="noConversion"/>
  </si>
  <si>
    <t>配置人數</t>
    <phoneticPr fontId="3" type="noConversion"/>
  </si>
  <si>
    <t>備註</t>
    <phoneticPr fontId="3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</si>
  <si>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</si>
  <si>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</si>
  <si>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生產實績</t>
    <phoneticPr fontId="4" type="noConversion"/>
  </si>
  <si>
    <t>品類</t>
    <phoneticPr fontId="4" type="noConversion"/>
  </si>
  <si>
    <t>廠價</t>
    <phoneticPr fontId="7" type="noConversion"/>
  </si>
  <si>
    <t>稼動時間/分</t>
    <phoneticPr fontId="4" type="noConversion"/>
  </si>
  <si>
    <t>(新豐回填)</t>
    <phoneticPr fontId="4" type="noConversion"/>
  </si>
  <si>
    <t>結束</t>
    <phoneticPr fontId="4" type="noConversion"/>
  </si>
  <si>
    <t>新豐2線</t>
    <phoneticPr fontId="4" type="noConversion"/>
  </si>
  <si>
    <t>新豐2線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</si>
  <si>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</si>
  <si>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</si>
  <si>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</si>
  <si>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</si>
  <si>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</si>
  <si>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</si>
  <si>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</si>
  <si>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</si>
  <si>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</si>
  <si>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</si>
  <si>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</si>
  <si>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</si>
  <si>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</si>
  <si>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</si>
  <si>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</si>
  <si>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</si>
  <si>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</si>
  <si>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</si>
  <si>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</si>
  <si>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</si>
  <si>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</si>
  <si>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</si>
  <si>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</si>
  <si>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</si>
  <si>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</si>
  <si>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</si>
  <si>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</si>
  <si>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</si>
  <si>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</si>
  <si>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</si>
  <si>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</si>
  <si>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</si>
  <si>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</si>
  <si>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</si>
  <si>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</si>
  <si>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</si>
  <si>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</si>
  <si>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</si>
  <si>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</si>
  <si>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</si>
  <si>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</si>
  <si>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</si>
  <si>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</si>
  <si>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</si>
  <si>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</si>
  <si>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</si>
  <si>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</si>
  <si>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</si>
  <si>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</si>
  <si>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</si>
  <si>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</si>
  <si>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</si>
  <si>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</si>
  <si>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</si>
  <si>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</si>
  <si>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</si>
  <si>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</si>
  <si>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</si>
  <si>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</si>
  <si>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</si>
  <si>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</si>
  <si>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</si>
  <si>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</si>
  <si>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</si>
  <si>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</si>
  <si>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</si>
  <si>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</si>
  <si>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</si>
  <si>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</si>
  <si>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</si>
  <si>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</si>
  <si>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</si>
  <si>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</si>
  <si>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</si>
  <si>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</si>
  <si>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</si>
  <si>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</si>
  <si>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</si>
  <si>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</si>
  <si>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</si>
  <si>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</si>
  <si>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</si>
  <si>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</si>
  <si>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</si>
  <si>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</si>
  <si>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</si>
  <si>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</si>
  <si>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</si>
  <si>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</si>
  <si>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</si>
  <si>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</si>
  <si>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</si>
  <si>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</si>
  <si>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</si>
  <si>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</si>
  <si>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</si>
  <si>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</si>
  <si>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</si>
  <si>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</si>
  <si>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</si>
  <si>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</si>
  <si>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</si>
  <si>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</si>
  <si>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</si>
  <si>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</si>
  <si>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</si>
  <si>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</si>
  <si>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</si>
  <si>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</si>
  <si>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</si>
  <si>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</si>
  <si>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</si>
  <si>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日報登錄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</si>
  <si>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</si>
  <si>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</si>
  <si>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</si>
  <si>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廠價</t>
    <phoneticPr fontId="7" type="noConversion"/>
  </si>
  <si>
    <t>多次
生產</t>
    <phoneticPr fontId="4" type="noConversion"/>
  </si>
  <si>
    <t>產能/時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</si>
  <si>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</si>
  <si>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</si>
  <si>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</si>
  <si>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</si>
  <si>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</si>
  <si>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</si>
  <si>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</si>
  <si>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平均</t>
    <phoneticPr fontId="4" type="noConversion"/>
  </si>
  <si>
    <t>新豐5線</t>
    <phoneticPr fontId="4" type="noConversion"/>
  </si>
  <si>
    <t>新豐9線</t>
    <phoneticPr fontId="4" type="noConversion"/>
  </si>
  <si>
    <t>平均</t>
    <phoneticPr fontId="4" type="noConversion"/>
  </si>
  <si>
    <t>新豐3線</t>
    <phoneticPr fontId="4" type="noConversion"/>
  </si>
  <si>
    <t>新豐3線</t>
    <phoneticPr fontId="4" type="noConversion"/>
  </si>
  <si>
    <t>平均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</si>
  <si>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</si>
  <si>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</si>
  <si>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</si>
  <si>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</si>
  <si>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平均</t>
    <phoneticPr fontId="4" type="noConversion"/>
  </si>
  <si>
    <t>新豐10線</t>
    <phoneticPr fontId="4" type="noConversion"/>
  </si>
  <si>
    <t>新豐10線</t>
    <phoneticPr fontId="4" type="noConversion"/>
  </si>
  <si>
    <t>新豐10線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</si>
  <si>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</si>
  <si>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</si>
  <si>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</si>
  <si>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</si>
  <si>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</si>
  <si>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</si>
  <si>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</si>
  <si>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</si>
  <si>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</si>
  <si>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</si>
  <si>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</si>
  <si>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</si>
  <si>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</si>
  <si>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</si>
  <si>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</si>
  <si>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</si>
  <si>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</si>
  <si>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</si>
  <si>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</si>
  <si>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</si>
  <si>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</si>
  <si>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</si>
  <si>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</si>
  <si>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</si>
  <si>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</si>
  <si>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</si>
  <si>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</si>
  <si>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</si>
  <si>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</si>
  <si>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</si>
  <si>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</si>
  <si>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</si>
  <si>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</si>
  <si>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</si>
  <si>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</si>
  <si>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</si>
  <si>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</si>
  <si>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</si>
  <si>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</si>
  <si>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</si>
  <si>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</si>
  <si>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</si>
  <si>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</si>
  <si>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生產實績</t>
    <phoneticPr fontId="4" type="noConversion"/>
  </si>
  <si>
    <t>日報登錄</t>
    <phoneticPr fontId="4" type="noConversion"/>
  </si>
  <si>
    <t>多次生產數</t>
    <phoneticPr fontId="4" type="noConversion"/>
  </si>
  <si>
    <t>品類</t>
    <phoneticPr fontId="4" type="noConversion"/>
  </si>
  <si>
    <t>產能/時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</si>
  <si>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</si>
  <si>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</si>
  <si>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</si>
  <si>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</si>
  <si>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</si>
  <si>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新豐6線</t>
    <phoneticPr fontId="4" type="noConversion"/>
  </si>
  <si>
    <t>平均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</si>
  <si>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</si>
  <si>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</si>
  <si>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</si>
  <si>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</si>
  <si>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</si>
  <si>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新豐10線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</si>
  <si>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</si>
  <si>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</si>
  <si>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</si>
  <si>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</si>
  <si>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</si>
  <si>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</si>
  <si>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</si>
  <si>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</si>
  <si>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</si>
  <si>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</si>
  <si>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</si>
  <si>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</si>
  <si>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</si>
  <si>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</si>
  <si>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</si>
  <si>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</si>
  <si>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</si>
  <si>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</si>
  <si>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</si>
  <si>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</si>
  <si>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</si>
  <si>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</si>
  <si>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</si>
  <si>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</si>
  <si>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</si>
  <si>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</si>
  <si>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</si>
  <si>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</si>
  <si>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</si>
  <si>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</si>
  <si>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</si>
  <si>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</si>
  <si>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</si>
  <si>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</si>
  <si>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</si>
  <si>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</si>
  <si>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</si>
  <si>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</si>
  <si>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</si>
  <si>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</si>
  <si>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</si>
  <si>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</si>
  <si>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</si>
  <si>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</si>
  <si>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</si>
  <si>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</si>
  <si>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</si>
  <si>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</si>
  <si>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</si>
  <si>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</si>
  <si>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</si>
  <si>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</si>
  <si>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</si>
  <si>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</si>
  <si>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</si>
  <si>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</si>
  <si>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產能/時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</si>
  <si>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</si>
  <si>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</si>
  <si>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</si>
  <si>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</si>
  <si>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</si>
  <si>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</si>
  <si>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</si>
  <si>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</si>
  <si>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</si>
  <si>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</si>
  <si>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</si>
  <si>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</si>
  <si>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</si>
  <si>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</si>
  <si>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平均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</si>
  <si>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</si>
  <si>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</si>
  <si>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</si>
  <si>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</si>
  <si>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</si>
  <si>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</si>
  <si>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新豐10線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</si>
  <si>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</si>
  <si>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</si>
  <si>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</si>
  <si>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</si>
  <si>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平均</t>
    <phoneticPr fontId="4" type="noConversion"/>
  </si>
  <si>
    <t>線別</t>
    <phoneticPr fontId="3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</si>
  <si>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</si>
  <si>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</si>
  <si>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</si>
  <si>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</si>
  <si>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</si>
  <si>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</si>
  <si>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</si>
  <si>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</si>
  <si>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</si>
  <si>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</si>
  <si>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</si>
  <si>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</si>
  <si>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</si>
  <si>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</si>
  <si>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</si>
  <si>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</si>
  <si>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</si>
  <si>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</si>
  <si>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</si>
  <si>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</si>
  <si>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</si>
  <si>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</si>
  <si>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</si>
  <si>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</si>
  <si>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</si>
  <si>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</si>
  <si>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</si>
  <si>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</si>
  <si>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</si>
  <si>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</si>
  <si>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</si>
  <si>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</si>
  <si>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</si>
  <si>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</si>
  <si>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</si>
  <si>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</si>
  <si>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</si>
  <si>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</si>
  <si>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</si>
  <si>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</si>
  <si>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</si>
  <si>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</si>
  <si>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</si>
  <si>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</si>
  <si>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</si>
  <si>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</si>
  <si>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</si>
  <si>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</si>
  <si>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</si>
  <si>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</si>
  <si>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</si>
  <si>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</si>
  <si>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</si>
  <si>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</si>
  <si>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</si>
  <si>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</si>
  <si>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</si>
  <si>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</si>
  <si>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</si>
  <si>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</si>
  <si>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</si>
  <si>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</si>
  <si>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</si>
  <si>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</si>
  <si>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</si>
  <si>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</si>
  <si>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</si>
  <si>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</si>
  <si>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</si>
  <si>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</si>
  <si>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</si>
  <si>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</si>
  <si>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</si>
  <si>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</si>
  <si>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</si>
  <si>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</si>
  <si>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t>二配麻油雞燴飯</t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</si>
  <si>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</si>
  <si>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</si>
  <si>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</si>
  <si>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</si>
  <si>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</si>
  <si>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</si>
  <si>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</si>
  <si>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</si>
  <si>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</si>
  <si>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</si>
  <si>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</si>
  <si>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</si>
  <si>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</si>
  <si>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</si>
  <si>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</si>
  <si>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</si>
  <si>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</si>
  <si>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</si>
  <si>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</si>
  <si>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</si>
  <si>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</si>
  <si>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</si>
  <si>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結束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</si>
  <si>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</si>
  <si>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</si>
  <si>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</si>
  <si>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</si>
  <si>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</si>
  <si>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</si>
  <si>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</si>
  <si>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</si>
  <si>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</si>
  <si>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</si>
  <si>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出勤人數</t>
    <phoneticPr fontId="4" type="noConversion"/>
  </si>
  <si>
    <t>產線配置圖</t>
    <phoneticPr fontId="4" type="noConversion"/>
  </si>
  <si>
    <t>線別</t>
    <phoneticPr fontId="3" type="noConversion"/>
  </si>
  <si>
    <t>品名</t>
    <phoneticPr fontId="3" type="noConversion"/>
  </si>
  <si>
    <t>廠價</t>
    <phoneticPr fontId="7" type="noConversion"/>
  </si>
  <si>
    <t>人數</t>
    <phoneticPr fontId="4" type="noConversion"/>
  </si>
  <si>
    <t>人時性</t>
    <phoneticPr fontId="4" type="noConversion"/>
  </si>
  <si>
    <t>人數</t>
    <phoneticPr fontId="4" type="noConversion"/>
  </si>
  <si>
    <t>人數</t>
    <phoneticPr fontId="4" type="noConversion"/>
  </si>
  <si>
    <t>人時性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</si>
  <si>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</si>
  <si>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</si>
  <si>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</si>
  <si>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</si>
  <si>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</si>
  <si>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</si>
  <si>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</si>
  <si>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</si>
  <si>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</si>
  <si>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</si>
  <si>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</si>
  <si>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</si>
  <si>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</si>
  <si>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</si>
  <si>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</si>
  <si>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</si>
  <si>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</si>
  <si>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</si>
  <si>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</si>
  <si>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</si>
  <si>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</si>
  <si>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</si>
  <si>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</si>
  <si>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</si>
  <si>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</si>
  <si>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平均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</si>
  <si>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</si>
  <si>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</si>
  <si>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</si>
  <si>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</si>
  <si>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平均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</si>
  <si>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</si>
  <si>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</si>
  <si>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</si>
  <si>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</si>
  <si>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</si>
  <si>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新豐10線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</si>
  <si>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</si>
  <si>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</si>
  <si>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</si>
  <si>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</si>
  <si>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</si>
  <si>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</si>
  <si>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</si>
  <si>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</si>
  <si>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</si>
  <si>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</si>
  <si>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</si>
  <si>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</si>
  <si>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</si>
  <si>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</si>
  <si>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</si>
  <si>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</si>
  <si>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</si>
  <si>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</si>
  <si>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</si>
  <si>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</si>
  <si>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</si>
  <si>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</si>
  <si>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</si>
  <si>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</si>
  <si>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</si>
  <si>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</si>
  <si>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</si>
  <si>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</si>
  <si>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</si>
  <si>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</si>
  <si>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</si>
  <si>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</si>
  <si>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</si>
  <si>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</si>
  <si>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</si>
  <si>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</si>
  <si>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</si>
  <si>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</si>
  <si>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</si>
  <si>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</si>
  <si>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營業額</t>
    <phoneticPr fontId="7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</si>
  <si>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</si>
  <si>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</si>
  <si>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</si>
  <si>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</si>
  <si>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</si>
  <si>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多次生產數</t>
    <phoneticPr fontId="4" type="noConversion"/>
  </si>
  <si>
    <t>線別</t>
    <phoneticPr fontId="3" type="noConversion"/>
  </si>
  <si>
    <t>品名</t>
    <phoneticPr fontId="3" type="noConversion"/>
  </si>
  <si>
    <t>人數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</si>
  <si>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</si>
  <si>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</si>
  <si>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</si>
  <si>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</si>
  <si>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</si>
  <si>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</si>
  <si>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</si>
  <si>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</si>
  <si>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</si>
  <si>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</si>
  <si>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</si>
  <si>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</si>
  <si>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</si>
  <si>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</si>
  <si>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</si>
  <si>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焗烤起司肉醬筆尖麵</t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</si>
  <si>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</si>
  <si>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</si>
  <si>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</si>
  <si>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</si>
  <si>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</si>
  <si>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新豐8線</t>
    <phoneticPr fontId="4" type="noConversion"/>
  </si>
  <si>
    <t>平均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</si>
  <si>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</si>
  <si>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</si>
  <si>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</si>
  <si>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</si>
  <si>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</si>
  <si>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花生培根歐姆蛋堡</t>
  </si>
  <si>
    <t>平均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</si>
  <si>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</si>
  <si>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</si>
  <si>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</si>
  <si>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</si>
  <si>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</si>
  <si>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</si>
  <si>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</si>
  <si>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</si>
  <si>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</si>
  <si>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</si>
  <si>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</si>
  <si>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</si>
  <si>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</si>
  <si>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</si>
  <si>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</si>
  <si>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</si>
  <si>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</si>
  <si>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</si>
  <si>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</si>
  <si>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</si>
  <si>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</si>
  <si>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</si>
  <si>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</si>
  <si>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</si>
  <si>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</si>
  <si>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</si>
  <si>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</si>
  <si>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</si>
  <si>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</si>
  <si>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開始</t>
    <phoneticPr fontId="3" type="noConversion"/>
  </si>
  <si>
    <t>結束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</si>
  <si>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</si>
  <si>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</si>
  <si>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</si>
  <si>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</si>
  <si>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</si>
  <si>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</si>
  <si>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</si>
  <si>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</si>
  <si>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</si>
  <si>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</si>
  <si>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</si>
  <si>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調理麵包</t>
    <phoneticPr fontId="4" type="noConversion"/>
  </si>
  <si>
    <t>稼動時間/分</t>
    <phoneticPr fontId="4" type="noConversion"/>
  </si>
  <si>
    <t>(新豐回填)</t>
    <phoneticPr fontId="4" type="noConversion"/>
  </si>
  <si>
    <t>達成率</t>
    <phoneticPr fontId="4" type="noConversion"/>
  </si>
  <si>
    <t>開始</t>
    <phoneticPr fontId="4" type="noConversion"/>
  </si>
  <si>
    <t>結束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</si>
  <si>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</si>
  <si>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</si>
  <si>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</si>
  <si>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</si>
  <si>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</si>
  <si>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</si>
  <si>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</si>
  <si>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</si>
  <si>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</si>
  <si>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</si>
  <si>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</si>
  <si>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</si>
  <si>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</si>
  <si>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</si>
  <si>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</si>
  <si>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</si>
  <si>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</si>
  <si>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</si>
  <si>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</si>
  <si>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</si>
  <si>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</si>
  <si>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</si>
  <si>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</si>
  <si>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</si>
  <si>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</si>
  <si>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</si>
  <si>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</si>
  <si>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</si>
  <si>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</si>
  <si>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</si>
  <si>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</si>
  <si>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</si>
  <si>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</si>
  <si>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</si>
  <si>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</si>
  <si>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</si>
  <si>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</si>
  <si>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</si>
  <si>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</si>
  <si>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</si>
  <si>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</si>
  <si>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</si>
  <si>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</si>
  <si>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</si>
  <si>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</si>
  <si>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</si>
  <si>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</si>
  <si>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</si>
  <si>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</si>
  <si>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</si>
  <si>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</si>
  <si>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</si>
  <si>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</si>
  <si>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</si>
  <si>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</si>
  <si>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</si>
  <si>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</si>
  <si>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</si>
  <si>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</si>
  <si>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</si>
  <si>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</si>
  <si>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</si>
  <si>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</si>
  <si>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</si>
  <si>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</si>
  <si>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</si>
  <si>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</si>
  <si>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</si>
  <si>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</si>
  <si>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</si>
  <si>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</si>
  <si>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平均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</si>
  <si>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</si>
  <si>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</si>
  <si>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</si>
  <si>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</si>
  <si>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</si>
  <si>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</si>
  <si>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</si>
  <si>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</si>
  <si>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</si>
  <si>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</si>
  <si>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</si>
  <si>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</si>
  <si>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新豐3線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</si>
  <si>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</si>
  <si>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</si>
  <si>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</si>
  <si>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</si>
  <si>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</si>
  <si>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</si>
  <si>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</si>
  <si>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</si>
  <si>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</si>
  <si>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</si>
  <si>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</si>
  <si>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</si>
  <si>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</si>
  <si>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</si>
  <si>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</si>
  <si>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</si>
  <si>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</si>
  <si>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</si>
  <si>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</si>
  <si>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</si>
  <si>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</si>
  <si>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</si>
  <si>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</si>
  <si>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</si>
  <si>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</si>
  <si>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</si>
  <si>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</si>
  <si>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</si>
  <si>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</si>
  <si>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</si>
  <si>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</si>
  <si>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</si>
  <si>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</si>
  <si>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</si>
  <si>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</si>
  <si>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</si>
  <si>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</si>
  <si>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</si>
  <si>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</si>
  <si>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</si>
  <si>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</si>
  <si>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</si>
  <si>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</si>
  <si>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</si>
  <si>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</si>
  <si>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</si>
  <si>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</si>
  <si>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</si>
  <si>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</si>
  <si>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</si>
  <si>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</si>
  <si>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</si>
  <si>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</si>
  <si>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</si>
  <si>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</si>
  <si>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</si>
  <si>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</si>
  <si>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</si>
  <si>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</si>
  <si>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產能/時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</si>
  <si>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</si>
  <si>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</si>
  <si>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</si>
  <si>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</si>
  <si>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</si>
  <si>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</si>
  <si>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</si>
  <si>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</si>
  <si>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</si>
  <si>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</si>
  <si>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</si>
  <si>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</si>
  <si>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</si>
  <si>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</si>
  <si>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</si>
  <si>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</si>
  <si>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</si>
  <si>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</si>
  <si>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</si>
  <si>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</si>
  <si>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</si>
  <si>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</si>
  <si>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</si>
  <si>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</si>
  <si>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</si>
  <si>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</si>
  <si>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</si>
  <si>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</si>
  <si>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</si>
  <si>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</si>
  <si>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</si>
  <si>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</si>
  <si>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</si>
  <si>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</si>
  <si>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</si>
  <si>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達成率</t>
    <phoneticPr fontId="3" type="noConversion"/>
  </si>
  <si>
    <t>開始</t>
    <phoneticPr fontId="3" type="noConversion"/>
  </si>
  <si>
    <t>結束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</si>
  <si>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</si>
  <si>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</si>
  <si>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</si>
  <si>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</si>
  <si>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</si>
  <si>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</si>
  <si>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</si>
  <si>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</si>
  <si>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</si>
  <si>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</si>
  <si>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</si>
  <si>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</si>
  <si>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</si>
  <si>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</si>
  <si>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</si>
  <si>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</si>
  <si>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</si>
  <si>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</si>
  <si>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</si>
  <si>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</si>
  <si>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</si>
  <si>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</si>
  <si>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</si>
  <si>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</si>
  <si>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</si>
  <si>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</si>
  <si>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</si>
  <si>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</si>
  <si>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</si>
  <si>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</si>
  <si>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</si>
  <si>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</si>
  <si>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</si>
  <si>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</si>
  <si>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</si>
  <si>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</si>
  <si>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</si>
  <si>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</si>
  <si>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</si>
  <si>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</si>
  <si>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</si>
  <si>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</si>
  <si>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</si>
  <si>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</si>
  <si>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</si>
  <si>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</si>
  <si>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</si>
  <si>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</si>
  <si>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</si>
  <si>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新豐10線</t>
    <phoneticPr fontId="4" type="noConversion"/>
  </si>
  <si>
    <t>平均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</si>
  <si>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</si>
  <si>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</si>
  <si>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</si>
  <si>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</si>
  <si>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</si>
  <si>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</si>
  <si>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</si>
  <si>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</si>
  <si>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</si>
  <si>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</si>
  <si>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</si>
  <si>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</si>
  <si>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</si>
  <si>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</si>
  <si>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</si>
  <si>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</si>
  <si>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</si>
  <si>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</si>
  <si>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</si>
  <si>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</si>
  <si>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</si>
  <si>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</si>
  <si>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</si>
  <si>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</si>
  <si>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</si>
  <si>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</si>
  <si>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</si>
  <si>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</si>
  <si>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</si>
  <si>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</si>
  <si>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</si>
  <si>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</si>
  <si>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</si>
  <si>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</si>
  <si>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</si>
  <si>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</si>
  <si>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總生產量</t>
    <phoneticPr fontId="4" type="noConversion"/>
  </si>
  <si>
    <t>出勤人數</t>
    <phoneticPr fontId="4" type="noConversion"/>
  </si>
  <si>
    <t>產線配置圖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</si>
  <si>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</si>
  <si>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</si>
  <si>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</si>
  <si>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</si>
  <si>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人時性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</si>
  <si>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</si>
  <si>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</si>
  <si>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</si>
  <si>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</si>
  <si>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</si>
  <si>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</si>
  <si>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</si>
  <si>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</si>
  <si>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</si>
  <si>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</si>
  <si>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</si>
  <si>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</si>
  <si>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</si>
  <si>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開始</t>
    <phoneticPr fontId="4" type="noConversion"/>
  </si>
  <si>
    <t>新豐6線</t>
    <phoneticPr fontId="4" type="noConversion"/>
  </si>
  <si>
    <t>平均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</si>
  <si>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</si>
  <si>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</si>
  <si>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</si>
  <si>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新豐8線</t>
    <phoneticPr fontId="4" type="noConversion"/>
  </si>
  <si>
    <t>新豐1線</t>
    <phoneticPr fontId="4" type="noConversion"/>
  </si>
  <si>
    <t>二配鮭魚蛋炒飯</t>
  </si>
  <si>
    <t>新豐10線</t>
    <phoneticPr fontId="4" type="noConversion"/>
  </si>
  <si>
    <t>新豐4線</t>
    <phoneticPr fontId="4" type="noConversion"/>
  </si>
  <si>
    <t>平均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</si>
  <si>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</si>
  <si>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</si>
  <si>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</si>
  <si>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</si>
  <si>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</si>
  <si>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</si>
  <si>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</si>
  <si>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</si>
  <si>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</si>
  <si>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</si>
  <si>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</si>
  <si>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</si>
  <si>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</si>
  <si>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</si>
  <si>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</si>
  <si>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</si>
  <si>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</si>
  <si>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</si>
  <si>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</si>
  <si>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</si>
  <si>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</si>
  <si>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</si>
  <si>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</si>
  <si>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</si>
  <si>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</si>
  <si>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</si>
  <si>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</si>
  <si>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</si>
  <si>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</si>
  <si>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</si>
  <si>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</si>
  <si>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</si>
  <si>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</si>
  <si>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</si>
  <si>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</si>
  <si>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</si>
  <si>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</si>
  <si>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</si>
  <si>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</si>
  <si>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</si>
  <si>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</si>
  <si>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</si>
  <si>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</si>
  <si>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</si>
  <si>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多次生產數</t>
    <phoneticPr fontId="4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</si>
  <si>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</si>
  <si>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</si>
  <si>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</si>
  <si>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</si>
  <si>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</si>
  <si>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</si>
  <si>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</si>
  <si>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</si>
  <si>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</si>
  <si>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</si>
  <si>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</si>
  <si>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</si>
  <si>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</si>
  <si>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</si>
  <si>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</si>
  <si>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</si>
  <si>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</si>
  <si>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</si>
  <si>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</si>
  <si>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</si>
  <si>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</si>
  <si>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</si>
  <si>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</si>
  <si>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</si>
  <si>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</si>
  <si>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</si>
  <si>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</si>
  <si>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</si>
  <si>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</si>
  <si>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</si>
  <si>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</si>
  <si>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</si>
  <si>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平均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</si>
  <si>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</si>
  <si>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</si>
  <si>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</si>
  <si>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</si>
  <si>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</si>
  <si>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</si>
  <si>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</si>
  <si>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</si>
  <si>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</si>
  <si>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</si>
  <si>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</si>
  <si>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</si>
  <si>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</si>
  <si>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</si>
  <si>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</si>
  <si>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</si>
  <si>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</si>
  <si>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</si>
  <si>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</si>
  <si>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</si>
  <si>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</si>
  <si>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</si>
  <si>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</si>
  <si>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</si>
  <si>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</si>
  <si>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</si>
  <si>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</si>
  <si>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</si>
  <si>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</si>
  <si>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</si>
  <si>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</si>
  <si>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</si>
  <si>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</si>
  <si>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</si>
  <si>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</si>
  <si>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</si>
  <si>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</si>
  <si>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</si>
  <si>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</si>
  <si>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</si>
  <si>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</si>
  <si>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</si>
  <si>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</si>
  <si>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</si>
  <si>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</si>
  <si>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</si>
  <si>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</si>
  <si>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</si>
  <si>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分析說明</t>
    <phoneticPr fontId="4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</si>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</sst>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-* #,##0.00_-;\-* #,##0.00_-;_-* &quot;-&quot;??_-;_-@_-"/>
    <numFmt numFmtId="176" formatCode="m&quot;月&quot;d&quot;日&quot;;@"/>
    <numFmt numFmtId="177" formatCode="0.0"/>
    <numFmt numFmtId="178" formatCode="0_ "/>
    <numFmt numFmtId="179" formatCode="0.0_ "/>
    <numFmt numFmtId="180" formatCode="0.0%"/>
    <numFmt numFmtId="181" formatCode="h:mm;@"/>
    <numFmt numFmtId="182" formatCode="_-* #,##0_-;\-* #,##0_-;_-* &quot;-&quot;??_-;_-@_-"/>
    <numFmt numFmtId="183" formatCode="0,000&quot;元&quot;"/>
  </numFmts>
  <fonts count="22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4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6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9"/>
      <name val="新細明體"/>
      <family val="1"/>
      <charset val="136"/>
    </font>
    <font>
      <sz val="18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11"/>
      <color theme="1"/>
      <name val="新細明體"/>
      <family val="2"/>
      <charset val="128"/>
      <scheme val="minor"/>
    </font>
    <font>
      <sz val="11"/>
      <color theme="1"/>
      <name val="新細明體"/>
      <family val="2"/>
      <scheme val="minor"/>
    </font>
    <font>
      <b/>
      <sz val="26"/>
      <color theme="1"/>
      <name val="微軟正黑體"/>
      <family val="2"/>
      <charset val="136"/>
    </font>
    <font>
      <b/>
      <sz val="26"/>
      <color rgb="FFFF0000"/>
      <name val="微軟正黑體"/>
      <family val="2"/>
      <charset val="136"/>
    </font>
    <font>
      <b/>
      <sz val="14"/>
      <color theme="0"/>
      <name val="微軟正黑體"/>
      <family val="2"/>
      <charset val="136"/>
    </font>
    <font>
      <sz val="16"/>
      <color theme="1"/>
      <name val="Meiryo UI"/>
      <family val="2"/>
      <charset val="128"/>
    </font>
    <font>
      <b/>
      <sz val="18"/>
      <color theme="1"/>
      <name val="微軟正黑體"/>
      <family val="2"/>
      <charset val="136"/>
    </font>
    <font>
      <sz val="12"/>
      <color theme="0" tint="-0.499984740745262"/>
      <name val="微軟正黑體"/>
      <family val="2"/>
      <charset val="136"/>
    </font>
    <font>
      <sz val="14"/>
      <color theme="5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</fonts>
  <fills count="1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6D1A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9">
    <xf numFmtId="0" fontId="0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9" fontId="1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612">
    <xf numFmtId="0" fontId="0" fillId="0" borderId="0" xfId="0">
      <alignment vertical="center"/>
    </xf>
    <xf numFmtId="0" fontId="13" fillId="0" borderId="0" xfId="4" applyFont="1" applyAlignment="1">
      <alignment vertical="center"/>
    </xf>
    <xf numFmtId="0" fontId="6" fillId="0" borderId="0" xfId="4" applyFont="1">
      <alignment vertical="center"/>
    </xf>
    <xf numFmtId="0" fontId="13" fillId="0" borderId="0" xfId="4" applyFont="1" applyBorder="1" applyAlignment="1">
      <alignment vertical="center"/>
    </xf>
    <xf numFmtId="0" fontId="5" fillId="0" borderId="1" xfId="5" applyFont="1" applyBorder="1" applyAlignment="1">
      <alignment horizontal="center" vertical="center"/>
    </xf>
    <xf numFmtId="0" fontId="6" fillId="0" borderId="10" xfId="5" applyFont="1" applyBorder="1">
      <alignment vertical="center"/>
    </xf>
    <xf numFmtId="0" fontId="6" fillId="0" borderId="0" xfId="5" applyFont="1" applyBorder="1">
      <alignment vertical="center"/>
    </xf>
    <xf numFmtId="0" fontId="6" fillId="0" borderId="0" xfId="5" applyFont="1">
      <alignment vertical="center"/>
    </xf>
    <xf numFmtId="0" fontId="18" fillId="0" borderId="0" xfId="5" applyFont="1" applyBorder="1" applyAlignment="1">
      <alignment vertical="center"/>
    </xf>
    <xf numFmtId="0" fontId="6" fillId="0" borderId="0" xfId="4" applyFont="1" applyAlignment="1">
      <alignment horizontal="center" vertical="center"/>
    </xf>
    <xf numFmtId="0" fontId="19" fillId="0" borderId="0" xfId="5" applyFont="1" applyBorder="1" applyAlignment="1">
      <alignment vertical="center"/>
    </xf>
    <xf numFmtId="0" fontId="2" fillId="0" borderId="0" xfId="5" applyFont="1">
      <alignment vertical="center"/>
    </xf>
    <xf numFmtId="0" fontId="6" fillId="0" borderId="16" xfId="4" applyFont="1" applyBorder="1" applyAlignment="1">
      <alignment horizontal="center" vertical="center"/>
    </xf>
    <xf numFmtId="0" fontId="6" fillId="0" borderId="17" xfId="4" applyFont="1" applyBorder="1" applyAlignment="1">
      <alignment horizontal="center" vertical="center"/>
    </xf>
    <xf numFmtId="0" fontId="6" fillId="0" borderId="18" xfId="4" applyFont="1" applyBorder="1" applyAlignment="1">
      <alignment horizontal="center" vertical="center"/>
    </xf>
    <xf numFmtId="0" fontId="9" fillId="0" borderId="21" xfId="4" applyFont="1" applyBorder="1" applyAlignment="1">
      <alignment horizontal="center" vertical="center" wrapText="1"/>
    </xf>
    <xf numFmtId="0" fontId="9" fillId="0" borderId="22" xfId="4" applyFont="1" applyBorder="1" applyAlignment="1">
      <alignment horizontal="center" vertical="center" wrapText="1"/>
    </xf>
    <xf numFmtId="0" fontId="9" fillId="0" borderId="23" xfId="4" applyFont="1" applyBorder="1" applyAlignment="1">
      <alignment horizontal="center" vertical="center" wrapText="1"/>
    </xf>
    <xf numFmtId="0" fontId="6" fillId="0" borderId="25" xfId="5" applyFont="1" applyBorder="1" applyAlignment="1">
      <alignment horizontal="center" vertical="center" wrapText="1"/>
    </xf>
    <xf numFmtId="177" fontId="6" fillId="0" borderId="26" xfId="4" applyNumberFormat="1" applyFont="1" applyFill="1" applyBorder="1" applyAlignment="1">
      <alignment horizontal="center" vertical="center" wrapText="1"/>
    </xf>
    <xf numFmtId="177" fontId="6" fillId="0" borderId="27" xfId="4" applyNumberFormat="1" applyFont="1" applyFill="1" applyBorder="1" applyAlignment="1">
      <alignment horizontal="center" vertical="center" wrapText="1"/>
    </xf>
    <xf numFmtId="177" fontId="6" fillId="0" borderId="22" xfId="4" applyNumberFormat="1" applyFont="1" applyFill="1" applyBorder="1" applyAlignment="1">
      <alignment horizontal="center" vertical="center" wrapText="1"/>
    </xf>
    <xf numFmtId="177" fontId="6" fillId="0" borderId="23" xfId="4" applyNumberFormat="1" applyFont="1" applyFill="1" applyBorder="1" applyAlignment="1">
      <alignment horizontal="center" vertical="center" wrapText="1"/>
    </xf>
    <xf numFmtId="177" fontId="6" fillId="0" borderId="28" xfId="4" applyNumberFormat="1" applyFont="1" applyFill="1" applyBorder="1" applyAlignment="1">
      <alignment horizontal="center" vertical="center" wrapText="1"/>
    </xf>
    <xf numFmtId="177" fontId="6" fillId="0" borderId="29" xfId="4" applyNumberFormat="1" applyFont="1" applyFill="1" applyBorder="1" applyAlignment="1">
      <alignment horizontal="center" vertical="center" wrapText="1"/>
    </xf>
    <xf numFmtId="0" fontId="21" fillId="0" borderId="25" xfId="5" applyFont="1" applyBorder="1" applyAlignment="1">
      <alignment horizontal="center" vertical="center" wrapText="1"/>
    </xf>
    <xf numFmtId="177" fontId="21" fillId="0" borderId="21" xfId="4" applyNumberFormat="1" applyFont="1" applyFill="1" applyBorder="1" applyAlignment="1">
      <alignment horizontal="center" vertical="center"/>
    </xf>
    <xf numFmtId="177" fontId="21" fillId="0" borderId="22" xfId="4" applyNumberFormat="1" applyFont="1" applyFill="1" applyBorder="1" applyAlignment="1">
      <alignment horizontal="center" vertical="center"/>
    </xf>
    <xf numFmtId="177" fontId="21" fillId="0" borderId="23" xfId="4" applyNumberFormat="1" applyFont="1" applyFill="1" applyBorder="1" applyAlignment="1">
      <alignment horizontal="center" vertical="center"/>
    </xf>
    <xf numFmtId="177" fontId="21" fillId="0" borderId="28" xfId="4" applyNumberFormat="1" applyFont="1" applyFill="1" applyBorder="1" applyAlignment="1">
      <alignment horizontal="center" vertical="center"/>
    </xf>
    <xf numFmtId="177" fontId="21" fillId="0" borderId="29" xfId="4" applyNumberFormat="1" applyFont="1" applyFill="1" applyBorder="1" applyAlignment="1">
      <alignment horizontal="center" vertical="center"/>
    </xf>
    <xf numFmtId="0" fontId="21" fillId="0" borderId="25" xfId="5" applyFont="1" applyBorder="1" applyAlignment="1">
      <alignment horizontal="center" vertical="center"/>
    </xf>
    <xf numFmtId="180" fontId="21" fillId="0" borderId="21" xfId="3" applyNumberFormat="1" applyFont="1" applyFill="1" applyBorder="1" applyAlignment="1">
      <alignment horizontal="center" vertical="center"/>
    </xf>
    <xf numFmtId="180" fontId="21" fillId="0" borderId="22" xfId="3" applyNumberFormat="1" applyFont="1" applyFill="1" applyBorder="1" applyAlignment="1">
      <alignment horizontal="center" vertical="center"/>
    </xf>
    <xf numFmtId="180" fontId="21" fillId="0" borderId="23" xfId="3" applyNumberFormat="1" applyFont="1" applyFill="1" applyBorder="1" applyAlignment="1">
      <alignment horizontal="center" vertical="center"/>
    </xf>
    <xf numFmtId="0" fontId="6" fillId="0" borderId="25" xfId="5" applyFont="1" applyBorder="1" applyAlignment="1">
      <alignment horizontal="center" vertical="center"/>
    </xf>
    <xf numFmtId="181" fontId="6" fillId="0" borderId="32" xfId="7" applyNumberFormat="1" applyFont="1" applyFill="1" applyBorder="1" applyAlignment="1">
      <alignment horizontal="center" vertical="center"/>
    </xf>
    <xf numFmtId="181" fontId="6" fillId="0" borderId="1" xfId="7" applyNumberFormat="1" applyFont="1" applyFill="1" applyBorder="1" applyAlignment="1">
      <alignment horizontal="center" vertical="center"/>
    </xf>
    <xf numFmtId="181" fontId="6" fillId="0" borderId="25" xfId="7" applyNumberFormat="1" applyFont="1" applyFill="1" applyBorder="1" applyAlignment="1">
      <alignment horizontal="center" vertical="center"/>
    </xf>
    <xf numFmtId="1" fontId="6" fillId="0" borderId="35" xfId="4" applyNumberFormat="1" applyFont="1" applyFill="1" applyBorder="1" applyAlignment="1">
      <alignment horizontal="center" vertical="center"/>
    </xf>
    <xf numFmtId="1" fontId="6" fillId="0" borderId="36" xfId="4" applyNumberFormat="1" applyFont="1" applyFill="1" applyBorder="1" applyAlignment="1">
      <alignment horizontal="center" vertical="center"/>
    </xf>
    <xf numFmtId="1" fontId="6" fillId="0" borderId="37" xfId="4" applyNumberFormat="1" applyFont="1" applyFill="1" applyBorder="1" applyAlignment="1">
      <alignment horizontal="center" vertical="center"/>
    </xf>
    <xf numFmtId="0" fontId="9" fillId="0" borderId="32" xfId="4" applyFont="1" applyBorder="1" applyAlignment="1">
      <alignment horizontal="center" vertical="center"/>
    </xf>
    <xf numFmtId="0" fontId="9" fillId="0" borderId="1" xfId="4" applyFont="1" applyBorder="1" applyAlignment="1">
      <alignment horizontal="center" vertical="center"/>
    </xf>
    <xf numFmtId="0" fontId="9" fillId="0" borderId="25" xfId="4" applyFont="1" applyBorder="1" applyAlignment="1">
      <alignment horizontal="center" vertical="center"/>
    </xf>
    <xf numFmtId="0" fontId="6" fillId="0" borderId="40" xfId="4" applyFont="1" applyBorder="1">
      <alignment vertical="center"/>
    </xf>
    <xf numFmtId="0" fontId="6" fillId="0" borderId="41" xfId="4" applyFont="1" applyBorder="1" applyAlignment="1">
      <alignment horizontal="center" vertical="center"/>
    </xf>
    <xf numFmtId="0" fontId="6" fillId="0" borderId="44" xfId="4" applyFont="1" applyBorder="1" applyAlignment="1">
      <alignment horizontal="center" vertical="center"/>
    </xf>
    <xf numFmtId="0" fontId="6" fillId="0" borderId="40" xfId="4" applyFont="1" applyBorder="1" applyAlignment="1">
      <alignment horizontal="center" vertical="center"/>
    </xf>
    <xf numFmtId="181" fontId="6" fillId="0" borderId="32" xfId="5" applyNumberFormat="1" applyFont="1" applyFill="1" applyBorder="1" applyAlignment="1">
      <alignment horizontal="center" vertical="center"/>
    </xf>
    <xf numFmtId="181" fontId="6" fillId="0" borderId="1" xfId="5" applyNumberFormat="1" applyFont="1" applyFill="1" applyBorder="1" applyAlignment="1">
      <alignment horizontal="center" vertical="center"/>
    </xf>
    <xf numFmtId="181" fontId="6" fillId="0" borderId="25" xfId="5" applyNumberFormat="1" applyFont="1" applyFill="1" applyBorder="1" applyAlignment="1">
      <alignment horizontal="center" vertical="center"/>
    </xf>
    <xf numFmtId="0" fontId="2" fillId="0" borderId="1" xfId="8" applyFont="1" applyBorder="1">
      <alignment vertical="center"/>
    </xf>
    <xf numFmtId="1" fontId="2" fillId="0" borderId="1" xfId="8" applyNumberFormat="1" applyFont="1" applyBorder="1" applyAlignment="1">
      <alignment horizontal="center" vertical="center"/>
    </xf>
    <xf numFmtId="0" fontId="6" fillId="0" borderId="0" xfId="8" applyFont="1">
      <alignment vertical="center"/>
    </xf>
    <xf numFmtId="176" fontId="2" fillId="0" borderId="2" xfId="8" applyNumberFormat="1" applyFont="1" applyFill="1" applyBorder="1" applyAlignment="1">
      <alignment horizontal="left" vertical="center"/>
    </xf>
    <xf numFmtId="176" fontId="2" fillId="0" borderId="3" xfId="8" applyNumberFormat="1" applyFont="1" applyFill="1" applyBorder="1">
      <alignment vertical="center"/>
    </xf>
    <xf numFmtId="0" fontId="6" fillId="0" borderId="1" xfId="8" applyFont="1" applyFill="1" applyBorder="1" applyAlignment="1">
      <alignment horizontal="center"/>
    </xf>
    <xf numFmtId="1" fontId="6" fillId="0" borderId="1" xfId="8" applyNumberFormat="1" applyFont="1" applyFill="1" applyBorder="1" applyAlignment="1">
      <alignment horizontal="center" vertical="center"/>
    </xf>
    <xf numFmtId="177" fontId="6" fillId="0" borderId="1" xfId="8" applyNumberFormat="1" applyFont="1" applyBorder="1" applyAlignment="1">
      <alignment horizontal="center" vertical="center"/>
    </xf>
    <xf numFmtId="1" fontId="6" fillId="0" borderId="1" xfId="8" applyNumberFormat="1" applyFont="1" applyBorder="1" applyAlignment="1">
      <alignment horizontal="center" vertical="center"/>
    </xf>
    <xf numFmtId="178" fontId="6" fillId="0" borderId="1" xfId="8" applyNumberFormat="1" applyFont="1" applyBorder="1" applyAlignment="1">
      <alignment horizontal="center" vertical="center"/>
    </xf>
    <xf numFmtId="179" fontId="6" fillId="0" borderId="1" xfId="8" applyNumberFormat="1" applyFont="1" applyBorder="1" applyAlignment="1">
      <alignment horizontal="center" vertical="center"/>
    </xf>
    <xf numFmtId="181" fontId="6" fillId="0" borderId="1" xfId="8" applyNumberFormat="1" applyFont="1" applyFill="1" applyBorder="1" applyAlignment="1">
      <alignment horizontal="center" vertical="center"/>
    </xf>
    <xf numFmtId="20" fontId="6" fillId="0" borderId="1" xfId="8" applyNumberFormat="1" applyFont="1" applyBorder="1" applyAlignment="1">
      <alignment horizontal="center" vertical="center"/>
    </xf>
    <xf numFmtId="0" fontId="6" fillId="0" borderId="1" xfId="8" applyFont="1" applyBorder="1">
      <alignment vertical="center"/>
    </xf>
    <xf numFmtId="177" fontId="6" fillId="0" borderId="1" xfId="8" applyNumberFormat="1" applyFont="1" applyFill="1" applyBorder="1" applyAlignment="1">
      <alignment horizontal="center" vertical="center"/>
    </xf>
    <xf numFmtId="1" fontId="6" fillId="2" borderId="1" xfId="8" applyNumberFormat="1" applyFont="1" applyFill="1" applyBorder="1" applyAlignment="1">
      <alignment horizontal="center" vertical="center"/>
    </xf>
    <xf numFmtId="181" fontId="6" fillId="0" borderId="1" xfId="8" applyNumberFormat="1" applyFont="1" applyBorder="1" applyAlignment="1">
      <alignment horizontal="center" vertical="center"/>
    </xf>
    <xf numFmtId="3" fontId="6" fillId="0" borderId="1" xfId="8" applyNumberFormat="1" applyFont="1" applyFill="1" applyBorder="1" applyAlignment="1">
      <alignment horizontal="center" vertical="center"/>
    </xf>
    <xf numFmtId="181" fontId="6" fillId="0" borderId="1" xfId="8" applyNumberFormat="1" applyFont="1" applyFill="1" applyBorder="1" applyAlignment="1">
      <alignment horizontal="left" vertical="center"/>
    </xf>
    <xf numFmtId="0" fontId="6" fillId="0" borderId="0" xfId="8" applyFont="1" applyAlignment="1">
      <alignment vertical="center" wrapText="1"/>
    </xf>
    <xf numFmtId="0" fontId="6" fillId="0" borderId="1" xfId="8" applyFont="1" applyFill="1" applyBorder="1" applyAlignment="1">
      <alignment horizontal="center" vertical="center" wrapText="1"/>
    </xf>
    <xf numFmtId="0" fontId="6" fillId="0" borderId="0" xfId="8" applyFont="1" applyFill="1">
      <alignment vertical="center"/>
    </xf>
    <xf numFmtId="0" fontId="2" fillId="0" borderId="1" xfId="8" applyFont="1" applyFill="1" applyBorder="1">
      <alignment vertical="center"/>
    </xf>
    <xf numFmtId="0" fontId="2" fillId="0" borderId="1" xfId="8" applyFont="1" applyFill="1" applyBorder="1" applyAlignment="1">
      <alignment horizontal="left" vertical="center"/>
    </xf>
    <xf numFmtId="0" fontId="5" fillId="0" borderId="1" xfId="8" applyFont="1" applyFill="1" applyBorder="1" applyAlignment="1">
      <alignment horizontal="center" vertical="center"/>
    </xf>
    <xf numFmtId="177" fontId="2" fillId="0" borderId="1" xfId="8" applyNumberFormat="1" applyFont="1" applyFill="1" applyBorder="1" applyAlignment="1">
      <alignment horizontal="center" vertical="center"/>
    </xf>
    <xf numFmtId="177" fontId="9" fillId="0" borderId="1" xfId="8" applyNumberFormat="1" applyFont="1" applyFill="1" applyBorder="1" applyAlignment="1">
      <alignment horizontal="center" vertical="center"/>
    </xf>
    <xf numFmtId="2" fontId="2" fillId="0" borderId="1" xfId="8" applyNumberFormat="1" applyFont="1" applyFill="1" applyBorder="1">
      <alignment vertical="center"/>
    </xf>
    <xf numFmtId="0" fontId="9" fillId="0" borderId="0" xfId="8" applyFont="1" applyFill="1">
      <alignment vertical="center"/>
    </xf>
    <xf numFmtId="0" fontId="6" fillId="0" borderId="3" xfId="8" applyFont="1" applyFill="1" applyBorder="1" applyAlignment="1"/>
    <xf numFmtId="0" fontId="6" fillId="0" borderId="1" xfId="8" applyFont="1" applyBorder="1" applyAlignment="1">
      <alignment horizontal="center" vertical="center"/>
    </xf>
    <xf numFmtId="0" fontId="6" fillId="0" borderId="2" xfId="8" applyFont="1" applyBorder="1" applyAlignment="1">
      <alignment horizontal="center" vertical="center"/>
    </xf>
    <xf numFmtId="0" fontId="6" fillId="0" borderId="3" xfId="8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1" xfId="8" applyFont="1" applyFill="1" applyBorder="1" applyAlignment="1"/>
    <xf numFmtId="0" fontId="6" fillId="0" borderId="2" xfId="8" applyFont="1" applyFill="1" applyBorder="1" applyAlignment="1">
      <alignment horizontal="left" vertical="center"/>
    </xf>
    <xf numFmtId="0" fontId="6" fillId="0" borderId="3" xfId="8" applyFont="1" applyFill="1" applyBorder="1" applyAlignment="1">
      <alignment horizontal="left" vertical="center"/>
    </xf>
    <xf numFmtId="0" fontId="6" fillId="2" borderId="1" xfId="8" applyFont="1" applyFill="1" applyBorder="1" applyAlignment="1">
      <alignment horizontal="center" vertical="center"/>
    </xf>
    <xf numFmtId="0" fontId="6" fillId="0" borderId="1" xfId="8" applyFont="1" applyBorder="1" applyAlignment="1">
      <alignment horizontal="center" vertical="center" wrapText="1"/>
    </xf>
    <xf numFmtId="0" fontId="6" fillId="0" borderId="1" xfId="8" applyFont="1" applyFill="1" applyBorder="1" applyAlignment="1">
      <alignment horizontal="center" vertical="center"/>
    </xf>
    <xf numFmtId="0" fontId="2" fillId="0" borderId="1" xfId="8" applyFont="1" applyBorder="1" applyAlignment="1">
      <alignment horizontal="center" vertical="center"/>
    </xf>
    <xf numFmtId="0" fontId="2" fillId="0" borderId="1" xfId="8" applyFont="1" applyBorder="1" applyAlignment="1">
      <alignment horizontal="center" vertical="center"/>
    </xf>
    <xf numFmtId="0" fontId="6" fillId="0" borderId="1" xfId="8" applyFont="1" applyBorder="1" applyAlignment="1">
      <alignment horizontal="center" vertical="center"/>
    </xf>
    <xf numFmtId="0" fontId="6" fillId="0" borderId="1" xfId="8" applyFont="1" applyFill="1" applyBorder="1" applyAlignment="1">
      <alignment horizontal="center" vertical="center"/>
    </xf>
    <xf numFmtId="0" fontId="6" fillId="2" borderId="1" xfId="8" applyFont="1" applyFill="1" applyBorder="1" applyAlignment="1">
      <alignment horizontal="center" vertical="center"/>
    </xf>
    <xf numFmtId="0" fontId="6" fillId="0" borderId="1" xfId="8" applyFont="1" applyBorder="1" applyAlignment="1">
      <alignment horizontal="center" vertical="center" wrapText="1"/>
    </xf>
    <xf numFmtId="0" fontId="6" fillId="0" borderId="2" xfId="8" applyFont="1" applyBorder="1" applyAlignment="1">
      <alignment horizontal="center" vertical="center"/>
    </xf>
    <xf numFmtId="0" fontId="6" fillId="0" borderId="3" xfId="8" applyFont="1" applyBorder="1" applyAlignment="1">
      <alignment horizontal="center" vertical="center"/>
    </xf>
    <xf numFmtId="0" fontId="6" fillId="0" borderId="1" xfId="8" applyFont="1" applyFill="1" applyBorder="1" applyAlignment="1"/>
    <xf numFmtId="180" fontId="6" fillId="0" borderId="1" xfId="3" applyNumberFormat="1" applyFont="1" applyBorder="1" applyAlignment="1">
      <alignment horizontal="center" vertical="center"/>
    </xf>
    <xf numFmtId="0" fontId="6" fillId="0" borderId="2" xfId="8" applyFont="1" applyFill="1" applyBorder="1" applyAlignment="1">
      <alignment horizontal="left" vertical="center"/>
    </xf>
    <xf numFmtId="0" fontId="6" fillId="0" borderId="3" xfId="8" applyFont="1" applyFill="1" applyBorder="1" applyAlignment="1">
      <alignment horizontal="left" vertical="center"/>
    </xf>
    <xf numFmtId="0" fontId="6" fillId="0" borderId="3" xfId="8" applyFont="1" applyFill="1" applyBorder="1" applyAlignment="1"/>
    <xf numFmtId="0" fontId="6" fillId="0" borderId="2" xfId="8" applyFont="1" applyBorder="1" applyAlignment="1">
      <alignment horizontal="center" vertical="center"/>
    </xf>
    <xf numFmtId="0" fontId="6" fillId="0" borderId="3" xfId="8" applyFont="1" applyBorder="1" applyAlignment="1">
      <alignment horizontal="center" vertical="center"/>
    </xf>
    <xf numFmtId="0" fontId="6" fillId="0" borderId="3" xfId="8" applyFont="1" applyFill="1" applyBorder="1" applyAlignment="1"/>
    <xf numFmtId="0" fontId="6" fillId="0" borderId="1" xfId="8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1" xfId="8" applyFont="1" applyFill="1" applyBorder="1" applyAlignment="1"/>
    <xf numFmtId="0" fontId="6" fillId="0" borderId="2" xfId="8" applyFont="1" applyFill="1" applyBorder="1" applyAlignment="1">
      <alignment horizontal="left" vertical="center"/>
    </xf>
    <xf numFmtId="0" fontId="6" fillId="0" borderId="3" xfId="8" applyFont="1" applyFill="1" applyBorder="1" applyAlignment="1">
      <alignment horizontal="left" vertical="center"/>
    </xf>
    <xf numFmtId="0" fontId="6" fillId="2" borderId="1" xfId="8" applyFont="1" applyFill="1" applyBorder="1" applyAlignment="1">
      <alignment horizontal="center" vertical="center"/>
    </xf>
    <xf numFmtId="0" fontId="6" fillId="0" borderId="1" xfId="8" applyFont="1" applyBorder="1" applyAlignment="1">
      <alignment horizontal="center" vertical="center" wrapText="1"/>
    </xf>
    <xf numFmtId="0" fontId="6" fillId="0" borderId="1" xfId="8" applyFont="1" applyFill="1" applyBorder="1" applyAlignment="1">
      <alignment horizontal="center" vertical="center"/>
    </xf>
    <xf numFmtId="0" fontId="2" fillId="0" borderId="1" xfId="8" applyFont="1" applyBorder="1" applyAlignment="1">
      <alignment horizontal="center" vertical="center"/>
    </xf>
    <xf numFmtId="0" fontId="2" fillId="0" borderId="1" xfId="8" applyFont="1" applyBorder="1" applyAlignment="1">
      <alignment horizontal="left" vertical="center"/>
    </xf>
    <xf numFmtId="0" fontId="5" fillId="13" borderId="1" xfId="8" applyFont="1" applyFill="1" applyBorder="1" applyAlignment="1">
      <alignment horizontal="center" vertical="center"/>
    </xf>
    <xf numFmtId="177" fontId="2" fillId="0" borderId="1" xfId="8" applyNumberFormat="1" applyFont="1" applyBorder="1" applyAlignment="1">
      <alignment horizontal="center" vertical="center"/>
    </xf>
    <xf numFmtId="177" fontId="9" fillId="0" borderId="1" xfId="8" applyNumberFormat="1" applyFont="1" applyBorder="1" applyAlignment="1">
      <alignment horizontal="center" vertical="center"/>
    </xf>
    <xf numFmtId="2" fontId="2" fillId="0" borderId="1" xfId="8" applyNumberFormat="1" applyFont="1" applyBorder="1">
      <alignment vertical="center"/>
    </xf>
    <xf numFmtId="0" fontId="9" fillId="0" borderId="0" xfId="8" applyFont="1">
      <alignment vertical="center"/>
    </xf>
    <xf numFmtId="0" fontId="6" fillId="0" borderId="2" xfId="8" applyFont="1" applyBorder="1" applyAlignment="1">
      <alignment horizontal="center" vertical="center"/>
    </xf>
    <xf numFmtId="0" fontId="6" fillId="0" borderId="3" xfId="8" applyFont="1" applyBorder="1" applyAlignment="1">
      <alignment horizontal="center" vertical="center"/>
    </xf>
    <xf numFmtId="0" fontId="6" fillId="0" borderId="3" xfId="8" applyFont="1" applyFill="1" applyBorder="1" applyAlignment="1"/>
    <xf numFmtId="0" fontId="6" fillId="0" borderId="1" xfId="8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1" xfId="8" applyFont="1" applyFill="1" applyBorder="1" applyAlignment="1"/>
    <xf numFmtId="0" fontId="6" fillId="0" borderId="2" xfId="8" applyFont="1" applyFill="1" applyBorder="1" applyAlignment="1">
      <alignment horizontal="left" vertical="center"/>
    </xf>
    <xf numFmtId="0" fontId="6" fillId="0" borderId="3" xfId="8" applyFont="1" applyFill="1" applyBorder="1" applyAlignment="1">
      <alignment horizontal="left" vertical="center"/>
    </xf>
    <xf numFmtId="0" fontId="6" fillId="2" borderId="1" xfId="8" applyFont="1" applyFill="1" applyBorder="1" applyAlignment="1">
      <alignment horizontal="center" vertical="center"/>
    </xf>
    <xf numFmtId="0" fontId="6" fillId="0" borderId="1" xfId="8" applyFont="1" applyBorder="1" applyAlignment="1">
      <alignment horizontal="center" vertical="center" wrapText="1"/>
    </xf>
    <xf numFmtId="0" fontId="2" fillId="0" borderId="1" xfId="8" applyFont="1" applyBorder="1" applyAlignment="1">
      <alignment horizontal="center" vertical="center"/>
    </xf>
    <xf numFmtId="0" fontId="6" fillId="0" borderId="1" xfId="8" applyFont="1" applyFill="1" applyBorder="1" applyAlignment="1">
      <alignment horizontal="center" vertical="center"/>
    </xf>
    <xf numFmtId="0" fontId="6" fillId="0" borderId="2" xfId="8" applyFont="1" applyBorder="1" applyAlignment="1">
      <alignment horizontal="center" vertical="center"/>
    </xf>
    <xf numFmtId="0" fontId="6" fillId="0" borderId="3" xfId="8" applyFont="1" applyBorder="1" applyAlignment="1">
      <alignment horizontal="center" vertical="center"/>
    </xf>
    <xf numFmtId="0" fontId="6" fillId="0" borderId="3" xfId="8" applyFont="1" applyFill="1" applyBorder="1" applyAlignment="1"/>
    <xf numFmtId="0" fontId="6" fillId="0" borderId="1" xfId="8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1" xfId="8" applyFont="1" applyFill="1" applyBorder="1" applyAlignment="1"/>
    <xf numFmtId="0" fontId="6" fillId="0" borderId="2" xfId="8" applyFont="1" applyFill="1" applyBorder="1" applyAlignment="1">
      <alignment horizontal="left" vertical="center"/>
    </xf>
    <xf numFmtId="0" fontId="6" fillId="0" borderId="3" xfId="8" applyFont="1" applyFill="1" applyBorder="1" applyAlignment="1">
      <alignment horizontal="left" vertical="center"/>
    </xf>
    <xf numFmtId="0" fontId="6" fillId="2" borderId="1" xfId="8" applyFont="1" applyFill="1" applyBorder="1" applyAlignment="1">
      <alignment horizontal="center" vertical="center"/>
    </xf>
    <xf numFmtId="0" fontId="6" fillId="0" borderId="1" xfId="8" applyFont="1" applyBorder="1" applyAlignment="1">
      <alignment horizontal="center" vertical="center" wrapText="1"/>
    </xf>
    <xf numFmtId="0" fontId="2" fillId="0" borderId="1" xfId="8" applyFont="1" applyBorder="1" applyAlignment="1">
      <alignment horizontal="center" vertical="center"/>
    </xf>
    <xf numFmtId="0" fontId="6" fillId="0" borderId="1" xfId="8" applyFont="1" applyFill="1" applyBorder="1" applyAlignment="1">
      <alignment horizontal="center" vertical="center"/>
    </xf>
    <xf numFmtId="0" fontId="6" fillId="0" borderId="2" xfId="8" applyFont="1" applyBorder="1" applyAlignment="1">
      <alignment horizontal="center" vertical="center"/>
    </xf>
    <xf numFmtId="0" fontId="6" fillId="0" borderId="3" xfId="8" applyFont="1" applyBorder="1" applyAlignment="1">
      <alignment horizontal="center" vertical="center"/>
    </xf>
    <xf numFmtId="0" fontId="6" fillId="0" borderId="3" xfId="8" applyFont="1" applyFill="1" applyBorder="1" applyAlignment="1"/>
    <xf numFmtId="0" fontId="6" fillId="0" borderId="1" xfId="8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1" xfId="8" applyFont="1" applyFill="1" applyBorder="1" applyAlignment="1"/>
    <xf numFmtId="0" fontId="6" fillId="0" borderId="2" xfId="8" applyFont="1" applyFill="1" applyBorder="1" applyAlignment="1">
      <alignment horizontal="left" vertical="center"/>
    </xf>
    <xf numFmtId="0" fontId="6" fillId="0" borderId="3" xfId="8" applyFont="1" applyFill="1" applyBorder="1" applyAlignment="1">
      <alignment horizontal="left" vertical="center"/>
    </xf>
    <xf numFmtId="0" fontId="6" fillId="2" borderId="1" xfId="8" applyFont="1" applyFill="1" applyBorder="1" applyAlignment="1">
      <alignment horizontal="center" vertical="center"/>
    </xf>
    <xf numFmtId="0" fontId="6" fillId="0" borderId="1" xfId="8" applyFont="1" applyBorder="1" applyAlignment="1">
      <alignment horizontal="center" vertical="center" wrapText="1"/>
    </xf>
    <xf numFmtId="0" fontId="6" fillId="0" borderId="1" xfId="8" applyFont="1" applyFill="1" applyBorder="1" applyAlignment="1">
      <alignment horizontal="center" vertical="center"/>
    </xf>
    <xf numFmtId="0" fontId="6" fillId="0" borderId="3" xfId="8" applyFont="1" applyFill="1" applyBorder="1" applyAlignment="1"/>
    <xf numFmtId="0" fontId="6" fillId="0" borderId="1" xfId="8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1" xfId="8" applyFont="1" applyFill="1" applyBorder="1" applyAlignment="1"/>
    <xf numFmtId="0" fontId="6" fillId="0" borderId="2" xfId="8" applyFont="1" applyBorder="1" applyAlignment="1">
      <alignment horizontal="center" vertical="center"/>
    </xf>
    <xf numFmtId="0" fontId="6" fillId="0" borderId="3" xfId="8" applyFont="1" applyBorder="1" applyAlignment="1">
      <alignment horizontal="center" vertical="center"/>
    </xf>
    <xf numFmtId="0" fontId="6" fillId="0" borderId="2" xfId="8" applyFont="1" applyFill="1" applyBorder="1" applyAlignment="1">
      <alignment horizontal="left" vertical="center"/>
    </xf>
    <xf numFmtId="0" fontId="6" fillId="0" borderId="3" xfId="8" applyFont="1" applyFill="1" applyBorder="1" applyAlignment="1">
      <alignment horizontal="left" vertical="center"/>
    </xf>
    <xf numFmtId="0" fontId="6" fillId="2" borderId="1" xfId="8" applyFont="1" applyFill="1" applyBorder="1" applyAlignment="1">
      <alignment horizontal="center" vertical="center"/>
    </xf>
    <xf numFmtId="0" fontId="6" fillId="0" borderId="1" xfId="8" applyFont="1" applyBorder="1" applyAlignment="1">
      <alignment horizontal="center" vertical="center" wrapText="1"/>
    </xf>
    <xf numFmtId="0" fontId="6" fillId="0" borderId="1" xfId="8" applyFont="1" applyFill="1" applyBorder="1" applyAlignment="1">
      <alignment horizontal="center" vertical="center"/>
    </xf>
    <xf numFmtId="0" fontId="2" fillId="0" borderId="1" xfId="8" applyFont="1" applyBorder="1" applyAlignment="1">
      <alignment horizontal="center" vertical="center"/>
    </xf>
    <xf numFmtId="1" fontId="2" fillId="0" borderId="1" xfId="8" applyNumberFormat="1" applyFont="1" applyFill="1" applyBorder="1" applyAlignment="1">
      <alignment horizontal="center" vertical="center"/>
    </xf>
    <xf numFmtId="0" fontId="2" fillId="0" borderId="1" xfId="8" applyFont="1" applyFill="1" applyBorder="1" applyAlignment="1">
      <alignment horizontal="center" vertical="center"/>
    </xf>
    <xf numFmtId="0" fontId="6" fillId="0" borderId="1" xfId="8" applyFont="1" applyFill="1" applyBorder="1" applyAlignment="1">
      <alignment horizontal="center" vertical="center" wrapText="1"/>
    </xf>
    <xf numFmtId="0" fontId="6" fillId="0" borderId="3" xfId="8" applyFont="1" applyFill="1" applyBorder="1" applyAlignment="1"/>
    <xf numFmtId="0" fontId="6" fillId="0" borderId="1" xfId="8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1" xfId="8" applyFont="1" applyFill="1" applyBorder="1" applyAlignment="1"/>
    <xf numFmtId="0" fontId="6" fillId="0" borderId="2" xfId="8" applyFont="1" applyBorder="1" applyAlignment="1">
      <alignment horizontal="center" vertical="center"/>
    </xf>
    <xf numFmtId="0" fontId="6" fillId="0" borderId="3" xfId="8" applyFont="1" applyBorder="1" applyAlignment="1">
      <alignment horizontal="center" vertical="center"/>
    </xf>
    <xf numFmtId="0" fontId="6" fillId="0" borderId="2" xfId="8" applyFont="1" applyFill="1" applyBorder="1" applyAlignment="1">
      <alignment horizontal="left" vertical="center"/>
    </xf>
    <xf numFmtId="0" fontId="6" fillId="0" borderId="3" xfId="8" applyFont="1" applyFill="1" applyBorder="1" applyAlignment="1">
      <alignment horizontal="left" vertical="center"/>
    </xf>
    <xf numFmtId="0" fontId="6" fillId="2" borderId="1" xfId="8" applyFont="1" applyFill="1" applyBorder="1" applyAlignment="1">
      <alignment horizontal="center" vertical="center"/>
    </xf>
    <xf numFmtId="0" fontId="6" fillId="0" borderId="1" xfId="8" applyFont="1" applyBorder="1" applyAlignment="1">
      <alignment horizontal="center" vertical="center" wrapText="1"/>
    </xf>
    <xf numFmtId="0" fontId="6" fillId="0" borderId="1" xfId="8" applyFont="1" applyFill="1" applyBorder="1" applyAlignment="1">
      <alignment horizontal="center" vertical="center"/>
    </xf>
    <xf numFmtId="0" fontId="6" fillId="0" borderId="1" xfId="8" applyFont="1" applyFill="1" applyBorder="1" applyAlignment="1">
      <alignment horizontal="center" vertical="center" wrapText="1"/>
    </xf>
    <xf numFmtId="0" fontId="2" fillId="0" borderId="1" xfId="8" applyFont="1" applyBorder="1" applyAlignment="1">
      <alignment horizontal="center" vertical="center"/>
    </xf>
    <xf numFmtId="0" fontId="2" fillId="0" borderId="1" xfId="8" applyFont="1" applyBorder="1" applyAlignment="1">
      <alignment horizontal="center" vertical="center"/>
    </xf>
    <xf numFmtId="0" fontId="6" fillId="0" borderId="1" xfId="8" applyFont="1" applyBorder="1" applyAlignment="1">
      <alignment horizontal="center" vertical="center"/>
    </xf>
    <xf numFmtId="0" fontId="6" fillId="2" borderId="1" xfId="8" applyFont="1" applyFill="1" applyBorder="1" applyAlignment="1">
      <alignment horizontal="center" vertical="center"/>
    </xf>
    <xf numFmtId="0" fontId="6" fillId="0" borderId="1" xfId="8" applyFont="1" applyFill="1" applyBorder="1" applyAlignment="1">
      <alignment horizontal="center" vertical="center"/>
    </xf>
    <xf numFmtId="0" fontId="6" fillId="0" borderId="1" xfId="8" applyFont="1" applyBorder="1" applyAlignment="1">
      <alignment horizontal="center" vertical="center" wrapText="1"/>
    </xf>
    <xf numFmtId="0" fontId="6" fillId="0" borderId="2" xfId="8" applyFont="1" applyBorder="1" applyAlignment="1">
      <alignment horizontal="center" vertical="center"/>
    </xf>
    <xf numFmtId="0" fontId="6" fillId="0" borderId="3" xfId="8" applyFont="1" applyBorder="1" applyAlignment="1">
      <alignment horizontal="center" vertical="center"/>
    </xf>
    <xf numFmtId="0" fontId="6" fillId="0" borderId="1" xfId="8" applyFont="1" applyFill="1" applyBorder="1" applyAlignment="1"/>
    <xf numFmtId="180" fontId="6" fillId="0" borderId="1" xfId="3" applyNumberFormat="1" applyFont="1" applyBorder="1" applyAlignment="1">
      <alignment horizontal="center" vertical="center"/>
    </xf>
    <xf numFmtId="0" fontId="6" fillId="0" borderId="2" xfId="8" applyFont="1" applyFill="1" applyBorder="1" applyAlignment="1">
      <alignment horizontal="left" vertical="center"/>
    </xf>
    <xf numFmtId="0" fontId="6" fillId="0" borderId="3" xfId="8" applyFont="1" applyFill="1" applyBorder="1" applyAlignment="1">
      <alignment horizontal="left" vertical="center"/>
    </xf>
    <xf numFmtId="0" fontId="6" fillId="0" borderId="3" xfId="8" applyFont="1" applyFill="1" applyBorder="1" applyAlignment="1"/>
    <xf numFmtId="0" fontId="6" fillId="0" borderId="1" xfId="8" applyFont="1" applyFill="1" applyBorder="1" applyAlignment="1">
      <alignment horizontal="center" vertical="center" wrapText="1"/>
    </xf>
    <xf numFmtId="0" fontId="6" fillId="0" borderId="2" xfId="8" applyFont="1" applyBorder="1" applyAlignment="1">
      <alignment horizontal="center" vertical="center"/>
    </xf>
    <xf numFmtId="0" fontId="6" fillId="0" borderId="3" xfId="8" applyFont="1" applyBorder="1" applyAlignment="1">
      <alignment horizontal="center" vertical="center"/>
    </xf>
    <xf numFmtId="0" fontId="6" fillId="0" borderId="3" xfId="8" applyFont="1" applyFill="1" applyBorder="1" applyAlignment="1"/>
    <xf numFmtId="0" fontId="6" fillId="0" borderId="1" xfId="8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2" xfId="8" applyFont="1" applyFill="1" applyBorder="1" applyAlignment="1">
      <alignment horizontal="left" vertical="center"/>
    </xf>
    <xf numFmtId="0" fontId="6" fillId="0" borderId="3" xfId="8" applyFont="1" applyFill="1" applyBorder="1" applyAlignment="1">
      <alignment horizontal="left" vertical="center"/>
    </xf>
    <xf numFmtId="0" fontId="6" fillId="0" borderId="1" xfId="8" applyFont="1" applyFill="1" applyBorder="1" applyAlignment="1"/>
    <xf numFmtId="0" fontId="6" fillId="2" borderId="1" xfId="8" applyFont="1" applyFill="1" applyBorder="1" applyAlignment="1">
      <alignment horizontal="center" vertical="center"/>
    </xf>
    <xf numFmtId="0" fontId="6" fillId="0" borderId="1" xfId="8" applyFont="1" applyBorder="1" applyAlignment="1">
      <alignment horizontal="center" vertical="center" wrapText="1"/>
    </xf>
    <xf numFmtId="0" fontId="2" fillId="0" borderId="1" xfId="8" applyFont="1" applyBorder="1" applyAlignment="1">
      <alignment horizontal="center" vertical="center"/>
    </xf>
    <xf numFmtId="0" fontId="6" fillId="0" borderId="1" xfId="8" applyFont="1" applyFill="1" applyBorder="1" applyAlignment="1">
      <alignment horizontal="center" vertical="center"/>
    </xf>
    <xf numFmtId="0" fontId="6" fillId="0" borderId="1" xfId="8" applyFont="1" applyFill="1" applyBorder="1" applyAlignment="1">
      <alignment horizontal="center" vertical="center" wrapText="1"/>
    </xf>
    <xf numFmtId="0" fontId="6" fillId="0" borderId="2" xfId="8" applyFont="1" applyBorder="1" applyAlignment="1">
      <alignment horizontal="center" vertical="center"/>
    </xf>
    <xf numFmtId="0" fontId="6" fillId="0" borderId="3" xfId="8" applyFont="1" applyBorder="1" applyAlignment="1">
      <alignment horizontal="center" vertical="center"/>
    </xf>
    <xf numFmtId="0" fontId="6" fillId="0" borderId="3" xfId="8" applyFont="1" applyFill="1" applyBorder="1" applyAlignment="1"/>
    <xf numFmtId="0" fontId="6" fillId="0" borderId="1" xfId="8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2" xfId="8" applyFont="1" applyFill="1" applyBorder="1" applyAlignment="1">
      <alignment horizontal="left" vertical="center"/>
    </xf>
    <xf numFmtId="0" fontId="6" fillId="0" borderId="3" xfId="8" applyFont="1" applyFill="1" applyBorder="1" applyAlignment="1">
      <alignment horizontal="left" vertical="center"/>
    </xf>
    <xf numFmtId="0" fontId="6" fillId="0" borderId="1" xfId="8" applyFont="1" applyFill="1" applyBorder="1" applyAlignment="1"/>
    <xf numFmtId="0" fontId="6" fillId="2" borderId="1" xfId="8" applyFont="1" applyFill="1" applyBorder="1" applyAlignment="1">
      <alignment horizontal="center" vertical="center"/>
    </xf>
    <xf numFmtId="0" fontId="6" fillId="0" borderId="1" xfId="8" applyFont="1" applyBorder="1" applyAlignment="1">
      <alignment horizontal="center" vertical="center" wrapText="1"/>
    </xf>
    <xf numFmtId="0" fontId="2" fillId="0" borderId="1" xfId="8" applyFont="1" applyBorder="1" applyAlignment="1">
      <alignment horizontal="center" vertical="center"/>
    </xf>
    <xf numFmtId="0" fontId="6" fillId="0" borderId="1" xfId="8" applyFont="1" applyFill="1" applyBorder="1" applyAlignment="1">
      <alignment horizontal="center" vertical="center"/>
    </xf>
    <xf numFmtId="0" fontId="6" fillId="0" borderId="1" xfId="8" applyFont="1" applyFill="1" applyBorder="1" applyAlignment="1">
      <alignment horizontal="center" vertical="center" wrapText="1"/>
    </xf>
    <xf numFmtId="0" fontId="2" fillId="0" borderId="1" xfId="8" applyFont="1" applyBorder="1" applyAlignment="1">
      <alignment horizontal="center" vertical="center"/>
    </xf>
    <xf numFmtId="0" fontId="6" fillId="0" borderId="1" xfId="8" applyFont="1" applyBorder="1" applyAlignment="1">
      <alignment horizontal="center" vertical="center"/>
    </xf>
    <xf numFmtId="0" fontId="6" fillId="2" borderId="1" xfId="8" applyFont="1" applyFill="1" applyBorder="1" applyAlignment="1">
      <alignment horizontal="center" vertical="center"/>
    </xf>
    <xf numFmtId="0" fontId="6" fillId="0" borderId="1" xfId="8" applyFont="1" applyBorder="1" applyAlignment="1">
      <alignment horizontal="center" vertical="center" wrapText="1"/>
    </xf>
    <xf numFmtId="0" fontId="6" fillId="0" borderId="2" xfId="8" applyFont="1" applyBorder="1" applyAlignment="1">
      <alignment horizontal="center" vertical="center"/>
    </xf>
    <xf numFmtId="0" fontId="6" fillId="0" borderId="3" xfId="8" applyFont="1" applyBorder="1" applyAlignment="1">
      <alignment horizontal="center" vertical="center"/>
    </xf>
    <xf numFmtId="0" fontId="6" fillId="0" borderId="1" xfId="8" applyFont="1" applyFill="1" applyBorder="1" applyAlignment="1"/>
    <xf numFmtId="180" fontId="6" fillId="0" borderId="1" xfId="3" applyNumberFormat="1" applyFont="1" applyBorder="1" applyAlignment="1">
      <alignment horizontal="center" vertical="center"/>
    </xf>
    <xf numFmtId="0" fontId="6" fillId="0" borderId="2" xfId="8" applyFont="1" applyFill="1" applyBorder="1" applyAlignment="1">
      <alignment horizontal="left" vertical="center"/>
    </xf>
    <xf numFmtId="0" fontId="6" fillId="0" borderId="3" xfId="8" applyFont="1" applyFill="1" applyBorder="1" applyAlignment="1">
      <alignment horizontal="left" vertical="center"/>
    </xf>
    <xf numFmtId="0" fontId="6" fillId="0" borderId="3" xfId="8" applyFont="1" applyFill="1" applyBorder="1" applyAlignment="1"/>
    <xf numFmtId="0" fontId="6" fillId="0" borderId="1" xfId="8" applyFont="1" applyFill="1" applyBorder="1" applyAlignment="1">
      <alignment horizontal="center" vertical="center"/>
    </xf>
    <xf numFmtId="0" fontId="6" fillId="0" borderId="1" xfId="8" applyFont="1" applyFill="1" applyBorder="1" applyAlignment="1">
      <alignment horizontal="center" vertical="center" wrapText="1"/>
    </xf>
    <xf numFmtId="0" fontId="6" fillId="0" borderId="2" xfId="8" applyFont="1" applyBorder="1" applyAlignment="1">
      <alignment horizontal="center" vertical="center"/>
    </xf>
    <xf numFmtId="0" fontId="6" fillId="0" borderId="3" xfId="8" applyFont="1" applyBorder="1" applyAlignment="1">
      <alignment horizontal="center" vertical="center"/>
    </xf>
    <xf numFmtId="0" fontId="6" fillId="0" borderId="3" xfId="8" applyFont="1" applyFill="1" applyBorder="1" applyAlignment="1"/>
    <xf numFmtId="0" fontId="6" fillId="0" borderId="1" xfId="8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2" xfId="8" applyFont="1" applyFill="1" applyBorder="1" applyAlignment="1">
      <alignment horizontal="left" vertical="center"/>
    </xf>
    <xf numFmtId="0" fontId="6" fillId="0" borderId="3" xfId="8" applyFont="1" applyFill="1" applyBorder="1" applyAlignment="1">
      <alignment horizontal="left" vertical="center"/>
    </xf>
    <xf numFmtId="0" fontId="6" fillId="0" borderId="1" xfId="8" applyFont="1" applyFill="1" applyBorder="1" applyAlignment="1"/>
    <xf numFmtId="0" fontId="6" fillId="2" borderId="1" xfId="8" applyFont="1" applyFill="1" applyBorder="1" applyAlignment="1">
      <alignment horizontal="center" vertical="center"/>
    </xf>
    <xf numFmtId="0" fontId="6" fillId="0" borderId="1" xfId="8" applyFont="1" applyBorder="1" applyAlignment="1">
      <alignment horizontal="center" vertical="center" wrapText="1"/>
    </xf>
    <xf numFmtId="0" fontId="6" fillId="0" borderId="1" xfId="8" applyFont="1" applyFill="1" applyBorder="1" applyAlignment="1">
      <alignment horizontal="center" vertical="center"/>
    </xf>
    <xf numFmtId="0" fontId="2" fillId="0" borderId="1" xfId="8" applyFont="1" applyBorder="1" applyAlignment="1">
      <alignment horizontal="center" vertical="center"/>
    </xf>
    <xf numFmtId="0" fontId="6" fillId="0" borderId="1" xfId="8" applyFont="1" applyFill="1" applyBorder="1" applyAlignment="1">
      <alignment horizontal="center" vertical="center" wrapText="1"/>
    </xf>
    <xf numFmtId="0" fontId="6" fillId="0" borderId="1" xfId="8" applyFont="1" applyBorder="1" applyAlignment="1">
      <alignment horizontal="center" vertical="center"/>
    </xf>
    <xf numFmtId="0" fontId="6" fillId="0" borderId="3" xfId="8" applyFont="1" applyFill="1" applyBorder="1" applyAlignment="1"/>
    <xf numFmtId="180" fontId="6" fillId="0" borderId="1" xfId="3" applyNumberFormat="1" applyFont="1" applyBorder="1" applyAlignment="1">
      <alignment horizontal="center" vertical="center"/>
    </xf>
    <xf numFmtId="0" fontId="6" fillId="0" borderId="2" xfId="8" applyFont="1" applyFill="1" applyBorder="1" applyAlignment="1">
      <alignment horizontal="left" vertical="center"/>
    </xf>
    <xf numFmtId="0" fontId="6" fillId="0" borderId="3" xfId="8" applyFont="1" applyFill="1" applyBorder="1" applyAlignment="1">
      <alignment horizontal="left" vertical="center"/>
    </xf>
    <xf numFmtId="0" fontId="6" fillId="0" borderId="2" xfId="8" applyFont="1" applyBorder="1" applyAlignment="1">
      <alignment horizontal="center" vertical="center"/>
    </xf>
    <xf numFmtId="0" fontId="6" fillId="0" borderId="3" xfId="8" applyFont="1" applyBorder="1" applyAlignment="1">
      <alignment horizontal="center" vertical="center"/>
    </xf>
    <xf numFmtId="0" fontId="6" fillId="0" borderId="1" xfId="8" applyFont="1" applyFill="1" applyBorder="1" applyAlignment="1"/>
    <xf numFmtId="0" fontId="6" fillId="2" borderId="1" xfId="8" applyFont="1" applyFill="1" applyBorder="1" applyAlignment="1">
      <alignment horizontal="center" vertical="center"/>
    </xf>
    <xf numFmtId="0" fontId="6" fillId="0" borderId="1" xfId="8" applyFont="1" applyBorder="1" applyAlignment="1">
      <alignment horizontal="center" vertical="center" wrapText="1"/>
    </xf>
    <xf numFmtId="0" fontId="6" fillId="0" borderId="1" xfId="8" applyFont="1" applyFill="1" applyBorder="1" applyAlignment="1">
      <alignment horizontal="center" vertical="center"/>
    </xf>
    <xf numFmtId="0" fontId="2" fillId="0" borderId="1" xfId="8" applyFont="1" applyBorder="1" applyAlignment="1">
      <alignment horizontal="center" vertical="center"/>
    </xf>
    <xf numFmtId="0" fontId="6" fillId="0" borderId="1" xfId="8" applyFont="1" applyFill="1" applyBorder="1" applyAlignment="1">
      <alignment horizontal="center" vertical="center" wrapText="1"/>
    </xf>
    <xf numFmtId="0" fontId="6" fillId="0" borderId="2" xfId="8" applyFont="1" applyBorder="1" applyAlignment="1">
      <alignment horizontal="center" vertical="center"/>
    </xf>
    <xf numFmtId="0" fontId="6" fillId="0" borderId="3" xfId="8" applyFont="1" applyBorder="1" applyAlignment="1">
      <alignment horizontal="center" vertical="center"/>
    </xf>
    <xf numFmtId="0" fontId="6" fillId="0" borderId="3" xfId="8" applyFont="1" applyFill="1" applyBorder="1" applyAlignment="1"/>
    <xf numFmtId="0" fontId="6" fillId="0" borderId="1" xfId="8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2" xfId="8" applyFont="1" applyFill="1" applyBorder="1" applyAlignment="1">
      <alignment horizontal="left" vertical="center"/>
    </xf>
    <xf numFmtId="0" fontId="6" fillId="0" borderId="3" xfId="8" applyFont="1" applyFill="1" applyBorder="1" applyAlignment="1">
      <alignment horizontal="left" vertical="center"/>
    </xf>
    <xf numFmtId="0" fontId="6" fillId="0" borderId="1" xfId="8" applyFont="1" applyFill="1" applyBorder="1" applyAlignment="1"/>
    <xf numFmtId="0" fontId="6" fillId="2" borderId="1" xfId="8" applyFont="1" applyFill="1" applyBorder="1" applyAlignment="1">
      <alignment horizontal="center" vertical="center"/>
    </xf>
    <xf numFmtId="0" fontId="6" fillId="0" borderId="1" xfId="8" applyFont="1" applyBorder="1" applyAlignment="1">
      <alignment horizontal="center" vertical="center" wrapText="1"/>
    </xf>
    <xf numFmtId="0" fontId="6" fillId="0" borderId="1" xfId="8" applyFont="1" applyFill="1" applyBorder="1" applyAlignment="1">
      <alignment horizontal="center" vertical="center"/>
    </xf>
    <xf numFmtId="0" fontId="2" fillId="0" borderId="1" xfId="8" applyFont="1" applyBorder="1" applyAlignment="1">
      <alignment horizontal="center" vertical="center"/>
    </xf>
    <xf numFmtId="0" fontId="6" fillId="0" borderId="1" xfId="8" applyFont="1" applyFill="1" applyBorder="1" applyAlignment="1">
      <alignment horizontal="center" vertical="center" wrapText="1"/>
    </xf>
    <xf numFmtId="0" fontId="6" fillId="0" borderId="3" xfId="8" applyFont="1" applyFill="1" applyBorder="1" applyAlignment="1"/>
    <xf numFmtId="0" fontId="6" fillId="0" borderId="1" xfId="8" applyFont="1" applyBorder="1" applyAlignment="1">
      <alignment horizontal="center" vertical="center"/>
    </xf>
    <xf numFmtId="0" fontId="6" fillId="0" borderId="2" xfId="8" applyFont="1" applyBorder="1" applyAlignment="1">
      <alignment horizontal="center" vertical="center"/>
    </xf>
    <xf numFmtId="0" fontId="6" fillId="0" borderId="3" xfId="8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2" xfId="8" applyFont="1" applyFill="1" applyBorder="1" applyAlignment="1">
      <alignment horizontal="left" vertical="center"/>
    </xf>
    <xf numFmtId="0" fontId="6" fillId="0" borderId="3" xfId="8" applyFont="1" applyFill="1" applyBorder="1" applyAlignment="1">
      <alignment horizontal="left" vertical="center"/>
    </xf>
    <xf numFmtId="0" fontId="6" fillId="0" borderId="1" xfId="8" applyFont="1" applyFill="1" applyBorder="1" applyAlignment="1"/>
    <xf numFmtId="0" fontId="6" fillId="2" borderId="1" xfId="8" applyFont="1" applyFill="1" applyBorder="1" applyAlignment="1">
      <alignment horizontal="center" vertical="center"/>
    </xf>
    <xf numFmtId="0" fontId="6" fillId="0" borderId="1" xfId="8" applyFont="1" applyBorder="1" applyAlignment="1">
      <alignment horizontal="center" vertical="center" wrapText="1"/>
    </xf>
    <xf numFmtId="0" fontId="6" fillId="0" borderId="1" xfId="8" applyFont="1" applyFill="1" applyBorder="1" applyAlignment="1">
      <alignment horizontal="center" vertical="center"/>
    </xf>
    <xf numFmtId="0" fontId="2" fillId="0" borderId="1" xfId="8" applyFont="1" applyBorder="1" applyAlignment="1">
      <alignment horizontal="center" vertical="center"/>
    </xf>
    <xf numFmtId="0" fontId="6" fillId="0" borderId="1" xfId="8" applyFont="1" applyFill="1" applyBorder="1" applyAlignment="1">
      <alignment horizontal="center" vertical="center" wrapText="1"/>
    </xf>
    <xf numFmtId="0" fontId="2" fillId="0" borderId="1" xfId="8" applyFont="1" applyBorder="1" applyAlignment="1">
      <alignment horizontal="center" vertical="center"/>
    </xf>
    <xf numFmtId="0" fontId="6" fillId="0" borderId="1" xfId="8" applyFont="1" applyBorder="1" applyAlignment="1">
      <alignment horizontal="center" vertical="center"/>
    </xf>
    <xf numFmtId="0" fontId="6" fillId="0" borderId="1" xfId="8" applyFont="1" applyBorder="1" applyAlignment="1">
      <alignment horizontal="center" vertical="center" wrapText="1"/>
    </xf>
    <xf numFmtId="0" fontId="6" fillId="2" borderId="1" xfId="8" applyFont="1" applyFill="1" applyBorder="1" applyAlignment="1">
      <alignment horizontal="center" vertical="center"/>
    </xf>
    <xf numFmtId="0" fontId="6" fillId="0" borderId="1" xfId="8" applyFont="1" applyFill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2" xfId="8" applyFont="1" applyBorder="1" applyAlignment="1">
      <alignment horizontal="center" vertical="center"/>
    </xf>
    <xf numFmtId="0" fontId="6" fillId="0" borderId="3" xfId="8" applyFont="1" applyBorder="1" applyAlignment="1">
      <alignment horizontal="center" vertical="center"/>
    </xf>
    <xf numFmtId="0" fontId="6" fillId="0" borderId="1" xfId="8" applyFont="1" applyFill="1" applyBorder="1" applyAlignment="1"/>
    <xf numFmtId="0" fontId="6" fillId="0" borderId="2" xfId="8" applyFont="1" applyFill="1" applyBorder="1" applyAlignment="1">
      <alignment horizontal="left" vertical="center"/>
    </xf>
    <xf numFmtId="0" fontId="6" fillId="0" borderId="3" xfId="8" applyFont="1" applyFill="1" applyBorder="1" applyAlignment="1">
      <alignment horizontal="left" vertical="center"/>
    </xf>
    <xf numFmtId="0" fontId="6" fillId="0" borderId="3" xfId="8" applyFont="1" applyFill="1" applyBorder="1" applyAlignment="1"/>
    <xf numFmtId="0" fontId="6" fillId="0" borderId="1" xfId="8" applyFont="1" applyFill="1" applyBorder="1" applyAlignment="1">
      <alignment horizontal="center" vertical="center" wrapText="1"/>
    </xf>
    <xf numFmtId="178" fontId="6" fillId="0" borderId="1" xfId="8" applyNumberFormat="1" applyFont="1" applyFill="1" applyBorder="1" applyAlignment="1">
      <alignment horizontal="center" vertical="center"/>
    </xf>
    <xf numFmtId="179" fontId="6" fillId="0" borderId="1" xfId="8" applyNumberFormat="1" applyFont="1" applyFill="1" applyBorder="1" applyAlignment="1">
      <alignment horizontal="center" vertical="center"/>
    </xf>
    <xf numFmtId="180" fontId="6" fillId="14" borderId="1" xfId="3" applyNumberFormat="1" applyFont="1" applyFill="1" applyBorder="1" applyAlignment="1">
      <alignment horizontal="center" vertical="center"/>
    </xf>
    <xf numFmtId="0" fontId="6" fillId="0" borderId="3" xfId="8" applyFont="1" applyFill="1" applyBorder="1" applyAlignment="1"/>
    <xf numFmtId="0" fontId="6" fillId="0" borderId="1" xfId="8" applyFont="1" applyBorder="1" applyAlignment="1">
      <alignment horizontal="center" vertical="center"/>
    </xf>
    <xf numFmtId="0" fontId="6" fillId="0" borderId="2" xfId="8" applyFont="1" applyBorder="1" applyAlignment="1">
      <alignment horizontal="center" vertical="center"/>
    </xf>
    <xf numFmtId="0" fontId="6" fillId="0" borderId="3" xfId="8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2" xfId="8" applyFont="1" applyFill="1" applyBorder="1" applyAlignment="1">
      <alignment horizontal="left" vertical="center"/>
    </xf>
    <xf numFmtId="0" fontId="6" fillId="0" borderId="3" xfId="8" applyFont="1" applyFill="1" applyBorder="1" applyAlignment="1">
      <alignment horizontal="left" vertical="center"/>
    </xf>
    <xf numFmtId="0" fontId="6" fillId="0" borderId="1" xfId="8" applyFont="1" applyFill="1" applyBorder="1" applyAlignment="1"/>
    <xf numFmtId="0" fontId="6" fillId="2" borderId="1" xfId="8" applyFont="1" applyFill="1" applyBorder="1" applyAlignment="1">
      <alignment horizontal="center" vertical="center"/>
    </xf>
    <xf numFmtId="0" fontId="6" fillId="0" borderId="1" xfId="8" applyFont="1" applyBorder="1" applyAlignment="1">
      <alignment horizontal="center" vertical="center" wrapText="1"/>
    </xf>
    <xf numFmtId="0" fontId="6" fillId="0" borderId="1" xfId="8" applyFont="1" applyFill="1" applyBorder="1" applyAlignment="1">
      <alignment horizontal="center" vertical="center"/>
    </xf>
    <xf numFmtId="0" fontId="2" fillId="0" borderId="1" xfId="8" applyFont="1" applyBorder="1" applyAlignment="1">
      <alignment horizontal="center" vertical="center"/>
    </xf>
    <xf numFmtId="0" fontId="6" fillId="0" borderId="1" xfId="8" applyFont="1" applyFill="1" applyBorder="1" applyAlignment="1">
      <alignment horizontal="center" vertical="center" wrapText="1"/>
    </xf>
    <xf numFmtId="0" fontId="6" fillId="0" borderId="2" xfId="8" applyFont="1" applyBorder="1" applyAlignment="1">
      <alignment horizontal="center" vertical="center"/>
    </xf>
    <xf numFmtId="0" fontId="6" fillId="0" borderId="3" xfId="8" applyFont="1" applyBorder="1" applyAlignment="1">
      <alignment horizontal="center" vertical="center"/>
    </xf>
    <xf numFmtId="0" fontId="6" fillId="0" borderId="3" xfId="8" applyFont="1" applyFill="1" applyBorder="1" applyAlignment="1"/>
    <xf numFmtId="0" fontId="6" fillId="0" borderId="1" xfId="8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2" xfId="8" applyFont="1" applyFill="1" applyBorder="1" applyAlignment="1">
      <alignment horizontal="left" vertical="center"/>
    </xf>
    <xf numFmtId="0" fontId="6" fillId="0" borderId="3" xfId="8" applyFont="1" applyFill="1" applyBorder="1" applyAlignment="1">
      <alignment horizontal="left" vertical="center"/>
    </xf>
    <xf numFmtId="0" fontId="6" fillId="0" borderId="1" xfId="8" applyFont="1" applyFill="1" applyBorder="1" applyAlignment="1"/>
    <xf numFmtId="0" fontId="6" fillId="2" borderId="1" xfId="8" applyFont="1" applyFill="1" applyBorder="1" applyAlignment="1">
      <alignment horizontal="center" vertical="center"/>
    </xf>
    <xf numFmtId="0" fontId="6" fillId="0" borderId="1" xfId="8" applyFont="1" applyBorder="1" applyAlignment="1">
      <alignment horizontal="center" vertical="center" wrapText="1"/>
    </xf>
    <xf numFmtId="0" fontId="6" fillId="0" borderId="1" xfId="8" applyFont="1" applyFill="1" applyBorder="1" applyAlignment="1">
      <alignment horizontal="center" vertical="center"/>
    </xf>
    <xf numFmtId="0" fontId="2" fillId="0" borderId="1" xfId="8" applyFont="1" applyBorder="1" applyAlignment="1">
      <alignment horizontal="center" vertical="center"/>
    </xf>
    <xf numFmtId="0" fontId="6" fillId="0" borderId="1" xfId="8" applyFont="1" applyFill="1" applyBorder="1" applyAlignment="1">
      <alignment horizontal="center" vertical="center" wrapText="1"/>
    </xf>
    <xf numFmtId="0" fontId="6" fillId="0" borderId="1" xfId="8" applyFont="1" applyBorder="1" applyAlignment="1">
      <alignment horizontal="center" vertical="center"/>
    </xf>
    <xf numFmtId="0" fontId="6" fillId="0" borderId="3" xfId="8" applyFont="1" applyFill="1" applyBorder="1" applyAlignment="1"/>
    <xf numFmtId="180" fontId="6" fillId="0" borderId="1" xfId="3" applyNumberFormat="1" applyFont="1" applyBorder="1" applyAlignment="1">
      <alignment horizontal="center" vertical="center"/>
    </xf>
    <xf numFmtId="0" fontId="6" fillId="0" borderId="2" xfId="8" applyFont="1" applyFill="1" applyBorder="1" applyAlignment="1">
      <alignment horizontal="left" vertical="center"/>
    </xf>
    <xf numFmtId="0" fontId="6" fillId="0" borderId="3" xfId="8" applyFont="1" applyFill="1" applyBorder="1" applyAlignment="1">
      <alignment horizontal="left" vertical="center"/>
    </xf>
    <xf numFmtId="0" fontId="6" fillId="0" borderId="2" xfId="8" applyFont="1" applyBorder="1" applyAlignment="1">
      <alignment horizontal="center" vertical="center"/>
    </xf>
    <xf numFmtId="0" fontId="6" fillId="0" borderId="3" xfId="8" applyFont="1" applyBorder="1" applyAlignment="1">
      <alignment horizontal="center" vertical="center"/>
    </xf>
    <xf numFmtId="0" fontId="6" fillId="0" borderId="1" xfId="8" applyFont="1" applyFill="1" applyBorder="1" applyAlignment="1"/>
    <xf numFmtId="0" fontId="6" fillId="0" borderId="2" xfId="8" applyFont="1" applyFill="1" applyBorder="1" applyAlignment="1">
      <alignment horizontal="left"/>
    </xf>
    <xf numFmtId="0" fontId="6" fillId="0" borderId="3" xfId="8" applyFont="1" applyFill="1" applyBorder="1" applyAlignment="1">
      <alignment horizontal="left"/>
    </xf>
    <xf numFmtId="0" fontId="6" fillId="2" borderId="1" xfId="8" applyFont="1" applyFill="1" applyBorder="1" applyAlignment="1">
      <alignment horizontal="center" vertical="center"/>
    </xf>
    <xf numFmtId="0" fontId="6" fillId="0" borderId="1" xfId="8" applyFont="1" applyBorder="1" applyAlignment="1">
      <alignment horizontal="center" vertical="center" wrapText="1"/>
    </xf>
    <xf numFmtId="0" fontId="6" fillId="0" borderId="1" xfId="8" applyFont="1" applyFill="1" applyBorder="1" applyAlignment="1">
      <alignment horizontal="center" vertical="center"/>
    </xf>
    <xf numFmtId="0" fontId="2" fillId="0" borderId="1" xfId="8" applyFont="1" applyBorder="1" applyAlignment="1">
      <alignment horizontal="center" vertical="center"/>
    </xf>
    <xf numFmtId="0" fontId="6" fillId="0" borderId="1" xfId="8" applyFont="1" applyFill="1" applyBorder="1" applyAlignment="1">
      <alignment horizontal="center" vertical="center" wrapText="1"/>
    </xf>
    <xf numFmtId="0" fontId="2" fillId="0" borderId="1" xfId="8" applyFont="1" applyBorder="1" applyAlignment="1">
      <alignment horizontal="center" vertical="center"/>
    </xf>
    <xf numFmtId="0" fontId="6" fillId="2" borderId="1" xfId="8" applyFont="1" applyFill="1" applyBorder="1" applyAlignment="1">
      <alignment horizontal="center" vertical="center"/>
    </xf>
    <xf numFmtId="0" fontId="6" fillId="0" borderId="1" xfId="8" applyFont="1" applyBorder="1" applyAlignment="1">
      <alignment horizontal="center" vertical="center"/>
    </xf>
    <xf numFmtId="0" fontId="6" fillId="0" borderId="1" xfId="8" applyFont="1" applyFill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2" xfId="8" applyFont="1" applyBorder="1" applyAlignment="1">
      <alignment horizontal="center" vertical="center"/>
    </xf>
    <xf numFmtId="0" fontId="6" fillId="0" borderId="3" xfId="8" applyFont="1" applyBorder="1" applyAlignment="1">
      <alignment horizontal="center" vertical="center"/>
    </xf>
    <xf numFmtId="0" fontId="6" fillId="0" borderId="1" xfId="8" applyFont="1" applyBorder="1" applyAlignment="1">
      <alignment horizontal="center" vertical="center" wrapText="1"/>
    </xf>
    <xf numFmtId="0" fontId="6" fillId="0" borderId="1" xfId="8" applyFont="1" applyFill="1" applyBorder="1" applyAlignment="1"/>
    <xf numFmtId="0" fontId="6" fillId="0" borderId="2" xfId="8" applyFont="1" applyFill="1" applyBorder="1" applyAlignment="1">
      <alignment horizontal="left" vertical="center"/>
    </xf>
    <xf numFmtId="0" fontId="6" fillId="0" borderId="3" xfId="8" applyFont="1" applyFill="1" applyBorder="1" applyAlignment="1">
      <alignment horizontal="left" vertical="center"/>
    </xf>
    <xf numFmtId="0" fontId="6" fillId="0" borderId="3" xfId="8" applyFont="1" applyFill="1" applyBorder="1" applyAlignment="1"/>
    <xf numFmtId="0" fontId="6" fillId="0" borderId="1" xfId="8" applyFont="1" applyFill="1" applyBorder="1" applyAlignment="1">
      <alignment horizontal="center" vertical="center" wrapText="1"/>
    </xf>
    <xf numFmtId="177" fontId="10" fillId="0" borderId="1" xfId="8" applyNumberFormat="1" applyFont="1" applyFill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1" xfId="8" applyFont="1" applyBorder="1" applyAlignment="1">
      <alignment horizontal="center" vertical="center"/>
    </xf>
    <xf numFmtId="0" fontId="6" fillId="0" borderId="2" xfId="8" applyFont="1" applyBorder="1" applyAlignment="1">
      <alignment horizontal="center" vertical="center"/>
    </xf>
    <xf numFmtId="0" fontId="6" fillId="0" borderId="3" xfId="8" applyFont="1" applyBorder="1" applyAlignment="1">
      <alignment horizontal="center" vertical="center"/>
    </xf>
    <xf numFmtId="0" fontId="6" fillId="0" borderId="3" xfId="8" applyFont="1" applyFill="1" applyBorder="1" applyAlignment="1"/>
    <xf numFmtId="0" fontId="6" fillId="0" borderId="1" xfId="8" applyFont="1" applyFill="1" applyBorder="1" applyAlignment="1"/>
    <xf numFmtId="0" fontId="6" fillId="0" borderId="2" xfId="8" applyFont="1" applyFill="1" applyBorder="1" applyAlignment="1">
      <alignment horizontal="left" vertical="center"/>
    </xf>
    <xf numFmtId="0" fontId="6" fillId="0" borderId="3" xfId="8" applyFont="1" applyFill="1" applyBorder="1" applyAlignment="1">
      <alignment horizontal="left" vertical="center"/>
    </xf>
    <xf numFmtId="0" fontId="6" fillId="0" borderId="2" xfId="8" applyFont="1" applyFill="1" applyBorder="1" applyAlignment="1">
      <alignment horizontal="left"/>
    </xf>
    <xf numFmtId="0" fontId="6" fillId="0" borderId="3" xfId="8" applyFont="1" applyFill="1" applyBorder="1" applyAlignment="1">
      <alignment horizontal="left"/>
    </xf>
    <xf numFmtId="0" fontId="6" fillId="0" borderId="1" xfId="8" applyFont="1" applyBorder="1" applyAlignment="1">
      <alignment horizontal="center" vertical="center" wrapText="1"/>
    </xf>
    <xf numFmtId="0" fontId="6" fillId="2" borderId="1" xfId="8" applyFont="1" applyFill="1" applyBorder="1" applyAlignment="1">
      <alignment horizontal="center" vertical="center"/>
    </xf>
    <xf numFmtId="0" fontId="6" fillId="0" borderId="1" xfId="8" applyFont="1" applyFill="1" applyBorder="1" applyAlignment="1">
      <alignment horizontal="center" vertical="center"/>
    </xf>
    <xf numFmtId="0" fontId="2" fillId="0" borderId="1" xfId="8" applyFont="1" applyBorder="1" applyAlignment="1">
      <alignment horizontal="center" vertical="center"/>
    </xf>
    <xf numFmtId="0" fontId="6" fillId="0" borderId="1" xfId="8" applyFont="1" applyFill="1" applyBorder="1" applyAlignment="1">
      <alignment horizontal="center" vertical="center" wrapText="1"/>
    </xf>
    <xf numFmtId="0" fontId="6" fillId="0" borderId="1" xfId="8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1" xfId="8" applyFont="1" applyFill="1" applyBorder="1" applyAlignment="1"/>
    <xf numFmtId="0" fontId="6" fillId="0" borderId="2" xfId="8" applyFont="1" applyBorder="1" applyAlignment="1">
      <alignment horizontal="center" vertical="center"/>
    </xf>
    <xf numFmtId="0" fontId="6" fillId="0" borderId="3" xfId="8" applyFont="1" applyBorder="1" applyAlignment="1">
      <alignment horizontal="center" vertical="center"/>
    </xf>
    <xf numFmtId="0" fontId="6" fillId="0" borderId="3" xfId="8" applyFont="1" applyFill="1" applyBorder="1" applyAlignment="1"/>
    <xf numFmtId="0" fontId="6" fillId="0" borderId="2" xfId="8" applyFont="1" applyFill="1" applyBorder="1" applyAlignment="1">
      <alignment horizontal="left" vertical="center"/>
    </xf>
    <xf numFmtId="0" fontId="6" fillId="0" borderId="3" xfId="8" applyFont="1" applyFill="1" applyBorder="1" applyAlignment="1">
      <alignment horizontal="left" vertical="center"/>
    </xf>
    <xf numFmtId="0" fontId="6" fillId="0" borderId="2" xfId="8" applyFont="1" applyFill="1" applyBorder="1" applyAlignment="1">
      <alignment horizontal="left"/>
    </xf>
    <xf numFmtId="0" fontId="6" fillId="0" borderId="3" xfId="8" applyFont="1" applyFill="1" applyBorder="1" applyAlignment="1">
      <alignment horizontal="left"/>
    </xf>
    <xf numFmtId="0" fontId="6" fillId="2" borderId="1" xfId="8" applyFont="1" applyFill="1" applyBorder="1" applyAlignment="1">
      <alignment horizontal="center" vertical="center"/>
    </xf>
    <xf numFmtId="0" fontId="6" fillId="0" borderId="1" xfId="8" applyFont="1" applyBorder="1" applyAlignment="1">
      <alignment horizontal="center" vertical="center" wrapText="1"/>
    </xf>
    <xf numFmtId="0" fontId="6" fillId="0" borderId="1" xfId="8" applyFont="1" applyFill="1" applyBorder="1" applyAlignment="1">
      <alignment horizontal="center" vertical="center"/>
    </xf>
    <xf numFmtId="0" fontId="2" fillId="0" borderId="1" xfId="8" applyFont="1" applyBorder="1" applyAlignment="1">
      <alignment horizontal="center" vertical="center"/>
    </xf>
    <xf numFmtId="0" fontId="6" fillId="0" borderId="1" xfId="8" applyFont="1" applyFill="1" applyBorder="1" applyAlignment="1">
      <alignment horizontal="center" vertical="center" wrapText="1"/>
    </xf>
    <xf numFmtId="0" fontId="6" fillId="0" borderId="1" xfId="8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1" xfId="8" applyFont="1" applyFill="1" applyBorder="1" applyAlignment="1"/>
    <xf numFmtId="0" fontId="6" fillId="0" borderId="2" xfId="8" applyFont="1" applyBorder="1" applyAlignment="1">
      <alignment horizontal="center" vertical="center"/>
    </xf>
    <xf numFmtId="0" fontId="6" fillId="0" borderId="3" xfId="8" applyFont="1" applyBorder="1" applyAlignment="1">
      <alignment horizontal="center" vertical="center"/>
    </xf>
    <xf numFmtId="0" fontId="6" fillId="0" borderId="3" xfId="8" applyFont="1" applyFill="1" applyBorder="1" applyAlignment="1"/>
    <xf numFmtId="0" fontId="6" fillId="0" borderId="2" xfId="8" applyFont="1" applyFill="1" applyBorder="1" applyAlignment="1">
      <alignment horizontal="left" vertical="center"/>
    </xf>
    <xf numFmtId="0" fontId="6" fillId="0" borderId="3" xfId="8" applyFont="1" applyFill="1" applyBorder="1" applyAlignment="1">
      <alignment horizontal="left" vertical="center"/>
    </xf>
    <xf numFmtId="0" fontId="6" fillId="2" borderId="1" xfId="8" applyFont="1" applyFill="1" applyBorder="1" applyAlignment="1">
      <alignment horizontal="center" vertical="center"/>
    </xf>
    <xf numFmtId="0" fontId="6" fillId="0" borderId="1" xfId="8" applyFont="1" applyBorder="1" applyAlignment="1">
      <alignment horizontal="center" vertical="center" wrapText="1"/>
    </xf>
    <xf numFmtId="0" fontId="6" fillId="0" borderId="1" xfId="8" applyFont="1" applyFill="1" applyBorder="1" applyAlignment="1">
      <alignment horizontal="center" vertical="center"/>
    </xf>
    <xf numFmtId="0" fontId="2" fillId="0" borderId="1" xfId="8" applyFont="1" applyBorder="1" applyAlignment="1">
      <alignment horizontal="center" vertical="center"/>
    </xf>
    <xf numFmtId="0" fontId="6" fillId="0" borderId="1" xfId="8" applyFont="1" applyFill="1" applyBorder="1" applyAlignment="1">
      <alignment horizontal="center" vertical="center" wrapText="1"/>
    </xf>
    <xf numFmtId="0" fontId="6" fillId="0" borderId="3" xfId="8" applyFont="1" applyFill="1" applyBorder="1" applyAlignment="1"/>
    <xf numFmtId="0" fontId="6" fillId="0" borderId="1" xfId="8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2" xfId="8" applyFont="1" applyFill="1" applyBorder="1" applyAlignment="1">
      <alignment horizontal="left" vertical="center"/>
    </xf>
    <xf numFmtId="0" fontId="6" fillId="0" borderId="3" xfId="8" applyFont="1" applyFill="1" applyBorder="1" applyAlignment="1">
      <alignment horizontal="left" vertical="center"/>
    </xf>
    <xf numFmtId="0" fontId="6" fillId="0" borderId="2" xfId="8" applyFont="1" applyBorder="1" applyAlignment="1">
      <alignment horizontal="center" vertical="center"/>
    </xf>
    <xf numFmtId="0" fontId="6" fillId="0" borderId="3" xfId="8" applyFont="1" applyBorder="1" applyAlignment="1">
      <alignment horizontal="center" vertical="center"/>
    </xf>
    <xf numFmtId="0" fontId="6" fillId="0" borderId="1" xfId="8" applyFont="1" applyFill="1" applyBorder="1" applyAlignment="1"/>
    <xf numFmtId="0" fontId="6" fillId="2" borderId="1" xfId="8" applyFont="1" applyFill="1" applyBorder="1" applyAlignment="1">
      <alignment horizontal="center" vertical="center"/>
    </xf>
    <xf numFmtId="0" fontId="6" fillId="0" borderId="1" xfId="8" applyFont="1" applyBorder="1" applyAlignment="1">
      <alignment horizontal="center" vertical="center" wrapText="1"/>
    </xf>
    <xf numFmtId="0" fontId="6" fillId="0" borderId="1" xfId="8" applyFont="1" applyFill="1" applyBorder="1" applyAlignment="1">
      <alignment horizontal="center" vertical="center"/>
    </xf>
    <xf numFmtId="0" fontId="2" fillId="0" borderId="1" xfId="8" applyFont="1" applyBorder="1" applyAlignment="1">
      <alignment horizontal="center" vertical="center"/>
    </xf>
    <xf numFmtId="0" fontId="6" fillId="0" borderId="1" xfId="8" applyFont="1" applyFill="1" applyBorder="1" applyAlignment="1">
      <alignment horizontal="center" vertical="center" wrapText="1"/>
    </xf>
    <xf numFmtId="0" fontId="6" fillId="0" borderId="1" xfId="8" applyFont="1" applyBorder="1" applyAlignment="1">
      <alignment horizontal="center" vertical="center"/>
    </xf>
    <xf numFmtId="0" fontId="6" fillId="0" borderId="3" xfId="8" applyFont="1" applyFill="1" applyBorder="1" applyAlignment="1"/>
    <xf numFmtId="180" fontId="6" fillId="0" borderId="1" xfId="3" applyNumberFormat="1" applyFont="1" applyBorder="1" applyAlignment="1">
      <alignment horizontal="center" vertical="center"/>
    </xf>
    <xf numFmtId="0" fontId="6" fillId="0" borderId="2" xfId="8" applyFont="1" applyFill="1" applyBorder="1" applyAlignment="1">
      <alignment horizontal="left" vertical="center"/>
    </xf>
    <xf numFmtId="0" fontId="6" fillId="0" borderId="3" xfId="8" applyFont="1" applyFill="1" applyBorder="1" applyAlignment="1">
      <alignment horizontal="left" vertical="center"/>
    </xf>
    <xf numFmtId="0" fontId="6" fillId="0" borderId="2" xfId="8" applyFont="1" applyBorder="1" applyAlignment="1">
      <alignment horizontal="center" vertical="center"/>
    </xf>
    <xf numFmtId="0" fontId="6" fillId="0" borderId="3" xfId="8" applyFont="1" applyBorder="1" applyAlignment="1">
      <alignment horizontal="center" vertical="center"/>
    </xf>
    <xf numFmtId="0" fontId="6" fillId="0" borderId="1" xfId="8" applyFont="1" applyFill="1" applyBorder="1" applyAlignment="1"/>
    <xf numFmtId="0" fontId="6" fillId="2" borderId="1" xfId="8" applyFont="1" applyFill="1" applyBorder="1" applyAlignment="1">
      <alignment horizontal="center" vertical="center"/>
    </xf>
    <xf numFmtId="0" fontId="6" fillId="0" borderId="1" xfId="8" applyFont="1" applyBorder="1" applyAlignment="1">
      <alignment horizontal="center" vertical="center" wrapText="1"/>
    </xf>
    <xf numFmtId="0" fontId="6" fillId="0" borderId="1" xfId="8" applyFont="1" applyFill="1" applyBorder="1" applyAlignment="1">
      <alignment horizontal="center" vertical="center"/>
    </xf>
    <xf numFmtId="0" fontId="2" fillId="0" borderId="1" xfId="8" applyFont="1" applyBorder="1" applyAlignment="1">
      <alignment horizontal="center" vertical="center"/>
    </xf>
    <xf numFmtId="0" fontId="6" fillId="0" borderId="1" xfId="8" applyFont="1" applyFill="1" applyBorder="1" applyAlignment="1">
      <alignment horizontal="center" vertical="center" wrapText="1"/>
    </xf>
    <xf numFmtId="180" fontId="6" fillId="0" borderId="1" xfId="3" applyNumberFormat="1" applyFont="1" applyBorder="1" applyAlignment="1">
      <alignment horizontal="center" vertical="center"/>
    </xf>
    <xf numFmtId="0" fontId="6" fillId="0" borderId="1" xfId="8" applyFont="1" applyBorder="1" applyAlignment="1">
      <alignment horizontal="center" vertical="center"/>
    </xf>
    <xf numFmtId="0" fontId="6" fillId="0" borderId="3" xfId="8" applyFont="1" applyFill="1" applyBorder="1" applyAlignment="1"/>
    <xf numFmtId="0" fontId="6" fillId="0" borderId="1" xfId="8" applyFont="1" applyFill="1" applyBorder="1" applyAlignment="1"/>
    <xf numFmtId="0" fontId="6" fillId="0" borderId="2" xfId="8" applyFont="1" applyFill="1" applyBorder="1" applyAlignment="1">
      <alignment horizontal="left" vertical="center"/>
    </xf>
    <xf numFmtId="0" fontId="6" fillId="0" borderId="3" xfId="8" applyFont="1" applyFill="1" applyBorder="1" applyAlignment="1">
      <alignment horizontal="left" vertical="center"/>
    </xf>
    <xf numFmtId="0" fontId="6" fillId="0" borderId="2" xfId="8" applyFont="1" applyBorder="1" applyAlignment="1">
      <alignment horizontal="center" vertical="center"/>
    </xf>
    <xf numFmtId="0" fontId="6" fillId="0" borderId="3" xfId="8" applyFont="1" applyBorder="1" applyAlignment="1">
      <alignment horizontal="center" vertical="center"/>
    </xf>
    <xf numFmtId="0" fontId="6" fillId="2" borderId="1" xfId="8" applyFont="1" applyFill="1" applyBorder="1" applyAlignment="1">
      <alignment horizontal="center" vertical="center"/>
    </xf>
    <xf numFmtId="0" fontId="6" fillId="0" borderId="1" xfId="8" applyFont="1" applyBorder="1" applyAlignment="1">
      <alignment horizontal="center" vertical="center" wrapText="1"/>
    </xf>
    <xf numFmtId="0" fontId="6" fillId="0" borderId="1" xfId="8" applyFont="1" applyFill="1" applyBorder="1" applyAlignment="1">
      <alignment horizontal="center" vertical="center"/>
    </xf>
    <xf numFmtId="0" fontId="2" fillId="0" borderId="1" xfId="8" applyFont="1" applyBorder="1" applyAlignment="1">
      <alignment horizontal="center" vertical="center"/>
    </xf>
    <xf numFmtId="0" fontId="6" fillId="0" borderId="1" xfId="8" applyFont="1" applyFill="1" applyBorder="1" applyAlignment="1">
      <alignment horizontal="center" vertical="center" wrapText="1"/>
    </xf>
    <xf numFmtId="0" fontId="2" fillId="0" borderId="1" xfId="8" applyFont="1" applyBorder="1" applyAlignment="1">
      <alignment horizontal="center" vertical="center"/>
    </xf>
    <xf numFmtId="0" fontId="6" fillId="2" borderId="1" xfId="8" applyFont="1" applyFill="1" applyBorder="1" applyAlignment="1">
      <alignment horizontal="center" vertical="center"/>
    </xf>
    <xf numFmtId="0" fontId="6" fillId="0" borderId="1" xfId="8" applyFont="1" applyBorder="1" applyAlignment="1">
      <alignment horizontal="center" vertical="center"/>
    </xf>
    <xf numFmtId="180" fontId="6" fillId="0" borderId="1" xfId="3" applyNumberFormat="1" applyFont="1" applyBorder="1" applyAlignment="1">
      <alignment horizontal="center" vertical="center"/>
    </xf>
    <xf numFmtId="0" fontId="6" fillId="0" borderId="2" xfId="8" applyFont="1" applyBorder="1" applyAlignment="1">
      <alignment horizontal="center" vertical="center"/>
    </xf>
    <xf numFmtId="0" fontId="6" fillId="0" borderId="3" xfId="8" applyFont="1" applyBorder="1" applyAlignment="1">
      <alignment horizontal="center" vertical="center"/>
    </xf>
    <xf numFmtId="0" fontId="6" fillId="0" borderId="1" xfId="8" applyFont="1" applyBorder="1" applyAlignment="1">
      <alignment horizontal="center" vertical="center" wrapText="1"/>
    </xf>
    <xf numFmtId="0" fontId="6" fillId="0" borderId="1" xfId="8" applyFont="1" applyFill="1" applyBorder="1" applyAlignment="1">
      <alignment horizontal="center" vertical="center"/>
    </xf>
    <xf numFmtId="0" fontId="6" fillId="0" borderId="1" xfId="8" applyFont="1" applyFill="1" applyBorder="1" applyAlignment="1"/>
    <xf numFmtId="0" fontId="6" fillId="0" borderId="2" xfId="8" applyFont="1" applyFill="1" applyBorder="1" applyAlignment="1">
      <alignment horizontal="left"/>
    </xf>
    <xf numFmtId="0" fontId="6" fillId="0" borderId="3" xfId="8" applyFont="1" applyFill="1" applyBorder="1" applyAlignment="1">
      <alignment horizontal="left"/>
    </xf>
    <xf numFmtId="0" fontId="6" fillId="0" borderId="2" xfId="8" applyFont="1" applyFill="1" applyBorder="1" applyAlignment="1">
      <alignment horizontal="left" vertical="center"/>
    </xf>
    <xf numFmtId="0" fontId="6" fillId="0" borderId="3" xfId="8" applyFont="1" applyFill="1" applyBorder="1" applyAlignment="1">
      <alignment horizontal="left" vertical="center"/>
    </xf>
    <xf numFmtId="0" fontId="6" fillId="0" borderId="3" xfId="8" applyFont="1" applyFill="1" applyBorder="1" applyAlignment="1"/>
    <xf numFmtId="0" fontId="6" fillId="0" borderId="1" xfId="8" applyFont="1" applyFill="1" applyBorder="1" applyAlignment="1">
      <alignment horizontal="center" vertical="center" wrapText="1"/>
    </xf>
    <xf numFmtId="0" fontId="6" fillId="0" borderId="1" xfId="8" applyFont="1" applyBorder="1" applyAlignment="1">
      <alignment horizontal="center" vertical="center"/>
    </xf>
    <xf numFmtId="0" fontId="6" fillId="0" borderId="3" xfId="8" applyFont="1" applyFill="1" applyBorder="1" applyAlignment="1"/>
    <xf numFmtId="180" fontId="6" fillId="0" borderId="1" xfId="3" applyNumberFormat="1" applyFont="1" applyBorder="1" applyAlignment="1">
      <alignment horizontal="center" vertical="center"/>
    </xf>
    <xf numFmtId="0" fontId="6" fillId="0" borderId="1" xfId="8" applyFont="1" applyFill="1" applyBorder="1" applyAlignment="1"/>
    <xf numFmtId="0" fontId="6" fillId="0" borderId="2" xfId="8" applyFont="1" applyBorder="1" applyAlignment="1">
      <alignment horizontal="center" vertical="center"/>
    </xf>
    <xf numFmtId="0" fontId="6" fillId="0" borderId="3" xfId="8" applyFont="1" applyBorder="1" applyAlignment="1">
      <alignment horizontal="center" vertical="center"/>
    </xf>
    <xf numFmtId="0" fontId="6" fillId="0" borderId="2" xfId="8" applyFont="1" applyFill="1" applyBorder="1" applyAlignment="1">
      <alignment horizontal="left" vertical="center"/>
    </xf>
    <xf numFmtId="0" fontId="6" fillId="0" borderId="3" xfId="8" applyFont="1" applyFill="1" applyBorder="1" applyAlignment="1">
      <alignment horizontal="left" vertical="center"/>
    </xf>
    <xf numFmtId="0" fontId="6" fillId="0" borderId="2" xfId="8" applyFont="1" applyFill="1" applyBorder="1" applyAlignment="1">
      <alignment horizontal="left"/>
    </xf>
    <xf numFmtId="0" fontId="6" fillId="0" borderId="3" xfId="8" applyFont="1" applyFill="1" applyBorder="1" applyAlignment="1">
      <alignment horizontal="left"/>
    </xf>
    <xf numFmtId="0" fontId="6" fillId="2" borderId="1" xfId="8" applyFont="1" applyFill="1" applyBorder="1" applyAlignment="1">
      <alignment horizontal="center" vertical="center"/>
    </xf>
    <xf numFmtId="0" fontId="6" fillId="0" borderId="1" xfId="8" applyFont="1" applyBorder="1" applyAlignment="1">
      <alignment horizontal="center" vertical="center" wrapText="1"/>
    </xf>
    <xf numFmtId="0" fontId="6" fillId="0" borderId="1" xfId="8" applyFont="1" applyFill="1" applyBorder="1" applyAlignment="1">
      <alignment horizontal="center" vertical="center"/>
    </xf>
    <xf numFmtId="0" fontId="2" fillId="0" borderId="1" xfId="8" applyFont="1" applyBorder="1" applyAlignment="1">
      <alignment horizontal="center" vertical="center"/>
    </xf>
    <xf numFmtId="0" fontId="6" fillId="0" borderId="1" xfId="8" applyFont="1" applyFill="1" applyBorder="1" applyAlignment="1">
      <alignment horizontal="center" vertical="center" wrapText="1"/>
    </xf>
    <xf numFmtId="0" fontId="6" fillId="0" borderId="1" xfId="8" applyFont="1" applyBorder="1" applyAlignment="1">
      <alignment horizontal="center" vertical="center"/>
    </xf>
    <xf numFmtId="0" fontId="6" fillId="0" borderId="3" xfId="8" applyFont="1" applyFill="1" applyBorder="1" applyAlignment="1"/>
    <xf numFmtId="180" fontId="6" fillId="0" borderId="1" xfId="3" applyNumberFormat="1" applyFont="1" applyBorder="1" applyAlignment="1">
      <alignment horizontal="center" vertical="center"/>
    </xf>
    <xf numFmtId="0" fontId="6" fillId="0" borderId="1" xfId="8" applyFont="1" applyFill="1" applyBorder="1" applyAlignment="1"/>
    <xf numFmtId="0" fontId="6" fillId="0" borderId="2" xfId="8" applyFont="1" applyFill="1" applyBorder="1" applyAlignment="1">
      <alignment horizontal="left" vertical="center"/>
    </xf>
    <xf numFmtId="0" fontId="6" fillId="0" borderId="3" xfId="8" applyFont="1" applyFill="1" applyBorder="1" applyAlignment="1">
      <alignment horizontal="left" vertical="center"/>
    </xf>
    <xf numFmtId="0" fontId="6" fillId="0" borderId="2" xfId="8" applyFont="1" applyBorder="1" applyAlignment="1">
      <alignment horizontal="center" vertical="center"/>
    </xf>
    <xf numFmtId="0" fontId="6" fillId="0" borderId="3" xfId="8" applyFont="1" applyBorder="1" applyAlignment="1">
      <alignment horizontal="center" vertical="center"/>
    </xf>
    <xf numFmtId="0" fontId="6" fillId="0" borderId="2" xfId="8" applyFont="1" applyFill="1" applyBorder="1" applyAlignment="1">
      <alignment horizontal="left"/>
    </xf>
    <xf numFmtId="0" fontId="6" fillId="0" borderId="3" xfId="8" applyFont="1" applyFill="1" applyBorder="1" applyAlignment="1">
      <alignment horizontal="left"/>
    </xf>
    <xf numFmtId="0" fontId="6" fillId="2" borderId="1" xfId="8" applyFont="1" applyFill="1" applyBorder="1" applyAlignment="1">
      <alignment horizontal="center" vertical="center"/>
    </xf>
    <xf numFmtId="0" fontId="6" fillId="0" borderId="1" xfId="8" applyFont="1" applyBorder="1" applyAlignment="1">
      <alignment horizontal="center" vertical="center" wrapText="1"/>
    </xf>
    <xf numFmtId="0" fontId="6" fillId="0" borderId="1" xfId="8" applyFont="1" applyFill="1" applyBorder="1" applyAlignment="1">
      <alignment horizontal="center" vertical="center"/>
    </xf>
    <xf numFmtId="0" fontId="2" fillId="0" borderId="1" xfId="8" applyFont="1" applyBorder="1" applyAlignment="1">
      <alignment horizontal="center" vertical="center"/>
    </xf>
    <xf numFmtId="0" fontId="6" fillId="0" borderId="1" xfId="8" applyFont="1" applyFill="1" applyBorder="1" applyAlignment="1">
      <alignment horizontal="center" vertical="center" wrapText="1"/>
    </xf>
    <xf numFmtId="0" fontId="6" fillId="0" borderId="1" xfId="8" applyFont="1" applyBorder="1" applyAlignment="1">
      <alignment horizontal="center" vertical="center"/>
    </xf>
    <xf numFmtId="0" fontId="6" fillId="0" borderId="3" xfId="8" applyFont="1" applyFill="1" applyBorder="1" applyAlignment="1"/>
    <xf numFmtId="180" fontId="6" fillId="0" borderId="1" xfId="3" applyNumberFormat="1" applyFont="1" applyBorder="1" applyAlignment="1">
      <alignment horizontal="center" vertical="center"/>
    </xf>
    <xf numFmtId="0" fontId="6" fillId="0" borderId="2" xfId="8" applyFont="1" applyFill="1" applyBorder="1" applyAlignment="1">
      <alignment horizontal="left" vertical="center"/>
    </xf>
    <xf numFmtId="0" fontId="6" fillId="0" borderId="3" xfId="8" applyFont="1" applyFill="1" applyBorder="1" applyAlignment="1">
      <alignment horizontal="left" vertical="center"/>
    </xf>
    <xf numFmtId="0" fontId="6" fillId="0" borderId="2" xfId="8" applyFont="1" applyBorder="1" applyAlignment="1">
      <alignment horizontal="center" vertical="center"/>
    </xf>
    <xf numFmtId="0" fontId="6" fillId="0" borderId="3" xfId="8" applyFont="1" applyBorder="1" applyAlignment="1">
      <alignment horizontal="center" vertical="center"/>
    </xf>
    <xf numFmtId="0" fontId="6" fillId="0" borderId="1" xfId="8" applyFont="1" applyFill="1" applyBorder="1" applyAlignment="1"/>
    <xf numFmtId="0" fontId="6" fillId="0" borderId="2" xfId="8" applyFont="1" applyFill="1" applyBorder="1" applyAlignment="1">
      <alignment horizontal="left"/>
    </xf>
    <xf numFmtId="0" fontId="6" fillId="0" borderId="3" xfId="8" applyFont="1" applyFill="1" applyBorder="1" applyAlignment="1">
      <alignment horizontal="left"/>
    </xf>
    <xf numFmtId="0" fontId="6" fillId="2" borderId="1" xfId="8" applyFont="1" applyFill="1" applyBorder="1" applyAlignment="1">
      <alignment horizontal="center" vertical="center"/>
    </xf>
    <xf numFmtId="0" fontId="6" fillId="0" borderId="1" xfId="8" applyFont="1" applyBorder="1" applyAlignment="1">
      <alignment horizontal="center" vertical="center" wrapText="1"/>
    </xf>
    <xf numFmtId="0" fontId="6" fillId="0" borderId="1" xfId="8" applyFont="1" applyFill="1" applyBorder="1" applyAlignment="1">
      <alignment horizontal="center" vertical="center"/>
    </xf>
    <xf numFmtId="0" fontId="2" fillId="0" borderId="1" xfId="8" applyFont="1" applyBorder="1" applyAlignment="1">
      <alignment horizontal="center" vertical="center"/>
    </xf>
    <xf numFmtId="0" fontId="6" fillId="0" borderId="1" xfId="8" applyFont="1" applyFill="1" applyBorder="1" applyAlignment="1">
      <alignment horizontal="center" vertical="center" wrapText="1"/>
    </xf>
    <xf numFmtId="0" fontId="6" fillId="0" borderId="33" xfId="5" applyFont="1" applyBorder="1" applyAlignment="1">
      <alignment horizontal="center" vertical="center"/>
    </xf>
    <xf numFmtId="0" fontId="6" fillId="0" borderId="34" xfId="5" applyFont="1" applyBorder="1" applyAlignment="1">
      <alignment horizontal="center" vertical="center"/>
    </xf>
    <xf numFmtId="0" fontId="6" fillId="0" borderId="38" xfId="5" applyFont="1" applyBorder="1" applyAlignment="1">
      <alignment horizontal="center" vertical="center"/>
    </xf>
    <xf numFmtId="0" fontId="6" fillId="0" borderId="39" xfId="5" applyFont="1" applyBorder="1" applyAlignment="1">
      <alignment horizontal="center" vertical="center"/>
    </xf>
    <xf numFmtId="0" fontId="6" fillId="0" borderId="42" xfId="4" applyFont="1" applyBorder="1" applyAlignment="1">
      <alignment horizontal="center" vertical="center"/>
    </xf>
    <xf numFmtId="0" fontId="6" fillId="0" borderId="43" xfId="4" applyFont="1" applyBorder="1" applyAlignment="1">
      <alignment horizontal="center" vertical="center"/>
    </xf>
    <xf numFmtId="0" fontId="6" fillId="0" borderId="11" xfId="5" applyFont="1" applyBorder="1" applyAlignment="1">
      <alignment horizontal="center" vertical="center"/>
    </xf>
    <xf numFmtId="0" fontId="6" fillId="0" borderId="12" xfId="5" applyFont="1" applyBorder="1" applyAlignment="1">
      <alignment horizontal="center" vertical="center"/>
    </xf>
    <xf numFmtId="0" fontId="20" fillId="2" borderId="11" xfId="4" applyFont="1" applyFill="1" applyBorder="1" applyAlignment="1">
      <alignment horizontal="center" vertical="center"/>
    </xf>
    <xf numFmtId="0" fontId="20" fillId="2" borderId="13" xfId="4" applyFont="1" applyFill="1" applyBorder="1" applyAlignment="1">
      <alignment horizontal="center" vertical="center"/>
    </xf>
    <xf numFmtId="0" fontId="20" fillId="2" borderId="12" xfId="4" applyFont="1" applyFill="1" applyBorder="1" applyAlignment="1">
      <alignment horizontal="center" vertical="center"/>
    </xf>
    <xf numFmtId="0" fontId="20" fillId="4" borderId="11" xfId="4" applyFont="1" applyFill="1" applyBorder="1" applyAlignment="1">
      <alignment horizontal="center" vertical="center"/>
    </xf>
    <xf numFmtId="0" fontId="20" fillId="4" borderId="13" xfId="4" applyFont="1" applyFill="1" applyBorder="1" applyAlignment="1">
      <alignment horizontal="center" vertical="center"/>
    </xf>
    <xf numFmtId="0" fontId="20" fillId="4" borderId="12" xfId="4" applyFont="1" applyFill="1" applyBorder="1" applyAlignment="1">
      <alignment horizontal="center" vertical="center"/>
    </xf>
    <xf numFmtId="0" fontId="6" fillId="0" borderId="14" xfId="5" applyFont="1" applyBorder="1" applyAlignment="1">
      <alignment horizontal="center" vertical="center"/>
    </xf>
    <xf numFmtId="0" fontId="6" fillId="0" borderId="15" xfId="5" applyFont="1" applyBorder="1" applyAlignment="1">
      <alignment horizontal="center" vertical="center"/>
    </xf>
    <xf numFmtId="0" fontId="6" fillId="0" borderId="19" xfId="5" applyFont="1" applyBorder="1" applyAlignment="1">
      <alignment horizontal="center" vertical="center"/>
    </xf>
    <xf numFmtId="0" fontId="6" fillId="0" borderId="20" xfId="5" applyFont="1" applyBorder="1" applyAlignment="1">
      <alignment horizontal="center" vertical="center"/>
    </xf>
    <xf numFmtId="0" fontId="2" fillId="0" borderId="24" xfId="5" applyFont="1" applyBorder="1" applyAlignment="1">
      <alignment horizontal="center" vertical="center" textRotation="255"/>
    </xf>
    <xf numFmtId="0" fontId="2" fillId="0" borderId="30" xfId="5" applyFont="1" applyBorder="1" applyAlignment="1">
      <alignment horizontal="center" vertical="center" textRotation="255"/>
    </xf>
    <xf numFmtId="0" fontId="2" fillId="0" borderId="31" xfId="5" applyFont="1" applyBorder="1" applyAlignment="1">
      <alignment horizontal="center" vertical="center" textRotation="255"/>
    </xf>
    <xf numFmtId="0" fontId="6" fillId="0" borderId="24" xfId="5" applyFont="1" applyBorder="1" applyAlignment="1">
      <alignment horizontal="center" vertical="center" wrapText="1"/>
    </xf>
    <xf numFmtId="0" fontId="6" fillId="0" borderId="31" xfId="5" applyFont="1" applyBorder="1" applyAlignment="1">
      <alignment horizontal="center" vertical="center" wrapText="1"/>
    </xf>
    <xf numFmtId="0" fontId="17" fillId="0" borderId="2" xfId="5" applyFont="1" applyBorder="1" applyAlignment="1">
      <alignment horizontal="center" vertical="center"/>
    </xf>
    <xf numFmtId="0" fontId="17" fillId="0" borderId="3" xfId="5" applyFont="1" applyBorder="1" applyAlignment="1">
      <alignment horizontal="center" vertical="center"/>
    </xf>
    <xf numFmtId="177" fontId="17" fillId="5" borderId="2" xfId="5" applyNumberFormat="1" applyFont="1" applyFill="1" applyBorder="1" applyAlignment="1">
      <alignment horizontal="center" vertical="center"/>
    </xf>
    <xf numFmtId="177" fontId="17" fillId="5" borderId="3" xfId="5" applyNumberFormat="1" applyFont="1" applyFill="1" applyBorder="1" applyAlignment="1">
      <alignment horizontal="center" vertical="center"/>
    </xf>
    <xf numFmtId="177" fontId="17" fillId="5" borderId="2" xfId="6" applyNumberFormat="1" applyFont="1" applyFill="1" applyBorder="1" applyAlignment="1">
      <alignment horizontal="center" vertical="center"/>
    </xf>
    <xf numFmtId="177" fontId="17" fillId="5" borderId="3" xfId="6" applyNumberFormat="1" applyFont="1" applyFill="1" applyBorder="1" applyAlignment="1">
      <alignment horizontal="center" vertical="center"/>
    </xf>
    <xf numFmtId="180" fontId="17" fillId="0" borderId="2" xfId="5" applyNumberFormat="1" applyFont="1" applyBorder="1" applyAlignment="1">
      <alignment horizontal="center" vertical="center"/>
    </xf>
    <xf numFmtId="180" fontId="17" fillId="0" borderId="3" xfId="5" applyNumberFormat="1" applyFont="1" applyBorder="1" applyAlignment="1">
      <alignment horizontal="center" vertical="center"/>
    </xf>
    <xf numFmtId="180" fontId="17" fillId="0" borderId="2" xfId="3" applyNumberFormat="1" applyFont="1" applyFill="1" applyBorder="1" applyAlignment="1">
      <alignment horizontal="center" vertical="center"/>
    </xf>
    <xf numFmtId="180" fontId="17" fillId="0" borderId="3" xfId="3" applyNumberFormat="1" applyFont="1" applyFill="1" applyBorder="1" applyAlignment="1">
      <alignment horizontal="center" vertical="center"/>
    </xf>
    <xf numFmtId="0" fontId="5" fillId="0" borderId="2" xfId="5" applyFont="1" applyBorder="1" applyAlignment="1">
      <alignment horizontal="center" vertical="center"/>
    </xf>
    <xf numFmtId="0" fontId="5" fillId="0" borderId="3" xfId="5" applyFont="1" applyBorder="1" applyAlignment="1">
      <alignment horizontal="center" vertical="center"/>
    </xf>
    <xf numFmtId="182" fontId="2" fillId="2" borderId="2" xfId="6" applyNumberFormat="1" applyFont="1" applyFill="1" applyBorder="1" applyAlignment="1">
      <alignment horizontal="center" vertical="center"/>
    </xf>
    <xf numFmtId="182" fontId="2" fillId="2" borderId="3" xfId="6" applyNumberFormat="1" applyFont="1" applyFill="1" applyBorder="1" applyAlignment="1">
      <alignment horizontal="center" vertical="center"/>
    </xf>
    <xf numFmtId="182" fontId="2" fillId="4" borderId="2" xfId="6" applyNumberFormat="1" applyFont="1" applyFill="1" applyBorder="1" applyAlignment="1">
      <alignment horizontal="center" vertical="center"/>
    </xf>
    <xf numFmtId="182" fontId="2" fillId="4" borderId="3" xfId="6" applyNumberFormat="1" applyFont="1" applyFill="1" applyBorder="1" applyAlignment="1">
      <alignment horizontal="center" vertical="center"/>
    </xf>
    <xf numFmtId="177" fontId="5" fillId="0" borderId="2" xfId="5" applyNumberFormat="1" applyFont="1" applyBorder="1" applyAlignment="1">
      <alignment horizontal="center" vertical="center"/>
    </xf>
    <xf numFmtId="177" fontId="5" fillId="0" borderId="3" xfId="5" applyNumberFormat="1" applyFont="1" applyBorder="1" applyAlignment="1">
      <alignment horizontal="center" vertical="center"/>
    </xf>
    <xf numFmtId="177" fontId="5" fillId="0" borderId="2" xfId="6" applyNumberFormat="1" applyFont="1" applyBorder="1" applyAlignment="1">
      <alignment horizontal="center" vertical="center"/>
    </xf>
    <xf numFmtId="177" fontId="5" fillId="0" borderId="3" xfId="6" applyNumberFormat="1" applyFont="1" applyBorder="1" applyAlignment="1">
      <alignment horizontal="center" vertical="center"/>
    </xf>
    <xf numFmtId="0" fontId="13" fillId="0" borderId="0" xfId="4" applyFont="1" applyAlignment="1">
      <alignment horizontal="center" vertical="center"/>
    </xf>
    <xf numFmtId="0" fontId="13" fillId="0" borderId="9" xfId="4" applyFont="1" applyBorder="1" applyAlignment="1">
      <alignment horizontal="center" vertical="center"/>
    </xf>
    <xf numFmtId="0" fontId="15" fillId="12" borderId="2" xfId="5" applyFont="1" applyFill="1" applyBorder="1" applyAlignment="1">
      <alignment horizontal="center" vertical="center"/>
    </xf>
    <xf numFmtId="0" fontId="15" fillId="12" borderId="3" xfId="5" applyFont="1" applyFill="1" applyBorder="1" applyAlignment="1">
      <alignment horizontal="center" vertical="center"/>
    </xf>
    <xf numFmtId="182" fontId="5" fillId="0" borderId="2" xfId="6" applyNumberFormat="1" applyFont="1" applyBorder="1" applyAlignment="1">
      <alignment horizontal="center" vertical="center"/>
    </xf>
    <xf numFmtId="182" fontId="5" fillId="0" borderId="3" xfId="6" applyNumberFormat="1" applyFont="1" applyBorder="1" applyAlignment="1">
      <alignment horizontal="center" vertical="center"/>
    </xf>
    <xf numFmtId="183" fontId="5" fillId="0" borderId="2" xfId="6" applyNumberFormat="1" applyFont="1" applyBorder="1" applyAlignment="1">
      <alignment horizontal="center" vertical="center"/>
    </xf>
    <xf numFmtId="183" fontId="5" fillId="0" borderId="3" xfId="6" applyNumberFormat="1" applyFont="1" applyBorder="1" applyAlignment="1">
      <alignment horizontal="center" vertical="center"/>
    </xf>
    <xf numFmtId="0" fontId="5" fillId="0" borderId="4" xfId="5" applyFont="1" applyBorder="1" applyAlignment="1">
      <alignment horizontal="center" vertical="center"/>
    </xf>
    <xf numFmtId="0" fontId="5" fillId="0" borderId="8" xfId="5" applyFont="1" applyBorder="1" applyAlignment="1">
      <alignment horizontal="center" vertical="center"/>
    </xf>
    <xf numFmtId="0" fontId="5" fillId="0" borderId="5" xfId="5" applyFont="1" applyBorder="1" applyAlignment="1">
      <alignment horizontal="center" vertical="center"/>
    </xf>
    <xf numFmtId="0" fontId="16" fillId="0" borderId="2" xfId="5" applyFont="1" applyBorder="1" applyAlignment="1">
      <alignment horizontal="center" vertical="center"/>
    </xf>
    <xf numFmtId="0" fontId="16" fillId="0" borderId="3" xfId="5" applyFont="1" applyBorder="1" applyAlignment="1">
      <alignment horizontal="center" vertical="center"/>
    </xf>
    <xf numFmtId="0" fontId="6" fillId="0" borderId="1" xfId="8" applyFont="1" applyBorder="1" applyAlignment="1">
      <alignment horizontal="center" vertical="center"/>
    </xf>
    <xf numFmtId="0" fontId="6" fillId="0" borderId="1" xfId="8" applyFont="1" applyFill="1" applyBorder="1" applyAlignment="1">
      <alignment horizontal="left" vertical="center"/>
    </xf>
    <xf numFmtId="0" fontId="6" fillId="0" borderId="2" xfId="8" applyFont="1" applyFill="1" applyBorder="1" applyAlignment="1"/>
    <xf numFmtId="0" fontId="6" fillId="0" borderId="3" xfId="8" applyFont="1" applyFill="1" applyBorder="1" applyAlignment="1"/>
    <xf numFmtId="0" fontId="10" fillId="5" borderId="4" xfId="8" applyFont="1" applyFill="1" applyBorder="1" applyAlignment="1">
      <alignment horizontal="center" vertical="center" wrapText="1"/>
    </xf>
    <xf numFmtId="0" fontId="10" fillId="5" borderId="8" xfId="8" applyFont="1" applyFill="1" applyBorder="1" applyAlignment="1">
      <alignment horizontal="center" vertical="center" wrapText="1"/>
    </xf>
    <xf numFmtId="0" fontId="10" fillId="5" borderId="5" xfId="8" applyFont="1" applyFill="1" applyBorder="1" applyAlignment="1">
      <alignment horizontal="center" vertical="center" wrapText="1"/>
    </xf>
    <xf numFmtId="180" fontId="6" fillId="0" borderId="1" xfId="3" applyNumberFormat="1" applyFont="1" applyBorder="1" applyAlignment="1">
      <alignment horizontal="center" vertical="center"/>
    </xf>
    <xf numFmtId="0" fontId="6" fillId="0" borderId="2" xfId="8" applyFont="1" applyFill="1" applyBorder="1" applyAlignment="1">
      <alignment horizontal="left" vertical="center"/>
    </xf>
    <xf numFmtId="0" fontId="6" fillId="0" borderId="3" xfId="8" applyFont="1" applyFill="1" applyBorder="1" applyAlignment="1">
      <alignment horizontal="left" vertical="center"/>
    </xf>
    <xf numFmtId="0" fontId="6" fillId="0" borderId="2" xfId="8" applyFont="1" applyBorder="1" applyAlignment="1">
      <alignment horizontal="center" vertical="center"/>
    </xf>
    <xf numFmtId="0" fontId="6" fillId="0" borderId="3" xfId="8" applyFont="1" applyBorder="1" applyAlignment="1">
      <alignment horizontal="center" vertical="center"/>
    </xf>
    <xf numFmtId="0" fontId="6" fillId="0" borderId="1" xfId="8" applyFont="1" applyFill="1" applyBorder="1" applyAlignment="1"/>
    <xf numFmtId="0" fontId="6" fillId="11" borderId="1" xfId="8" applyFont="1" applyFill="1" applyBorder="1" applyAlignment="1">
      <alignment horizontal="center" vertical="center" wrapText="1"/>
    </xf>
    <xf numFmtId="0" fontId="6" fillId="11" borderId="1" xfId="8" applyFont="1" applyFill="1" applyBorder="1" applyAlignment="1">
      <alignment horizontal="center" vertical="center"/>
    </xf>
    <xf numFmtId="0" fontId="6" fillId="6" borderId="1" xfId="8" applyFont="1" applyFill="1" applyBorder="1" applyAlignment="1">
      <alignment horizontal="center" vertical="center" wrapText="1"/>
    </xf>
    <xf numFmtId="0" fontId="6" fillId="6" borderId="1" xfId="8" applyFont="1" applyFill="1" applyBorder="1" applyAlignment="1">
      <alignment horizontal="center" vertical="center"/>
    </xf>
    <xf numFmtId="0" fontId="6" fillId="4" borderId="4" xfId="8" applyFont="1" applyFill="1" applyBorder="1" applyAlignment="1">
      <alignment horizontal="center" vertical="center" wrapText="1"/>
    </xf>
    <xf numFmtId="0" fontId="6" fillId="4" borderId="8" xfId="8" applyFont="1" applyFill="1" applyBorder="1" applyAlignment="1">
      <alignment horizontal="center" vertical="center" wrapText="1"/>
    </xf>
    <xf numFmtId="0" fontId="6" fillId="4" borderId="5" xfId="8" applyFont="1" applyFill="1" applyBorder="1" applyAlignment="1">
      <alignment horizontal="center" vertical="center" wrapText="1"/>
    </xf>
    <xf numFmtId="180" fontId="6" fillId="0" borderId="4" xfId="3" applyNumberFormat="1" applyFont="1" applyBorder="1" applyAlignment="1">
      <alignment horizontal="center" vertical="center"/>
    </xf>
    <xf numFmtId="180" fontId="6" fillId="0" borderId="8" xfId="3" applyNumberFormat="1" applyFont="1" applyBorder="1" applyAlignment="1">
      <alignment horizontal="center" vertical="center"/>
    </xf>
    <xf numFmtId="180" fontId="6" fillId="0" borderId="5" xfId="3" applyNumberFormat="1" applyFont="1" applyBorder="1" applyAlignment="1">
      <alignment horizontal="center" vertical="center"/>
    </xf>
    <xf numFmtId="0" fontId="6" fillId="10" borderId="1" xfId="8" applyFont="1" applyFill="1" applyBorder="1" applyAlignment="1">
      <alignment horizontal="center" vertical="center" wrapText="1"/>
    </xf>
    <xf numFmtId="0" fontId="6" fillId="10" borderId="1" xfId="8" applyFont="1" applyFill="1" applyBorder="1" applyAlignment="1">
      <alignment horizontal="center" vertical="center"/>
    </xf>
    <xf numFmtId="0" fontId="6" fillId="0" borderId="1" xfId="8" applyFont="1" applyFill="1" applyBorder="1" applyAlignment="1">
      <alignment horizontal="left"/>
    </xf>
    <xf numFmtId="0" fontId="6" fillId="0" borderId="2" xfId="8" applyFont="1" applyFill="1" applyBorder="1" applyAlignment="1">
      <alignment horizontal="left"/>
    </xf>
    <xf numFmtId="0" fontId="6" fillId="0" borderId="3" xfId="8" applyFont="1" applyFill="1" applyBorder="1" applyAlignment="1">
      <alignment horizontal="left"/>
    </xf>
    <xf numFmtId="0" fontId="6" fillId="9" borderId="1" xfId="8" applyFont="1" applyFill="1" applyBorder="1" applyAlignment="1">
      <alignment horizontal="center" vertical="center" wrapText="1"/>
    </xf>
    <xf numFmtId="0" fontId="6" fillId="8" borderId="6" xfId="8" applyFont="1" applyFill="1" applyBorder="1" applyAlignment="1">
      <alignment horizontal="center" vertical="center" wrapText="1"/>
    </xf>
    <xf numFmtId="0" fontId="6" fillId="8" borderId="7" xfId="8" applyFont="1" applyFill="1" applyBorder="1" applyAlignment="1">
      <alignment horizontal="center" vertical="center" wrapText="1"/>
    </xf>
    <xf numFmtId="0" fontId="6" fillId="0" borderId="2" xfId="2" applyFont="1" applyFill="1" applyBorder="1" applyAlignment="1">
      <alignment horizontal="left"/>
    </xf>
    <xf numFmtId="0" fontId="6" fillId="0" borderId="3" xfId="2" applyFont="1" applyFill="1" applyBorder="1" applyAlignment="1">
      <alignment horizontal="left"/>
    </xf>
    <xf numFmtId="0" fontId="6" fillId="7" borderId="1" xfId="8" applyFont="1" applyFill="1" applyBorder="1" applyAlignment="1">
      <alignment horizontal="center" vertical="center" wrapText="1"/>
    </xf>
    <xf numFmtId="0" fontId="6" fillId="7" borderId="1" xfId="8" applyFont="1" applyFill="1" applyBorder="1" applyAlignment="1">
      <alignment horizontal="center" vertical="center"/>
    </xf>
    <xf numFmtId="0" fontId="10" fillId="5" borderId="1" xfId="8" applyFont="1" applyFill="1" applyBorder="1" applyAlignment="1">
      <alignment horizontal="center" vertical="center" wrapText="1"/>
    </xf>
    <xf numFmtId="0" fontId="6" fillId="2" borderId="1" xfId="8" applyFont="1" applyFill="1" applyBorder="1" applyAlignment="1">
      <alignment horizontal="center" vertical="center" wrapText="1"/>
    </xf>
    <xf numFmtId="0" fontId="6" fillId="2" borderId="1" xfId="8" applyFont="1" applyFill="1" applyBorder="1" applyAlignment="1">
      <alignment horizontal="center" vertical="center"/>
    </xf>
    <xf numFmtId="0" fontId="6" fillId="0" borderId="1" xfId="2" applyFont="1" applyFill="1" applyBorder="1" applyAlignment="1">
      <alignment horizontal="left"/>
    </xf>
    <xf numFmtId="0" fontId="6" fillId="0" borderId="1" xfId="8" applyFont="1" applyBorder="1" applyAlignment="1">
      <alignment horizontal="center" vertical="center" wrapText="1"/>
    </xf>
    <xf numFmtId="0" fontId="5" fillId="0" borderId="1" xfId="8" applyFont="1" applyBorder="1" applyAlignment="1">
      <alignment horizontal="center" vertical="center" wrapText="1"/>
    </xf>
    <xf numFmtId="0" fontId="5" fillId="0" borderId="1" xfId="8" applyFont="1" applyBorder="1" applyAlignment="1">
      <alignment horizontal="center" vertical="center"/>
    </xf>
    <xf numFmtId="0" fontId="6" fillId="3" borderId="1" xfId="8" applyFont="1" applyFill="1" applyBorder="1" applyAlignment="1">
      <alignment horizontal="center" vertical="center"/>
    </xf>
    <xf numFmtId="0" fontId="6" fillId="5" borderId="1" xfId="8" applyFont="1" applyFill="1" applyBorder="1" applyAlignment="1">
      <alignment horizontal="center" vertical="center"/>
    </xf>
    <xf numFmtId="0" fontId="6" fillId="4" borderId="1" xfId="8" applyFont="1" applyFill="1" applyBorder="1" applyAlignment="1">
      <alignment horizontal="center" vertical="center"/>
    </xf>
    <xf numFmtId="0" fontId="6" fillId="0" borderId="1" xfId="8" applyFont="1" applyFill="1" applyBorder="1" applyAlignment="1">
      <alignment horizontal="center" vertical="center"/>
    </xf>
    <xf numFmtId="0" fontId="6" fillId="0" borderId="4" xfId="8" applyFont="1" applyBorder="1" applyAlignment="1">
      <alignment horizontal="center" vertical="center"/>
    </xf>
    <xf numFmtId="0" fontId="6" fillId="0" borderId="5" xfId="8" applyFont="1" applyBorder="1" applyAlignment="1">
      <alignment horizontal="center" vertical="center"/>
    </xf>
    <xf numFmtId="0" fontId="8" fillId="0" borderId="1" xfId="8" applyFont="1" applyBorder="1" applyAlignment="1">
      <alignment horizontal="center" vertical="center"/>
    </xf>
    <xf numFmtId="0" fontId="2" fillId="0" borderId="1" xfId="8" applyFont="1" applyBorder="1" applyAlignment="1">
      <alignment horizontal="center" vertical="center"/>
    </xf>
    <xf numFmtId="0" fontId="6" fillId="0" borderId="4" xfId="8" applyFont="1" applyFill="1" applyBorder="1" applyAlignment="1">
      <alignment horizontal="center" vertical="center"/>
    </xf>
    <xf numFmtId="0" fontId="6" fillId="0" borderId="5" xfId="8" applyFont="1" applyFill="1" applyBorder="1" applyAlignment="1">
      <alignment horizontal="center" vertical="center"/>
    </xf>
    <xf numFmtId="0" fontId="6" fillId="0" borderId="1" xfId="8" applyFont="1" applyFill="1" applyBorder="1" applyAlignment="1">
      <alignment horizontal="center" vertical="center" wrapText="1"/>
    </xf>
  </cellXfs>
  <cellStyles count="9">
    <cellStyle name="一般" xfId="0" builtinId="0"/>
    <cellStyle name="一般 2 2" xfId="1"/>
    <cellStyle name="一般 2 2 2" xfId="5"/>
    <cellStyle name="一般 2 2 29" xfId="7"/>
    <cellStyle name="一般 2 2 7" xfId="8"/>
    <cellStyle name="一般 2 4" xfId="2"/>
    <cellStyle name="一般 3" xfId="4"/>
    <cellStyle name="千分位 2" xfId="6"/>
    <cellStyle name="百分比 2" xfId="3"/>
  </cellStyles>
  <dxfs count="2001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theme" Target="theme/theme1.xml"/><Relationship Id="rId68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tyles" Target="styles.xml"/><Relationship Id="rId69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customXml" Target="../customXml/item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tabSelected="1" zoomScale="85" zoomScaleNormal="85" workbookViewId="0">
      <selection activeCell="E8" sqref="E8:F8"/>
    </sheetView>
  </sheetViews>
  <sheetFormatPr defaultColWidth="8.75" defaultRowHeight="15.75"/>
  <cols>
    <col min="1" max="1" width="8.75" style="2"/>
    <col min="2" max="2" width="17.875" style="2" customWidth="1"/>
    <col min="3" max="3" width="9.25" style="9" customWidth="1"/>
    <col min="4" max="13" width="12.625" style="2" customWidth="1"/>
    <col min="14" max="14" width="11" style="2" bestFit="1" customWidth="1"/>
    <col min="15" max="15" width="17.75" style="2" bestFit="1" customWidth="1"/>
    <col min="16" max="16" width="12.25" style="2" bestFit="1" customWidth="1"/>
    <col min="17" max="22" width="9.25" style="2" customWidth="1"/>
    <col min="23" max="23" width="10.75" style="2" customWidth="1"/>
    <col min="24" max="24" width="11" style="2" customWidth="1"/>
    <col min="25" max="16384" width="8.75" style="2"/>
  </cols>
  <sheetData>
    <row r="1" spans="2:17" ht="27.75" customHeight="1">
      <c r="B1" s="546" t="s">
        <v>2213</v>
      </c>
      <c r="C1" s="546"/>
      <c r="D1" s="546"/>
      <c r="E1" s="546"/>
      <c r="F1" s="546"/>
      <c r="G1" s="546"/>
      <c r="H1" s="546"/>
      <c r="I1" s="546"/>
      <c r="J1" s="546"/>
      <c r="K1" s="1"/>
      <c r="L1" s="1"/>
      <c r="M1" s="1"/>
      <c r="N1" s="1"/>
      <c r="O1" s="1"/>
      <c r="P1" s="1"/>
    </row>
    <row r="2" spans="2:17" ht="27.75" customHeight="1">
      <c r="B2" s="547"/>
      <c r="C2" s="547"/>
      <c r="D2" s="547"/>
      <c r="E2" s="547"/>
      <c r="F2" s="547"/>
      <c r="G2" s="547"/>
      <c r="H2" s="547"/>
      <c r="I2" s="547"/>
      <c r="J2" s="547"/>
      <c r="K2" s="3"/>
      <c r="L2" s="3"/>
      <c r="M2" s="3"/>
      <c r="N2" s="1"/>
      <c r="O2" s="1"/>
      <c r="P2" s="1"/>
    </row>
    <row r="3" spans="2:17" ht="46.5" customHeight="1">
      <c r="B3" s="4" t="s">
        <v>2214</v>
      </c>
      <c r="C3" s="548" t="str">
        <f>TEXT('1231 4度C'!A2,"yyyy.mm.ddaaaa")</f>
        <v>2025.12.31星期三</v>
      </c>
      <c r="D3" s="549"/>
      <c r="E3" s="4" t="s">
        <v>104</v>
      </c>
      <c r="F3" s="550">
        <f>'1231 4度C'!D1</f>
        <v>128248</v>
      </c>
      <c r="G3" s="551"/>
      <c r="H3" s="4" t="s">
        <v>105</v>
      </c>
      <c r="I3" s="552">
        <f>'1231 4度C'!F1</f>
        <v>4527463.78</v>
      </c>
      <c r="J3" s="553"/>
      <c r="K3" s="5"/>
      <c r="L3" s="6"/>
      <c r="M3" s="7"/>
      <c r="N3" s="7"/>
    </row>
    <row r="4" spans="2:17" ht="28.5" customHeight="1">
      <c r="B4" s="554" t="s">
        <v>2215</v>
      </c>
      <c r="C4" s="536" t="s">
        <v>2216</v>
      </c>
      <c r="D4" s="537"/>
      <c r="E4" s="557" t="s">
        <v>2217</v>
      </c>
      <c r="F4" s="558"/>
      <c r="G4" s="557" t="s">
        <v>2218</v>
      </c>
      <c r="H4" s="558"/>
      <c r="I4" s="557" t="s">
        <v>2219</v>
      </c>
      <c r="J4" s="558"/>
      <c r="L4" s="7"/>
      <c r="M4" s="7"/>
      <c r="N4" s="7"/>
    </row>
    <row r="5" spans="2:17" ht="28.5" customHeight="1">
      <c r="B5" s="555"/>
      <c r="C5" s="536" t="s">
        <v>2220</v>
      </c>
      <c r="D5" s="537"/>
      <c r="E5" s="536" t="s">
        <v>2221</v>
      </c>
      <c r="F5" s="537"/>
      <c r="G5" s="538" t="s">
        <v>2222</v>
      </c>
      <c r="H5" s="539"/>
      <c r="I5" s="540" t="s">
        <v>2223</v>
      </c>
      <c r="J5" s="541"/>
      <c r="K5" s="7"/>
      <c r="L5" s="7"/>
      <c r="M5" s="7"/>
      <c r="N5" s="7"/>
    </row>
    <row r="6" spans="2:17" ht="28.5" customHeight="1">
      <c r="B6" s="555"/>
      <c r="C6" s="536" t="s">
        <v>46</v>
      </c>
      <c r="D6" s="537"/>
      <c r="E6" s="542">
        <f>AVERAGE(D13:M13)</f>
        <v>147.54091110015466</v>
      </c>
      <c r="F6" s="543">
        <f>AVERAGE(D27:O27,D13:J13)</f>
        <v>151.35637109799907</v>
      </c>
      <c r="G6" s="544">
        <f>AVERAGE(D13:J13)</f>
        <v>151.35637109799907</v>
      </c>
      <c r="H6" s="545"/>
      <c r="I6" s="544">
        <f>AVERAGE(K13:M13)</f>
        <v>138.63817110518434</v>
      </c>
      <c r="J6" s="545"/>
      <c r="K6" s="7"/>
      <c r="L6" s="7"/>
      <c r="M6" s="7"/>
      <c r="N6" s="7"/>
    </row>
    <row r="7" spans="2:17" ht="28.5" customHeight="1">
      <c r="B7" s="555"/>
      <c r="C7" s="526" t="s">
        <v>47</v>
      </c>
      <c r="D7" s="527"/>
      <c r="E7" s="528">
        <f>AVERAGE(D14:M14)</f>
        <v>140.96861088354814</v>
      </c>
      <c r="F7" s="529">
        <f>AVERAGE(D28:O28,D14:J14)</f>
        <v>144.57472230056945</v>
      </c>
      <c r="G7" s="530">
        <f>AVERAGE(D14:J14)</f>
        <v>144.57472230056945</v>
      </c>
      <c r="H7" s="531"/>
      <c r="I7" s="530">
        <f>AVERAGE(K14:M14)</f>
        <v>132.55435091049836</v>
      </c>
      <c r="J7" s="531"/>
      <c r="K7" s="7"/>
      <c r="L7" s="7"/>
      <c r="M7" s="7"/>
      <c r="N7" s="7"/>
    </row>
    <row r="8" spans="2:17" ht="28.5" customHeight="1">
      <c r="B8" s="556"/>
      <c r="C8" s="526" t="s">
        <v>48</v>
      </c>
      <c r="D8" s="527"/>
      <c r="E8" s="532">
        <f>AVERAGE(D15:M15)</f>
        <v>0.95275972386531449</v>
      </c>
      <c r="F8" s="533">
        <f>AVERAGE(D15:J15,D29:O29)</f>
        <v>0.95132001216868833</v>
      </c>
      <c r="G8" s="534">
        <f>AVERAGE(D15:J15)</f>
        <v>0.95132001216868833</v>
      </c>
      <c r="H8" s="535"/>
      <c r="I8" s="534">
        <f>AVERAGE(K15:M15)</f>
        <v>0.95611905115744256</v>
      </c>
      <c r="J8" s="535"/>
      <c r="K8" s="8" t="s">
        <v>2224</v>
      </c>
      <c r="L8" s="7"/>
      <c r="M8" s="7"/>
      <c r="N8" s="7"/>
    </row>
    <row r="9" spans="2:17" ht="28.5" customHeight="1" thickBot="1">
      <c r="H9" s="10"/>
      <c r="N9" s="7"/>
      <c r="O9" s="7"/>
      <c r="P9" s="7"/>
      <c r="Q9" s="7"/>
    </row>
    <row r="10" spans="2:17" ht="30" customHeight="1">
      <c r="B10" s="509" t="s">
        <v>2225</v>
      </c>
      <c r="C10" s="510"/>
      <c r="D10" s="511" t="s">
        <v>2226</v>
      </c>
      <c r="E10" s="512"/>
      <c r="F10" s="512"/>
      <c r="G10" s="512"/>
      <c r="H10" s="512"/>
      <c r="I10" s="512"/>
      <c r="J10" s="513"/>
      <c r="K10" s="514" t="s">
        <v>2227</v>
      </c>
      <c r="L10" s="515"/>
      <c r="M10" s="516"/>
      <c r="P10" s="11"/>
      <c r="Q10" s="11"/>
    </row>
    <row r="11" spans="2:17" ht="17.25" customHeight="1">
      <c r="B11" s="517" t="s">
        <v>2228</v>
      </c>
      <c r="C11" s="518"/>
      <c r="D11" s="12">
        <v>1</v>
      </c>
      <c r="E11" s="13">
        <v>2</v>
      </c>
      <c r="F11" s="13">
        <v>3</v>
      </c>
      <c r="G11" s="13">
        <v>4</v>
      </c>
      <c r="H11" s="13">
        <v>5</v>
      </c>
      <c r="I11" s="13">
        <v>6</v>
      </c>
      <c r="J11" s="14">
        <v>7</v>
      </c>
      <c r="K11" s="12">
        <v>1</v>
      </c>
      <c r="L11" s="13">
        <v>2</v>
      </c>
      <c r="M11" s="14">
        <v>3</v>
      </c>
      <c r="P11" s="11"/>
      <c r="Q11" s="11"/>
    </row>
    <row r="12" spans="2:17" ht="34.15" customHeight="1">
      <c r="B12" s="519"/>
      <c r="C12" s="520"/>
      <c r="D12" s="15" t="s">
        <v>49</v>
      </c>
      <c r="E12" s="16" t="s">
        <v>50</v>
      </c>
      <c r="F12" s="16" t="s">
        <v>51</v>
      </c>
      <c r="G12" s="16" t="s">
        <v>52</v>
      </c>
      <c r="H12" s="16" t="s">
        <v>53</v>
      </c>
      <c r="I12" s="16" t="s">
        <v>54</v>
      </c>
      <c r="J12" s="17" t="s">
        <v>55</v>
      </c>
      <c r="K12" s="15" t="s">
        <v>56</v>
      </c>
      <c r="L12" s="16" t="s">
        <v>57</v>
      </c>
      <c r="M12" s="17" t="s">
        <v>58</v>
      </c>
    </row>
    <row r="13" spans="2:17" ht="40.15" customHeight="1">
      <c r="B13" s="521" t="s">
        <v>2229</v>
      </c>
      <c r="C13" s="18" t="s">
        <v>2230</v>
      </c>
      <c r="D13" s="19">
        <f>SUMIFS('1231 4度C'!$K:$K,'1231 4度C'!$A:$A,"新豐6線",'1231 4度C'!$B:$B,"平均")</f>
        <v>115.38461538461539</v>
      </c>
      <c r="E13" s="20">
        <f>SUMIFS('1231 4度C'!$K:$K,'1231 4度C'!$A:$A,"新豐2線",'1231 4度C'!$B:$B,"平均")</f>
        <v>83.333333333333329</v>
      </c>
      <c r="F13" s="21">
        <f>SUMIFS('1231 4度C'!$K:$K,'1231 4度C'!$A:$A,"新豐5線",'1231 4度C'!$B:$B,"平均")</f>
        <v>108.20895522388059</v>
      </c>
      <c r="G13" s="21">
        <f>SUMIFS('1231 4度C'!$K:$K,'1231 4度C'!$A:$A,"新豐7線",'1231 4度C'!$B:$B,"平均")</f>
        <v>118.05555555555556</v>
      </c>
      <c r="H13" s="21">
        <f>SUMIFS('1231 4度C'!$K:$K,'1231 4度C'!$A:$A,"新豐3線",'1231 4度C'!$B:$B,"平均")</f>
        <v>235.29411764705881</v>
      </c>
      <c r="I13" s="21">
        <f>SUMIFS('1231 4度C'!$K:$K,'1231 4度C'!$A:$A,"新豐1線",'1231 4度C'!$B:$B,"平均")</f>
        <v>104.57516339869281</v>
      </c>
      <c r="J13" s="22">
        <f>SUMIFS('1231 4度C'!$K:$K,'1231 4度C'!$A:$A,"新豐10線",'1231 4度C'!$B:$B,"平均")</f>
        <v>294.64285714285711</v>
      </c>
      <c r="K13" s="23">
        <f>SUMIFS('1231 4度C'!$K:$K,'1231 4度C'!$A:$A,"新豐8線",'1231 4度C'!$B:$B,"平均")</f>
        <v>131.86813186813188</v>
      </c>
      <c r="L13" s="24">
        <f>SUMIFS('1231 4度C'!$K:$K,'1231 4度C'!$A:$A,"新豐9線",'1231 4度C'!$B:$B,"平均")</f>
        <v>137.70491803278691</v>
      </c>
      <c r="M13" s="22">
        <f>SUMIFS('1231 4度C'!$K:$K,'1231 4度C'!$A:$A,"新豐4線",'1231 4度C'!$B:$B,"平均")</f>
        <v>146.34146341463415</v>
      </c>
    </row>
    <row r="14" spans="2:17" ht="39.6" customHeight="1">
      <c r="B14" s="522"/>
      <c r="C14" s="25" t="s">
        <v>2231</v>
      </c>
      <c r="D14" s="26">
        <f>SUMIFS('1231 4度C'!$N:$N,'1231 4度C'!$A:$A,"新豐6線",'1231 4度C'!$B:$B,"平均")</f>
        <v>111.25531263161925</v>
      </c>
      <c r="E14" s="27">
        <f>SUMIFS('1231 4度C'!$N:$N,'1231 4度C'!$A:$A,"新豐2線",'1231 4度C'!$B:$B,"平均")</f>
        <v>79.764496820052386</v>
      </c>
      <c r="F14" s="27">
        <f>SUMIFS('1231 4度C'!$N:$N,'1231 4度C'!$A:$A,"新豐5線",'1231 4度C'!$B:$B,"平均")</f>
        <v>104.26674116050756</v>
      </c>
      <c r="G14" s="27">
        <f>SUMIFS('1231 4度C'!$N:$N,'1231 4度C'!$A:$A,"新豐7線",'1231 4度C'!$B:$B,"平均")</f>
        <v>113.30181234484333</v>
      </c>
      <c r="H14" s="27">
        <f>SUMIFS('1231 4度C'!$N:$N,'1231 4度C'!$A:$A,"新豐3線",'1231 4度C'!$B:$B,"平均")</f>
        <v>225.53905003256483</v>
      </c>
      <c r="I14" s="27">
        <f>SUMIFS('1231 4度C'!$N:$N,'1231 4度C'!$A:$A,"新豐1線",'1231 4度C'!$B:$B,"平均")</f>
        <v>92.964319341661337</v>
      </c>
      <c r="J14" s="28">
        <f>SUMIFS('1231 4度C'!$N:$N,'1231 4度C'!$A:$A,"新豐10線",'1231 4度C'!$B:$B,"平均")</f>
        <v>284.93132377273736</v>
      </c>
      <c r="K14" s="29">
        <f>SUMIFS('1231 4度C'!$N:$N,'1231 4度C'!$A:$A,"新豐8線",'1231 4度C'!$B:$B,"平均")</f>
        <v>126.23667473083438</v>
      </c>
      <c r="L14" s="30">
        <f>SUMIFS('1231 4度C'!$N:$N,'1231 4度C'!$A:$A,"新豐9線",'1231 4度C'!$B:$B,"平均")</f>
        <v>131.40272543763353</v>
      </c>
      <c r="M14" s="28">
        <f>SUMIFS('1231 4度C'!$N:$N,'1231 4度C'!$A:$A,"新豐4線",'1231 4度C'!$B:$B,"平均")</f>
        <v>140.02365256302716</v>
      </c>
    </row>
    <row r="15" spans="2:17" ht="40.15" customHeight="1">
      <c r="B15" s="523"/>
      <c r="C15" s="31" t="s">
        <v>2232</v>
      </c>
      <c r="D15" s="32">
        <f t="shared" ref="D15:M15" si="0">D14/D13</f>
        <v>0.96421270947403348</v>
      </c>
      <c r="E15" s="33">
        <f t="shared" si="0"/>
        <v>0.95717396184062864</v>
      </c>
      <c r="F15" s="33">
        <f t="shared" si="0"/>
        <v>0.96356850451779408</v>
      </c>
      <c r="G15" s="33">
        <f t="shared" si="0"/>
        <v>0.9597329986857317</v>
      </c>
      <c r="H15" s="33">
        <f t="shared" si="0"/>
        <v>0.95854096263840061</v>
      </c>
      <c r="I15" s="33">
        <f t="shared" si="0"/>
        <v>0.88897130370463651</v>
      </c>
      <c r="J15" s="34">
        <f t="shared" si="0"/>
        <v>0.96703964431959355</v>
      </c>
      <c r="K15" s="32">
        <f t="shared" si="0"/>
        <v>0.9572947833754939</v>
      </c>
      <c r="L15" s="33">
        <f t="shared" si="0"/>
        <v>0.95423407758281475</v>
      </c>
      <c r="M15" s="34">
        <f t="shared" si="0"/>
        <v>0.95682829251401891</v>
      </c>
    </row>
    <row r="16" spans="2:17" ht="17.25" customHeight="1">
      <c r="B16" s="524" t="s">
        <v>2233</v>
      </c>
      <c r="C16" s="35" t="s">
        <v>2234</v>
      </c>
      <c r="D16" s="49">
        <f>VLOOKUP("新豐6線",'1231 4度C'!$A:$T,19,0)</f>
        <v>0.70833333333333337</v>
      </c>
      <c r="E16" s="50">
        <f>VLOOKUP("新豐2線",'1231 4度C'!$A:$T,19,0)</f>
        <v>0.16666666666666666</v>
      </c>
      <c r="F16" s="50">
        <f>VLOOKUP("新豐5線",'1231 4度C'!$A:$T,19,0)</f>
        <v>0.20833333333333334</v>
      </c>
      <c r="G16" s="50">
        <f>VLOOKUP("新豐7線",'1231 4度C'!$A:$T,19,0)</f>
        <v>0.20833333333333334</v>
      </c>
      <c r="H16" s="50">
        <f>VLOOKUP("新豐3線",'1231 4度C'!$A:$T,19,0)</f>
        <v>8.3333333333333329E-2</v>
      </c>
      <c r="I16" s="50">
        <f>VLOOKUP("新豐1線",'1231 4度C'!$A:$T,19,0)</f>
        <v>0.20833333333333334</v>
      </c>
      <c r="J16" s="51">
        <f>VLOOKUP("新豐10線",'1231 4度C'!$A:$T,19,0)</f>
        <v>0.20833333333333334</v>
      </c>
      <c r="K16" s="36">
        <f>VLOOKUP("新豐8線",'1231 4度C'!$A:$T,19,0)</f>
        <v>8.3333333333333329E-2</v>
      </c>
      <c r="L16" s="37">
        <f>VLOOKUP("新豐9線",'1231 4度C'!$A:$T,19,0)</f>
        <v>8.3333333333333329E-2</v>
      </c>
      <c r="M16" s="38">
        <f>VLOOKUP("新豐4線",'1231 4度C'!$A:$T,19,0)</f>
        <v>8.3333333333333329E-2</v>
      </c>
    </row>
    <row r="17" spans="2:13" ht="17.25" customHeight="1">
      <c r="B17" s="525"/>
      <c r="C17" s="35" t="s">
        <v>2235</v>
      </c>
      <c r="D17" s="36">
        <f>LOOKUP(2,1/(('1231 4度C'!$A:$A="新豐6線")*('1231 4度C'!$T:$T&lt;&gt;"")),'1231 4度C'!$T:$T)</f>
        <v>0.80763888888888891</v>
      </c>
      <c r="E17" s="50">
        <f>LOOKUP(2,1/(('1231 4度C'!$A:$A="新豐2線")*('1231 4度C'!$T:$T&lt;&gt;"")),'1231 4度C'!$T:$T)</f>
        <v>0.37569444444444439</v>
      </c>
      <c r="F17" s="50">
        <f>LOOKUP(2,1/(('1231 4度C'!$A:$A="新豐5線")*('1231 4度C'!$T:$T&lt;&gt;"")),'1231 4度C'!$T:$T)</f>
        <v>0.89722222222222225</v>
      </c>
      <c r="G17" s="50">
        <f>LOOKUP(2,1/(('1231 4度C'!$A:$A="新豐7線")*('1231 4度C'!$T:$T&lt;&gt;"")),'1231 4度C'!$T:$T)</f>
        <v>0.91805555555555551</v>
      </c>
      <c r="H17" s="50">
        <f>LOOKUP(2,1/(('1231 4度C'!$A:$A="新豐3線")*('1231 4度C'!$T:$T&lt;&gt;"")),'1231 4度C'!$T:$T)</f>
        <v>0.41527777777777775</v>
      </c>
      <c r="I17" s="50">
        <f>LOOKUP(2,1/(('1231 4度C'!$A:$A="新豐1線")*('1231 4度C'!$T:$T&lt;&gt;"")),'1231 4度C'!$T:$T)</f>
        <v>0.90902777777777777</v>
      </c>
      <c r="J17" s="51">
        <f>LOOKUP(2,1/(('1231 4度C'!$A:$A="新豐10線")*('1231 4度C'!$T:$T&lt;&gt;"")),'1231 4度C'!$T:$T)</f>
        <v>0.42777777777777765</v>
      </c>
      <c r="K17" s="49">
        <f>LOOKUP(2,1/(('1231 4度C'!$A:$A="新豐8線")*('1231 4度C'!$T:$T&lt;&gt;"")),'1231 4度C'!$T:$T)</f>
        <v>0.44583333333333336</v>
      </c>
      <c r="L17" s="50">
        <f>LOOKUP(2,1/(('1231 4度C'!$A:$A="新豐9線")*('1231 4度C'!$T:$T&lt;&gt;"")),'1231 4度C'!$T:$T)</f>
        <v>0.3979166666666667</v>
      </c>
      <c r="M17" s="51">
        <f>LOOKUP(2,1/(('1231 4度C'!$A:$A="新豐4線")*('1231 4度C'!$T:$T&lt;&gt;"")),'1231 4度C'!$T:$T)</f>
        <v>0.44513888888888886</v>
      </c>
    </row>
    <row r="18" spans="2:13" ht="17.25" customHeight="1">
      <c r="B18" s="503" t="s">
        <v>2236</v>
      </c>
      <c r="C18" s="504"/>
      <c r="D18" s="39">
        <f>SUMIFS('1231 4度C'!$I:$I,'1231 4度C'!$A:$A,"新豐6線",'1231 4度C'!$B:$B,"平均")</f>
        <v>17.333333333333332</v>
      </c>
      <c r="E18" s="40">
        <f>SUMIFS('1231 4度C'!$I:$I,'1231 4度C'!$A:$A,"新豐2線",'1231 4度C'!$B:$B,"平均")</f>
        <v>18</v>
      </c>
      <c r="F18" s="40">
        <f>SUMIFS('1231 4度C'!$I:$I,'1231 4度C'!$A:$A,"新豐5線",'1231 4度C'!$B:$B,"平均")</f>
        <v>16.75</v>
      </c>
      <c r="G18" s="40">
        <f>SUMIFS('1231 4度C'!$I:$I,'1231 4度C'!$A:$A,"新豐7線",'1231 4度C'!$B:$B,"平均")</f>
        <v>16</v>
      </c>
      <c r="H18" s="40">
        <f>SUMIFS('1231 4度C'!$I:$I,'1231 4度C'!$A:$A,"新豐3線",'1231 4度C'!$B:$B,"平均")</f>
        <v>11.333333333333334</v>
      </c>
      <c r="I18" s="40">
        <f>SUMIFS('1231 4度C'!$I:$I,'1231 4度C'!$A:$A,"新豐1線",'1231 4度C'!$B:$B,"平均")</f>
        <v>19.125</v>
      </c>
      <c r="J18" s="41">
        <f>SUMIFS('1231 4度C'!$I:$I,'1231 4度C'!$A:$A,"新豐10線",'1231 4度C'!$B:$B,"平均")</f>
        <v>9.3333333333333339</v>
      </c>
      <c r="K18" s="39">
        <f>SUMIFS('1231 4度C'!$I:$I,'1231 4度C'!$A:$A,"新豐8線",'1231 4度C'!$B:$B,"平均")</f>
        <v>18.2</v>
      </c>
      <c r="L18" s="40">
        <f>SUMIFS('1231 4度C'!$I:$I,'1231 4度C'!$A:$A,"新豐9線",'1231 4度C'!$B:$B,"平均")</f>
        <v>17.428571428571427</v>
      </c>
      <c r="M18" s="41">
        <f>SUMIFS('1231 4度C'!$I:$I,'1231 4度C'!$A:$A,"新豐4線",'1231 4度C'!$B:$B,"平均")</f>
        <v>16.399999999999999</v>
      </c>
    </row>
    <row r="19" spans="2:13" ht="17.25" customHeight="1">
      <c r="B19" s="503" t="s">
        <v>2237</v>
      </c>
      <c r="C19" s="504"/>
      <c r="D19" s="42" t="s">
        <v>59</v>
      </c>
      <c r="E19" s="43" t="s">
        <v>60</v>
      </c>
      <c r="F19" s="43" t="s">
        <v>2238</v>
      </c>
      <c r="G19" s="43" t="s">
        <v>2239</v>
      </c>
      <c r="H19" s="43" t="s">
        <v>61</v>
      </c>
      <c r="I19" s="43" t="s">
        <v>59</v>
      </c>
      <c r="J19" s="44" t="s">
        <v>61</v>
      </c>
      <c r="K19" s="42" t="s">
        <v>2240</v>
      </c>
      <c r="L19" s="43" t="s">
        <v>2241</v>
      </c>
      <c r="M19" s="44" t="s">
        <v>2241</v>
      </c>
    </row>
    <row r="20" spans="2:13" ht="17.25" customHeight="1">
      <c r="B20" s="503" t="s">
        <v>2242</v>
      </c>
      <c r="C20" s="504"/>
      <c r="D20" s="42"/>
      <c r="E20" s="43"/>
      <c r="F20" s="43" t="s">
        <v>2243</v>
      </c>
      <c r="G20" s="43" t="s">
        <v>59</v>
      </c>
      <c r="H20" s="43"/>
      <c r="I20" s="43"/>
      <c r="J20" s="44"/>
      <c r="K20" s="42"/>
      <c r="L20" s="43"/>
      <c r="M20" s="44"/>
    </row>
    <row r="21" spans="2:13" ht="17.25" customHeight="1" thickBot="1">
      <c r="B21" s="505" t="s">
        <v>2244</v>
      </c>
      <c r="C21" s="506"/>
      <c r="D21" s="45"/>
      <c r="E21" s="46" t="s">
        <v>2245</v>
      </c>
      <c r="F21" s="507" t="s">
        <v>2246</v>
      </c>
      <c r="G21" s="508"/>
      <c r="H21" s="46" t="s">
        <v>2247</v>
      </c>
      <c r="I21" s="46" t="s">
        <v>2248</v>
      </c>
      <c r="J21" s="47" t="s">
        <v>2247</v>
      </c>
      <c r="K21" s="48"/>
      <c r="L21" s="46"/>
      <c r="M21" s="4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8:C18"/>
    <mergeCell ref="B19:C19"/>
    <mergeCell ref="B20:C20"/>
    <mergeCell ref="B21:C21"/>
    <mergeCell ref="F21:G21"/>
    <mergeCell ref="B10:C10"/>
    <mergeCell ref="D10:J10"/>
    <mergeCell ref="K10:M10"/>
    <mergeCell ref="B11:C12"/>
    <mergeCell ref="B13:B15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E5:F5"/>
    <mergeCell ref="G5:H5"/>
    <mergeCell ref="I5:J5"/>
    <mergeCell ref="C6:D6"/>
    <mergeCell ref="E6:F6"/>
    <mergeCell ref="G6:H6"/>
    <mergeCell ref="I6:J6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</mergeCells>
  <phoneticPr fontId="3" type="noConversion"/>
  <conditionalFormatting sqref="D15:M15">
    <cfRule type="cellIs" dxfId="68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74"/>
  <sheetViews>
    <sheetView topLeftCell="M1" zoomScale="80" zoomScaleNormal="80" workbookViewId="0">
      <pane ySplit="4" topLeftCell="A58" activePane="bottomLeft" state="frozen"/>
      <selection activeCell="J13" sqref="J13"/>
      <selection pane="bottomLeft" activeCell="U6" sqref="U6:X52"/>
    </sheetView>
  </sheetViews>
  <sheetFormatPr defaultColWidth="8" defaultRowHeight="15.75"/>
  <cols>
    <col min="1" max="1" width="15.125" style="54" customWidth="1"/>
    <col min="2" max="2" width="19.375" style="54" customWidth="1"/>
    <col min="3" max="3" width="15.25" style="54" customWidth="1"/>
    <col min="4" max="4" width="17.5" style="54" customWidth="1"/>
    <col min="5" max="5" width="7.5" style="54" bestFit="1" customWidth="1"/>
    <col min="6" max="6" width="14.375" style="54" bestFit="1" customWidth="1"/>
    <col min="7" max="7" width="14.375" style="54" customWidth="1"/>
    <col min="8" max="8" width="8" style="54" customWidth="1"/>
    <col min="9" max="9" width="5.875" style="54" customWidth="1"/>
    <col min="10" max="10" width="10.625" style="54" customWidth="1"/>
    <col min="11" max="11" width="14.625" style="54" customWidth="1"/>
    <col min="12" max="12" width="7.25" style="54" bestFit="1" customWidth="1"/>
    <col min="13" max="13" width="8" style="54" customWidth="1"/>
    <col min="14" max="14" width="12" style="54" customWidth="1"/>
    <col min="15" max="15" width="6" style="54" customWidth="1"/>
    <col min="16" max="16" width="9.25" style="54" customWidth="1"/>
    <col min="17" max="17" width="11.5" style="54" customWidth="1"/>
    <col min="18" max="18" width="8.5" style="54" customWidth="1"/>
    <col min="19" max="19" width="10.125" style="73" bestFit="1" customWidth="1"/>
    <col min="20" max="20" width="7.625" style="73" bestFit="1" customWidth="1"/>
    <col min="21" max="21" width="10.25" style="54" bestFit="1" customWidth="1"/>
    <col min="22" max="22" width="8.75" style="71" customWidth="1"/>
    <col min="23" max="23" width="7.375" style="54" customWidth="1"/>
    <col min="24" max="24" width="6.875" style="54" bestFit="1" customWidth="1"/>
    <col min="25" max="25" width="12.75" style="54" customWidth="1"/>
    <col min="26" max="26" width="18.875" style="54" customWidth="1"/>
    <col min="27" max="27" width="13.125" style="54" bestFit="1" customWidth="1"/>
    <col min="28" max="28" width="10.375" style="54" customWidth="1"/>
    <col min="29" max="29" width="9.375" style="54" customWidth="1"/>
    <col min="30" max="30" width="8" style="54"/>
    <col min="31" max="31" width="24.625" style="54" bestFit="1" customWidth="1"/>
    <col min="32" max="16384" width="8" style="54"/>
  </cols>
  <sheetData>
    <row r="1" spans="1:29" ht="26.25" customHeight="1">
      <c r="A1" s="52" t="s">
        <v>2249</v>
      </c>
      <c r="B1" s="52"/>
      <c r="C1" s="117" t="s">
        <v>2250</v>
      </c>
      <c r="D1" s="118">
        <f>SUM(F5:F73)</f>
        <v>128248</v>
      </c>
      <c r="E1" s="488" t="s">
        <v>2251</v>
      </c>
      <c r="F1" s="52">
        <f>SUM(G5:G73)</f>
        <v>4527463.78</v>
      </c>
      <c r="G1" s="52" t="s">
        <v>2252</v>
      </c>
      <c r="H1" s="53">
        <f>L8+L11+L51+L60+L20+L67+L36+L44+L30+L73</f>
        <v>159.90357142857144</v>
      </c>
      <c r="I1" s="607" t="s">
        <v>2253</v>
      </c>
      <c r="J1" s="607"/>
      <c r="K1" s="607"/>
      <c r="L1" s="607" t="s">
        <v>2254</v>
      </c>
      <c r="M1" s="607"/>
      <c r="N1" s="607"/>
      <c r="O1" s="607" t="s">
        <v>2255</v>
      </c>
      <c r="P1" s="607"/>
      <c r="Q1" s="607"/>
      <c r="R1" s="607"/>
      <c r="S1" s="607" t="s">
        <v>2256</v>
      </c>
      <c r="T1" s="607"/>
      <c r="U1" s="607"/>
      <c r="V1" s="607"/>
      <c r="W1" s="607"/>
      <c r="X1" s="607"/>
      <c r="Y1" s="607" t="s">
        <v>2257</v>
      </c>
      <c r="Z1" s="607"/>
      <c r="AA1" s="607" t="s">
        <v>2258</v>
      </c>
      <c r="AB1" s="608"/>
      <c r="AC1" s="608"/>
    </row>
    <row r="2" spans="1:29" ht="26.25" customHeight="1">
      <c r="A2" s="55">
        <v>46022</v>
      </c>
      <c r="B2" s="56" t="s">
        <v>295</v>
      </c>
      <c r="C2" s="117" t="s">
        <v>2229</v>
      </c>
      <c r="D2" s="119">
        <f>AVERAGE(N8,N11,N51,N60,N20,N67,N30,N36,N44,N73)</f>
        <v>140.96861088354811</v>
      </c>
      <c r="E2" s="120" t="s">
        <v>0</v>
      </c>
      <c r="F2" s="121">
        <f>F1/D1</f>
        <v>35.302412357307716</v>
      </c>
      <c r="G2" s="52" t="s">
        <v>2259</v>
      </c>
      <c r="H2" s="501">
        <f>COUNT(H5:H73)</f>
        <v>3</v>
      </c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8"/>
      <c r="AB2" s="608"/>
      <c r="AC2" s="608"/>
    </row>
    <row r="3" spans="1:29" ht="23.25" customHeight="1">
      <c r="A3" s="559" t="s">
        <v>2260</v>
      </c>
      <c r="B3" s="559" t="s">
        <v>2261</v>
      </c>
      <c r="C3" s="559" t="s">
        <v>2262</v>
      </c>
      <c r="D3" s="559"/>
      <c r="E3" s="605" t="s">
        <v>2263</v>
      </c>
      <c r="F3" s="559" t="s">
        <v>2264</v>
      </c>
      <c r="G3" s="605" t="s">
        <v>2265</v>
      </c>
      <c r="H3" s="598" t="s">
        <v>2266</v>
      </c>
      <c r="I3" s="596" t="s">
        <v>2267</v>
      </c>
      <c r="J3" s="601" t="s">
        <v>2268</v>
      </c>
      <c r="K3" s="603" t="s">
        <v>2269</v>
      </c>
      <c r="L3" s="596" t="s">
        <v>2270</v>
      </c>
      <c r="M3" s="601" t="s">
        <v>2271</v>
      </c>
      <c r="N3" s="603" t="s">
        <v>2272</v>
      </c>
      <c r="O3" s="596" t="s">
        <v>2270</v>
      </c>
      <c r="P3" s="603" t="s">
        <v>2229</v>
      </c>
      <c r="Q3" s="602" t="s">
        <v>2273</v>
      </c>
      <c r="R3" s="574" t="s">
        <v>2274</v>
      </c>
      <c r="S3" s="604" t="s">
        <v>1</v>
      </c>
      <c r="T3" s="604"/>
      <c r="U3" s="598" t="s">
        <v>2</v>
      </c>
      <c r="V3" s="598" t="s">
        <v>2275</v>
      </c>
      <c r="W3" s="559" t="s">
        <v>2276</v>
      </c>
      <c r="X3" s="559"/>
      <c r="Y3" s="599" t="s">
        <v>2277</v>
      </c>
      <c r="Z3" s="600"/>
      <c r="AA3" s="601" t="s">
        <v>2278</v>
      </c>
      <c r="AB3" s="602" t="s">
        <v>2279</v>
      </c>
      <c r="AC3" s="574" t="s">
        <v>2280</v>
      </c>
    </row>
    <row r="4" spans="1:29">
      <c r="A4" s="559"/>
      <c r="B4" s="559"/>
      <c r="C4" s="559"/>
      <c r="D4" s="559"/>
      <c r="E4" s="606"/>
      <c r="F4" s="559"/>
      <c r="G4" s="606"/>
      <c r="H4" s="598"/>
      <c r="I4" s="596"/>
      <c r="J4" s="601"/>
      <c r="K4" s="603"/>
      <c r="L4" s="596"/>
      <c r="M4" s="601"/>
      <c r="N4" s="603"/>
      <c r="O4" s="596"/>
      <c r="P4" s="603"/>
      <c r="Q4" s="602"/>
      <c r="R4" s="574"/>
      <c r="S4" s="500" t="s">
        <v>3</v>
      </c>
      <c r="T4" s="500" t="s">
        <v>4</v>
      </c>
      <c r="U4" s="598"/>
      <c r="V4" s="598"/>
      <c r="W4" s="488" t="s">
        <v>2281</v>
      </c>
      <c r="X4" s="488" t="s">
        <v>2282</v>
      </c>
      <c r="Y4" s="600"/>
      <c r="Z4" s="600"/>
      <c r="AA4" s="601"/>
      <c r="AB4" s="602"/>
      <c r="AC4" s="574"/>
    </row>
    <row r="5" spans="1:29">
      <c r="A5" s="595" t="s">
        <v>2283</v>
      </c>
      <c r="B5" s="57" t="s">
        <v>6</v>
      </c>
      <c r="C5" s="597" t="s">
        <v>9</v>
      </c>
      <c r="D5" s="597"/>
      <c r="E5" s="57">
        <v>50.67</v>
      </c>
      <c r="F5" s="500">
        <v>1317</v>
      </c>
      <c r="G5" s="488">
        <f t="shared" ref="G5:G7" si="0">E5*F5</f>
        <v>66732.39</v>
      </c>
      <c r="H5" s="502" t="s">
        <v>5</v>
      </c>
      <c r="I5" s="498">
        <v>17</v>
      </c>
      <c r="J5" s="58">
        <v>2000</v>
      </c>
      <c r="K5" s="59">
        <f t="shared" ref="K5:K68" si="1">J5/I5</f>
        <v>117.64705882352941</v>
      </c>
      <c r="L5" s="498">
        <v>17</v>
      </c>
      <c r="M5" s="60">
        <f t="shared" ref="M5:M7" si="2">F5/V5*60</f>
        <v>1927.317073170731</v>
      </c>
      <c r="N5" s="59">
        <f t="shared" ref="N5:N68" si="3">M5/L5</f>
        <v>113.37159253945477</v>
      </c>
      <c r="O5" s="61">
        <f t="shared" ref="O5:O68" si="4">L5-I5</f>
        <v>0</v>
      </c>
      <c r="P5" s="62">
        <f t="shared" ref="P5:P68" si="5">N5-K5</f>
        <v>-4.2754662840746391</v>
      </c>
      <c r="Q5" s="490">
        <f t="shared" ref="Q5:Q68" si="6">N5/K5</f>
        <v>0.9636585365853656</v>
      </c>
      <c r="R5" s="566">
        <f>Q8</f>
        <v>0.96421270947403348</v>
      </c>
      <c r="S5" s="63">
        <v>0.70833333333333337</v>
      </c>
      <c r="T5" s="63">
        <v>0.7368055555555556</v>
      </c>
      <c r="U5" s="488"/>
      <c r="V5" s="499">
        <f t="shared" ref="V5:V7" si="7">(T5-S5)*24*60</f>
        <v>41.000000000000014</v>
      </c>
      <c r="W5" s="64"/>
      <c r="X5" s="65"/>
      <c r="Y5" s="559"/>
      <c r="Z5" s="559"/>
      <c r="AA5" s="61">
        <f t="shared" ref="AA5:AA68" si="8">M5-J5</f>
        <v>-72.682926829269036</v>
      </c>
      <c r="AB5" s="490">
        <f t="shared" ref="AB5:AB68" si="9">M5/J5</f>
        <v>0.96365853658536549</v>
      </c>
      <c r="AC5" s="566">
        <f>AB8</f>
        <v>0.96421270947403348</v>
      </c>
    </row>
    <row r="6" spans="1:29">
      <c r="A6" s="596" t="s">
        <v>2284</v>
      </c>
      <c r="B6" s="57" t="s">
        <v>6</v>
      </c>
      <c r="C6" s="597" t="s">
        <v>22</v>
      </c>
      <c r="D6" s="597"/>
      <c r="E6" s="57">
        <v>54.09</v>
      </c>
      <c r="F6" s="500">
        <v>1360</v>
      </c>
      <c r="G6" s="488">
        <f t="shared" si="0"/>
        <v>73562.400000000009</v>
      </c>
      <c r="H6" s="502" t="s">
        <v>5</v>
      </c>
      <c r="I6" s="498">
        <v>19</v>
      </c>
      <c r="J6" s="58">
        <v>2000</v>
      </c>
      <c r="K6" s="59">
        <f t="shared" si="1"/>
        <v>105.26315789473684</v>
      </c>
      <c r="L6" s="498">
        <v>19</v>
      </c>
      <c r="M6" s="60">
        <f t="shared" si="2"/>
        <v>1942.8571428571424</v>
      </c>
      <c r="N6" s="59">
        <f t="shared" si="3"/>
        <v>102.25563909774434</v>
      </c>
      <c r="O6" s="61">
        <f t="shared" si="4"/>
        <v>0</v>
      </c>
      <c r="P6" s="62">
        <f t="shared" si="5"/>
        <v>-3.0075187969924997</v>
      </c>
      <c r="Q6" s="490">
        <f t="shared" si="6"/>
        <v>0.9714285714285712</v>
      </c>
      <c r="R6" s="566"/>
      <c r="S6" s="63">
        <v>0.74097222222222225</v>
      </c>
      <c r="T6" s="63">
        <v>0.77013888888888893</v>
      </c>
      <c r="U6" s="488">
        <f t="shared" ref="U6:U7" si="10">IF(S6=TIME(17,0,0),"",(S6-T5)*24*60)</f>
        <v>5.9999999999999787</v>
      </c>
      <c r="V6" s="499">
        <f t="shared" si="7"/>
        <v>42.000000000000014</v>
      </c>
      <c r="W6" s="64"/>
      <c r="X6" s="64"/>
      <c r="Y6" s="559"/>
      <c r="Z6" s="559"/>
      <c r="AA6" s="61">
        <f t="shared" si="8"/>
        <v>-57.142857142857565</v>
      </c>
      <c r="AB6" s="490">
        <f t="shared" si="9"/>
        <v>0.9714285714285712</v>
      </c>
      <c r="AC6" s="566"/>
    </row>
    <row r="7" spans="1:29">
      <c r="A7" s="596" t="s">
        <v>2284</v>
      </c>
      <c r="B7" s="57" t="s">
        <v>6</v>
      </c>
      <c r="C7" s="590" t="s">
        <v>1619</v>
      </c>
      <c r="D7" s="591"/>
      <c r="E7" s="57">
        <v>50.29</v>
      </c>
      <c r="F7" s="500">
        <v>1564</v>
      </c>
      <c r="G7" s="488">
        <f t="shared" si="0"/>
        <v>78653.56</v>
      </c>
      <c r="H7" s="502" t="s">
        <v>5</v>
      </c>
      <c r="I7" s="498">
        <v>16</v>
      </c>
      <c r="J7" s="58">
        <v>2000</v>
      </c>
      <c r="K7" s="59">
        <f t="shared" si="1"/>
        <v>125</v>
      </c>
      <c r="L7" s="498">
        <v>16</v>
      </c>
      <c r="M7" s="60">
        <f t="shared" si="2"/>
        <v>1915.102040816327</v>
      </c>
      <c r="N7" s="59">
        <f t="shared" si="3"/>
        <v>119.69387755102044</v>
      </c>
      <c r="O7" s="61">
        <f t="shared" si="4"/>
        <v>0</v>
      </c>
      <c r="P7" s="62">
        <f t="shared" si="5"/>
        <v>-5.3061224489795649</v>
      </c>
      <c r="Q7" s="490">
        <f t="shared" si="6"/>
        <v>0.95755102040816353</v>
      </c>
      <c r="R7" s="566"/>
      <c r="S7" s="63">
        <v>0.77361111111111114</v>
      </c>
      <c r="T7" s="63">
        <v>0.80763888888888891</v>
      </c>
      <c r="U7" s="488">
        <f t="shared" si="10"/>
        <v>4.9999999999999822</v>
      </c>
      <c r="V7" s="499">
        <f t="shared" si="7"/>
        <v>48.999999999999986</v>
      </c>
      <c r="W7" s="64"/>
      <c r="X7" s="64"/>
      <c r="Y7" s="569"/>
      <c r="Z7" s="570"/>
      <c r="AA7" s="61">
        <f t="shared" si="8"/>
        <v>-84.897959183673038</v>
      </c>
      <c r="AB7" s="490">
        <f t="shared" si="9"/>
        <v>0.95755102040816353</v>
      </c>
      <c r="AC7" s="566"/>
    </row>
    <row r="8" spans="1:29">
      <c r="A8" s="596" t="s">
        <v>2284</v>
      </c>
      <c r="B8" s="57" t="s">
        <v>2285</v>
      </c>
      <c r="C8" s="571"/>
      <c r="D8" s="571"/>
      <c r="E8" s="495"/>
      <c r="F8" s="66"/>
      <c r="G8" s="59"/>
      <c r="H8" s="500"/>
      <c r="I8" s="67">
        <v>17.333333333333332</v>
      </c>
      <c r="J8" s="58">
        <v>2000</v>
      </c>
      <c r="K8" s="59">
        <f t="shared" si="1"/>
        <v>115.38461538461539</v>
      </c>
      <c r="L8" s="67">
        <v>17.333333333333332</v>
      </c>
      <c r="M8" s="60">
        <f>AVERAGE(M5:M7)</f>
        <v>1928.4254189480669</v>
      </c>
      <c r="N8" s="59">
        <f t="shared" si="3"/>
        <v>111.25531263161925</v>
      </c>
      <c r="O8" s="61">
        <f t="shared" si="4"/>
        <v>0</v>
      </c>
      <c r="P8" s="62">
        <f t="shared" si="5"/>
        <v>-4.1293027529961392</v>
      </c>
      <c r="Q8" s="490">
        <f t="shared" si="6"/>
        <v>0.96421270947403348</v>
      </c>
      <c r="R8" s="566"/>
      <c r="S8" s="63"/>
      <c r="T8" s="63"/>
      <c r="U8" s="488"/>
      <c r="V8" s="499"/>
      <c r="W8" s="59"/>
      <c r="X8" s="59"/>
      <c r="Y8" s="559"/>
      <c r="Z8" s="559"/>
      <c r="AA8" s="61">
        <f t="shared" si="8"/>
        <v>-71.574581051933137</v>
      </c>
      <c r="AB8" s="490">
        <f t="shared" si="9"/>
        <v>0.96421270947403348</v>
      </c>
      <c r="AC8" s="566"/>
    </row>
    <row r="9" spans="1:29" ht="15.75" customHeight="1">
      <c r="A9" s="594" t="s">
        <v>2286</v>
      </c>
      <c r="B9" s="57" t="s">
        <v>10</v>
      </c>
      <c r="C9" s="590" t="s">
        <v>14</v>
      </c>
      <c r="D9" s="591"/>
      <c r="E9" s="57">
        <v>39.619999999999997</v>
      </c>
      <c r="F9" s="500">
        <v>2636</v>
      </c>
      <c r="G9" s="488">
        <f t="shared" ref="G9:G10" si="11">E9*F9</f>
        <v>104438.31999999999</v>
      </c>
      <c r="H9" s="502" t="s">
        <v>5</v>
      </c>
      <c r="I9" s="498">
        <v>19</v>
      </c>
      <c r="J9" s="58">
        <v>1500</v>
      </c>
      <c r="K9" s="59">
        <f t="shared" si="1"/>
        <v>78.94736842105263</v>
      </c>
      <c r="L9" s="498">
        <v>19</v>
      </c>
      <c r="M9" s="60">
        <f t="shared" ref="M9:M10" si="12">F9/V9*60</f>
        <v>1437.818181818182</v>
      </c>
      <c r="N9" s="59">
        <f t="shared" si="3"/>
        <v>75.674641148325364</v>
      </c>
      <c r="O9" s="61">
        <f t="shared" si="4"/>
        <v>0</v>
      </c>
      <c r="P9" s="62">
        <f t="shared" si="5"/>
        <v>-3.2727272727272663</v>
      </c>
      <c r="Q9" s="490">
        <f t="shared" si="6"/>
        <v>0.95854545454545459</v>
      </c>
      <c r="R9" s="566">
        <f>Q11</f>
        <v>0.95717396184062864</v>
      </c>
      <c r="S9" s="63">
        <v>0.16666666666666666</v>
      </c>
      <c r="T9" s="63">
        <v>0.24305555555555552</v>
      </c>
      <c r="U9" s="488"/>
      <c r="V9" s="499">
        <f t="shared" ref="V9:V10" si="13">(T9-S9)*24*60</f>
        <v>109.99999999999997</v>
      </c>
      <c r="W9" s="64">
        <f>T9</f>
        <v>0.24305555555555552</v>
      </c>
      <c r="X9" s="64">
        <f>S10</f>
        <v>0.2631944444444444</v>
      </c>
      <c r="Y9" s="559"/>
      <c r="Z9" s="559"/>
      <c r="AA9" s="61">
        <f t="shared" si="8"/>
        <v>-62.181818181818016</v>
      </c>
      <c r="AB9" s="490">
        <f t="shared" si="9"/>
        <v>0.9585454545454547</v>
      </c>
      <c r="AC9" s="566">
        <f>AB11</f>
        <v>0.95717396184062864</v>
      </c>
    </row>
    <row r="10" spans="1:29" ht="15.75" customHeight="1">
      <c r="A10" s="594" t="s">
        <v>2286</v>
      </c>
      <c r="B10" s="57" t="s">
        <v>10</v>
      </c>
      <c r="C10" s="590" t="s">
        <v>11</v>
      </c>
      <c r="D10" s="591"/>
      <c r="E10" s="57">
        <v>39.799999999999997</v>
      </c>
      <c r="F10" s="500">
        <v>3871</v>
      </c>
      <c r="G10" s="488">
        <f t="shared" si="11"/>
        <v>154065.79999999999</v>
      </c>
      <c r="H10" s="502" t="s">
        <v>5</v>
      </c>
      <c r="I10" s="498">
        <v>17</v>
      </c>
      <c r="J10" s="58">
        <v>1500</v>
      </c>
      <c r="K10" s="59">
        <f t="shared" si="1"/>
        <v>88.235294117647058</v>
      </c>
      <c r="L10" s="498">
        <v>17</v>
      </c>
      <c r="M10" s="60">
        <f t="shared" si="12"/>
        <v>1433.7037037037039</v>
      </c>
      <c r="N10" s="59">
        <f t="shared" si="3"/>
        <v>84.335511982570821</v>
      </c>
      <c r="O10" s="61">
        <f t="shared" si="4"/>
        <v>0</v>
      </c>
      <c r="P10" s="62">
        <f t="shared" si="5"/>
        <v>-3.8997821350762365</v>
      </c>
      <c r="Q10" s="490">
        <f t="shared" si="6"/>
        <v>0.95580246913580269</v>
      </c>
      <c r="R10" s="566"/>
      <c r="S10" s="63">
        <v>0.2631944444444444</v>
      </c>
      <c r="T10" s="63">
        <v>0.37569444444444439</v>
      </c>
      <c r="U10" s="488">
        <f t="shared" ref="U10" si="14">IF(S10=TIME(17,0,0),"",(S10-T9)*24*60)</f>
        <v>28.999999999999979</v>
      </c>
      <c r="V10" s="499">
        <f t="shared" si="13"/>
        <v>161.99999999999997</v>
      </c>
      <c r="W10" s="64"/>
      <c r="X10" s="64"/>
      <c r="Y10" s="559"/>
      <c r="Z10" s="559"/>
      <c r="AA10" s="61">
        <f t="shared" si="8"/>
        <v>-66.296296296296077</v>
      </c>
      <c r="AB10" s="490">
        <f t="shared" si="9"/>
        <v>0.95580246913580258</v>
      </c>
      <c r="AC10" s="566"/>
    </row>
    <row r="11" spans="1:29" ht="16.5" customHeight="1">
      <c r="A11" s="594" t="s">
        <v>2286</v>
      </c>
      <c r="B11" s="57" t="s">
        <v>2285</v>
      </c>
      <c r="C11" s="571"/>
      <c r="D11" s="571"/>
      <c r="E11" s="495"/>
      <c r="F11" s="58"/>
      <c r="G11" s="60"/>
      <c r="H11" s="500"/>
      <c r="I11" s="67">
        <v>18</v>
      </c>
      <c r="J11" s="58">
        <v>1500</v>
      </c>
      <c r="K11" s="59">
        <f t="shared" si="1"/>
        <v>83.333333333333329</v>
      </c>
      <c r="L11" s="67">
        <v>18</v>
      </c>
      <c r="M11" s="60">
        <f>AVERAGE(M9:M10)</f>
        <v>1435.760942760943</v>
      </c>
      <c r="N11" s="59">
        <f t="shared" si="3"/>
        <v>79.764496820052386</v>
      </c>
      <c r="O11" s="61">
        <f t="shared" si="4"/>
        <v>0</v>
      </c>
      <c r="P11" s="62">
        <f t="shared" si="5"/>
        <v>-3.5688365132809423</v>
      </c>
      <c r="Q11" s="490">
        <f t="shared" si="6"/>
        <v>0.95717396184062864</v>
      </c>
      <c r="R11" s="566"/>
      <c r="S11" s="63"/>
      <c r="T11" s="63"/>
      <c r="U11" s="59"/>
      <c r="V11" s="499"/>
      <c r="W11" s="59"/>
      <c r="X11" s="59"/>
      <c r="Y11" s="559"/>
      <c r="Z11" s="559"/>
      <c r="AA11" s="61">
        <f t="shared" si="8"/>
        <v>-64.239057239057047</v>
      </c>
      <c r="AB11" s="490">
        <f t="shared" si="9"/>
        <v>0.95717396184062864</v>
      </c>
      <c r="AC11" s="566"/>
    </row>
    <row r="12" spans="1:29" ht="16.5" customHeight="1">
      <c r="A12" s="592" t="s">
        <v>2287</v>
      </c>
      <c r="B12" s="500" t="s">
        <v>12</v>
      </c>
      <c r="C12" s="584" t="s">
        <v>13</v>
      </c>
      <c r="D12" s="584"/>
      <c r="E12" s="57">
        <v>41</v>
      </c>
      <c r="F12" s="500">
        <v>2035</v>
      </c>
      <c r="G12" s="488">
        <f t="shared" ref="G12:G19" si="15">E12*F12</f>
        <v>83435</v>
      </c>
      <c r="H12" s="502" t="s">
        <v>5</v>
      </c>
      <c r="I12" s="498">
        <v>26</v>
      </c>
      <c r="J12" s="58">
        <v>1500</v>
      </c>
      <c r="K12" s="59">
        <f t="shared" si="1"/>
        <v>57.692307692307693</v>
      </c>
      <c r="L12" s="498">
        <v>26</v>
      </c>
      <c r="M12" s="60">
        <f t="shared" ref="M12:M19" si="16">F12/V12*60</f>
        <v>1436.4705882352946</v>
      </c>
      <c r="N12" s="59">
        <f t="shared" si="3"/>
        <v>55.24886877828056</v>
      </c>
      <c r="O12" s="61">
        <f t="shared" si="4"/>
        <v>0</v>
      </c>
      <c r="P12" s="62">
        <f t="shared" si="5"/>
        <v>-2.4434389140271335</v>
      </c>
      <c r="Q12" s="490">
        <f t="shared" si="6"/>
        <v>0.95764705882352974</v>
      </c>
      <c r="R12" s="566">
        <f>Q20</f>
        <v>0.96356850451779408</v>
      </c>
      <c r="S12" s="63">
        <v>0.20833333333333334</v>
      </c>
      <c r="T12" s="63">
        <v>0.2673611111111111</v>
      </c>
      <c r="U12" s="488"/>
      <c r="V12" s="499">
        <f t="shared" ref="V12:V19" si="17">(T12-S12)*24*60</f>
        <v>84.999999999999972</v>
      </c>
      <c r="W12" s="68"/>
      <c r="X12" s="68"/>
      <c r="Y12" s="559"/>
      <c r="Z12" s="559"/>
      <c r="AA12" s="61">
        <f t="shared" si="8"/>
        <v>-63.529411764705401</v>
      </c>
      <c r="AB12" s="490">
        <f t="shared" si="9"/>
        <v>0.95764705882352974</v>
      </c>
      <c r="AC12" s="566">
        <f>AB20</f>
        <v>0.96356850451779408</v>
      </c>
    </row>
    <row r="13" spans="1:29" ht="16.5" customHeight="1">
      <c r="A13" s="593" t="s">
        <v>2287</v>
      </c>
      <c r="B13" s="500" t="s">
        <v>657</v>
      </c>
      <c r="C13" s="584" t="s">
        <v>236</v>
      </c>
      <c r="D13" s="584"/>
      <c r="E13" s="57">
        <v>72.400000000000006</v>
      </c>
      <c r="F13" s="500">
        <v>807</v>
      </c>
      <c r="G13" s="488">
        <f t="shared" si="15"/>
        <v>58426.8</v>
      </c>
      <c r="H13" s="502" t="s">
        <v>5</v>
      </c>
      <c r="I13" s="498">
        <v>18</v>
      </c>
      <c r="J13" s="58">
        <v>1500</v>
      </c>
      <c r="K13" s="59">
        <f t="shared" si="1"/>
        <v>83.333333333333329</v>
      </c>
      <c r="L13" s="498">
        <v>18</v>
      </c>
      <c r="M13" s="60">
        <f t="shared" si="16"/>
        <v>1467.2727272727288</v>
      </c>
      <c r="N13" s="59">
        <f t="shared" si="3"/>
        <v>81.515151515151601</v>
      </c>
      <c r="O13" s="61">
        <f t="shared" si="4"/>
        <v>0</v>
      </c>
      <c r="P13" s="62">
        <f t="shared" si="5"/>
        <v>-1.8181818181817277</v>
      </c>
      <c r="Q13" s="490">
        <f t="shared" si="6"/>
        <v>0.97818181818181926</v>
      </c>
      <c r="R13" s="566"/>
      <c r="S13" s="63">
        <v>0.2722222222222222</v>
      </c>
      <c r="T13" s="63">
        <v>0.29513888888888884</v>
      </c>
      <c r="U13" s="488">
        <f t="shared" ref="U13:U19" si="18">IF(S13=TIME(17,0,0),"",(S13-T12)*24*60)</f>
        <v>6.9999999999999751</v>
      </c>
      <c r="V13" s="499">
        <f t="shared" si="17"/>
        <v>32.999999999999964</v>
      </c>
      <c r="W13" s="64"/>
      <c r="X13" s="64"/>
      <c r="Y13" s="559"/>
      <c r="Z13" s="559"/>
      <c r="AA13" s="61">
        <f t="shared" si="8"/>
        <v>-32.727272727271156</v>
      </c>
      <c r="AB13" s="490">
        <f t="shared" si="9"/>
        <v>0.97818181818181926</v>
      </c>
      <c r="AC13" s="566"/>
    </row>
    <row r="14" spans="1:29" ht="16.5" customHeight="1">
      <c r="A14" s="593" t="s">
        <v>2287</v>
      </c>
      <c r="B14" s="500" t="s">
        <v>65</v>
      </c>
      <c r="C14" s="584" t="s">
        <v>1765</v>
      </c>
      <c r="D14" s="584"/>
      <c r="E14" s="57">
        <v>50.67</v>
      </c>
      <c r="F14" s="500">
        <v>1392</v>
      </c>
      <c r="G14" s="488">
        <f t="shared" si="15"/>
        <v>70532.639999999999</v>
      </c>
      <c r="H14" s="502" t="s">
        <v>5</v>
      </c>
      <c r="I14" s="498">
        <v>16</v>
      </c>
      <c r="J14" s="58">
        <v>1500</v>
      </c>
      <c r="K14" s="59">
        <f t="shared" si="1"/>
        <v>93.75</v>
      </c>
      <c r="L14" s="498">
        <v>16</v>
      </c>
      <c r="M14" s="60">
        <f t="shared" si="16"/>
        <v>1439.9999999999991</v>
      </c>
      <c r="N14" s="59">
        <f t="shared" si="3"/>
        <v>89.999999999999943</v>
      </c>
      <c r="O14" s="61">
        <f t="shared" si="4"/>
        <v>0</v>
      </c>
      <c r="P14" s="62">
        <f t="shared" si="5"/>
        <v>-3.7500000000000568</v>
      </c>
      <c r="Q14" s="490">
        <f t="shared" si="6"/>
        <v>0.95999999999999941</v>
      </c>
      <c r="R14" s="566"/>
      <c r="S14" s="63">
        <v>0.30069444444444438</v>
      </c>
      <c r="T14" s="63">
        <v>0.34097222222222218</v>
      </c>
      <c r="U14" s="488">
        <f t="shared" si="18"/>
        <v>7.9999999999999716</v>
      </c>
      <c r="V14" s="499">
        <f t="shared" si="17"/>
        <v>58.000000000000036</v>
      </c>
      <c r="W14" s="64"/>
      <c r="X14" s="64"/>
      <c r="Y14" s="559"/>
      <c r="Z14" s="559"/>
      <c r="AA14" s="61">
        <f t="shared" si="8"/>
        <v>-60.000000000000909</v>
      </c>
      <c r="AB14" s="490">
        <f t="shared" si="9"/>
        <v>0.95999999999999941</v>
      </c>
      <c r="AC14" s="566"/>
    </row>
    <row r="15" spans="1:29" ht="16.5" customHeight="1">
      <c r="A15" s="593" t="s">
        <v>2287</v>
      </c>
      <c r="B15" s="500" t="s">
        <v>6</v>
      </c>
      <c r="C15" s="584" t="s">
        <v>95</v>
      </c>
      <c r="D15" s="584"/>
      <c r="E15" s="57">
        <v>50.98</v>
      </c>
      <c r="F15" s="500">
        <v>800</v>
      </c>
      <c r="G15" s="488">
        <f t="shared" si="15"/>
        <v>40784</v>
      </c>
      <c r="H15" s="502">
        <v>2</v>
      </c>
      <c r="I15" s="498">
        <v>16</v>
      </c>
      <c r="J15" s="58">
        <v>2000</v>
      </c>
      <c r="K15" s="59">
        <f t="shared" si="1"/>
        <v>125</v>
      </c>
      <c r="L15" s="498">
        <v>16</v>
      </c>
      <c r="M15" s="60">
        <f t="shared" si="16"/>
        <v>1919.9999999999945</v>
      </c>
      <c r="N15" s="59">
        <f t="shared" si="3"/>
        <v>119.99999999999966</v>
      </c>
      <c r="O15" s="61">
        <f t="shared" si="4"/>
        <v>0</v>
      </c>
      <c r="P15" s="62">
        <f t="shared" si="5"/>
        <v>-5.0000000000003411</v>
      </c>
      <c r="Q15" s="490">
        <f t="shared" si="6"/>
        <v>0.9599999999999973</v>
      </c>
      <c r="R15" s="566"/>
      <c r="S15" s="63">
        <v>0.70833333333333337</v>
      </c>
      <c r="T15" s="63">
        <v>0.72569444444444453</v>
      </c>
      <c r="U15" s="488" t="str">
        <f t="shared" si="18"/>
        <v/>
      </c>
      <c r="V15" s="499">
        <f t="shared" si="17"/>
        <v>25.000000000000071</v>
      </c>
      <c r="W15" s="64"/>
      <c r="X15" s="64"/>
      <c r="Y15" s="559"/>
      <c r="Z15" s="559"/>
      <c r="AA15" s="61">
        <f t="shared" si="8"/>
        <v>-80.000000000005457</v>
      </c>
      <c r="AB15" s="490">
        <f t="shared" si="9"/>
        <v>0.9599999999999973</v>
      </c>
      <c r="AC15" s="566"/>
    </row>
    <row r="16" spans="1:29" ht="16.5" customHeight="1">
      <c r="A16" s="593" t="s">
        <v>2287</v>
      </c>
      <c r="B16" s="500" t="s">
        <v>6</v>
      </c>
      <c r="C16" s="584" t="s">
        <v>18</v>
      </c>
      <c r="D16" s="584"/>
      <c r="E16" s="57">
        <v>50.92</v>
      </c>
      <c r="F16" s="500">
        <v>800</v>
      </c>
      <c r="G16" s="488">
        <f t="shared" si="15"/>
        <v>40736</v>
      </c>
      <c r="H16" s="502">
        <v>2</v>
      </c>
      <c r="I16" s="498">
        <v>15</v>
      </c>
      <c r="J16" s="58">
        <v>2000</v>
      </c>
      <c r="K16" s="59">
        <f t="shared" si="1"/>
        <v>133.33333333333334</v>
      </c>
      <c r="L16" s="498">
        <v>15</v>
      </c>
      <c r="M16" s="60">
        <f t="shared" si="16"/>
        <v>1919.9999999999945</v>
      </c>
      <c r="N16" s="59">
        <f t="shared" si="3"/>
        <v>127.99999999999963</v>
      </c>
      <c r="O16" s="61">
        <f t="shared" si="4"/>
        <v>0</v>
      </c>
      <c r="P16" s="62">
        <f t="shared" si="5"/>
        <v>-5.3333333333337123</v>
      </c>
      <c r="Q16" s="490">
        <f t="shared" si="6"/>
        <v>0.95999999999999719</v>
      </c>
      <c r="R16" s="566"/>
      <c r="S16" s="63">
        <v>0.72916666666666674</v>
      </c>
      <c r="T16" s="63">
        <v>0.7465277777777779</v>
      </c>
      <c r="U16" s="488">
        <f t="shared" si="18"/>
        <v>4.9999999999999822</v>
      </c>
      <c r="V16" s="499">
        <f t="shared" si="17"/>
        <v>25.000000000000071</v>
      </c>
      <c r="W16" s="64"/>
      <c r="X16" s="64"/>
      <c r="Y16" s="559"/>
      <c r="Z16" s="559"/>
      <c r="AA16" s="61">
        <f t="shared" si="8"/>
        <v>-80.000000000005457</v>
      </c>
      <c r="AB16" s="490">
        <f t="shared" si="9"/>
        <v>0.9599999999999973</v>
      </c>
      <c r="AC16" s="566"/>
    </row>
    <row r="17" spans="1:29" ht="16.5" customHeight="1">
      <c r="A17" s="593" t="s">
        <v>2287</v>
      </c>
      <c r="B17" s="500" t="s">
        <v>6</v>
      </c>
      <c r="C17" s="585" t="s">
        <v>68</v>
      </c>
      <c r="D17" s="586"/>
      <c r="E17" s="57">
        <v>50.67</v>
      </c>
      <c r="F17" s="500">
        <v>1550</v>
      </c>
      <c r="G17" s="488">
        <f t="shared" si="15"/>
        <v>78538.5</v>
      </c>
      <c r="H17" s="502" t="s">
        <v>5</v>
      </c>
      <c r="I17" s="498">
        <v>15</v>
      </c>
      <c r="J17" s="58">
        <v>2000</v>
      </c>
      <c r="K17" s="59">
        <f t="shared" si="1"/>
        <v>133.33333333333334</v>
      </c>
      <c r="L17" s="498">
        <v>15</v>
      </c>
      <c r="M17" s="60">
        <f t="shared" si="16"/>
        <v>1937.5000000000007</v>
      </c>
      <c r="N17" s="59">
        <f t="shared" si="3"/>
        <v>129.16666666666671</v>
      </c>
      <c r="O17" s="61">
        <f t="shared" si="4"/>
        <v>0</v>
      </c>
      <c r="P17" s="62">
        <f t="shared" si="5"/>
        <v>-4.1666666666666288</v>
      </c>
      <c r="Q17" s="490">
        <f t="shared" si="6"/>
        <v>0.96875000000000033</v>
      </c>
      <c r="R17" s="566"/>
      <c r="S17" s="63">
        <v>0.75000000000000011</v>
      </c>
      <c r="T17" s="63">
        <v>0.78333333333333344</v>
      </c>
      <c r="U17" s="488">
        <f t="shared" si="18"/>
        <v>4.9999999999999822</v>
      </c>
      <c r="V17" s="499">
        <f t="shared" si="17"/>
        <v>47.999999999999986</v>
      </c>
      <c r="W17" s="64"/>
      <c r="X17" s="64"/>
      <c r="Y17" s="569"/>
      <c r="Z17" s="570"/>
      <c r="AA17" s="61">
        <f t="shared" si="8"/>
        <v>-62.499999999999318</v>
      </c>
      <c r="AB17" s="490">
        <f t="shared" si="9"/>
        <v>0.96875000000000033</v>
      </c>
      <c r="AC17" s="566"/>
    </row>
    <row r="18" spans="1:29" ht="16.5" customHeight="1">
      <c r="A18" s="593" t="s">
        <v>160</v>
      </c>
      <c r="B18" s="500" t="s">
        <v>6</v>
      </c>
      <c r="C18" s="496" t="s">
        <v>94</v>
      </c>
      <c r="D18" s="497"/>
      <c r="E18" s="57">
        <v>57.3</v>
      </c>
      <c r="F18" s="500">
        <v>1914</v>
      </c>
      <c r="G18" s="488">
        <f t="shared" si="15"/>
        <v>109672.2</v>
      </c>
      <c r="H18" s="502" t="s">
        <v>5</v>
      </c>
      <c r="I18" s="498">
        <v>13</v>
      </c>
      <c r="J18" s="58">
        <v>2000</v>
      </c>
      <c r="K18" s="59">
        <f t="shared" si="1"/>
        <v>153.84615384615384</v>
      </c>
      <c r="L18" s="498">
        <v>13</v>
      </c>
      <c r="M18" s="60">
        <f t="shared" si="16"/>
        <v>1914.0000000000018</v>
      </c>
      <c r="N18" s="59">
        <f t="shared" si="3"/>
        <v>147.23076923076937</v>
      </c>
      <c r="O18" s="61">
        <f t="shared" si="4"/>
        <v>0</v>
      </c>
      <c r="P18" s="62">
        <f t="shared" si="5"/>
        <v>-6.6153846153844711</v>
      </c>
      <c r="Q18" s="490">
        <f t="shared" si="6"/>
        <v>0.95700000000000096</v>
      </c>
      <c r="R18" s="566"/>
      <c r="S18" s="63">
        <v>0.78888888888888897</v>
      </c>
      <c r="T18" s="63">
        <v>0.8305555555555556</v>
      </c>
      <c r="U18" s="488">
        <f t="shared" si="18"/>
        <v>7.9999999999999716</v>
      </c>
      <c r="V18" s="499">
        <f t="shared" si="17"/>
        <v>59.999999999999943</v>
      </c>
      <c r="W18" s="64">
        <f>T18</f>
        <v>0.8305555555555556</v>
      </c>
      <c r="X18" s="64">
        <f>S19</f>
        <v>0.86944444444444446</v>
      </c>
      <c r="Y18" s="569"/>
      <c r="Z18" s="570"/>
      <c r="AA18" s="61">
        <f t="shared" si="8"/>
        <v>-85.999999999998181</v>
      </c>
      <c r="AB18" s="490">
        <f t="shared" si="9"/>
        <v>0.95700000000000096</v>
      </c>
      <c r="AC18" s="566"/>
    </row>
    <row r="19" spans="1:29" ht="16.5" customHeight="1">
      <c r="A19" s="593" t="s">
        <v>2287</v>
      </c>
      <c r="B19" s="500" t="s">
        <v>6</v>
      </c>
      <c r="C19" s="496" t="s">
        <v>18</v>
      </c>
      <c r="D19" s="497"/>
      <c r="E19" s="57">
        <v>50.92</v>
      </c>
      <c r="F19" s="500">
        <v>1291</v>
      </c>
      <c r="G19" s="488">
        <f t="shared" si="15"/>
        <v>65737.72</v>
      </c>
      <c r="H19" s="502" t="s">
        <v>5</v>
      </c>
      <c r="I19" s="498">
        <v>15</v>
      </c>
      <c r="J19" s="58">
        <v>2000</v>
      </c>
      <c r="K19" s="59">
        <f t="shared" si="1"/>
        <v>133.33333333333334</v>
      </c>
      <c r="L19" s="498">
        <v>15</v>
      </c>
      <c r="M19" s="60">
        <f t="shared" si="16"/>
        <v>1936.4999999999995</v>
      </c>
      <c r="N19" s="59">
        <f t="shared" si="3"/>
        <v>129.09999999999997</v>
      </c>
      <c r="O19" s="61">
        <f t="shared" si="4"/>
        <v>0</v>
      </c>
      <c r="P19" s="62">
        <f t="shared" si="5"/>
        <v>-4.2333333333333769</v>
      </c>
      <c r="Q19" s="490">
        <f t="shared" si="6"/>
        <v>0.96824999999999972</v>
      </c>
      <c r="R19" s="566"/>
      <c r="S19" s="63">
        <v>0.86944444444444446</v>
      </c>
      <c r="T19" s="63">
        <v>0.89722222222222225</v>
      </c>
      <c r="U19" s="488">
        <f t="shared" si="18"/>
        <v>55.999999999999957</v>
      </c>
      <c r="V19" s="499">
        <f t="shared" si="17"/>
        <v>40.000000000000014</v>
      </c>
      <c r="W19" s="64"/>
      <c r="X19" s="64"/>
      <c r="Y19" s="569"/>
      <c r="Z19" s="570"/>
      <c r="AA19" s="61">
        <f t="shared" si="8"/>
        <v>-63.500000000000455</v>
      </c>
      <c r="AB19" s="490">
        <f t="shared" si="9"/>
        <v>0.96824999999999972</v>
      </c>
      <c r="AC19" s="566"/>
    </row>
    <row r="20" spans="1:29" ht="16.5" customHeight="1">
      <c r="A20" s="593" t="s">
        <v>2287</v>
      </c>
      <c r="B20" s="57" t="s">
        <v>2285</v>
      </c>
      <c r="C20" s="571"/>
      <c r="D20" s="571"/>
      <c r="E20" s="495"/>
      <c r="F20" s="66"/>
      <c r="G20" s="59"/>
      <c r="H20" s="500"/>
      <c r="I20" s="67">
        <v>16.75</v>
      </c>
      <c r="J20" s="58">
        <v>1812.5</v>
      </c>
      <c r="K20" s="59">
        <f t="shared" si="1"/>
        <v>108.20895522388059</v>
      </c>
      <c r="L20" s="67">
        <v>16.75</v>
      </c>
      <c r="M20" s="60">
        <f>AVERAGE(M12:M19)</f>
        <v>1746.4679144385018</v>
      </c>
      <c r="N20" s="59">
        <f t="shared" si="3"/>
        <v>104.26674116050756</v>
      </c>
      <c r="O20" s="61">
        <f t="shared" si="4"/>
        <v>0</v>
      </c>
      <c r="P20" s="62">
        <f t="shared" si="5"/>
        <v>-3.9422140633730294</v>
      </c>
      <c r="Q20" s="490">
        <f t="shared" si="6"/>
        <v>0.96356850451779408</v>
      </c>
      <c r="R20" s="566"/>
      <c r="S20" s="63"/>
      <c r="T20" s="63"/>
      <c r="U20" s="488"/>
      <c r="V20" s="499"/>
      <c r="W20" s="59"/>
      <c r="X20" s="59"/>
      <c r="Y20" s="559"/>
      <c r="Z20" s="559"/>
      <c r="AA20" s="61">
        <f t="shared" si="8"/>
        <v>-66.032085561498207</v>
      </c>
      <c r="AB20" s="490">
        <f t="shared" si="9"/>
        <v>0.96356850451779408</v>
      </c>
      <c r="AC20" s="566"/>
    </row>
    <row r="21" spans="1:29" ht="15.75" customHeight="1">
      <c r="A21" s="588" t="s">
        <v>2288</v>
      </c>
      <c r="B21" s="57" t="s">
        <v>12</v>
      </c>
      <c r="C21" s="584" t="s">
        <v>19</v>
      </c>
      <c r="D21" s="584"/>
      <c r="E21" s="57">
        <v>43.14</v>
      </c>
      <c r="F21" s="500">
        <v>868</v>
      </c>
      <c r="G21" s="488">
        <f t="shared" ref="G21:G29" si="19">E21*F21</f>
        <v>37445.520000000004</v>
      </c>
      <c r="H21" s="502" t="s">
        <v>5</v>
      </c>
      <c r="I21" s="498">
        <v>17</v>
      </c>
      <c r="J21" s="58">
        <v>2000</v>
      </c>
      <c r="K21" s="59">
        <f t="shared" si="1"/>
        <v>117.64705882352941</v>
      </c>
      <c r="L21" s="498">
        <v>17</v>
      </c>
      <c r="M21" s="60">
        <f t="shared" ref="M21:M29" si="20">F21/V21*60</f>
        <v>1928.8888888888901</v>
      </c>
      <c r="N21" s="59">
        <f t="shared" si="3"/>
        <v>113.46405228758177</v>
      </c>
      <c r="O21" s="61">
        <f t="shared" si="4"/>
        <v>0</v>
      </c>
      <c r="P21" s="62">
        <f t="shared" si="5"/>
        <v>-4.1830065359476407</v>
      </c>
      <c r="Q21" s="490">
        <f t="shared" si="6"/>
        <v>0.9644444444444451</v>
      </c>
      <c r="R21" s="566">
        <f>Q30</f>
        <v>0.9597329986857317</v>
      </c>
      <c r="S21" s="63">
        <v>0.20833333333333334</v>
      </c>
      <c r="T21" s="63">
        <v>0.22708333333333333</v>
      </c>
      <c r="U21" s="488"/>
      <c r="V21" s="499">
        <f t="shared" ref="V21:V29" si="21">(T21-S21)*24*60</f>
        <v>26.999999999999986</v>
      </c>
      <c r="W21" s="68"/>
      <c r="X21" s="68"/>
      <c r="Y21" s="559"/>
      <c r="Z21" s="559"/>
      <c r="AA21" s="61">
        <f t="shared" si="8"/>
        <v>-71.111111111109949</v>
      </c>
      <c r="AB21" s="490">
        <f t="shared" si="9"/>
        <v>0.96444444444444499</v>
      </c>
      <c r="AC21" s="566">
        <f>AB30</f>
        <v>0.9597329986857317</v>
      </c>
    </row>
    <row r="22" spans="1:29" ht="15.75" customHeight="1">
      <c r="A22" s="589" t="s">
        <v>2288</v>
      </c>
      <c r="B22" s="57" t="s">
        <v>65</v>
      </c>
      <c r="C22" s="584" t="s">
        <v>97</v>
      </c>
      <c r="D22" s="584"/>
      <c r="E22" s="57">
        <v>49.9</v>
      </c>
      <c r="F22" s="500">
        <v>867</v>
      </c>
      <c r="G22" s="488">
        <f t="shared" si="19"/>
        <v>43263.299999999996</v>
      </c>
      <c r="H22" s="502" t="s">
        <v>5</v>
      </c>
      <c r="I22" s="498">
        <v>17</v>
      </c>
      <c r="J22" s="58">
        <v>2000</v>
      </c>
      <c r="K22" s="59">
        <f t="shared" si="1"/>
        <v>117.64705882352941</v>
      </c>
      <c r="L22" s="498">
        <v>17</v>
      </c>
      <c r="M22" s="60">
        <f t="shared" si="20"/>
        <v>1926.6666666666677</v>
      </c>
      <c r="N22" s="59">
        <f t="shared" si="3"/>
        <v>113.33333333333339</v>
      </c>
      <c r="O22" s="61">
        <f t="shared" si="4"/>
        <v>0</v>
      </c>
      <c r="P22" s="62">
        <f t="shared" si="5"/>
        <v>-4.3137254901960205</v>
      </c>
      <c r="Q22" s="490">
        <f t="shared" si="6"/>
        <v>0.96333333333333382</v>
      </c>
      <c r="R22" s="566"/>
      <c r="S22" s="63">
        <v>0.2326388888888889</v>
      </c>
      <c r="T22" s="63">
        <v>0.25138888888888888</v>
      </c>
      <c r="U22" s="488">
        <f t="shared" ref="U22:U29" si="22">IF(S22=TIME(17,0,0),"",(S22-T21)*24*60)</f>
        <v>8.0000000000000107</v>
      </c>
      <c r="V22" s="499">
        <f t="shared" si="21"/>
        <v>26.999999999999986</v>
      </c>
      <c r="W22" s="64"/>
      <c r="X22" s="488"/>
      <c r="Y22" s="559"/>
      <c r="Z22" s="559"/>
      <c r="AA22" s="61">
        <f t="shared" si="8"/>
        <v>-73.333333333332348</v>
      </c>
      <c r="AB22" s="490">
        <f t="shared" si="9"/>
        <v>0.96333333333333382</v>
      </c>
      <c r="AC22" s="566"/>
    </row>
    <row r="23" spans="1:29" ht="15.75" customHeight="1">
      <c r="A23" s="589" t="s">
        <v>2288</v>
      </c>
      <c r="B23" s="57" t="s">
        <v>6</v>
      </c>
      <c r="C23" s="584" t="s">
        <v>20</v>
      </c>
      <c r="D23" s="584"/>
      <c r="E23" s="57">
        <v>57.73</v>
      </c>
      <c r="F23" s="500">
        <v>2270</v>
      </c>
      <c r="G23" s="488">
        <f t="shared" si="19"/>
        <v>131047.09999999999</v>
      </c>
      <c r="H23" s="502" t="s">
        <v>5</v>
      </c>
      <c r="I23" s="498">
        <v>14</v>
      </c>
      <c r="J23" s="58">
        <v>2000</v>
      </c>
      <c r="K23" s="59">
        <f t="shared" si="1"/>
        <v>142.85714285714286</v>
      </c>
      <c r="L23" s="498">
        <v>14</v>
      </c>
      <c r="M23" s="60">
        <f t="shared" si="20"/>
        <v>1918.3098591549299</v>
      </c>
      <c r="N23" s="59">
        <f t="shared" si="3"/>
        <v>137.02213279678071</v>
      </c>
      <c r="O23" s="61">
        <f t="shared" si="4"/>
        <v>0</v>
      </c>
      <c r="P23" s="62">
        <f t="shared" si="5"/>
        <v>-5.8350100603621513</v>
      </c>
      <c r="Q23" s="490">
        <f t="shared" si="6"/>
        <v>0.95915492957746495</v>
      </c>
      <c r="R23" s="566"/>
      <c r="S23" s="63">
        <v>0.25624999999999998</v>
      </c>
      <c r="T23" s="63">
        <v>0.30555555555555552</v>
      </c>
      <c r="U23" s="488">
        <f t="shared" si="22"/>
        <v>6.9999999999999751</v>
      </c>
      <c r="V23" s="499">
        <f t="shared" si="21"/>
        <v>70.999999999999986</v>
      </c>
      <c r="W23" s="64"/>
      <c r="X23" s="488"/>
      <c r="Y23" s="559"/>
      <c r="Z23" s="559"/>
      <c r="AA23" s="61">
        <f t="shared" si="8"/>
        <v>-81.690140845070118</v>
      </c>
      <c r="AB23" s="490">
        <f t="shared" si="9"/>
        <v>0.95915492957746495</v>
      </c>
      <c r="AC23" s="566"/>
    </row>
    <row r="24" spans="1:29" ht="15.75" customHeight="1">
      <c r="A24" s="589" t="s">
        <v>2288</v>
      </c>
      <c r="B24" s="57" t="s">
        <v>6</v>
      </c>
      <c r="C24" s="584" t="s">
        <v>21</v>
      </c>
      <c r="D24" s="584"/>
      <c r="E24" s="57">
        <v>53.68</v>
      </c>
      <c r="F24" s="500">
        <v>1331</v>
      </c>
      <c r="G24" s="488">
        <f t="shared" si="19"/>
        <v>71448.08</v>
      </c>
      <c r="H24" s="502" t="s">
        <v>5</v>
      </c>
      <c r="I24" s="498">
        <v>16</v>
      </c>
      <c r="J24" s="58">
        <v>2000</v>
      </c>
      <c r="K24" s="59">
        <f t="shared" si="1"/>
        <v>125</v>
      </c>
      <c r="L24" s="498">
        <v>16</v>
      </c>
      <c r="M24" s="60">
        <f t="shared" si="20"/>
        <v>1901.4285714285706</v>
      </c>
      <c r="N24" s="59">
        <f t="shared" si="3"/>
        <v>118.83928571428567</v>
      </c>
      <c r="O24" s="61">
        <f t="shared" si="4"/>
        <v>0</v>
      </c>
      <c r="P24" s="62">
        <f t="shared" si="5"/>
        <v>-6.1607142857143344</v>
      </c>
      <c r="Q24" s="490">
        <f t="shared" si="6"/>
        <v>0.95071428571428529</v>
      </c>
      <c r="R24" s="566"/>
      <c r="S24" s="63">
        <v>0.31111111111111106</v>
      </c>
      <c r="T24" s="63">
        <v>0.34027777777777773</v>
      </c>
      <c r="U24" s="488">
        <f t="shared" si="22"/>
        <v>7.9999999999999716</v>
      </c>
      <c r="V24" s="499">
        <f t="shared" si="21"/>
        <v>42.000000000000014</v>
      </c>
      <c r="W24" s="64"/>
      <c r="X24" s="488"/>
      <c r="Y24" s="559"/>
      <c r="Z24" s="559"/>
      <c r="AA24" s="61">
        <f t="shared" si="8"/>
        <v>-98.571428571429351</v>
      </c>
      <c r="AB24" s="490">
        <f t="shared" si="9"/>
        <v>0.95071428571428529</v>
      </c>
      <c r="AC24" s="566"/>
    </row>
    <row r="25" spans="1:29" ht="15.75" customHeight="1">
      <c r="A25" s="589" t="s">
        <v>2288</v>
      </c>
      <c r="B25" s="57" t="s">
        <v>6</v>
      </c>
      <c r="C25" s="584" t="s">
        <v>96</v>
      </c>
      <c r="D25" s="584"/>
      <c r="E25" s="57">
        <v>49.91</v>
      </c>
      <c r="F25" s="500">
        <v>825</v>
      </c>
      <c r="G25" s="488">
        <f t="shared" si="19"/>
        <v>41175.75</v>
      </c>
      <c r="H25" s="502" t="s">
        <v>5</v>
      </c>
      <c r="I25" s="498">
        <v>17</v>
      </c>
      <c r="J25" s="58">
        <v>2000</v>
      </c>
      <c r="K25" s="59">
        <f t="shared" si="1"/>
        <v>117.64705882352941</v>
      </c>
      <c r="L25" s="498">
        <v>17</v>
      </c>
      <c r="M25" s="60">
        <f t="shared" si="20"/>
        <v>1903.8461538461549</v>
      </c>
      <c r="N25" s="59">
        <f t="shared" si="3"/>
        <v>111.99095022624441</v>
      </c>
      <c r="O25" s="61">
        <f t="shared" si="4"/>
        <v>0</v>
      </c>
      <c r="P25" s="62">
        <f t="shared" si="5"/>
        <v>-5.656108597284998</v>
      </c>
      <c r="Q25" s="490">
        <f t="shared" si="6"/>
        <v>0.95192307692307754</v>
      </c>
      <c r="R25" s="566"/>
      <c r="S25" s="63">
        <v>0.34583333333333327</v>
      </c>
      <c r="T25" s="63">
        <v>0.36388888888888882</v>
      </c>
      <c r="U25" s="488">
        <f t="shared" si="22"/>
        <v>7.9999999999999716</v>
      </c>
      <c r="V25" s="499">
        <f t="shared" si="21"/>
        <v>25.999999999999986</v>
      </c>
      <c r="W25" s="64"/>
      <c r="X25" s="488"/>
      <c r="Y25" s="559"/>
      <c r="Z25" s="559"/>
      <c r="AA25" s="61">
        <f t="shared" si="8"/>
        <v>-96.153846153845052</v>
      </c>
      <c r="AB25" s="490">
        <f t="shared" si="9"/>
        <v>0.95192307692307743</v>
      </c>
      <c r="AC25" s="566"/>
    </row>
    <row r="26" spans="1:29" ht="15.75" customHeight="1">
      <c r="A26" s="589" t="s">
        <v>2288</v>
      </c>
      <c r="B26" s="57" t="s">
        <v>6</v>
      </c>
      <c r="C26" s="584" t="s">
        <v>8</v>
      </c>
      <c r="D26" s="584"/>
      <c r="E26" s="57">
        <v>50.49</v>
      </c>
      <c r="F26" s="500">
        <v>1892</v>
      </c>
      <c r="G26" s="488">
        <f t="shared" si="19"/>
        <v>95527.08</v>
      </c>
      <c r="H26" s="502" t="s">
        <v>5</v>
      </c>
      <c r="I26" s="498">
        <v>15</v>
      </c>
      <c r="J26" s="58">
        <v>2000</v>
      </c>
      <c r="K26" s="59">
        <f t="shared" si="1"/>
        <v>133.33333333333334</v>
      </c>
      <c r="L26" s="498">
        <v>15</v>
      </c>
      <c r="M26" s="60">
        <f t="shared" si="20"/>
        <v>1924.0677966101709</v>
      </c>
      <c r="N26" s="59">
        <f t="shared" si="3"/>
        <v>128.27118644067806</v>
      </c>
      <c r="O26" s="61">
        <f t="shared" si="4"/>
        <v>0</v>
      </c>
      <c r="P26" s="62">
        <f t="shared" si="5"/>
        <v>-5.062146892655278</v>
      </c>
      <c r="Q26" s="490">
        <f t="shared" si="6"/>
        <v>0.96203389830508546</v>
      </c>
      <c r="R26" s="566"/>
      <c r="S26" s="63">
        <v>0.70833333333333337</v>
      </c>
      <c r="T26" s="63">
        <v>0.74930555555555556</v>
      </c>
      <c r="U26" s="488" t="str">
        <f t="shared" si="22"/>
        <v/>
      </c>
      <c r="V26" s="499">
        <f t="shared" si="21"/>
        <v>58.99999999999995</v>
      </c>
      <c r="W26" s="64"/>
      <c r="X26" s="68"/>
      <c r="Y26" s="559"/>
      <c r="Z26" s="559"/>
      <c r="AA26" s="61">
        <f t="shared" si="8"/>
        <v>-75.932203389829056</v>
      </c>
      <c r="AB26" s="490">
        <f t="shared" si="9"/>
        <v>0.96203389830508546</v>
      </c>
      <c r="AC26" s="566"/>
    </row>
    <row r="27" spans="1:29" ht="15.75" customHeight="1">
      <c r="A27" s="589" t="s">
        <v>2288</v>
      </c>
      <c r="B27" s="57" t="s">
        <v>6</v>
      </c>
      <c r="C27" s="584" t="s">
        <v>69</v>
      </c>
      <c r="D27" s="584"/>
      <c r="E27" s="57">
        <v>57.73</v>
      </c>
      <c r="F27" s="500">
        <v>1207</v>
      </c>
      <c r="G27" s="488">
        <f t="shared" si="19"/>
        <v>69680.11</v>
      </c>
      <c r="H27" s="502" t="s">
        <v>5</v>
      </c>
      <c r="I27" s="498">
        <v>16</v>
      </c>
      <c r="J27" s="58">
        <v>1500</v>
      </c>
      <c r="K27" s="59">
        <f t="shared" si="1"/>
        <v>93.75</v>
      </c>
      <c r="L27" s="498">
        <v>16</v>
      </c>
      <c r="M27" s="60">
        <f t="shared" si="20"/>
        <v>1448.4000000000005</v>
      </c>
      <c r="N27" s="59">
        <f t="shared" si="3"/>
        <v>90.525000000000034</v>
      </c>
      <c r="O27" s="61">
        <f t="shared" si="4"/>
        <v>0</v>
      </c>
      <c r="P27" s="62">
        <f t="shared" si="5"/>
        <v>-3.2249999999999659</v>
      </c>
      <c r="Q27" s="490">
        <f t="shared" si="6"/>
        <v>0.96560000000000035</v>
      </c>
      <c r="R27" s="566"/>
      <c r="S27" s="63">
        <v>0.75416666666666665</v>
      </c>
      <c r="T27" s="63">
        <v>0.78888888888888886</v>
      </c>
      <c r="U27" s="488">
        <f t="shared" si="22"/>
        <v>6.9999999999999751</v>
      </c>
      <c r="V27" s="499">
        <f t="shared" si="21"/>
        <v>49.999999999999986</v>
      </c>
      <c r="W27" s="64"/>
      <c r="X27" s="68"/>
      <c r="Y27" s="569"/>
      <c r="Z27" s="570"/>
      <c r="AA27" s="61">
        <f t="shared" si="8"/>
        <v>-51.599999999999454</v>
      </c>
      <c r="AB27" s="490">
        <f t="shared" si="9"/>
        <v>0.96560000000000035</v>
      </c>
      <c r="AC27" s="566"/>
    </row>
    <row r="28" spans="1:29" ht="15.75" customHeight="1">
      <c r="A28" s="589" t="s">
        <v>2288</v>
      </c>
      <c r="B28" s="57" t="s">
        <v>6</v>
      </c>
      <c r="C28" s="585" t="s">
        <v>99</v>
      </c>
      <c r="D28" s="586"/>
      <c r="E28" s="57">
        <v>53.68</v>
      </c>
      <c r="F28" s="500">
        <v>1903</v>
      </c>
      <c r="G28" s="488">
        <f t="shared" si="19"/>
        <v>102153.04</v>
      </c>
      <c r="H28" s="502" t="s">
        <v>5</v>
      </c>
      <c r="I28" s="498">
        <v>16</v>
      </c>
      <c r="J28" s="58">
        <v>1500</v>
      </c>
      <c r="K28" s="59">
        <f t="shared" si="1"/>
        <v>93.75</v>
      </c>
      <c r="L28" s="498">
        <v>16</v>
      </c>
      <c r="M28" s="60">
        <f t="shared" si="20"/>
        <v>1445.3164556962017</v>
      </c>
      <c r="N28" s="59">
        <f t="shared" si="3"/>
        <v>90.332278481012608</v>
      </c>
      <c r="O28" s="61">
        <f t="shared" si="4"/>
        <v>0</v>
      </c>
      <c r="P28" s="62">
        <f t="shared" si="5"/>
        <v>-3.417721518987392</v>
      </c>
      <c r="Q28" s="490">
        <f t="shared" si="6"/>
        <v>0.9635443037974678</v>
      </c>
      <c r="R28" s="566"/>
      <c r="S28" s="63">
        <v>0.7944444444444444</v>
      </c>
      <c r="T28" s="63">
        <v>0.84930555555555554</v>
      </c>
      <c r="U28" s="488">
        <f t="shared" si="22"/>
        <v>7.9999999999999716</v>
      </c>
      <c r="V28" s="499">
        <f t="shared" si="21"/>
        <v>79.000000000000043</v>
      </c>
      <c r="W28" s="64">
        <f>T28</f>
        <v>0.84930555555555554</v>
      </c>
      <c r="X28" s="64">
        <f>S29</f>
        <v>0.88958333333333328</v>
      </c>
      <c r="Y28" s="569"/>
      <c r="Z28" s="570"/>
      <c r="AA28" s="61">
        <f t="shared" si="8"/>
        <v>-54.683544303798271</v>
      </c>
      <c r="AB28" s="490">
        <f t="shared" si="9"/>
        <v>0.9635443037974678</v>
      </c>
      <c r="AC28" s="566"/>
    </row>
    <row r="29" spans="1:29" ht="15.75" customHeight="1">
      <c r="A29" s="589" t="s">
        <v>2288</v>
      </c>
      <c r="B29" s="57" t="s">
        <v>6</v>
      </c>
      <c r="C29" s="585" t="s">
        <v>95</v>
      </c>
      <c r="D29" s="586"/>
      <c r="E29" s="57">
        <v>50.98</v>
      </c>
      <c r="F29" s="500">
        <v>1311</v>
      </c>
      <c r="G29" s="488">
        <f t="shared" si="19"/>
        <v>66834.78</v>
      </c>
      <c r="H29" s="502" t="s">
        <v>5</v>
      </c>
      <c r="I29" s="498">
        <v>16</v>
      </c>
      <c r="J29" s="58">
        <v>2000</v>
      </c>
      <c r="K29" s="59">
        <f t="shared" si="1"/>
        <v>125</v>
      </c>
      <c r="L29" s="498">
        <v>16</v>
      </c>
      <c r="M29" s="60">
        <f t="shared" si="20"/>
        <v>1918.5365853658532</v>
      </c>
      <c r="N29" s="59">
        <f t="shared" si="3"/>
        <v>119.90853658536582</v>
      </c>
      <c r="O29" s="61">
        <f t="shared" si="4"/>
        <v>0</v>
      </c>
      <c r="P29" s="62">
        <f t="shared" si="5"/>
        <v>-5.0914634146341768</v>
      </c>
      <c r="Q29" s="490">
        <f t="shared" si="6"/>
        <v>0.95926829268292657</v>
      </c>
      <c r="R29" s="566"/>
      <c r="S29" s="63">
        <v>0.88958333333333328</v>
      </c>
      <c r="T29" s="63">
        <v>0.91805555555555551</v>
      </c>
      <c r="U29" s="488">
        <f t="shared" si="22"/>
        <v>57.999999999999957</v>
      </c>
      <c r="V29" s="499">
        <f t="shared" si="21"/>
        <v>41.000000000000014</v>
      </c>
      <c r="W29" s="64"/>
      <c r="X29" s="64"/>
      <c r="Y29" s="569"/>
      <c r="Z29" s="570"/>
      <c r="AA29" s="61">
        <f t="shared" si="8"/>
        <v>-81.463414634146829</v>
      </c>
      <c r="AB29" s="490">
        <f t="shared" si="9"/>
        <v>0.95926829268292657</v>
      </c>
      <c r="AC29" s="566"/>
    </row>
    <row r="30" spans="1:29" ht="15.75" customHeight="1">
      <c r="A30" s="589" t="s">
        <v>2288</v>
      </c>
      <c r="B30" s="57" t="s">
        <v>2285</v>
      </c>
      <c r="C30" s="571"/>
      <c r="D30" s="571"/>
      <c r="E30" s="495"/>
      <c r="F30" s="500"/>
      <c r="G30" s="488"/>
      <c r="H30" s="500"/>
      <c r="I30" s="67">
        <v>16</v>
      </c>
      <c r="J30" s="58">
        <v>1888.8888888888889</v>
      </c>
      <c r="K30" s="59">
        <f t="shared" si="1"/>
        <v>118.05555555555556</v>
      </c>
      <c r="L30" s="67">
        <v>16</v>
      </c>
      <c r="M30" s="60">
        <f>AVERAGE(M21:M29)</f>
        <v>1812.8289975174932</v>
      </c>
      <c r="N30" s="59">
        <f t="shared" si="3"/>
        <v>113.30181234484333</v>
      </c>
      <c r="O30" s="61">
        <f t="shared" si="4"/>
        <v>0</v>
      </c>
      <c r="P30" s="62">
        <f t="shared" si="5"/>
        <v>-4.7537432107122299</v>
      </c>
      <c r="Q30" s="490">
        <f t="shared" si="6"/>
        <v>0.9597329986857317</v>
      </c>
      <c r="R30" s="566"/>
      <c r="S30" s="63"/>
      <c r="T30" s="63"/>
      <c r="U30" s="59"/>
      <c r="V30" s="499"/>
      <c r="W30" s="59"/>
      <c r="X30" s="59"/>
      <c r="Y30" s="559"/>
      <c r="Z30" s="559"/>
      <c r="AA30" s="61">
        <f t="shared" si="8"/>
        <v>-76.059891371395679</v>
      </c>
      <c r="AB30" s="490">
        <f t="shared" si="9"/>
        <v>0.9597329986857317</v>
      </c>
      <c r="AC30" s="566"/>
    </row>
    <row r="31" spans="1:29" ht="15.75" customHeight="1">
      <c r="A31" s="587" t="s">
        <v>2289</v>
      </c>
      <c r="B31" s="57" t="s">
        <v>15</v>
      </c>
      <c r="C31" s="584" t="s">
        <v>26</v>
      </c>
      <c r="D31" s="584"/>
      <c r="E31" s="57">
        <v>31.29</v>
      </c>
      <c r="F31" s="500">
        <v>5837</v>
      </c>
      <c r="G31" s="488">
        <f t="shared" ref="G31:G35" si="23">E31*F31</f>
        <v>182639.72999999998</v>
      </c>
      <c r="H31" s="502" t="s">
        <v>5</v>
      </c>
      <c r="I31" s="498">
        <v>18</v>
      </c>
      <c r="J31" s="58">
        <v>2400</v>
      </c>
      <c r="K31" s="59">
        <f t="shared" si="1"/>
        <v>133.33333333333334</v>
      </c>
      <c r="L31" s="498">
        <v>18</v>
      </c>
      <c r="M31" s="60">
        <f t="shared" ref="M31:M35" si="24">F31/V31*60</f>
        <v>2289.0196078431372</v>
      </c>
      <c r="N31" s="59">
        <f t="shared" si="3"/>
        <v>127.1677559912854</v>
      </c>
      <c r="O31" s="61">
        <f t="shared" si="4"/>
        <v>0</v>
      </c>
      <c r="P31" s="62">
        <f t="shared" si="5"/>
        <v>-6.1655773420479392</v>
      </c>
      <c r="Q31" s="490">
        <f t="shared" si="6"/>
        <v>0.95375816993464047</v>
      </c>
      <c r="R31" s="566">
        <f>Q36</f>
        <v>0.9572947833754939</v>
      </c>
      <c r="S31" s="63">
        <v>8.3333333333333329E-2</v>
      </c>
      <c r="T31" s="63">
        <v>0.18958333333333333</v>
      </c>
      <c r="U31" s="488"/>
      <c r="V31" s="499">
        <f t="shared" ref="V31:V35" si="25">(T31-S31)*24*60</f>
        <v>153</v>
      </c>
      <c r="W31" s="64">
        <f>T31</f>
        <v>0.18958333333333333</v>
      </c>
      <c r="X31" s="64">
        <f>S32</f>
        <v>0.20833333333333334</v>
      </c>
      <c r="Y31" s="559"/>
      <c r="Z31" s="559"/>
      <c r="AA31" s="61">
        <f t="shared" si="8"/>
        <v>-110.98039215686276</v>
      </c>
      <c r="AB31" s="490">
        <f t="shared" si="9"/>
        <v>0.95375816993464047</v>
      </c>
      <c r="AC31" s="566">
        <f>AB36</f>
        <v>0.95729478337549401</v>
      </c>
    </row>
    <row r="32" spans="1:29" ht="15.75" customHeight="1">
      <c r="A32" s="587" t="s">
        <v>87</v>
      </c>
      <c r="B32" s="57" t="s">
        <v>15</v>
      </c>
      <c r="C32" s="584" t="s">
        <v>23</v>
      </c>
      <c r="D32" s="584"/>
      <c r="E32" s="57">
        <v>26.2</v>
      </c>
      <c r="F32" s="500">
        <v>3504</v>
      </c>
      <c r="G32" s="488">
        <f t="shared" si="23"/>
        <v>91804.800000000003</v>
      </c>
      <c r="H32" s="502" t="s">
        <v>5</v>
      </c>
      <c r="I32" s="498">
        <v>20</v>
      </c>
      <c r="J32" s="58">
        <v>2400</v>
      </c>
      <c r="K32" s="59">
        <f t="shared" si="1"/>
        <v>120</v>
      </c>
      <c r="L32" s="498">
        <v>20</v>
      </c>
      <c r="M32" s="60">
        <f t="shared" si="24"/>
        <v>2285.2173913043471</v>
      </c>
      <c r="N32" s="59">
        <f t="shared" si="3"/>
        <v>114.26086956521735</v>
      </c>
      <c r="O32" s="61">
        <f t="shared" si="4"/>
        <v>0</v>
      </c>
      <c r="P32" s="62">
        <f t="shared" si="5"/>
        <v>-5.7391304347826519</v>
      </c>
      <c r="Q32" s="490">
        <f t="shared" si="6"/>
        <v>0.95217391304347787</v>
      </c>
      <c r="R32" s="566"/>
      <c r="S32" s="63">
        <v>0.20833333333333334</v>
      </c>
      <c r="T32" s="63">
        <v>0.27222222222222225</v>
      </c>
      <c r="U32" s="488">
        <f t="shared" ref="U32:U35" si="26">(S32-T31)*24*60</f>
        <v>27.000000000000025</v>
      </c>
      <c r="V32" s="499">
        <f t="shared" si="25"/>
        <v>92.000000000000028</v>
      </c>
      <c r="W32" s="64"/>
      <c r="X32" s="64"/>
      <c r="Y32" s="559"/>
      <c r="Z32" s="559"/>
      <c r="AA32" s="61">
        <f t="shared" si="8"/>
        <v>-114.78260869565293</v>
      </c>
      <c r="AB32" s="490">
        <f t="shared" si="9"/>
        <v>0.95217391304347798</v>
      </c>
      <c r="AC32" s="566"/>
    </row>
    <row r="33" spans="1:29" ht="15.75" customHeight="1">
      <c r="A33" s="587" t="s">
        <v>2289</v>
      </c>
      <c r="B33" s="57" t="s">
        <v>15</v>
      </c>
      <c r="C33" s="584" t="s">
        <v>70</v>
      </c>
      <c r="D33" s="584"/>
      <c r="E33" s="57">
        <v>25.99</v>
      </c>
      <c r="F33" s="500">
        <v>3143</v>
      </c>
      <c r="G33" s="488">
        <f t="shared" si="23"/>
        <v>81686.569999999992</v>
      </c>
      <c r="H33" s="502" t="s">
        <v>5</v>
      </c>
      <c r="I33" s="498">
        <v>14</v>
      </c>
      <c r="J33" s="58">
        <v>2400</v>
      </c>
      <c r="K33" s="59">
        <f t="shared" si="1"/>
        <v>171.42857142857142</v>
      </c>
      <c r="L33" s="498">
        <v>14</v>
      </c>
      <c r="M33" s="60">
        <f t="shared" si="24"/>
        <v>2299.7560975609749</v>
      </c>
      <c r="N33" s="59">
        <f t="shared" si="3"/>
        <v>164.26829268292678</v>
      </c>
      <c r="O33" s="61">
        <f t="shared" si="4"/>
        <v>0</v>
      </c>
      <c r="P33" s="62">
        <f t="shared" si="5"/>
        <v>-7.1602787456446322</v>
      </c>
      <c r="Q33" s="490">
        <f t="shared" si="6"/>
        <v>0.95823170731707297</v>
      </c>
      <c r="R33" s="566"/>
      <c r="S33" s="63">
        <v>0.27777777777777779</v>
      </c>
      <c r="T33" s="63">
        <v>0.33472222222222225</v>
      </c>
      <c r="U33" s="488">
        <f t="shared" si="26"/>
        <v>7.9999999999999716</v>
      </c>
      <c r="V33" s="499">
        <f t="shared" si="25"/>
        <v>82.000000000000028</v>
      </c>
      <c r="W33" s="64"/>
      <c r="X33" s="64"/>
      <c r="Y33" s="559"/>
      <c r="Z33" s="559"/>
      <c r="AA33" s="61">
        <f t="shared" si="8"/>
        <v>-100.24390243902508</v>
      </c>
      <c r="AB33" s="490">
        <f t="shared" si="9"/>
        <v>0.95823170731707286</v>
      </c>
      <c r="AC33" s="566"/>
    </row>
    <row r="34" spans="1:29" ht="15.75" customHeight="1">
      <c r="A34" s="587" t="s">
        <v>2289</v>
      </c>
      <c r="B34" s="57" t="s">
        <v>15</v>
      </c>
      <c r="C34" s="584" t="s">
        <v>45</v>
      </c>
      <c r="D34" s="584"/>
      <c r="E34" s="57">
        <v>20.52</v>
      </c>
      <c r="F34" s="500">
        <v>3033</v>
      </c>
      <c r="G34" s="488">
        <f t="shared" si="23"/>
        <v>62237.159999999996</v>
      </c>
      <c r="H34" s="502" t="s">
        <v>5</v>
      </c>
      <c r="I34" s="498">
        <v>18</v>
      </c>
      <c r="J34" s="58">
        <v>2400</v>
      </c>
      <c r="K34" s="59">
        <f t="shared" si="1"/>
        <v>133.33333333333334</v>
      </c>
      <c r="L34" s="498">
        <v>18</v>
      </c>
      <c r="M34" s="60">
        <f t="shared" si="24"/>
        <v>2303.5443037974674</v>
      </c>
      <c r="N34" s="59">
        <f t="shared" si="3"/>
        <v>127.97468354430374</v>
      </c>
      <c r="O34" s="61">
        <f t="shared" si="4"/>
        <v>0</v>
      </c>
      <c r="P34" s="62">
        <f t="shared" si="5"/>
        <v>-5.3586497890295988</v>
      </c>
      <c r="Q34" s="490">
        <f t="shared" si="6"/>
        <v>0.95981012658227804</v>
      </c>
      <c r="R34" s="566"/>
      <c r="S34" s="63">
        <v>0.33819444444444446</v>
      </c>
      <c r="T34" s="63">
        <v>0.3930555555555556</v>
      </c>
      <c r="U34" s="488">
        <f t="shared" si="26"/>
        <v>4.9999999999999822</v>
      </c>
      <c r="V34" s="499">
        <f t="shared" si="25"/>
        <v>79.000000000000043</v>
      </c>
      <c r="W34" s="64"/>
      <c r="X34" s="64"/>
      <c r="Y34" s="559"/>
      <c r="Z34" s="559"/>
      <c r="AA34" s="61">
        <f t="shared" si="8"/>
        <v>-96.455696202532636</v>
      </c>
      <c r="AB34" s="490">
        <f t="shared" si="9"/>
        <v>0.95981012658227804</v>
      </c>
      <c r="AC34" s="566"/>
    </row>
    <row r="35" spans="1:29" ht="15.75" customHeight="1">
      <c r="A35" s="587" t="s">
        <v>2289</v>
      </c>
      <c r="B35" s="57" t="s">
        <v>15</v>
      </c>
      <c r="C35" s="584" t="s">
        <v>98</v>
      </c>
      <c r="D35" s="584"/>
      <c r="E35" s="57">
        <v>25.98</v>
      </c>
      <c r="F35" s="500">
        <v>2618</v>
      </c>
      <c r="G35" s="488">
        <f t="shared" si="23"/>
        <v>68015.64</v>
      </c>
      <c r="H35" s="502" t="s">
        <v>5</v>
      </c>
      <c r="I35" s="498">
        <v>21</v>
      </c>
      <c r="J35" s="58">
        <v>2400</v>
      </c>
      <c r="K35" s="59">
        <f t="shared" si="1"/>
        <v>114.28571428571429</v>
      </c>
      <c r="L35" s="498">
        <v>21</v>
      </c>
      <c r="M35" s="60">
        <f t="shared" si="24"/>
        <v>2310</v>
      </c>
      <c r="N35" s="59">
        <f t="shared" si="3"/>
        <v>110</v>
      </c>
      <c r="O35" s="61">
        <f t="shared" si="4"/>
        <v>0</v>
      </c>
      <c r="P35" s="62">
        <f t="shared" si="5"/>
        <v>-4.2857142857142918</v>
      </c>
      <c r="Q35" s="490">
        <f t="shared" si="6"/>
        <v>0.96249999999999991</v>
      </c>
      <c r="R35" s="566"/>
      <c r="S35" s="63">
        <v>0.39861111111111114</v>
      </c>
      <c r="T35" s="63">
        <v>0.44583333333333336</v>
      </c>
      <c r="U35" s="488">
        <f t="shared" si="26"/>
        <v>7.9999999999999716</v>
      </c>
      <c r="V35" s="499">
        <f t="shared" si="25"/>
        <v>68</v>
      </c>
      <c r="W35" s="64"/>
      <c r="X35" s="64"/>
      <c r="Y35" s="559"/>
      <c r="Z35" s="559"/>
      <c r="AA35" s="61">
        <f t="shared" si="8"/>
        <v>-90</v>
      </c>
      <c r="AB35" s="490">
        <f t="shared" si="9"/>
        <v>0.96250000000000002</v>
      </c>
      <c r="AC35" s="566"/>
    </row>
    <row r="36" spans="1:29" ht="15.75" customHeight="1">
      <c r="A36" s="587" t="s">
        <v>87</v>
      </c>
      <c r="B36" s="57" t="s">
        <v>2285</v>
      </c>
      <c r="C36" s="571"/>
      <c r="D36" s="571"/>
      <c r="E36" s="495"/>
      <c r="F36" s="500"/>
      <c r="G36" s="488"/>
      <c r="H36" s="500"/>
      <c r="I36" s="67">
        <v>18.2</v>
      </c>
      <c r="J36" s="58">
        <v>2400</v>
      </c>
      <c r="K36" s="59">
        <f t="shared" si="1"/>
        <v>131.86813186813188</v>
      </c>
      <c r="L36" s="67">
        <v>18.2</v>
      </c>
      <c r="M36" s="60">
        <f>AVERAGE(M31:M35)</f>
        <v>2297.5074801011856</v>
      </c>
      <c r="N36" s="59">
        <f t="shared" si="3"/>
        <v>126.23667473083438</v>
      </c>
      <c r="O36" s="61">
        <f t="shared" si="4"/>
        <v>0</v>
      </c>
      <c r="P36" s="62">
        <f t="shared" si="5"/>
        <v>-5.6314571372975024</v>
      </c>
      <c r="Q36" s="490">
        <f t="shared" si="6"/>
        <v>0.9572947833754939</v>
      </c>
      <c r="R36" s="566"/>
      <c r="S36" s="63"/>
      <c r="T36" s="63"/>
      <c r="U36" s="488"/>
      <c r="V36" s="499"/>
      <c r="W36" s="488"/>
      <c r="X36" s="488"/>
      <c r="Y36" s="559"/>
      <c r="Z36" s="559"/>
      <c r="AA36" s="61">
        <f t="shared" si="8"/>
        <v>-102.49251989881441</v>
      </c>
      <c r="AB36" s="490">
        <f t="shared" si="9"/>
        <v>0.95729478337549401</v>
      </c>
      <c r="AC36" s="566"/>
    </row>
    <row r="37" spans="1:29" ht="15.75" customHeight="1">
      <c r="A37" s="582" t="s">
        <v>2290</v>
      </c>
      <c r="B37" s="57" t="s">
        <v>15</v>
      </c>
      <c r="C37" s="560" t="s">
        <v>101</v>
      </c>
      <c r="D37" s="560"/>
      <c r="E37" s="57">
        <v>22.69</v>
      </c>
      <c r="F37" s="500">
        <v>653</v>
      </c>
      <c r="G37" s="488">
        <f t="shared" ref="G37:G43" si="27">E37*F37</f>
        <v>14816.570000000002</v>
      </c>
      <c r="H37" s="502" t="s">
        <v>5</v>
      </c>
      <c r="I37" s="498">
        <v>15</v>
      </c>
      <c r="J37" s="58">
        <v>2400</v>
      </c>
      <c r="K37" s="59">
        <f t="shared" si="1"/>
        <v>160</v>
      </c>
      <c r="L37" s="498">
        <v>15</v>
      </c>
      <c r="M37" s="60">
        <f t="shared" ref="M37:M43" si="28">F37/V37*60</f>
        <v>2304.7058823529414</v>
      </c>
      <c r="N37" s="59">
        <f t="shared" si="3"/>
        <v>153.64705882352942</v>
      </c>
      <c r="O37" s="61">
        <f t="shared" si="4"/>
        <v>0</v>
      </c>
      <c r="P37" s="62">
        <f t="shared" si="5"/>
        <v>-6.3529411764705799</v>
      </c>
      <c r="Q37" s="490">
        <f t="shared" si="6"/>
        <v>0.96029411764705885</v>
      </c>
      <c r="R37" s="566">
        <f>Q44</f>
        <v>0.95423407758281475</v>
      </c>
      <c r="S37" s="63">
        <v>8.3333333333333329E-2</v>
      </c>
      <c r="T37" s="63">
        <v>9.5138888888888884E-2</v>
      </c>
      <c r="U37" s="488"/>
      <c r="V37" s="499">
        <f t="shared" ref="V37:V43" si="29">(T37-S37)*24*60</f>
        <v>17</v>
      </c>
      <c r="W37" s="68">
        <f>T37</f>
        <v>9.5138888888888884E-2</v>
      </c>
      <c r="X37" s="68">
        <f>S38</f>
        <v>0.11527777777777777</v>
      </c>
      <c r="Y37" s="559"/>
      <c r="Z37" s="559"/>
      <c r="AA37" s="61">
        <f t="shared" si="8"/>
        <v>-95.294117647058556</v>
      </c>
      <c r="AB37" s="490">
        <f t="shared" si="9"/>
        <v>0.96029411764705896</v>
      </c>
      <c r="AC37" s="566">
        <f>AB44</f>
        <v>0.95423407758281487</v>
      </c>
    </row>
    <row r="38" spans="1:29" ht="15.75" customHeight="1">
      <c r="A38" s="582" t="s">
        <v>2290</v>
      </c>
      <c r="B38" s="57" t="s">
        <v>15</v>
      </c>
      <c r="C38" s="560" t="s">
        <v>27</v>
      </c>
      <c r="D38" s="560"/>
      <c r="E38" s="57">
        <v>26.2</v>
      </c>
      <c r="F38" s="500">
        <v>4224</v>
      </c>
      <c r="G38" s="488">
        <f t="shared" si="27"/>
        <v>110668.8</v>
      </c>
      <c r="H38" s="502" t="s">
        <v>5</v>
      </c>
      <c r="I38" s="498">
        <v>18</v>
      </c>
      <c r="J38" s="58">
        <v>2400</v>
      </c>
      <c r="K38" s="59">
        <f t="shared" si="1"/>
        <v>133.33333333333334</v>
      </c>
      <c r="L38" s="498">
        <v>18</v>
      </c>
      <c r="M38" s="60">
        <f t="shared" si="28"/>
        <v>2283.2432432432438</v>
      </c>
      <c r="N38" s="59">
        <f t="shared" si="3"/>
        <v>126.84684684684687</v>
      </c>
      <c r="O38" s="61">
        <f t="shared" si="4"/>
        <v>0</v>
      </c>
      <c r="P38" s="62">
        <f t="shared" si="5"/>
        <v>-6.48648648648647</v>
      </c>
      <c r="Q38" s="490">
        <f t="shared" si="6"/>
        <v>0.95135135135135152</v>
      </c>
      <c r="R38" s="566"/>
      <c r="S38" s="63">
        <v>0.11527777777777777</v>
      </c>
      <c r="T38" s="63">
        <v>0.19236111111111109</v>
      </c>
      <c r="U38" s="488">
        <f t="shared" ref="U38:U43" si="30">(S38-T37)*24*60</f>
        <v>28.999999999999996</v>
      </c>
      <c r="V38" s="499">
        <f t="shared" si="29"/>
        <v>110.99999999999997</v>
      </c>
      <c r="W38" s="488"/>
      <c r="X38" s="488"/>
      <c r="Y38" s="559"/>
      <c r="Z38" s="559"/>
      <c r="AA38" s="61">
        <f t="shared" si="8"/>
        <v>-116.7567567567562</v>
      </c>
      <c r="AB38" s="490">
        <f t="shared" si="9"/>
        <v>0.95135135135135163</v>
      </c>
      <c r="AC38" s="566"/>
    </row>
    <row r="39" spans="1:29">
      <c r="A39" s="583" t="s">
        <v>2290</v>
      </c>
      <c r="B39" s="57" t="s">
        <v>15</v>
      </c>
      <c r="C39" s="560" t="s">
        <v>25</v>
      </c>
      <c r="D39" s="560"/>
      <c r="E39" s="57">
        <v>26.18</v>
      </c>
      <c r="F39" s="500">
        <v>1748</v>
      </c>
      <c r="G39" s="488">
        <f t="shared" si="27"/>
        <v>45762.64</v>
      </c>
      <c r="H39" s="502" t="s">
        <v>5</v>
      </c>
      <c r="I39" s="498">
        <v>19</v>
      </c>
      <c r="J39" s="58">
        <v>2400</v>
      </c>
      <c r="K39" s="59">
        <f t="shared" si="1"/>
        <v>126.31578947368421</v>
      </c>
      <c r="L39" s="498">
        <v>19</v>
      </c>
      <c r="M39" s="60">
        <f t="shared" si="28"/>
        <v>2330.6666666666665</v>
      </c>
      <c r="N39" s="59">
        <f t="shared" si="3"/>
        <v>122.66666666666666</v>
      </c>
      <c r="O39" s="61">
        <f t="shared" si="4"/>
        <v>0</v>
      </c>
      <c r="P39" s="62">
        <f t="shared" si="5"/>
        <v>-3.6491228070175481</v>
      </c>
      <c r="Q39" s="490">
        <f t="shared" si="6"/>
        <v>0.97111111111111104</v>
      </c>
      <c r="R39" s="566"/>
      <c r="S39" s="63">
        <v>0.19722222222222222</v>
      </c>
      <c r="T39" s="63">
        <v>0.22847222222222222</v>
      </c>
      <c r="U39" s="488">
        <f t="shared" si="30"/>
        <v>7.0000000000000151</v>
      </c>
      <c r="V39" s="499">
        <f t="shared" si="29"/>
        <v>45</v>
      </c>
      <c r="W39" s="488"/>
      <c r="X39" s="488"/>
      <c r="Y39" s="559"/>
      <c r="Z39" s="559"/>
      <c r="AA39" s="61">
        <f t="shared" si="8"/>
        <v>-69.333333333333485</v>
      </c>
      <c r="AB39" s="490">
        <f t="shared" si="9"/>
        <v>0.97111111111111104</v>
      </c>
      <c r="AC39" s="566"/>
    </row>
    <row r="40" spans="1:29">
      <c r="A40" s="583" t="s">
        <v>2290</v>
      </c>
      <c r="B40" s="57" t="s">
        <v>15</v>
      </c>
      <c r="C40" s="560" t="s">
        <v>28</v>
      </c>
      <c r="D40" s="560"/>
      <c r="E40" s="57">
        <v>26.39</v>
      </c>
      <c r="F40" s="500">
        <v>4164</v>
      </c>
      <c r="G40" s="488">
        <f t="shared" si="27"/>
        <v>109887.96</v>
      </c>
      <c r="H40" s="502" t="s">
        <v>5</v>
      </c>
      <c r="I40" s="498">
        <v>19</v>
      </c>
      <c r="J40" s="58">
        <v>2400</v>
      </c>
      <c r="K40" s="59">
        <f t="shared" si="1"/>
        <v>126.31578947368421</v>
      </c>
      <c r="L40" s="498">
        <v>19</v>
      </c>
      <c r="M40" s="60">
        <f t="shared" si="28"/>
        <v>2292.110091743119</v>
      </c>
      <c r="N40" s="59">
        <f t="shared" si="3"/>
        <v>120.63737324963785</v>
      </c>
      <c r="O40" s="61">
        <f t="shared" si="4"/>
        <v>0</v>
      </c>
      <c r="P40" s="62">
        <f t="shared" si="5"/>
        <v>-5.6784162240463587</v>
      </c>
      <c r="Q40" s="490">
        <f t="shared" si="6"/>
        <v>0.95504587155963294</v>
      </c>
      <c r="R40" s="566"/>
      <c r="S40" s="63">
        <v>0.23333333333333334</v>
      </c>
      <c r="T40" s="63">
        <v>0.30902777777777779</v>
      </c>
      <c r="U40" s="488">
        <f t="shared" si="30"/>
        <v>7.0000000000000151</v>
      </c>
      <c r="V40" s="499">
        <f t="shared" si="29"/>
        <v>109.00000000000001</v>
      </c>
      <c r="W40" s="64"/>
      <c r="X40" s="64"/>
      <c r="Y40" s="559"/>
      <c r="Z40" s="559"/>
      <c r="AA40" s="61">
        <f t="shared" si="8"/>
        <v>-107.88990825688097</v>
      </c>
      <c r="AB40" s="490">
        <f t="shared" si="9"/>
        <v>0.95504587155963294</v>
      </c>
      <c r="AC40" s="566"/>
    </row>
    <row r="41" spans="1:29">
      <c r="A41" s="583" t="s">
        <v>2290</v>
      </c>
      <c r="B41" s="57" t="s">
        <v>15</v>
      </c>
      <c r="C41" s="560" t="s">
        <v>658</v>
      </c>
      <c r="D41" s="560"/>
      <c r="E41" s="57">
        <v>22.69</v>
      </c>
      <c r="F41" s="500">
        <v>2057</v>
      </c>
      <c r="G41" s="488">
        <f t="shared" si="27"/>
        <v>46673.33</v>
      </c>
      <c r="H41" s="502" t="s">
        <v>5</v>
      </c>
      <c r="I41" s="498">
        <v>15</v>
      </c>
      <c r="J41" s="58">
        <v>2400</v>
      </c>
      <c r="K41" s="59">
        <f t="shared" si="1"/>
        <v>160</v>
      </c>
      <c r="L41" s="498">
        <v>15</v>
      </c>
      <c r="M41" s="60">
        <f t="shared" si="28"/>
        <v>2285.5555555555566</v>
      </c>
      <c r="N41" s="59">
        <f t="shared" si="3"/>
        <v>152.37037037037044</v>
      </c>
      <c r="O41" s="61">
        <f t="shared" si="4"/>
        <v>0</v>
      </c>
      <c r="P41" s="62">
        <f t="shared" si="5"/>
        <v>-7.6296296296295623</v>
      </c>
      <c r="Q41" s="490">
        <f t="shared" si="6"/>
        <v>0.95231481481481528</v>
      </c>
      <c r="R41" s="566"/>
      <c r="S41" s="63">
        <v>0.31319444444444444</v>
      </c>
      <c r="T41" s="63">
        <v>0.35069444444444442</v>
      </c>
      <c r="U41" s="488">
        <f t="shared" si="30"/>
        <v>5.9999999999999787</v>
      </c>
      <c r="V41" s="499">
        <f t="shared" si="29"/>
        <v>53.999999999999972</v>
      </c>
      <c r="W41" s="64"/>
      <c r="X41" s="64"/>
      <c r="Y41" s="559"/>
      <c r="Z41" s="559"/>
      <c r="AA41" s="61">
        <f t="shared" si="8"/>
        <v>-114.44444444444343</v>
      </c>
      <c r="AB41" s="490">
        <f t="shared" si="9"/>
        <v>0.95231481481481528</v>
      </c>
      <c r="AC41" s="566"/>
    </row>
    <row r="42" spans="1:29">
      <c r="A42" s="583" t="s">
        <v>2290</v>
      </c>
      <c r="B42" s="57" t="s">
        <v>15</v>
      </c>
      <c r="C42" s="560" t="s">
        <v>16</v>
      </c>
      <c r="D42" s="560"/>
      <c r="E42" s="57">
        <v>24.45</v>
      </c>
      <c r="F42" s="500">
        <v>1818</v>
      </c>
      <c r="G42" s="488">
        <f t="shared" si="27"/>
        <v>44450.1</v>
      </c>
      <c r="H42" s="502" t="s">
        <v>5</v>
      </c>
      <c r="I42" s="498">
        <v>20</v>
      </c>
      <c r="J42" s="58">
        <v>2400</v>
      </c>
      <c r="K42" s="59">
        <f t="shared" si="1"/>
        <v>120</v>
      </c>
      <c r="L42" s="498">
        <v>20</v>
      </c>
      <c r="M42" s="60">
        <f t="shared" si="28"/>
        <v>2320.8510638297876</v>
      </c>
      <c r="N42" s="59">
        <f t="shared" si="3"/>
        <v>116.04255319148938</v>
      </c>
      <c r="O42" s="61">
        <f t="shared" si="4"/>
        <v>0</v>
      </c>
      <c r="P42" s="62">
        <f t="shared" si="5"/>
        <v>-3.9574468085106247</v>
      </c>
      <c r="Q42" s="490">
        <f t="shared" si="6"/>
        <v>0.96702127659574477</v>
      </c>
      <c r="R42" s="566"/>
      <c r="S42" s="63">
        <v>0.35486111111111107</v>
      </c>
      <c r="T42" s="63">
        <v>0.38749999999999996</v>
      </c>
      <c r="U42" s="488">
        <f t="shared" si="30"/>
        <v>5.9999999999999787</v>
      </c>
      <c r="V42" s="499">
        <f t="shared" si="29"/>
        <v>46.999999999999993</v>
      </c>
      <c r="W42" s="64"/>
      <c r="X42" s="64"/>
      <c r="Y42" s="559"/>
      <c r="Z42" s="559"/>
      <c r="AA42" s="61">
        <f t="shared" si="8"/>
        <v>-79.148936170212437</v>
      </c>
      <c r="AB42" s="490">
        <f t="shared" si="9"/>
        <v>0.96702127659574477</v>
      </c>
      <c r="AC42" s="566"/>
    </row>
    <row r="43" spans="1:29">
      <c r="A43" s="583" t="s">
        <v>2290</v>
      </c>
      <c r="B43" s="57" t="s">
        <v>15</v>
      </c>
      <c r="C43" s="560" t="s">
        <v>100</v>
      </c>
      <c r="D43" s="560"/>
      <c r="E43" s="57">
        <v>28.51</v>
      </c>
      <c r="F43" s="500">
        <v>369</v>
      </c>
      <c r="G43" s="488">
        <f t="shared" si="27"/>
        <v>10520.19</v>
      </c>
      <c r="H43" s="502" t="s">
        <v>5</v>
      </c>
      <c r="I43" s="498">
        <v>16</v>
      </c>
      <c r="J43" s="58">
        <v>2400</v>
      </c>
      <c r="K43" s="59">
        <f t="shared" si="1"/>
        <v>150</v>
      </c>
      <c r="L43" s="498">
        <v>16</v>
      </c>
      <c r="M43" s="60">
        <f t="shared" si="28"/>
        <v>2213.9999999999727</v>
      </c>
      <c r="N43" s="59">
        <f t="shared" si="3"/>
        <v>138.37499999999829</v>
      </c>
      <c r="O43" s="61">
        <f t="shared" si="4"/>
        <v>0</v>
      </c>
      <c r="P43" s="62">
        <f t="shared" si="5"/>
        <v>-11.625000000001705</v>
      </c>
      <c r="Q43" s="490">
        <f t="shared" si="6"/>
        <v>0.92249999999998866</v>
      </c>
      <c r="R43" s="566"/>
      <c r="S43" s="63">
        <v>0.39097222222222217</v>
      </c>
      <c r="T43" s="63">
        <v>0.3979166666666667</v>
      </c>
      <c r="U43" s="488">
        <f t="shared" si="30"/>
        <v>4.9999999999999822</v>
      </c>
      <c r="V43" s="499">
        <f t="shared" si="29"/>
        <v>10.000000000000124</v>
      </c>
      <c r="W43" s="64"/>
      <c r="X43" s="64"/>
      <c r="Y43" s="569"/>
      <c r="Z43" s="570"/>
      <c r="AA43" s="61">
        <f t="shared" si="8"/>
        <v>-186.00000000002728</v>
      </c>
      <c r="AB43" s="490">
        <f t="shared" si="9"/>
        <v>0.92249999999998866</v>
      </c>
      <c r="AC43" s="566"/>
    </row>
    <row r="44" spans="1:29">
      <c r="A44" s="583" t="s">
        <v>2290</v>
      </c>
      <c r="B44" s="66" t="s">
        <v>2285</v>
      </c>
      <c r="C44" s="571"/>
      <c r="D44" s="571"/>
      <c r="E44" s="495"/>
      <c r="F44" s="66"/>
      <c r="G44" s="59"/>
      <c r="H44" s="500"/>
      <c r="I44" s="67">
        <v>17.428571428571427</v>
      </c>
      <c r="J44" s="58">
        <v>2400</v>
      </c>
      <c r="K44" s="59">
        <f t="shared" si="1"/>
        <v>137.70491803278691</v>
      </c>
      <c r="L44" s="67">
        <v>17.428571428571427</v>
      </c>
      <c r="M44" s="60">
        <f>AVERAGE(M37:M43)</f>
        <v>2290.1617861987556</v>
      </c>
      <c r="N44" s="59">
        <f t="shared" si="3"/>
        <v>131.40272543763353</v>
      </c>
      <c r="O44" s="61">
        <f t="shared" si="4"/>
        <v>0</v>
      </c>
      <c r="P44" s="62">
        <f t="shared" si="5"/>
        <v>-6.3021925951533717</v>
      </c>
      <c r="Q44" s="490">
        <f t="shared" si="6"/>
        <v>0.95423407758281475</v>
      </c>
      <c r="R44" s="566"/>
      <c r="S44" s="63"/>
      <c r="T44" s="63"/>
      <c r="U44" s="59"/>
      <c r="V44" s="499"/>
      <c r="W44" s="59"/>
      <c r="X44" s="59"/>
      <c r="Y44" s="559"/>
      <c r="Z44" s="559"/>
      <c r="AA44" s="61">
        <f t="shared" si="8"/>
        <v>-109.83821380124436</v>
      </c>
      <c r="AB44" s="490">
        <f t="shared" si="9"/>
        <v>0.95423407758281487</v>
      </c>
      <c r="AC44" s="566"/>
    </row>
    <row r="45" spans="1:29" ht="15.75" customHeight="1">
      <c r="A45" s="576" t="s">
        <v>244</v>
      </c>
      <c r="B45" s="57" t="s">
        <v>31</v>
      </c>
      <c r="C45" s="567" t="s">
        <v>32</v>
      </c>
      <c r="D45" s="568"/>
      <c r="E45" s="57">
        <v>21.13</v>
      </c>
      <c r="F45" s="500">
        <v>4314</v>
      </c>
      <c r="G45" s="488">
        <f t="shared" ref="G45:G50" si="31">E45*F45</f>
        <v>91154.819999999992</v>
      </c>
      <c r="H45" s="502" t="s">
        <v>5</v>
      </c>
      <c r="I45" s="498">
        <v>10</v>
      </c>
      <c r="J45" s="58">
        <v>3000</v>
      </c>
      <c r="K45" s="59">
        <f t="shared" si="1"/>
        <v>300</v>
      </c>
      <c r="L45" s="498">
        <v>10</v>
      </c>
      <c r="M45" s="60">
        <f t="shared" ref="M45:M50" si="32">F45/V45*60</f>
        <v>2876.0000000000009</v>
      </c>
      <c r="N45" s="60">
        <f t="shared" si="3"/>
        <v>287.60000000000008</v>
      </c>
      <c r="O45" s="61">
        <f t="shared" si="4"/>
        <v>0</v>
      </c>
      <c r="P45" s="62">
        <f t="shared" si="5"/>
        <v>-12.39999999999992</v>
      </c>
      <c r="Q45" s="490">
        <f t="shared" si="6"/>
        <v>0.95866666666666689</v>
      </c>
      <c r="R45" s="579">
        <f>Q51</f>
        <v>0.95854096263840061</v>
      </c>
      <c r="S45" s="63">
        <v>8.3333333333333329E-2</v>
      </c>
      <c r="T45" s="63">
        <v>0.14583333333333331</v>
      </c>
      <c r="U45" s="68"/>
      <c r="V45" s="499">
        <f t="shared" ref="V45:V50" si="33">(T45-S45)*24*60</f>
        <v>89.999999999999972</v>
      </c>
      <c r="W45" s="64">
        <f>T45</f>
        <v>0.14583333333333331</v>
      </c>
      <c r="X45" s="64">
        <f>S46</f>
        <v>0.16527777777777777</v>
      </c>
      <c r="Y45" s="569"/>
      <c r="Z45" s="570"/>
      <c r="AA45" s="61">
        <f t="shared" si="8"/>
        <v>-123.99999999999909</v>
      </c>
      <c r="AB45" s="490">
        <f t="shared" si="9"/>
        <v>0.958666666666667</v>
      </c>
      <c r="AC45" s="579">
        <f>AB51</f>
        <v>0.95854096263840061</v>
      </c>
    </row>
    <row r="46" spans="1:29" ht="15.75" customHeight="1">
      <c r="A46" s="577" t="s">
        <v>244</v>
      </c>
      <c r="B46" s="57" t="s">
        <v>31</v>
      </c>
      <c r="C46" s="567" t="s">
        <v>33</v>
      </c>
      <c r="D46" s="568"/>
      <c r="E46" s="57">
        <v>27.17</v>
      </c>
      <c r="F46" s="500">
        <v>5258</v>
      </c>
      <c r="G46" s="488">
        <f t="shared" si="31"/>
        <v>142859.86000000002</v>
      </c>
      <c r="H46" s="502" t="s">
        <v>5</v>
      </c>
      <c r="I46" s="498">
        <v>10</v>
      </c>
      <c r="J46" s="58">
        <v>3000</v>
      </c>
      <c r="K46" s="59">
        <f t="shared" si="1"/>
        <v>300</v>
      </c>
      <c r="L46" s="498">
        <v>10</v>
      </c>
      <c r="M46" s="60">
        <f t="shared" si="32"/>
        <v>2868.0000000000009</v>
      </c>
      <c r="N46" s="60">
        <f t="shared" si="3"/>
        <v>286.80000000000007</v>
      </c>
      <c r="O46" s="61">
        <f t="shared" si="4"/>
        <v>0</v>
      </c>
      <c r="P46" s="62">
        <f t="shared" si="5"/>
        <v>-13.199999999999932</v>
      </c>
      <c r="Q46" s="490">
        <f t="shared" si="6"/>
        <v>0.95600000000000018</v>
      </c>
      <c r="R46" s="580"/>
      <c r="S46" s="63">
        <v>0.16527777777777777</v>
      </c>
      <c r="T46" s="63">
        <v>0.24166666666666664</v>
      </c>
      <c r="U46" s="488">
        <f t="shared" ref="U46:U50" si="34">(S46-T45)*24*60</f>
        <v>28.000000000000021</v>
      </c>
      <c r="V46" s="499">
        <f t="shared" si="33"/>
        <v>109.99999999999997</v>
      </c>
      <c r="W46" s="64"/>
      <c r="X46" s="64"/>
      <c r="Y46" s="569"/>
      <c r="Z46" s="570"/>
      <c r="AA46" s="61">
        <f t="shared" si="8"/>
        <v>-131.99999999999909</v>
      </c>
      <c r="AB46" s="490">
        <f t="shared" si="9"/>
        <v>0.95600000000000029</v>
      </c>
      <c r="AC46" s="580"/>
    </row>
    <row r="47" spans="1:29" ht="15.75" customHeight="1">
      <c r="A47" s="577" t="s">
        <v>244</v>
      </c>
      <c r="B47" s="57" t="s">
        <v>31</v>
      </c>
      <c r="C47" s="567" t="s">
        <v>34</v>
      </c>
      <c r="D47" s="568"/>
      <c r="E47" s="57">
        <v>35.119999999999997</v>
      </c>
      <c r="F47" s="500">
        <v>3614</v>
      </c>
      <c r="G47" s="488">
        <f t="shared" si="31"/>
        <v>126923.68</v>
      </c>
      <c r="H47" s="502" t="s">
        <v>5</v>
      </c>
      <c r="I47" s="498">
        <v>10</v>
      </c>
      <c r="J47" s="58">
        <v>3000</v>
      </c>
      <c r="K47" s="59">
        <f t="shared" si="1"/>
        <v>300</v>
      </c>
      <c r="L47" s="498">
        <v>10</v>
      </c>
      <c r="M47" s="60">
        <f t="shared" si="32"/>
        <v>2853.1578947368416</v>
      </c>
      <c r="N47" s="60">
        <f t="shared" si="3"/>
        <v>285.31578947368416</v>
      </c>
      <c r="O47" s="61">
        <f t="shared" si="4"/>
        <v>0</v>
      </c>
      <c r="P47" s="62">
        <f t="shared" si="5"/>
        <v>-14.684210526315837</v>
      </c>
      <c r="Q47" s="490">
        <f t="shared" si="6"/>
        <v>0.95105263157894726</v>
      </c>
      <c r="R47" s="580"/>
      <c r="S47" s="63">
        <v>0.24583333333333332</v>
      </c>
      <c r="T47" s="63">
        <v>0.2986111111111111</v>
      </c>
      <c r="U47" s="488">
        <f t="shared" si="34"/>
        <v>6.0000000000000187</v>
      </c>
      <c r="V47" s="499">
        <f t="shared" si="33"/>
        <v>76.000000000000014</v>
      </c>
      <c r="W47" s="64"/>
      <c r="X47" s="64"/>
      <c r="Y47" s="569"/>
      <c r="Z47" s="570"/>
      <c r="AA47" s="61">
        <f t="shared" si="8"/>
        <v>-146.84210526315837</v>
      </c>
      <c r="AB47" s="490">
        <f t="shared" si="9"/>
        <v>0.95105263157894726</v>
      </c>
      <c r="AC47" s="580"/>
    </row>
    <row r="48" spans="1:29" ht="15.75" customHeight="1">
      <c r="A48" s="577" t="s">
        <v>244</v>
      </c>
      <c r="B48" s="57" t="s">
        <v>31</v>
      </c>
      <c r="C48" s="567" t="s">
        <v>71</v>
      </c>
      <c r="D48" s="568"/>
      <c r="E48" s="57">
        <v>31</v>
      </c>
      <c r="F48" s="500">
        <v>1288</v>
      </c>
      <c r="G48" s="488">
        <f t="shared" si="31"/>
        <v>39928</v>
      </c>
      <c r="H48" s="502" t="s">
        <v>5</v>
      </c>
      <c r="I48" s="498">
        <v>13</v>
      </c>
      <c r="J48" s="58">
        <v>2000</v>
      </c>
      <c r="K48" s="59">
        <f t="shared" si="1"/>
        <v>153.84615384615384</v>
      </c>
      <c r="L48" s="498">
        <v>13</v>
      </c>
      <c r="M48" s="60">
        <f t="shared" si="32"/>
        <v>1931.9999999999993</v>
      </c>
      <c r="N48" s="60">
        <f t="shared" si="3"/>
        <v>148.61538461538456</v>
      </c>
      <c r="O48" s="61">
        <f t="shared" si="4"/>
        <v>0</v>
      </c>
      <c r="P48" s="62">
        <f t="shared" si="5"/>
        <v>-5.2307692307692832</v>
      </c>
      <c r="Q48" s="490">
        <f t="shared" si="6"/>
        <v>0.96599999999999964</v>
      </c>
      <c r="R48" s="580"/>
      <c r="S48" s="63">
        <v>0.3034722222222222</v>
      </c>
      <c r="T48" s="63">
        <v>0.33124999999999999</v>
      </c>
      <c r="U48" s="488">
        <f t="shared" si="34"/>
        <v>6.9999999999999751</v>
      </c>
      <c r="V48" s="499">
        <f t="shared" si="33"/>
        <v>40.000000000000014</v>
      </c>
      <c r="W48" s="64"/>
      <c r="X48" s="64"/>
      <c r="Y48" s="569"/>
      <c r="Z48" s="570"/>
      <c r="AA48" s="61">
        <f t="shared" si="8"/>
        <v>-68.000000000000682</v>
      </c>
      <c r="AB48" s="490">
        <f t="shared" si="9"/>
        <v>0.96599999999999964</v>
      </c>
      <c r="AC48" s="580"/>
    </row>
    <row r="49" spans="1:29" ht="15.75" customHeight="1">
      <c r="A49" s="577" t="s">
        <v>244</v>
      </c>
      <c r="B49" s="57" t="s">
        <v>31</v>
      </c>
      <c r="C49" s="567" t="s">
        <v>659</v>
      </c>
      <c r="D49" s="568"/>
      <c r="E49" s="57">
        <v>37.880000000000003</v>
      </c>
      <c r="F49" s="500">
        <v>1628</v>
      </c>
      <c r="G49" s="488">
        <f t="shared" si="31"/>
        <v>61668.640000000007</v>
      </c>
      <c r="H49" s="502" t="s">
        <v>5</v>
      </c>
      <c r="I49" s="498">
        <v>14</v>
      </c>
      <c r="J49" s="58">
        <v>2000</v>
      </c>
      <c r="K49" s="59">
        <f t="shared" si="1"/>
        <v>142.85714285714286</v>
      </c>
      <c r="L49" s="498">
        <v>14</v>
      </c>
      <c r="M49" s="60">
        <f t="shared" si="32"/>
        <v>1915.2941176470597</v>
      </c>
      <c r="N49" s="60">
        <f t="shared" si="3"/>
        <v>136.80672268907568</v>
      </c>
      <c r="O49" s="61">
        <f t="shared" si="4"/>
        <v>0</v>
      </c>
      <c r="P49" s="62">
        <f t="shared" si="5"/>
        <v>-6.050420168067177</v>
      </c>
      <c r="Q49" s="490">
        <f t="shared" si="6"/>
        <v>0.95764705882352974</v>
      </c>
      <c r="R49" s="580"/>
      <c r="S49" s="63">
        <v>0.33541666666666664</v>
      </c>
      <c r="T49" s="63">
        <v>0.37083333333333329</v>
      </c>
      <c r="U49" s="488">
        <f t="shared" si="34"/>
        <v>5.9999999999999787</v>
      </c>
      <c r="V49" s="499">
        <f t="shared" si="33"/>
        <v>50.999999999999979</v>
      </c>
      <c r="W49" s="64"/>
      <c r="X49" s="64"/>
      <c r="Y49" s="569"/>
      <c r="Z49" s="570"/>
      <c r="AA49" s="61">
        <f t="shared" si="8"/>
        <v>-84.705882352940307</v>
      </c>
      <c r="AB49" s="490">
        <f t="shared" si="9"/>
        <v>0.95764705882352985</v>
      </c>
      <c r="AC49" s="580"/>
    </row>
    <row r="50" spans="1:29" ht="15.75" customHeight="1">
      <c r="A50" s="577" t="s">
        <v>244</v>
      </c>
      <c r="B50" s="57" t="s">
        <v>31</v>
      </c>
      <c r="C50" s="567" t="s">
        <v>1778</v>
      </c>
      <c r="D50" s="568"/>
      <c r="E50" s="57">
        <v>32.020000000000003</v>
      </c>
      <c r="F50" s="500">
        <v>2844</v>
      </c>
      <c r="G50" s="488">
        <f t="shared" si="31"/>
        <v>91064.88</v>
      </c>
      <c r="H50" s="502" t="s">
        <v>5</v>
      </c>
      <c r="I50" s="498">
        <v>11</v>
      </c>
      <c r="J50" s="58">
        <v>3000</v>
      </c>
      <c r="K50" s="59">
        <f t="shared" si="1"/>
        <v>272.72727272727275</v>
      </c>
      <c r="L50" s="498">
        <v>11</v>
      </c>
      <c r="M50" s="60">
        <f t="shared" si="32"/>
        <v>2892.2033898305071</v>
      </c>
      <c r="N50" s="60">
        <f t="shared" si="3"/>
        <v>262.92758089368249</v>
      </c>
      <c r="O50" s="61">
        <f t="shared" si="4"/>
        <v>0</v>
      </c>
      <c r="P50" s="62">
        <f t="shared" si="5"/>
        <v>-9.7996918335902592</v>
      </c>
      <c r="Q50" s="490">
        <f t="shared" si="6"/>
        <v>0.96406779661016906</v>
      </c>
      <c r="R50" s="580"/>
      <c r="S50" s="63">
        <v>0.3743055555555555</v>
      </c>
      <c r="T50" s="63">
        <v>0.41527777777777775</v>
      </c>
      <c r="U50" s="488">
        <f t="shared" si="34"/>
        <v>4.9999999999999822</v>
      </c>
      <c r="V50" s="499">
        <f t="shared" si="33"/>
        <v>59.000000000000028</v>
      </c>
      <c r="W50" s="64"/>
      <c r="X50" s="64"/>
      <c r="Y50" s="569"/>
      <c r="Z50" s="570"/>
      <c r="AA50" s="61">
        <f t="shared" si="8"/>
        <v>-107.79661016949285</v>
      </c>
      <c r="AB50" s="490">
        <f t="shared" si="9"/>
        <v>0.96406779661016906</v>
      </c>
      <c r="AC50" s="580"/>
    </row>
    <row r="51" spans="1:29" ht="15.75" customHeight="1">
      <c r="A51" s="578" t="s">
        <v>244</v>
      </c>
      <c r="B51" s="57" t="s">
        <v>2285</v>
      </c>
      <c r="C51" s="561"/>
      <c r="D51" s="562"/>
      <c r="E51" s="489"/>
      <c r="F51" s="500"/>
      <c r="G51" s="488"/>
      <c r="H51" s="500"/>
      <c r="I51" s="67">
        <v>11.333333333333334</v>
      </c>
      <c r="J51" s="58">
        <v>2666.6666666666665</v>
      </c>
      <c r="K51" s="59">
        <f t="shared" si="1"/>
        <v>235.29411764705881</v>
      </c>
      <c r="L51" s="67">
        <v>11.333333333333334</v>
      </c>
      <c r="M51" s="60">
        <f>AVERAGE(M45:M50)</f>
        <v>2556.1092337024015</v>
      </c>
      <c r="N51" s="59">
        <f t="shared" si="3"/>
        <v>225.53905003256483</v>
      </c>
      <c r="O51" s="61">
        <f t="shared" si="4"/>
        <v>0</v>
      </c>
      <c r="P51" s="62">
        <f t="shared" si="5"/>
        <v>-9.7550676144939814</v>
      </c>
      <c r="Q51" s="490">
        <f t="shared" si="6"/>
        <v>0.95854096263840061</v>
      </c>
      <c r="R51" s="581"/>
      <c r="S51" s="63"/>
      <c r="T51" s="63"/>
      <c r="U51" s="488"/>
      <c r="V51" s="499"/>
      <c r="W51" s="64"/>
      <c r="X51" s="64"/>
      <c r="Y51" s="569"/>
      <c r="Z51" s="570"/>
      <c r="AA51" s="61">
        <f t="shared" si="8"/>
        <v>-110.55743296426499</v>
      </c>
      <c r="AB51" s="490">
        <f t="shared" si="9"/>
        <v>0.95854096263840061</v>
      </c>
      <c r="AC51" s="581"/>
    </row>
    <row r="52" spans="1:29" ht="15.75" customHeight="1">
      <c r="A52" s="574" t="s">
        <v>117</v>
      </c>
      <c r="B52" s="57" t="s">
        <v>10</v>
      </c>
      <c r="C52" s="560" t="s">
        <v>37</v>
      </c>
      <c r="D52" s="560"/>
      <c r="E52" s="57">
        <v>46</v>
      </c>
      <c r="F52" s="69">
        <v>1351</v>
      </c>
      <c r="G52" s="488">
        <f t="shared" ref="G52:G59" si="35">E52*F52</f>
        <v>62146</v>
      </c>
      <c r="H52" s="502" t="s">
        <v>5</v>
      </c>
      <c r="I52" s="498">
        <v>17</v>
      </c>
      <c r="J52" s="58">
        <v>2000</v>
      </c>
      <c r="K52" s="59">
        <f t="shared" si="1"/>
        <v>117.64705882352941</v>
      </c>
      <c r="L52" s="498">
        <v>17</v>
      </c>
      <c r="M52" s="60">
        <f t="shared" ref="M52:M59" si="36">F52/V52*60</f>
        <v>1929.9999999999995</v>
      </c>
      <c r="N52" s="60">
        <f t="shared" si="3"/>
        <v>113.52941176470586</v>
      </c>
      <c r="O52" s="61">
        <f t="shared" si="4"/>
        <v>0</v>
      </c>
      <c r="P52" s="62">
        <f t="shared" si="5"/>
        <v>-4.1176470588235503</v>
      </c>
      <c r="Q52" s="490">
        <f t="shared" si="6"/>
        <v>0.96499999999999986</v>
      </c>
      <c r="R52" s="566">
        <f>Q60</f>
        <v>0.88897130370463651</v>
      </c>
      <c r="S52" s="63">
        <v>0.20833333333333334</v>
      </c>
      <c r="T52" s="63">
        <v>0.23750000000000002</v>
      </c>
      <c r="U52" s="68"/>
      <c r="V52" s="499">
        <f t="shared" ref="V52:V59" si="37">(T52-S52)*24*60</f>
        <v>42.000000000000014</v>
      </c>
      <c r="W52" s="68"/>
      <c r="X52" s="68"/>
      <c r="Y52" s="559"/>
      <c r="Z52" s="559"/>
      <c r="AA52" s="61">
        <f t="shared" si="8"/>
        <v>-70.000000000000455</v>
      </c>
      <c r="AB52" s="490">
        <f t="shared" si="9"/>
        <v>0.96499999999999975</v>
      </c>
      <c r="AC52" s="566">
        <f>AB60</f>
        <v>0.88897130370463651</v>
      </c>
    </row>
    <row r="53" spans="1:29" ht="15.75" customHeight="1">
      <c r="A53" s="574" t="s">
        <v>2291</v>
      </c>
      <c r="B53" s="57" t="s">
        <v>10</v>
      </c>
      <c r="C53" s="560" t="s">
        <v>38</v>
      </c>
      <c r="D53" s="560"/>
      <c r="E53" s="57">
        <v>46</v>
      </c>
      <c r="F53" s="69">
        <v>1461</v>
      </c>
      <c r="G53" s="488">
        <f t="shared" si="35"/>
        <v>67206</v>
      </c>
      <c r="H53" s="502" t="s">
        <v>5</v>
      </c>
      <c r="I53" s="498">
        <v>17</v>
      </c>
      <c r="J53" s="58">
        <v>2000</v>
      </c>
      <c r="K53" s="59">
        <f t="shared" si="1"/>
        <v>117.64705882352941</v>
      </c>
      <c r="L53" s="498">
        <v>17</v>
      </c>
      <c r="M53" s="60">
        <f t="shared" si="36"/>
        <v>1905.6521739130435</v>
      </c>
      <c r="N53" s="60">
        <f t="shared" si="3"/>
        <v>112.09718670076727</v>
      </c>
      <c r="O53" s="61">
        <f t="shared" si="4"/>
        <v>0</v>
      </c>
      <c r="P53" s="62">
        <f t="shared" si="5"/>
        <v>-5.5498721227621388</v>
      </c>
      <c r="Q53" s="490">
        <f t="shared" si="6"/>
        <v>0.95282608695652182</v>
      </c>
      <c r="R53" s="566"/>
      <c r="S53" s="63">
        <v>0.2416666666666667</v>
      </c>
      <c r="T53" s="63">
        <v>0.27361111111111114</v>
      </c>
      <c r="U53" s="488">
        <f t="shared" ref="U53:U59" si="38">IF(S53=TIME(17,0,0),"",(S53-T52)*24*60)</f>
        <v>6.0000000000000187</v>
      </c>
      <c r="V53" s="499">
        <f t="shared" si="37"/>
        <v>46</v>
      </c>
      <c r="W53" s="64"/>
      <c r="X53" s="64"/>
      <c r="Y53" s="559"/>
      <c r="Z53" s="559"/>
      <c r="AA53" s="61">
        <f t="shared" si="8"/>
        <v>-94.347826086956502</v>
      </c>
      <c r="AB53" s="490">
        <f t="shared" si="9"/>
        <v>0.95282608695652171</v>
      </c>
      <c r="AC53" s="566"/>
    </row>
    <row r="54" spans="1:29" ht="15.75" customHeight="1">
      <c r="A54" s="574" t="s">
        <v>117</v>
      </c>
      <c r="B54" s="57" t="s">
        <v>6</v>
      </c>
      <c r="C54" s="567" t="s">
        <v>1181</v>
      </c>
      <c r="D54" s="568"/>
      <c r="E54" s="57">
        <v>51.86</v>
      </c>
      <c r="F54" s="69">
        <v>1115</v>
      </c>
      <c r="G54" s="488">
        <f t="shared" si="35"/>
        <v>57823.9</v>
      </c>
      <c r="H54" s="502" t="s">
        <v>5</v>
      </c>
      <c r="I54" s="498">
        <v>25</v>
      </c>
      <c r="J54" s="58">
        <v>2000</v>
      </c>
      <c r="K54" s="59">
        <f t="shared" si="1"/>
        <v>80</v>
      </c>
      <c r="L54" s="498">
        <v>25</v>
      </c>
      <c r="M54" s="60">
        <f t="shared" si="36"/>
        <v>1262.264150943397</v>
      </c>
      <c r="N54" s="60">
        <f t="shared" si="3"/>
        <v>50.490566037735881</v>
      </c>
      <c r="O54" s="61">
        <f t="shared" si="4"/>
        <v>0</v>
      </c>
      <c r="P54" s="62">
        <f t="shared" si="5"/>
        <v>-29.509433962264119</v>
      </c>
      <c r="Q54" s="490">
        <f t="shared" si="6"/>
        <v>0.63113207547169847</v>
      </c>
      <c r="R54" s="566"/>
      <c r="S54" s="63">
        <v>0.27777777777777779</v>
      </c>
      <c r="T54" s="63">
        <v>0.31458333333333333</v>
      </c>
      <c r="U54" s="488">
        <f t="shared" si="38"/>
        <v>5.9999999999999787</v>
      </c>
      <c r="V54" s="499">
        <f t="shared" si="37"/>
        <v>52.999999999999972</v>
      </c>
      <c r="W54" s="64"/>
      <c r="X54" s="64"/>
      <c r="Y54" s="493"/>
      <c r="Z54" s="494"/>
      <c r="AA54" s="61">
        <f t="shared" si="8"/>
        <v>-737.735849056603</v>
      </c>
      <c r="AB54" s="490">
        <f t="shared" si="9"/>
        <v>0.63113207547169847</v>
      </c>
      <c r="AC54" s="566"/>
    </row>
    <row r="55" spans="1:29" ht="15.75" customHeight="1">
      <c r="A55" s="574" t="s">
        <v>2291</v>
      </c>
      <c r="B55" s="57" t="s">
        <v>6</v>
      </c>
      <c r="C55" s="491" t="s">
        <v>1182</v>
      </c>
      <c r="D55" s="492"/>
      <c r="E55" s="57">
        <v>56.43</v>
      </c>
      <c r="F55" s="69">
        <v>1933</v>
      </c>
      <c r="G55" s="488">
        <f t="shared" si="35"/>
        <v>109079.19</v>
      </c>
      <c r="H55" s="502" t="s">
        <v>5</v>
      </c>
      <c r="I55" s="498">
        <v>22</v>
      </c>
      <c r="J55" s="58">
        <v>2000</v>
      </c>
      <c r="K55" s="59">
        <f t="shared" si="1"/>
        <v>90.909090909090907</v>
      </c>
      <c r="L55" s="498">
        <v>22</v>
      </c>
      <c r="M55" s="60">
        <f t="shared" si="36"/>
        <v>1431.8518518518513</v>
      </c>
      <c r="N55" s="60">
        <f t="shared" si="3"/>
        <v>65.084175084175058</v>
      </c>
      <c r="O55" s="61">
        <f t="shared" si="4"/>
        <v>0</v>
      </c>
      <c r="P55" s="62">
        <f t="shared" si="5"/>
        <v>-25.824915824915848</v>
      </c>
      <c r="Q55" s="490">
        <f t="shared" si="6"/>
        <v>0.71592592592592563</v>
      </c>
      <c r="R55" s="566"/>
      <c r="S55" s="63">
        <v>0.31805555555555554</v>
      </c>
      <c r="T55" s="63">
        <v>0.37430555555555556</v>
      </c>
      <c r="U55" s="488">
        <f t="shared" si="38"/>
        <v>4.9999999999999822</v>
      </c>
      <c r="V55" s="499">
        <f t="shared" si="37"/>
        <v>81.000000000000028</v>
      </c>
      <c r="W55" s="64"/>
      <c r="X55" s="64"/>
      <c r="Y55" s="493"/>
      <c r="Z55" s="494"/>
      <c r="AA55" s="61">
        <f t="shared" si="8"/>
        <v>-568.14814814814872</v>
      </c>
      <c r="AB55" s="490">
        <f t="shared" si="9"/>
        <v>0.71592592592592563</v>
      </c>
      <c r="AC55" s="566"/>
    </row>
    <row r="56" spans="1:29" ht="15.75" customHeight="1">
      <c r="A56" s="574" t="s">
        <v>2291</v>
      </c>
      <c r="B56" s="57" t="s">
        <v>6</v>
      </c>
      <c r="C56" s="491" t="s">
        <v>39</v>
      </c>
      <c r="D56" s="492"/>
      <c r="E56" s="57">
        <v>55.56</v>
      </c>
      <c r="F56" s="69">
        <v>1740</v>
      </c>
      <c r="G56" s="488">
        <f t="shared" si="35"/>
        <v>96674.400000000009</v>
      </c>
      <c r="H56" s="502" t="s">
        <v>5</v>
      </c>
      <c r="I56" s="498">
        <v>17</v>
      </c>
      <c r="J56" s="58">
        <v>2000</v>
      </c>
      <c r="K56" s="59">
        <f t="shared" si="1"/>
        <v>117.64705882352941</v>
      </c>
      <c r="L56" s="498">
        <v>17</v>
      </c>
      <c r="M56" s="60">
        <f t="shared" si="36"/>
        <v>1933.3333333333342</v>
      </c>
      <c r="N56" s="60">
        <f t="shared" si="3"/>
        <v>113.72549019607848</v>
      </c>
      <c r="O56" s="61">
        <f t="shared" si="4"/>
        <v>0</v>
      </c>
      <c r="P56" s="62">
        <f t="shared" si="5"/>
        <v>-3.9215686274509238</v>
      </c>
      <c r="Q56" s="490">
        <f t="shared" si="6"/>
        <v>0.96666666666666712</v>
      </c>
      <c r="R56" s="566"/>
      <c r="S56" s="63">
        <v>0.70833333333333337</v>
      </c>
      <c r="T56" s="63">
        <v>0.74583333333333335</v>
      </c>
      <c r="U56" s="488" t="str">
        <f t="shared" si="38"/>
        <v/>
      </c>
      <c r="V56" s="499">
        <f t="shared" si="37"/>
        <v>53.999999999999972</v>
      </c>
      <c r="W56" s="64"/>
      <c r="X56" s="64"/>
      <c r="Y56" s="493"/>
      <c r="Z56" s="494"/>
      <c r="AA56" s="61">
        <f t="shared" si="8"/>
        <v>-66.666666666665833</v>
      </c>
      <c r="AB56" s="490">
        <f t="shared" si="9"/>
        <v>0.96666666666666712</v>
      </c>
      <c r="AC56" s="566"/>
    </row>
    <row r="57" spans="1:29" ht="15.75" customHeight="1">
      <c r="A57" s="574" t="s">
        <v>2291</v>
      </c>
      <c r="B57" s="57" t="s">
        <v>6</v>
      </c>
      <c r="C57" s="567" t="s">
        <v>40</v>
      </c>
      <c r="D57" s="568"/>
      <c r="E57" s="57">
        <v>55.32</v>
      </c>
      <c r="F57" s="69">
        <v>1308</v>
      </c>
      <c r="G57" s="488">
        <f t="shared" si="35"/>
        <v>72358.559999999998</v>
      </c>
      <c r="H57" s="502" t="s">
        <v>5</v>
      </c>
      <c r="I57" s="498">
        <v>15</v>
      </c>
      <c r="J57" s="58">
        <v>2000</v>
      </c>
      <c r="K57" s="59">
        <f t="shared" si="1"/>
        <v>133.33333333333334</v>
      </c>
      <c r="L57" s="498">
        <v>15</v>
      </c>
      <c r="M57" s="60">
        <f t="shared" si="36"/>
        <v>1914.146341463414</v>
      </c>
      <c r="N57" s="60">
        <f t="shared" si="3"/>
        <v>127.60975609756093</v>
      </c>
      <c r="O57" s="61">
        <f t="shared" si="4"/>
        <v>0</v>
      </c>
      <c r="P57" s="62">
        <f t="shared" si="5"/>
        <v>-5.7235772357724102</v>
      </c>
      <c r="Q57" s="490">
        <f t="shared" si="6"/>
        <v>0.95707317073170695</v>
      </c>
      <c r="R57" s="566"/>
      <c r="S57" s="63">
        <v>0.75069444444444444</v>
      </c>
      <c r="T57" s="63">
        <v>0.77916666666666667</v>
      </c>
      <c r="U57" s="488">
        <f t="shared" si="38"/>
        <v>6.9999999999999751</v>
      </c>
      <c r="V57" s="499">
        <f t="shared" si="37"/>
        <v>41.000000000000014</v>
      </c>
      <c r="W57" s="64"/>
      <c r="X57" s="64"/>
      <c r="Y57" s="569"/>
      <c r="Z57" s="570"/>
      <c r="AA57" s="61">
        <f t="shared" si="8"/>
        <v>-85.853658536585954</v>
      </c>
      <c r="AB57" s="490">
        <f t="shared" si="9"/>
        <v>0.95707317073170706</v>
      </c>
      <c r="AC57" s="566"/>
    </row>
    <row r="58" spans="1:29" ht="15.75" customHeight="1">
      <c r="A58" s="574" t="s">
        <v>2291</v>
      </c>
      <c r="B58" s="57" t="s">
        <v>6</v>
      </c>
      <c r="C58" s="567" t="s">
        <v>2127</v>
      </c>
      <c r="D58" s="568"/>
      <c r="E58" s="57">
        <v>51.83</v>
      </c>
      <c r="F58" s="69">
        <v>1700</v>
      </c>
      <c r="G58" s="488">
        <f t="shared" si="35"/>
        <v>88111</v>
      </c>
      <c r="H58" s="502">
        <v>2</v>
      </c>
      <c r="I58" s="498">
        <v>20</v>
      </c>
      <c r="J58" s="58">
        <v>2000</v>
      </c>
      <c r="K58" s="59">
        <f t="shared" si="1"/>
        <v>100</v>
      </c>
      <c r="L58" s="498">
        <v>20</v>
      </c>
      <c r="M58" s="60">
        <f t="shared" si="36"/>
        <v>1924.5283018867935</v>
      </c>
      <c r="N58" s="60">
        <f t="shared" si="3"/>
        <v>96.226415094339671</v>
      </c>
      <c r="O58" s="61">
        <f t="shared" si="4"/>
        <v>0</v>
      </c>
      <c r="P58" s="62">
        <f t="shared" si="5"/>
        <v>-3.7735849056603286</v>
      </c>
      <c r="Q58" s="490">
        <f t="shared" si="6"/>
        <v>0.96226415094339668</v>
      </c>
      <c r="R58" s="566"/>
      <c r="S58" s="63">
        <v>0.78402777777777777</v>
      </c>
      <c r="T58" s="63">
        <v>0.8208333333333333</v>
      </c>
      <c r="U58" s="488">
        <f t="shared" si="38"/>
        <v>6.9999999999999751</v>
      </c>
      <c r="V58" s="499">
        <f t="shared" si="37"/>
        <v>52.999999999999972</v>
      </c>
      <c r="W58" s="64">
        <f>T58</f>
        <v>0.8208333333333333</v>
      </c>
      <c r="X58" s="64">
        <f>S59</f>
        <v>0.86180555555555549</v>
      </c>
      <c r="Y58" s="569"/>
      <c r="Z58" s="570"/>
      <c r="AA58" s="61">
        <f t="shared" si="8"/>
        <v>-75.471698113206457</v>
      </c>
      <c r="AB58" s="490">
        <f t="shared" si="9"/>
        <v>0.96226415094339679</v>
      </c>
      <c r="AC58" s="566"/>
    </row>
    <row r="59" spans="1:29" ht="15.75" customHeight="1">
      <c r="A59" s="574" t="s">
        <v>2291</v>
      </c>
      <c r="B59" s="57" t="s">
        <v>6</v>
      </c>
      <c r="C59" s="567" t="s">
        <v>2127</v>
      </c>
      <c r="D59" s="568"/>
      <c r="E59" s="57">
        <v>51.83</v>
      </c>
      <c r="F59" s="69">
        <v>2178</v>
      </c>
      <c r="G59" s="488">
        <f t="shared" si="35"/>
        <v>112885.73999999999</v>
      </c>
      <c r="H59" s="502" t="s">
        <v>5</v>
      </c>
      <c r="I59" s="498">
        <v>20</v>
      </c>
      <c r="J59" s="58">
        <v>2000</v>
      </c>
      <c r="K59" s="59">
        <f t="shared" si="1"/>
        <v>100</v>
      </c>
      <c r="L59" s="498">
        <v>20</v>
      </c>
      <c r="M59" s="60">
        <f t="shared" si="36"/>
        <v>1921.7647058823504</v>
      </c>
      <c r="N59" s="60">
        <f t="shared" si="3"/>
        <v>96.088235294117524</v>
      </c>
      <c r="O59" s="61">
        <f t="shared" si="4"/>
        <v>0</v>
      </c>
      <c r="P59" s="62">
        <f t="shared" si="5"/>
        <v>-3.9117647058824758</v>
      </c>
      <c r="Q59" s="490">
        <f t="shared" si="6"/>
        <v>0.96088235294117519</v>
      </c>
      <c r="R59" s="566"/>
      <c r="S59" s="63">
        <v>0.86180555555555549</v>
      </c>
      <c r="T59" s="63">
        <v>0.90902777777777777</v>
      </c>
      <c r="U59" s="488">
        <f t="shared" si="38"/>
        <v>58.99999999999995</v>
      </c>
      <c r="V59" s="499">
        <f t="shared" si="37"/>
        <v>68.000000000000085</v>
      </c>
      <c r="W59" s="64"/>
      <c r="X59" s="64"/>
      <c r="Y59" s="569"/>
      <c r="Z59" s="570"/>
      <c r="AA59" s="61">
        <f t="shared" si="8"/>
        <v>-78.235294117649573</v>
      </c>
      <c r="AB59" s="490">
        <f t="shared" si="9"/>
        <v>0.96088235294117519</v>
      </c>
      <c r="AC59" s="566"/>
    </row>
    <row r="60" spans="1:29">
      <c r="A60" s="575" t="s">
        <v>2291</v>
      </c>
      <c r="B60" s="57" t="s">
        <v>2285</v>
      </c>
      <c r="C60" s="571"/>
      <c r="D60" s="571"/>
      <c r="E60" s="495"/>
      <c r="F60" s="66"/>
      <c r="G60" s="59"/>
      <c r="H60" s="500"/>
      <c r="I60" s="67">
        <v>19.125</v>
      </c>
      <c r="J60" s="58">
        <v>2000</v>
      </c>
      <c r="K60" s="59">
        <f t="shared" si="1"/>
        <v>104.57516339869281</v>
      </c>
      <c r="L60" s="67">
        <v>19.125</v>
      </c>
      <c r="M60" s="60">
        <f>AVERAGE(M52:M59)</f>
        <v>1777.942607409273</v>
      </c>
      <c r="N60" s="59">
        <f t="shared" si="3"/>
        <v>92.964319341661337</v>
      </c>
      <c r="O60" s="61">
        <f t="shared" si="4"/>
        <v>0</v>
      </c>
      <c r="P60" s="62">
        <f t="shared" si="5"/>
        <v>-11.610844057031471</v>
      </c>
      <c r="Q60" s="490">
        <f t="shared" si="6"/>
        <v>0.88897130370463651</v>
      </c>
      <c r="R60" s="566"/>
      <c r="S60" s="70"/>
      <c r="T60" s="63"/>
      <c r="U60" s="59"/>
      <c r="V60" s="499"/>
      <c r="W60" s="59"/>
      <c r="X60" s="59"/>
      <c r="Y60" s="559"/>
      <c r="Z60" s="559"/>
      <c r="AA60" s="61">
        <f t="shared" si="8"/>
        <v>-222.05739259072698</v>
      </c>
      <c r="AB60" s="490">
        <f t="shared" si="9"/>
        <v>0.88897130370463651</v>
      </c>
      <c r="AC60" s="566"/>
    </row>
    <row r="61" spans="1:29" ht="15.75" customHeight="1">
      <c r="A61" s="572" t="s">
        <v>2292</v>
      </c>
      <c r="B61" s="500" t="s">
        <v>10</v>
      </c>
      <c r="C61" s="560" t="s">
        <v>42</v>
      </c>
      <c r="D61" s="560"/>
      <c r="E61" s="57">
        <v>26.97</v>
      </c>
      <c r="F61" s="69">
        <v>2093</v>
      </c>
      <c r="G61" s="488">
        <f t="shared" ref="G61:G66" si="39">E61*F61</f>
        <v>56448.21</v>
      </c>
      <c r="H61" s="502" t="s">
        <v>5</v>
      </c>
      <c r="I61" s="498">
        <v>8</v>
      </c>
      <c r="J61" s="58">
        <v>1500</v>
      </c>
      <c r="K61" s="59">
        <f t="shared" si="1"/>
        <v>187.5</v>
      </c>
      <c r="L61" s="498">
        <v>8</v>
      </c>
      <c r="M61" s="60">
        <f t="shared" ref="M61:M66" si="40">F61/V61*60</f>
        <v>1443.4482758620693</v>
      </c>
      <c r="N61" s="59">
        <f t="shared" si="3"/>
        <v>180.43103448275866</v>
      </c>
      <c r="O61" s="61">
        <f t="shared" si="4"/>
        <v>0</v>
      </c>
      <c r="P61" s="62">
        <f t="shared" si="5"/>
        <v>-7.0689655172413381</v>
      </c>
      <c r="Q61" s="490">
        <f t="shared" si="6"/>
        <v>0.96229885057471287</v>
      </c>
      <c r="R61" s="566">
        <f>Q67</f>
        <v>0.96703964431959355</v>
      </c>
      <c r="S61" s="63">
        <v>0.20833333333333334</v>
      </c>
      <c r="T61" s="63">
        <v>0.26874999999999999</v>
      </c>
      <c r="U61" s="488"/>
      <c r="V61" s="499">
        <f t="shared" ref="V61:V66" si="41">(T61-S61)*24*60</f>
        <v>86.999999999999972</v>
      </c>
      <c r="W61" s="68"/>
      <c r="X61" s="68"/>
      <c r="Y61" s="559"/>
      <c r="Z61" s="559"/>
      <c r="AA61" s="61">
        <f t="shared" si="8"/>
        <v>-56.551724137930705</v>
      </c>
      <c r="AB61" s="490">
        <f t="shared" si="9"/>
        <v>0.96229885057471287</v>
      </c>
      <c r="AC61" s="566">
        <f>AB67</f>
        <v>0.96703964431959355</v>
      </c>
    </row>
    <row r="62" spans="1:29" ht="15.75" customHeight="1">
      <c r="A62" s="572" t="s">
        <v>2292</v>
      </c>
      <c r="B62" s="500" t="s">
        <v>31</v>
      </c>
      <c r="C62" s="560" t="s">
        <v>41</v>
      </c>
      <c r="D62" s="560"/>
      <c r="E62" s="57">
        <v>26.78</v>
      </c>
      <c r="F62" s="69">
        <v>2083</v>
      </c>
      <c r="G62" s="488">
        <f t="shared" si="39"/>
        <v>55782.740000000005</v>
      </c>
      <c r="H62" s="502" t="s">
        <v>5</v>
      </c>
      <c r="I62" s="498">
        <v>10</v>
      </c>
      <c r="J62" s="58">
        <v>3000</v>
      </c>
      <c r="K62" s="59">
        <f t="shared" si="1"/>
        <v>300</v>
      </c>
      <c r="L62" s="498">
        <v>10</v>
      </c>
      <c r="M62" s="60">
        <f t="shared" si="40"/>
        <v>2906.5116279069762</v>
      </c>
      <c r="N62" s="59">
        <f t="shared" si="3"/>
        <v>290.65116279069764</v>
      </c>
      <c r="O62" s="61">
        <f t="shared" si="4"/>
        <v>0</v>
      </c>
      <c r="P62" s="62">
        <f t="shared" si="5"/>
        <v>-9.34883720930236</v>
      </c>
      <c r="Q62" s="490">
        <f t="shared" si="6"/>
        <v>0.96883720930232542</v>
      </c>
      <c r="R62" s="566"/>
      <c r="S62" s="63">
        <v>0.27430555555555552</v>
      </c>
      <c r="T62" s="63">
        <v>0.30416666666666664</v>
      </c>
      <c r="U62" s="488">
        <f t="shared" ref="U62:U66" si="42">(S62-T61)*24*60</f>
        <v>7.9999999999999716</v>
      </c>
      <c r="V62" s="499">
        <f t="shared" si="41"/>
        <v>43.000000000000007</v>
      </c>
      <c r="W62" s="488"/>
      <c r="X62" s="488"/>
      <c r="Y62" s="559"/>
      <c r="Z62" s="559"/>
      <c r="AA62" s="61">
        <f t="shared" si="8"/>
        <v>-93.488372093023827</v>
      </c>
      <c r="AB62" s="490">
        <f t="shared" si="9"/>
        <v>0.96883720930232542</v>
      </c>
      <c r="AC62" s="566"/>
    </row>
    <row r="63" spans="1:29" ht="15.75" customHeight="1">
      <c r="A63" s="572" t="s">
        <v>2292</v>
      </c>
      <c r="B63" s="500" t="s">
        <v>31</v>
      </c>
      <c r="C63" s="560" t="s">
        <v>64</v>
      </c>
      <c r="D63" s="560"/>
      <c r="E63" s="57">
        <v>37.880000000000003</v>
      </c>
      <c r="F63" s="69">
        <v>2383</v>
      </c>
      <c r="G63" s="488">
        <f t="shared" si="39"/>
        <v>90268.040000000008</v>
      </c>
      <c r="H63" s="502" t="s">
        <v>5</v>
      </c>
      <c r="I63" s="498">
        <v>10</v>
      </c>
      <c r="J63" s="58">
        <v>3000</v>
      </c>
      <c r="K63" s="59">
        <f t="shared" si="1"/>
        <v>300</v>
      </c>
      <c r="L63" s="498">
        <v>10</v>
      </c>
      <c r="M63" s="60">
        <f t="shared" si="40"/>
        <v>2859.6000000000008</v>
      </c>
      <c r="N63" s="59">
        <f t="shared" si="3"/>
        <v>285.96000000000009</v>
      </c>
      <c r="O63" s="61">
        <f t="shared" si="4"/>
        <v>0</v>
      </c>
      <c r="P63" s="62">
        <f t="shared" si="5"/>
        <v>-14.039999999999907</v>
      </c>
      <c r="Q63" s="490">
        <f t="shared" si="6"/>
        <v>0.95320000000000027</v>
      </c>
      <c r="R63" s="566"/>
      <c r="S63" s="63">
        <v>0.30972222222222218</v>
      </c>
      <c r="T63" s="63">
        <v>0.34444444444444439</v>
      </c>
      <c r="U63" s="488">
        <f t="shared" si="42"/>
        <v>7.9999999999999716</v>
      </c>
      <c r="V63" s="499">
        <f t="shared" si="41"/>
        <v>49.999999999999986</v>
      </c>
      <c r="W63" s="488"/>
      <c r="X63" s="488"/>
      <c r="Y63" s="559"/>
      <c r="Z63" s="559"/>
      <c r="AA63" s="61">
        <f t="shared" si="8"/>
        <v>-140.39999999999918</v>
      </c>
      <c r="AB63" s="490">
        <f t="shared" si="9"/>
        <v>0.95320000000000027</v>
      </c>
      <c r="AC63" s="566"/>
    </row>
    <row r="64" spans="1:29" ht="15.75" customHeight="1">
      <c r="A64" s="572" t="s">
        <v>246</v>
      </c>
      <c r="B64" s="500" t="s">
        <v>31</v>
      </c>
      <c r="C64" s="560" t="s">
        <v>35</v>
      </c>
      <c r="D64" s="560"/>
      <c r="E64" s="57">
        <v>35.869999999999997</v>
      </c>
      <c r="F64" s="69">
        <v>2380</v>
      </c>
      <c r="G64" s="488">
        <f t="shared" si="39"/>
        <v>85370.599999999991</v>
      </c>
      <c r="H64" s="502" t="s">
        <v>5</v>
      </c>
      <c r="I64" s="498">
        <v>9</v>
      </c>
      <c r="J64" s="58">
        <v>3000</v>
      </c>
      <c r="K64" s="59">
        <f t="shared" si="1"/>
        <v>333.33333333333331</v>
      </c>
      <c r="L64" s="498">
        <v>9</v>
      </c>
      <c r="M64" s="60">
        <f t="shared" si="40"/>
        <v>2856.0000000000009</v>
      </c>
      <c r="N64" s="59">
        <f t="shared" si="3"/>
        <v>317.33333333333343</v>
      </c>
      <c r="O64" s="61">
        <f t="shared" si="4"/>
        <v>0</v>
      </c>
      <c r="P64" s="62">
        <f t="shared" si="5"/>
        <v>-15.999999999999886</v>
      </c>
      <c r="Q64" s="490">
        <f t="shared" si="6"/>
        <v>0.95200000000000029</v>
      </c>
      <c r="R64" s="566"/>
      <c r="S64" s="63">
        <v>0.34930555555555548</v>
      </c>
      <c r="T64" s="63">
        <v>0.38402777777777769</v>
      </c>
      <c r="U64" s="488">
        <f t="shared" si="42"/>
        <v>6.9999999999999751</v>
      </c>
      <c r="V64" s="499">
        <f t="shared" si="41"/>
        <v>49.999999999999986</v>
      </c>
      <c r="W64" s="488"/>
      <c r="X64" s="488"/>
      <c r="Y64" s="559"/>
      <c r="Z64" s="559"/>
      <c r="AA64" s="61">
        <f t="shared" si="8"/>
        <v>-143.99999999999909</v>
      </c>
      <c r="AB64" s="490">
        <f t="shared" si="9"/>
        <v>0.95200000000000029</v>
      </c>
      <c r="AC64" s="566"/>
    </row>
    <row r="65" spans="1:29">
      <c r="A65" s="573" t="s">
        <v>2292</v>
      </c>
      <c r="B65" s="500" t="s">
        <v>31</v>
      </c>
      <c r="C65" s="560" t="s">
        <v>63</v>
      </c>
      <c r="D65" s="560"/>
      <c r="E65" s="57">
        <v>34.36</v>
      </c>
      <c r="F65" s="69">
        <v>1500</v>
      </c>
      <c r="G65" s="488">
        <f t="shared" si="39"/>
        <v>51540</v>
      </c>
      <c r="H65" s="502" t="s">
        <v>5</v>
      </c>
      <c r="I65" s="498">
        <v>10</v>
      </c>
      <c r="J65" s="58">
        <v>3000</v>
      </c>
      <c r="K65" s="59">
        <f t="shared" si="1"/>
        <v>300</v>
      </c>
      <c r="L65" s="498">
        <v>10</v>
      </c>
      <c r="M65" s="60">
        <f t="shared" si="40"/>
        <v>2903.2258064516154</v>
      </c>
      <c r="N65" s="59">
        <f t="shared" si="3"/>
        <v>290.32258064516157</v>
      </c>
      <c r="O65" s="61">
        <f t="shared" si="4"/>
        <v>0</v>
      </c>
      <c r="P65" s="62">
        <f t="shared" si="5"/>
        <v>-9.6774193548384346</v>
      </c>
      <c r="Q65" s="490">
        <f t="shared" si="6"/>
        <v>0.96774193548387188</v>
      </c>
      <c r="R65" s="566"/>
      <c r="S65" s="63">
        <v>0.38888888888888878</v>
      </c>
      <c r="T65" s="63">
        <v>0.41041666666666654</v>
      </c>
      <c r="U65" s="488">
        <f t="shared" si="42"/>
        <v>6.9999999999999751</v>
      </c>
      <c r="V65" s="499">
        <f t="shared" si="41"/>
        <v>30.999999999999972</v>
      </c>
      <c r="W65" s="64"/>
      <c r="X65" s="64"/>
      <c r="Y65" s="559"/>
      <c r="Z65" s="559"/>
      <c r="AA65" s="61">
        <f t="shared" si="8"/>
        <v>-96.774193548384574</v>
      </c>
      <c r="AB65" s="490">
        <f t="shared" si="9"/>
        <v>0.96774193548387177</v>
      </c>
      <c r="AC65" s="566"/>
    </row>
    <row r="66" spans="1:29" ht="15" customHeight="1">
      <c r="A66" s="573" t="s">
        <v>246</v>
      </c>
      <c r="B66" s="500" t="s">
        <v>31</v>
      </c>
      <c r="C66" s="567" t="s">
        <v>36</v>
      </c>
      <c r="D66" s="568"/>
      <c r="E66" s="57">
        <v>36.14</v>
      </c>
      <c r="F66" s="69">
        <v>946</v>
      </c>
      <c r="G66" s="488">
        <f t="shared" si="39"/>
        <v>34188.44</v>
      </c>
      <c r="H66" s="502" t="s">
        <v>5</v>
      </c>
      <c r="I66" s="498">
        <v>9</v>
      </c>
      <c r="J66" s="58">
        <v>3000</v>
      </c>
      <c r="K66" s="59">
        <f t="shared" si="1"/>
        <v>333.33333333333331</v>
      </c>
      <c r="L66" s="498">
        <v>9</v>
      </c>
      <c r="M66" s="60">
        <f t="shared" si="40"/>
        <v>2987.3684210526294</v>
      </c>
      <c r="N66" s="59">
        <f t="shared" si="3"/>
        <v>331.92982456140328</v>
      </c>
      <c r="O66" s="61">
        <f t="shared" si="4"/>
        <v>0</v>
      </c>
      <c r="P66" s="62">
        <f t="shared" si="5"/>
        <v>-1.403508771930035</v>
      </c>
      <c r="Q66" s="490">
        <f t="shared" si="6"/>
        <v>0.99578947368420989</v>
      </c>
      <c r="R66" s="566"/>
      <c r="S66" s="63">
        <v>0.41458333333333319</v>
      </c>
      <c r="T66" s="63">
        <v>0.42777777777777765</v>
      </c>
      <c r="U66" s="488">
        <f t="shared" si="42"/>
        <v>5.9999999999999787</v>
      </c>
      <c r="V66" s="499">
        <f t="shared" si="41"/>
        <v>19.000000000000014</v>
      </c>
      <c r="W66" s="488"/>
      <c r="X66" s="488"/>
      <c r="Y66" s="569"/>
      <c r="Z66" s="570"/>
      <c r="AA66" s="61">
        <f t="shared" si="8"/>
        <v>-12.631578947370599</v>
      </c>
      <c r="AB66" s="490">
        <f t="shared" si="9"/>
        <v>0.99578947368420978</v>
      </c>
      <c r="AC66" s="566"/>
    </row>
    <row r="67" spans="1:29">
      <c r="A67" s="573" t="s">
        <v>246</v>
      </c>
      <c r="B67" s="57" t="s">
        <v>2285</v>
      </c>
      <c r="C67" s="571"/>
      <c r="D67" s="571"/>
      <c r="E67" s="495"/>
      <c r="F67" s="66"/>
      <c r="G67" s="59"/>
      <c r="H67" s="500"/>
      <c r="I67" s="67">
        <v>9.3333333333333339</v>
      </c>
      <c r="J67" s="58">
        <v>2750</v>
      </c>
      <c r="K67" s="59">
        <f t="shared" si="1"/>
        <v>294.64285714285711</v>
      </c>
      <c r="L67" s="67">
        <v>9.3333333333333339</v>
      </c>
      <c r="M67" s="60">
        <f>AVERAGE(M61:M66)</f>
        <v>2659.3590218788822</v>
      </c>
      <c r="N67" s="59">
        <f t="shared" si="3"/>
        <v>284.93132377273736</v>
      </c>
      <c r="O67" s="61">
        <f t="shared" si="4"/>
        <v>0</v>
      </c>
      <c r="P67" s="62">
        <f t="shared" si="5"/>
        <v>-9.7115333701197528</v>
      </c>
      <c r="Q67" s="490">
        <f t="shared" si="6"/>
        <v>0.96703964431959355</v>
      </c>
      <c r="R67" s="566"/>
      <c r="S67" s="63"/>
      <c r="T67" s="63"/>
      <c r="U67" s="59"/>
      <c r="V67" s="499"/>
      <c r="W67" s="59"/>
      <c r="X67" s="59"/>
      <c r="Y67" s="559"/>
      <c r="Z67" s="559"/>
      <c r="AA67" s="61">
        <f t="shared" si="8"/>
        <v>-90.640978121117769</v>
      </c>
      <c r="AB67" s="490">
        <f t="shared" si="9"/>
        <v>0.96703964431959355</v>
      </c>
      <c r="AC67" s="566"/>
    </row>
    <row r="68" spans="1:29" ht="15.75" customHeight="1">
      <c r="A68" s="563" t="s">
        <v>2293</v>
      </c>
      <c r="B68" s="500" t="s">
        <v>15</v>
      </c>
      <c r="C68" s="560" t="s">
        <v>43</v>
      </c>
      <c r="D68" s="560"/>
      <c r="E68" s="57">
        <v>20.2</v>
      </c>
      <c r="F68" s="500">
        <v>1421</v>
      </c>
      <c r="G68" s="488">
        <f t="shared" ref="G68:G72" si="43">E68*F68</f>
        <v>28704.2</v>
      </c>
      <c r="H68" s="502" t="s">
        <v>5</v>
      </c>
      <c r="I68" s="498">
        <v>19</v>
      </c>
      <c r="J68" s="58">
        <v>2400</v>
      </c>
      <c r="K68" s="59">
        <f t="shared" si="1"/>
        <v>126.31578947368421</v>
      </c>
      <c r="L68" s="498">
        <v>19</v>
      </c>
      <c r="M68" s="60">
        <f t="shared" ref="M68:M72" si="44">F68/V68*60</f>
        <v>2304.3243243243237</v>
      </c>
      <c r="N68" s="59">
        <f t="shared" si="3"/>
        <v>121.28022759601704</v>
      </c>
      <c r="O68" s="61">
        <f t="shared" si="4"/>
        <v>0</v>
      </c>
      <c r="P68" s="62">
        <f t="shared" si="5"/>
        <v>-5.0355618776671633</v>
      </c>
      <c r="Q68" s="490">
        <f t="shared" si="6"/>
        <v>0.96013513513513493</v>
      </c>
      <c r="R68" s="566">
        <f>Q73</f>
        <v>0.95682829251401891</v>
      </c>
      <c r="S68" s="63">
        <v>8.3333333333333329E-2</v>
      </c>
      <c r="T68" s="63">
        <v>0.10902777777777778</v>
      </c>
      <c r="U68" s="68"/>
      <c r="V68" s="499">
        <f t="shared" ref="V68:V72" si="45">(T68-S68)*24*60</f>
        <v>37.000000000000007</v>
      </c>
      <c r="W68" s="64">
        <f>T68</f>
        <v>0.10902777777777778</v>
      </c>
      <c r="X68" s="64">
        <f>S69</f>
        <v>0.12708333333333335</v>
      </c>
      <c r="Y68" s="559"/>
      <c r="Z68" s="559"/>
      <c r="AA68" s="61">
        <f t="shared" si="8"/>
        <v>-95.675675675676302</v>
      </c>
      <c r="AB68" s="490">
        <f t="shared" si="9"/>
        <v>0.96013513513513482</v>
      </c>
      <c r="AC68" s="566">
        <f>AB73</f>
        <v>0.95682829251401891</v>
      </c>
    </row>
    <row r="69" spans="1:29" ht="15.75" customHeight="1">
      <c r="A69" s="564" t="s">
        <v>2293</v>
      </c>
      <c r="B69" s="500" t="s">
        <v>15</v>
      </c>
      <c r="C69" s="560" t="s">
        <v>24</v>
      </c>
      <c r="D69" s="560"/>
      <c r="E69" s="57">
        <v>20.52</v>
      </c>
      <c r="F69" s="500">
        <v>2352</v>
      </c>
      <c r="G69" s="488">
        <f t="shared" si="43"/>
        <v>48263.040000000001</v>
      </c>
      <c r="H69" s="502" t="s">
        <v>5</v>
      </c>
      <c r="I69" s="498">
        <v>18</v>
      </c>
      <c r="J69" s="58">
        <v>2400</v>
      </c>
      <c r="K69" s="59">
        <f t="shared" ref="K69:K88" si="46">J69/I69</f>
        <v>133.33333333333334</v>
      </c>
      <c r="L69" s="498">
        <v>18</v>
      </c>
      <c r="M69" s="60">
        <f t="shared" si="44"/>
        <v>2313.4426229508204</v>
      </c>
      <c r="N69" s="59">
        <f t="shared" ref="N69:N88" si="47">M69/L69</f>
        <v>128.52459016393448</v>
      </c>
      <c r="O69" s="61">
        <f t="shared" ref="O69:O88" si="48">L69-I69</f>
        <v>0</v>
      </c>
      <c r="P69" s="62">
        <f t="shared" ref="P69:P88" si="49">N69-K69</f>
        <v>-4.8087431693988663</v>
      </c>
      <c r="Q69" s="490">
        <f t="shared" ref="Q69:Q88" si="50">N69/K69</f>
        <v>0.96393442622950853</v>
      </c>
      <c r="R69" s="566"/>
      <c r="S69" s="63">
        <v>0.12708333333333335</v>
      </c>
      <c r="T69" s="63">
        <v>0.16944444444444445</v>
      </c>
      <c r="U69" s="488">
        <f t="shared" ref="U69:U72" si="51">(S69-T68)*24*60</f>
        <v>26.000000000000028</v>
      </c>
      <c r="V69" s="499">
        <f t="shared" si="45"/>
        <v>60.999999999999986</v>
      </c>
      <c r="W69" s="64"/>
      <c r="X69" s="64"/>
      <c r="Y69" s="559"/>
      <c r="Z69" s="559"/>
      <c r="AA69" s="61">
        <f t="shared" ref="AA69:AA88" si="52">M69-J69</f>
        <v>-86.557377049179649</v>
      </c>
      <c r="AB69" s="490">
        <f t="shared" ref="AB69:AB88" si="53">M69/J69</f>
        <v>0.96393442622950853</v>
      </c>
      <c r="AC69" s="566"/>
    </row>
    <row r="70" spans="1:29" ht="15.75" customHeight="1">
      <c r="A70" s="564" t="s">
        <v>2293</v>
      </c>
      <c r="B70" s="500" t="s">
        <v>15</v>
      </c>
      <c r="C70" s="560" t="s">
        <v>29</v>
      </c>
      <c r="D70" s="560"/>
      <c r="E70" s="57">
        <v>24.43</v>
      </c>
      <c r="F70" s="500">
        <v>4878</v>
      </c>
      <c r="G70" s="488">
        <f t="shared" si="43"/>
        <v>119169.54</v>
      </c>
      <c r="H70" s="502" t="s">
        <v>5</v>
      </c>
      <c r="I70" s="498">
        <v>14</v>
      </c>
      <c r="J70" s="58">
        <v>2400</v>
      </c>
      <c r="K70" s="59">
        <f t="shared" si="46"/>
        <v>171.42857142857142</v>
      </c>
      <c r="L70" s="498">
        <v>14</v>
      </c>
      <c r="M70" s="60">
        <f t="shared" si="44"/>
        <v>2286.5624999999995</v>
      </c>
      <c r="N70" s="59">
        <f t="shared" si="47"/>
        <v>163.32589285714283</v>
      </c>
      <c r="O70" s="61">
        <f t="shared" si="48"/>
        <v>0</v>
      </c>
      <c r="P70" s="62">
        <f t="shared" si="49"/>
        <v>-8.1026785714285836</v>
      </c>
      <c r="Q70" s="490">
        <f t="shared" si="50"/>
        <v>0.95273437499999991</v>
      </c>
      <c r="R70" s="566"/>
      <c r="S70" s="63">
        <v>0.17291666666666666</v>
      </c>
      <c r="T70" s="63">
        <v>0.26180555555555557</v>
      </c>
      <c r="U70" s="488">
        <f t="shared" si="51"/>
        <v>4.9999999999999822</v>
      </c>
      <c r="V70" s="499">
        <f t="shared" si="45"/>
        <v>128.00000000000003</v>
      </c>
      <c r="W70" s="64"/>
      <c r="X70" s="64"/>
      <c r="Y70" s="559"/>
      <c r="Z70" s="559"/>
      <c r="AA70" s="61">
        <f t="shared" si="52"/>
        <v>-113.43750000000045</v>
      </c>
      <c r="AB70" s="490">
        <f t="shared" si="53"/>
        <v>0.9527343749999998</v>
      </c>
      <c r="AC70" s="566"/>
    </row>
    <row r="71" spans="1:29" ht="15.75" customHeight="1">
      <c r="A71" s="564" t="s">
        <v>2293</v>
      </c>
      <c r="B71" s="500" t="s">
        <v>15</v>
      </c>
      <c r="C71" s="560" t="s">
        <v>1183</v>
      </c>
      <c r="D71" s="560"/>
      <c r="E71" s="57">
        <v>20.21</v>
      </c>
      <c r="F71" s="500">
        <v>3430</v>
      </c>
      <c r="G71" s="488">
        <f t="shared" si="43"/>
        <v>69320.3</v>
      </c>
      <c r="H71" s="502" t="s">
        <v>5</v>
      </c>
      <c r="I71" s="498">
        <v>16</v>
      </c>
      <c r="J71" s="58">
        <v>2400</v>
      </c>
      <c r="K71" s="59">
        <f t="shared" si="46"/>
        <v>150</v>
      </c>
      <c r="L71" s="498">
        <v>16</v>
      </c>
      <c r="M71" s="60">
        <f t="shared" si="44"/>
        <v>2286.666666666667</v>
      </c>
      <c r="N71" s="59">
        <f t="shared" si="47"/>
        <v>142.91666666666669</v>
      </c>
      <c r="O71" s="61">
        <f t="shared" si="48"/>
        <v>0</v>
      </c>
      <c r="P71" s="62">
        <f t="shared" si="49"/>
        <v>-7.0833333333333144</v>
      </c>
      <c r="Q71" s="490">
        <f t="shared" si="50"/>
        <v>0.95277777777777795</v>
      </c>
      <c r="R71" s="566"/>
      <c r="S71" s="63">
        <v>0.2673611111111111</v>
      </c>
      <c r="T71" s="63">
        <v>0.3298611111111111</v>
      </c>
      <c r="U71" s="488">
        <f t="shared" si="51"/>
        <v>7.9999999999999716</v>
      </c>
      <c r="V71" s="499">
        <f t="shared" si="45"/>
        <v>90</v>
      </c>
      <c r="W71" s="64"/>
      <c r="X71" s="64"/>
      <c r="Y71" s="559"/>
      <c r="Z71" s="559"/>
      <c r="AA71" s="61">
        <f t="shared" si="52"/>
        <v>-113.33333333333303</v>
      </c>
      <c r="AB71" s="490">
        <f t="shared" si="53"/>
        <v>0.95277777777777795</v>
      </c>
      <c r="AC71" s="566"/>
    </row>
    <row r="72" spans="1:29" ht="15.75" customHeight="1">
      <c r="A72" s="564" t="s">
        <v>2293</v>
      </c>
      <c r="B72" s="500" t="s">
        <v>15</v>
      </c>
      <c r="C72" s="560" t="s">
        <v>44</v>
      </c>
      <c r="D72" s="560"/>
      <c r="E72" s="57">
        <v>19.02</v>
      </c>
      <c r="F72" s="500">
        <v>6071</v>
      </c>
      <c r="G72" s="488">
        <f t="shared" si="43"/>
        <v>115470.42</v>
      </c>
      <c r="H72" s="502" t="s">
        <v>5</v>
      </c>
      <c r="I72" s="498">
        <v>15</v>
      </c>
      <c r="J72" s="58">
        <v>2400</v>
      </c>
      <c r="K72" s="59">
        <f t="shared" si="46"/>
        <v>160</v>
      </c>
      <c r="L72" s="498">
        <v>15</v>
      </c>
      <c r="M72" s="60">
        <f t="shared" si="44"/>
        <v>2290.9433962264152</v>
      </c>
      <c r="N72" s="59">
        <f t="shared" si="47"/>
        <v>152.72955974842768</v>
      </c>
      <c r="O72" s="61">
        <f t="shared" si="48"/>
        <v>0</v>
      </c>
      <c r="P72" s="62">
        <f t="shared" si="49"/>
        <v>-7.2704402515723245</v>
      </c>
      <c r="Q72" s="490">
        <f t="shared" si="50"/>
        <v>0.95455974842767299</v>
      </c>
      <c r="R72" s="566"/>
      <c r="S72" s="63">
        <v>0.3347222222222222</v>
      </c>
      <c r="T72" s="63">
        <v>0.44513888888888886</v>
      </c>
      <c r="U72" s="488">
        <f t="shared" si="51"/>
        <v>6.9999999999999751</v>
      </c>
      <c r="V72" s="499">
        <f t="shared" si="45"/>
        <v>159</v>
      </c>
      <c r="W72" s="64"/>
      <c r="X72" s="64"/>
      <c r="Y72" s="559"/>
      <c r="Z72" s="559"/>
      <c r="AA72" s="61">
        <f t="shared" si="52"/>
        <v>-109.05660377358481</v>
      </c>
      <c r="AB72" s="490">
        <f t="shared" si="53"/>
        <v>0.95455974842767299</v>
      </c>
      <c r="AC72" s="566"/>
    </row>
    <row r="73" spans="1:29" ht="16.5" customHeight="1">
      <c r="A73" s="565" t="s">
        <v>2293</v>
      </c>
      <c r="B73" s="57" t="s">
        <v>2285</v>
      </c>
      <c r="C73" s="561"/>
      <c r="D73" s="562"/>
      <c r="E73" s="495"/>
      <c r="F73" s="66"/>
      <c r="G73" s="59"/>
      <c r="H73" s="500"/>
      <c r="I73" s="67">
        <v>16.399999999999999</v>
      </c>
      <c r="J73" s="58">
        <v>2400</v>
      </c>
      <c r="K73" s="59">
        <f t="shared" si="46"/>
        <v>146.34146341463415</v>
      </c>
      <c r="L73" s="67">
        <v>16.399999999999999</v>
      </c>
      <c r="M73" s="60">
        <f>AVERAGE(M68:M72)</f>
        <v>2296.3879020336453</v>
      </c>
      <c r="N73" s="59">
        <f t="shared" si="47"/>
        <v>140.02365256302716</v>
      </c>
      <c r="O73" s="61">
        <f t="shared" si="48"/>
        <v>0</v>
      </c>
      <c r="P73" s="62">
        <f t="shared" si="49"/>
        <v>-6.3178108516069926</v>
      </c>
      <c r="Q73" s="490">
        <f t="shared" si="50"/>
        <v>0.95682829251401891</v>
      </c>
      <c r="R73" s="566"/>
      <c r="S73" s="63"/>
      <c r="T73" s="63"/>
      <c r="U73" s="59"/>
      <c r="V73" s="499"/>
      <c r="W73" s="59"/>
      <c r="X73" s="59"/>
      <c r="Y73" s="559"/>
      <c r="Z73" s="559"/>
      <c r="AA73" s="61">
        <f t="shared" si="52"/>
        <v>-103.61209796635467</v>
      </c>
      <c r="AB73" s="490">
        <f t="shared" si="53"/>
        <v>0.95682829251401891</v>
      </c>
      <c r="AC73" s="566"/>
    </row>
    <row r="74" spans="1:29">
      <c r="D74" s="122"/>
      <c r="E74" s="122"/>
    </row>
  </sheetData>
  <mergeCells count="192">
    <mergeCell ref="Y71:Z71"/>
    <mergeCell ref="C72:D72"/>
    <mergeCell ref="Y72:Z72"/>
    <mergeCell ref="C73:D73"/>
    <mergeCell ref="Y73:Z73"/>
    <mergeCell ref="A68:A73"/>
    <mergeCell ref="C68:D68"/>
    <mergeCell ref="R68:R73"/>
    <mergeCell ref="Y68:Z68"/>
    <mergeCell ref="AC68:AC73"/>
    <mergeCell ref="C69:D69"/>
    <mergeCell ref="Y69:Z69"/>
    <mergeCell ref="C70:D70"/>
    <mergeCell ref="Y70:Z70"/>
    <mergeCell ref="C71:D71"/>
    <mergeCell ref="Y64:Z64"/>
    <mergeCell ref="C65:D65"/>
    <mergeCell ref="Y65:Z65"/>
    <mergeCell ref="C66:D66"/>
    <mergeCell ref="Y66:Z66"/>
    <mergeCell ref="C67:D67"/>
    <mergeCell ref="Y67:Z67"/>
    <mergeCell ref="A61:A67"/>
    <mergeCell ref="C61:D61"/>
    <mergeCell ref="R61:R67"/>
    <mergeCell ref="Y61:Z61"/>
    <mergeCell ref="AC61:AC67"/>
    <mergeCell ref="C62:D62"/>
    <mergeCell ref="Y62:Z62"/>
    <mergeCell ref="C63:D63"/>
    <mergeCell ref="Y63:Z63"/>
    <mergeCell ref="C64:D64"/>
    <mergeCell ref="C58:D58"/>
    <mergeCell ref="Y58:Z58"/>
    <mergeCell ref="C59:D59"/>
    <mergeCell ref="Y59:Z59"/>
    <mergeCell ref="C60:D60"/>
    <mergeCell ref="Y60:Z60"/>
    <mergeCell ref="A52:A60"/>
    <mergeCell ref="C52:D52"/>
    <mergeCell ref="R52:R60"/>
    <mergeCell ref="Y52:Z52"/>
    <mergeCell ref="AC52:AC60"/>
    <mergeCell ref="C53:D53"/>
    <mergeCell ref="Y53:Z53"/>
    <mergeCell ref="C54:D54"/>
    <mergeCell ref="C57:D57"/>
    <mergeCell ref="Y57:Z57"/>
    <mergeCell ref="AC45:AC51"/>
    <mergeCell ref="C46:D46"/>
    <mergeCell ref="Y46:Z46"/>
    <mergeCell ref="C47:D47"/>
    <mergeCell ref="Y47:Z47"/>
    <mergeCell ref="C48:D48"/>
    <mergeCell ref="Y48:Z48"/>
    <mergeCell ref="C49:D49"/>
    <mergeCell ref="Y49:Z49"/>
    <mergeCell ref="C50:D50"/>
    <mergeCell ref="C44:D44"/>
    <mergeCell ref="Y44:Z44"/>
    <mergeCell ref="A45:A51"/>
    <mergeCell ref="C45:D45"/>
    <mergeCell ref="R45:R51"/>
    <mergeCell ref="Y45:Z45"/>
    <mergeCell ref="Y50:Z50"/>
    <mergeCell ref="C51:D51"/>
    <mergeCell ref="Y51:Z51"/>
    <mergeCell ref="Y40:Z40"/>
    <mergeCell ref="C41:D41"/>
    <mergeCell ref="Y41:Z41"/>
    <mergeCell ref="C42:D42"/>
    <mergeCell ref="Y42:Z42"/>
    <mergeCell ref="C43:D43"/>
    <mergeCell ref="Y43:Z43"/>
    <mergeCell ref="A37:A44"/>
    <mergeCell ref="C37:D37"/>
    <mergeCell ref="R37:R44"/>
    <mergeCell ref="Y37:Z37"/>
    <mergeCell ref="AC37:AC44"/>
    <mergeCell ref="C38:D38"/>
    <mergeCell ref="Y38:Z38"/>
    <mergeCell ref="C39:D39"/>
    <mergeCell ref="Y39:Z39"/>
    <mergeCell ref="C40:D40"/>
    <mergeCell ref="AC31:AC36"/>
    <mergeCell ref="C32:D32"/>
    <mergeCell ref="Y32:Z32"/>
    <mergeCell ref="C33:D33"/>
    <mergeCell ref="Y33:Z33"/>
    <mergeCell ref="C34:D34"/>
    <mergeCell ref="Y34:Z34"/>
    <mergeCell ref="C35:D35"/>
    <mergeCell ref="Y35:Z35"/>
    <mergeCell ref="C36:D36"/>
    <mergeCell ref="Y28:Z28"/>
    <mergeCell ref="C29:D29"/>
    <mergeCell ref="Y29:Z29"/>
    <mergeCell ref="C30:D30"/>
    <mergeCell ref="Y30:Z30"/>
    <mergeCell ref="A31:A36"/>
    <mergeCell ref="C31:D31"/>
    <mergeCell ref="R31:R36"/>
    <mergeCell ref="Y31:Z31"/>
    <mergeCell ref="Y36:Z36"/>
    <mergeCell ref="AC21:AC30"/>
    <mergeCell ref="C22:D22"/>
    <mergeCell ref="Y22:Z22"/>
    <mergeCell ref="C23:D23"/>
    <mergeCell ref="Y23:Z23"/>
    <mergeCell ref="C24:D24"/>
    <mergeCell ref="Y24:Z24"/>
    <mergeCell ref="C25:D25"/>
    <mergeCell ref="Y25:Z25"/>
    <mergeCell ref="C26:D26"/>
    <mergeCell ref="C20:D20"/>
    <mergeCell ref="Y20:Z20"/>
    <mergeCell ref="A21:A30"/>
    <mergeCell ref="C21:D21"/>
    <mergeCell ref="R21:R30"/>
    <mergeCell ref="Y21:Z21"/>
    <mergeCell ref="Y26:Z26"/>
    <mergeCell ref="C27:D27"/>
    <mergeCell ref="Y27:Z27"/>
    <mergeCell ref="C28:D28"/>
    <mergeCell ref="C16:D16"/>
    <mergeCell ref="Y16:Z16"/>
    <mergeCell ref="C17:D17"/>
    <mergeCell ref="Y17:Z17"/>
    <mergeCell ref="Y18:Z18"/>
    <mergeCell ref="Y19:Z19"/>
    <mergeCell ref="C13:D13"/>
    <mergeCell ref="Y13:Z13"/>
    <mergeCell ref="C14:D14"/>
    <mergeCell ref="Y14:Z14"/>
    <mergeCell ref="C15:D15"/>
    <mergeCell ref="Y15:Z15"/>
    <mergeCell ref="AC9:AC11"/>
    <mergeCell ref="C10:D10"/>
    <mergeCell ref="Y10:Z10"/>
    <mergeCell ref="C11:D11"/>
    <mergeCell ref="Y11:Z11"/>
    <mergeCell ref="A12:A20"/>
    <mergeCell ref="C12:D12"/>
    <mergeCell ref="R12:R20"/>
    <mergeCell ref="Y12:Z12"/>
    <mergeCell ref="AC12:AC20"/>
    <mergeCell ref="C8:D8"/>
    <mergeCell ref="Y8:Z8"/>
    <mergeCell ref="A9:A11"/>
    <mergeCell ref="C9:D9"/>
    <mergeCell ref="R9:R11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S1:X2"/>
    <mergeCell ref="Y1:Z2"/>
    <mergeCell ref="AA1:AC2"/>
  </mergeCells>
  <phoneticPr fontId="3" type="noConversion"/>
  <conditionalFormatting sqref="O60:O61 O64:O73 O5:O9 O11:O13 O20:O57">
    <cfRule type="cellIs" dxfId="67" priority="60" operator="greaterThan">
      <formula>0</formula>
    </cfRule>
  </conditionalFormatting>
  <conditionalFormatting sqref="P5:P7 P64:P66 AA64:AA66 P68:P72 P31:P35 P61 P9 P11:P13 P21:P29 P52:P57 P37:P50 AA5:AA61 AA68:AA73">
    <cfRule type="cellIs" dxfId="66" priority="64" operator="lessThan">
      <formula>0</formula>
    </cfRule>
  </conditionalFormatting>
  <conditionalFormatting sqref="AB64:AB66 Q60:Q61 Q64:Q73 Q5:Q9 Q11:Q13 Q20:Q57 AB5:AB61 AB68:AB73">
    <cfRule type="cellIs" dxfId="65" priority="61" operator="greaterThan">
      <formula>1</formula>
    </cfRule>
    <cfRule type="cellIs" dxfId="64" priority="62" operator="lessThan">
      <formula>0.8</formula>
    </cfRule>
  </conditionalFormatting>
  <conditionalFormatting sqref="AC12:AC13 R12:R13 AC64 R20:R26 AC20:AC26 AC60:AC61 R60:R61 R64:R73 AC5:AC9 R5:R9 AC30:AC57 R30:R57">
    <cfRule type="cellIs" dxfId="63" priority="66" operator="lessThan">
      <formula>0.8</formula>
    </cfRule>
  </conditionalFormatting>
  <conditionalFormatting sqref="AC45">
    <cfRule type="cellIs" dxfId="62" priority="68" operator="lessThan">
      <formula>0.8</formula>
    </cfRule>
  </conditionalFormatting>
  <conditionalFormatting sqref="AC21:AC26">
    <cfRule type="cellIs" dxfId="61" priority="65" operator="lessThan">
      <formula>0.8</formula>
    </cfRule>
  </conditionalFormatting>
  <conditionalFormatting sqref="AC31">
    <cfRule type="cellIs" dxfId="60" priority="67" operator="lessThan">
      <formula>0.8</formula>
    </cfRule>
  </conditionalFormatting>
  <conditionalFormatting sqref="AC37:AC43">
    <cfRule type="cellIs" dxfId="59" priority="63" operator="lessThan">
      <formula>0.8</formula>
    </cfRule>
  </conditionalFormatting>
  <conditionalFormatting sqref="AA67">
    <cfRule type="cellIs" dxfId="58" priority="59" operator="lessThan">
      <formula>0</formula>
    </cfRule>
  </conditionalFormatting>
  <conditionalFormatting sqref="AB67">
    <cfRule type="cellIs" dxfId="57" priority="57" operator="greaterThan">
      <formula>1</formula>
    </cfRule>
    <cfRule type="cellIs" dxfId="56" priority="58" operator="lessThan">
      <formula>0.8</formula>
    </cfRule>
  </conditionalFormatting>
  <conditionalFormatting sqref="O14:O15">
    <cfRule type="cellIs" dxfId="55" priority="52" operator="greaterThan">
      <formula>0</formula>
    </cfRule>
  </conditionalFormatting>
  <conditionalFormatting sqref="P14:P15">
    <cfRule type="cellIs" dxfId="54" priority="55" operator="lessThan">
      <formula>0</formula>
    </cfRule>
  </conditionalFormatting>
  <conditionalFormatting sqref="Q14:Q15">
    <cfRule type="cellIs" dxfId="53" priority="53" operator="greaterThan">
      <formula>1</formula>
    </cfRule>
    <cfRule type="cellIs" dxfId="52" priority="54" operator="lessThan">
      <formula>0.8</formula>
    </cfRule>
  </conditionalFormatting>
  <conditionalFormatting sqref="R14:R15 AC14:AC15">
    <cfRule type="cellIs" dxfId="51" priority="56" operator="lessThan">
      <formula>0.8</formula>
    </cfRule>
  </conditionalFormatting>
  <conditionalFormatting sqref="O10">
    <cfRule type="cellIs" dxfId="50" priority="48" operator="greaterThan">
      <formula>0</formula>
    </cfRule>
  </conditionalFormatting>
  <conditionalFormatting sqref="P10">
    <cfRule type="cellIs" dxfId="49" priority="51" operator="lessThan">
      <formula>0</formula>
    </cfRule>
  </conditionalFormatting>
  <conditionalFormatting sqref="Q10">
    <cfRule type="cellIs" dxfId="48" priority="49" operator="greaterThan">
      <formula>1</formula>
    </cfRule>
    <cfRule type="cellIs" dxfId="47" priority="50" operator="lessThan">
      <formula>0.8</formula>
    </cfRule>
  </conditionalFormatting>
  <conditionalFormatting sqref="O58">
    <cfRule type="cellIs" dxfId="46" priority="43" operator="greaterThan">
      <formula>0</formula>
    </cfRule>
  </conditionalFormatting>
  <conditionalFormatting sqref="P58">
    <cfRule type="cellIs" dxfId="45" priority="46" operator="lessThan">
      <formula>0</formula>
    </cfRule>
  </conditionalFormatting>
  <conditionalFormatting sqref="Q58">
    <cfRule type="cellIs" dxfId="44" priority="44" operator="greaterThan">
      <formula>1</formula>
    </cfRule>
    <cfRule type="cellIs" dxfId="43" priority="45" operator="lessThan">
      <formula>0.8</formula>
    </cfRule>
  </conditionalFormatting>
  <conditionalFormatting sqref="R58 AC58">
    <cfRule type="cellIs" dxfId="42" priority="47" operator="lessThan">
      <formula>0.8</formula>
    </cfRule>
  </conditionalFormatting>
  <conditionalFormatting sqref="AC28 R28">
    <cfRule type="cellIs" dxfId="41" priority="42" operator="lessThan">
      <formula>0.8</formula>
    </cfRule>
  </conditionalFormatting>
  <conditionalFormatting sqref="O63">
    <cfRule type="cellIs" dxfId="40" priority="37" operator="greaterThan">
      <formula>0</formula>
    </cfRule>
  </conditionalFormatting>
  <conditionalFormatting sqref="P63 AA63">
    <cfRule type="cellIs" dxfId="39" priority="40" operator="lessThan">
      <formula>0</formula>
    </cfRule>
  </conditionalFormatting>
  <conditionalFormatting sqref="Q63 AB63">
    <cfRule type="cellIs" dxfId="38" priority="38" operator="greaterThan">
      <formula>1</formula>
    </cfRule>
    <cfRule type="cellIs" dxfId="37" priority="39" operator="lessThan">
      <formula>0.8</formula>
    </cfRule>
  </conditionalFormatting>
  <conditionalFormatting sqref="R63 AC63">
    <cfRule type="cellIs" dxfId="36" priority="41" operator="lessThan">
      <formula>0.8</formula>
    </cfRule>
  </conditionalFormatting>
  <conditionalFormatting sqref="O16:O17">
    <cfRule type="cellIs" dxfId="35" priority="32" operator="greaterThan">
      <formula>0</formula>
    </cfRule>
  </conditionalFormatting>
  <conditionalFormatting sqref="P16:P17">
    <cfRule type="cellIs" dxfId="34" priority="35" operator="lessThan">
      <formula>0</formula>
    </cfRule>
  </conditionalFormatting>
  <conditionalFormatting sqref="Q16:Q17">
    <cfRule type="cellIs" dxfId="33" priority="33" operator="greaterThan">
      <formula>1</formula>
    </cfRule>
    <cfRule type="cellIs" dxfId="32" priority="34" operator="lessThan">
      <formula>0.8</formula>
    </cfRule>
  </conditionalFormatting>
  <conditionalFormatting sqref="R16:R17 AC16:AC17">
    <cfRule type="cellIs" dxfId="31" priority="36" operator="lessThan">
      <formula>0.8</formula>
    </cfRule>
  </conditionalFormatting>
  <conditionalFormatting sqref="O59">
    <cfRule type="cellIs" dxfId="30" priority="27" operator="greaterThan">
      <formula>0</formula>
    </cfRule>
  </conditionalFormatting>
  <conditionalFormatting sqref="P59">
    <cfRule type="cellIs" dxfId="29" priority="30" operator="lessThan">
      <formula>0</formula>
    </cfRule>
  </conditionalFormatting>
  <conditionalFormatting sqref="Q59">
    <cfRule type="cellIs" dxfId="28" priority="28" operator="greaterThan">
      <formula>1</formula>
    </cfRule>
    <cfRule type="cellIs" dxfId="27" priority="29" operator="lessThan">
      <formula>0.8</formula>
    </cfRule>
  </conditionalFormatting>
  <conditionalFormatting sqref="AC59 R59">
    <cfRule type="cellIs" dxfId="26" priority="31" operator="lessThan">
      <formula>0.8</formula>
    </cfRule>
  </conditionalFormatting>
  <conditionalFormatting sqref="AC29 R29">
    <cfRule type="cellIs" dxfId="25" priority="26" operator="lessThan">
      <formula>0.8</formula>
    </cfRule>
  </conditionalFormatting>
  <conditionalFormatting sqref="R27 AC27">
    <cfRule type="cellIs" dxfId="24" priority="25" operator="lessThan">
      <formula>0.8</formula>
    </cfRule>
  </conditionalFormatting>
  <conditionalFormatting sqref="AC27">
    <cfRule type="cellIs" dxfId="23" priority="24" operator="lessThan">
      <formula>0.8</formula>
    </cfRule>
  </conditionalFormatting>
  <conditionalFormatting sqref="O62">
    <cfRule type="cellIs" dxfId="22" priority="19" operator="greaterThan">
      <formula>0</formula>
    </cfRule>
  </conditionalFormatting>
  <conditionalFormatting sqref="P62 AA62">
    <cfRule type="cellIs" dxfId="21" priority="22" operator="lessThan">
      <formula>0</formula>
    </cfRule>
  </conditionalFormatting>
  <conditionalFormatting sqref="Q62 AB62">
    <cfRule type="cellIs" dxfId="20" priority="20" operator="greaterThan">
      <formula>1</formula>
    </cfRule>
    <cfRule type="cellIs" dxfId="19" priority="21" operator="lessThan">
      <formula>0.8</formula>
    </cfRule>
  </conditionalFormatting>
  <conditionalFormatting sqref="R62 AC62">
    <cfRule type="cellIs" dxfId="18" priority="23" operator="lessThan">
      <formula>0.8</formula>
    </cfRule>
  </conditionalFormatting>
  <conditionalFormatting sqref="O18">
    <cfRule type="cellIs" dxfId="17" priority="14" operator="greaterThan">
      <formula>0</formula>
    </cfRule>
  </conditionalFormatting>
  <conditionalFormatting sqref="P18">
    <cfRule type="cellIs" dxfId="16" priority="17" operator="lessThan">
      <formula>0</formula>
    </cfRule>
  </conditionalFormatting>
  <conditionalFormatting sqref="Q18">
    <cfRule type="cellIs" dxfId="15" priority="15" operator="greaterThan">
      <formula>1</formula>
    </cfRule>
    <cfRule type="cellIs" dxfId="14" priority="16" operator="lessThan">
      <formula>0.8</formula>
    </cfRule>
  </conditionalFormatting>
  <conditionalFormatting sqref="AC18 R18">
    <cfRule type="cellIs" dxfId="13" priority="18" operator="lessThan">
      <formula>0.8</formula>
    </cfRule>
  </conditionalFormatting>
  <conditionalFormatting sqref="O19">
    <cfRule type="cellIs" dxfId="12" priority="9" operator="greaterThan">
      <formula>0</formula>
    </cfRule>
  </conditionalFormatting>
  <conditionalFormatting sqref="P19">
    <cfRule type="cellIs" dxfId="11" priority="12" operator="lessThan">
      <formula>0</formula>
    </cfRule>
  </conditionalFormatting>
  <conditionalFormatting sqref="Q19">
    <cfRule type="cellIs" dxfId="10" priority="10" operator="greaterThan">
      <formula>1</formula>
    </cfRule>
    <cfRule type="cellIs" dxfId="9" priority="11" operator="lessThan">
      <formula>0.8</formula>
    </cfRule>
  </conditionalFormatting>
  <conditionalFormatting sqref="AC19 R19">
    <cfRule type="cellIs" dxfId="8" priority="13" operator="lessThan">
      <formula>0.8</formula>
    </cfRule>
  </conditionalFormatting>
  <conditionalFormatting sqref="P8">
    <cfRule type="cellIs" dxfId="7" priority="8" operator="lessThan">
      <formula>0</formula>
    </cfRule>
  </conditionalFormatting>
  <conditionalFormatting sqref="P20">
    <cfRule type="cellIs" dxfId="6" priority="7" operator="lessThan">
      <formula>0</formula>
    </cfRule>
  </conditionalFormatting>
  <conditionalFormatting sqref="P30">
    <cfRule type="cellIs" dxfId="5" priority="6" operator="lessThan">
      <formula>0</formula>
    </cfRule>
  </conditionalFormatting>
  <conditionalFormatting sqref="P36">
    <cfRule type="cellIs" dxfId="4" priority="5" operator="lessThan">
      <formula>0</formula>
    </cfRule>
  </conditionalFormatting>
  <conditionalFormatting sqref="P51">
    <cfRule type="cellIs" dxfId="3" priority="4" operator="lessThan">
      <formula>0</formula>
    </cfRule>
  </conditionalFormatting>
  <conditionalFormatting sqref="P60">
    <cfRule type="cellIs" dxfId="2" priority="3" operator="lessThan">
      <formula>0</formula>
    </cfRule>
  </conditionalFormatting>
  <conditionalFormatting sqref="P67">
    <cfRule type="cellIs" dxfId="1" priority="2" operator="lessThan">
      <formula>0</formula>
    </cfRule>
  </conditionalFormatting>
  <conditionalFormatting sqref="P73">
    <cfRule type="cellIs" dxfId="0" priority="1" operator="lessThan">
      <formula>0</formula>
    </cfRule>
  </conditionalFormatting>
  <dataValidations count="1">
    <dataValidation type="list" allowBlank="1" showInputMessage="1" showErrorMessage="1" sqref="Z8 Z65:Z66 Y5:Z7 Y8:Y66 Z10:Z61 Y67:Z73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="85" zoomScaleNormal="85" workbookViewId="0">
      <selection activeCell="J73" sqref="J73"/>
    </sheetView>
  </sheetViews>
  <sheetFormatPr defaultColWidth="8.75" defaultRowHeight="15.75"/>
  <cols>
    <col min="1" max="1" width="8.75" style="2"/>
    <col min="2" max="2" width="17.875" style="2" customWidth="1"/>
    <col min="3" max="3" width="9.25" style="9" customWidth="1"/>
    <col min="4" max="13" width="12.625" style="2" customWidth="1"/>
    <col min="14" max="14" width="11" style="2" bestFit="1" customWidth="1"/>
    <col min="15" max="15" width="17.75" style="2" bestFit="1" customWidth="1"/>
    <col min="16" max="16" width="12.25" style="2" bestFit="1" customWidth="1"/>
    <col min="17" max="22" width="9.25" style="2" customWidth="1"/>
    <col min="23" max="23" width="10.75" style="2" customWidth="1"/>
    <col min="24" max="24" width="11" style="2" customWidth="1"/>
    <col min="25" max="16384" width="8.75" style="2"/>
  </cols>
  <sheetData>
    <row r="1" spans="2:17" ht="27.75" customHeight="1">
      <c r="B1" s="546" t="s">
        <v>2131</v>
      </c>
      <c r="C1" s="546"/>
      <c r="D1" s="546"/>
      <c r="E1" s="546"/>
      <c r="F1" s="546"/>
      <c r="G1" s="546"/>
      <c r="H1" s="546"/>
      <c r="I1" s="546"/>
      <c r="J1" s="546"/>
      <c r="K1" s="1"/>
      <c r="L1" s="1"/>
      <c r="M1" s="1"/>
      <c r="N1" s="1"/>
      <c r="O1" s="1"/>
      <c r="P1" s="1"/>
    </row>
    <row r="2" spans="2:17" ht="27.75" customHeight="1">
      <c r="B2" s="547"/>
      <c r="C2" s="547"/>
      <c r="D2" s="547"/>
      <c r="E2" s="547"/>
      <c r="F2" s="547"/>
      <c r="G2" s="547"/>
      <c r="H2" s="547"/>
      <c r="I2" s="547"/>
      <c r="J2" s="547"/>
      <c r="K2" s="3"/>
      <c r="L2" s="3"/>
      <c r="M2" s="3"/>
      <c r="N2" s="1"/>
      <c r="O2" s="1"/>
      <c r="P2" s="1"/>
    </row>
    <row r="3" spans="2:17" ht="46.5" customHeight="1">
      <c r="B3" s="4" t="s">
        <v>2132</v>
      </c>
      <c r="C3" s="548" t="str">
        <f>TEXT('1230 4度C'!A2,"yyyy.mm.ddaaaa")</f>
        <v>2025.12.30星期二</v>
      </c>
      <c r="D3" s="549"/>
      <c r="E3" s="4" t="s">
        <v>2133</v>
      </c>
      <c r="F3" s="550">
        <f>'1230 4度C'!D1</f>
        <v>160703</v>
      </c>
      <c r="G3" s="551"/>
      <c r="H3" s="4" t="s">
        <v>2134</v>
      </c>
      <c r="I3" s="552">
        <f>'1230 4度C'!F1</f>
        <v>5536615.5299999993</v>
      </c>
      <c r="J3" s="553"/>
      <c r="K3" s="5"/>
      <c r="L3" s="6"/>
      <c r="M3" s="7"/>
      <c r="N3" s="7"/>
    </row>
    <row r="4" spans="2:17" ht="28.5" customHeight="1">
      <c r="B4" s="554" t="s">
        <v>2135</v>
      </c>
      <c r="C4" s="536" t="s">
        <v>107</v>
      </c>
      <c r="D4" s="537"/>
      <c r="E4" s="557" t="s">
        <v>2136</v>
      </c>
      <c r="F4" s="558"/>
      <c r="G4" s="557" t="s">
        <v>2137</v>
      </c>
      <c r="H4" s="558"/>
      <c r="I4" s="557" t="s">
        <v>2138</v>
      </c>
      <c r="J4" s="558"/>
      <c r="L4" s="7"/>
      <c r="M4" s="7"/>
      <c r="N4" s="7"/>
    </row>
    <row r="5" spans="2:17" ht="28.5" customHeight="1">
      <c r="B5" s="555"/>
      <c r="C5" s="536" t="s">
        <v>2139</v>
      </c>
      <c r="D5" s="537"/>
      <c r="E5" s="536" t="s">
        <v>2140</v>
      </c>
      <c r="F5" s="537"/>
      <c r="G5" s="538" t="s">
        <v>2141</v>
      </c>
      <c r="H5" s="539"/>
      <c r="I5" s="540" t="s">
        <v>260</v>
      </c>
      <c r="J5" s="541"/>
      <c r="K5" s="7"/>
      <c r="L5" s="7"/>
      <c r="M5" s="7"/>
      <c r="N5" s="7"/>
    </row>
    <row r="6" spans="2:17" ht="28.5" customHeight="1">
      <c r="B6" s="555"/>
      <c r="C6" s="536" t="s">
        <v>46</v>
      </c>
      <c r="D6" s="537"/>
      <c r="E6" s="542">
        <f>AVERAGE(D13:M13)</f>
        <v>147.77632157093223</v>
      </c>
      <c r="F6" s="543">
        <f>AVERAGE(D27:O27,D13:J13)</f>
        <v>151.35637109799907</v>
      </c>
      <c r="G6" s="544">
        <f>AVERAGE(D13:J13)</f>
        <v>151.35637109799907</v>
      </c>
      <c r="H6" s="545"/>
      <c r="I6" s="544">
        <f>AVERAGE(K13:M13)</f>
        <v>139.42287267444294</v>
      </c>
      <c r="J6" s="545"/>
      <c r="K6" s="7"/>
      <c r="L6" s="7"/>
      <c r="M6" s="7"/>
      <c r="N6" s="7"/>
    </row>
    <row r="7" spans="2:17" ht="28.5" customHeight="1">
      <c r="B7" s="555"/>
      <c r="C7" s="526" t="s">
        <v>47</v>
      </c>
      <c r="D7" s="527"/>
      <c r="E7" s="528">
        <f>AVERAGE(D14:M14)</f>
        <v>140.93349142672724</v>
      </c>
      <c r="F7" s="529">
        <f>AVERAGE(D28:O28,D14:J14)</f>
        <v>144.0881254856545</v>
      </c>
      <c r="G7" s="530">
        <f>AVERAGE(D14:J14)</f>
        <v>144.0881254856545</v>
      </c>
      <c r="H7" s="531"/>
      <c r="I7" s="530">
        <f>AVERAGE(K14:M14)</f>
        <v>133.57267862256359</v>
      </c>
      <c r="J7" s="531"/>
      <c r="K7" s="7"/>
      <c r="L7" s="7"/>
      <c r="M7" s="7"/>
      <c r="N7" s="7"/>
    </row>
    <row r="8" spans="2:17" ht="28.5" customHeight="1">
      <c r="B8" s="556"/>
      <c r="C8" s="526" t="s">
        <v>48</v>
      </c>
      <c r="D8" s="527"/>
      <c r="E8" s="532">
        <f>AVERAGE(D15:M15)</f>
        <v>0.95138805504540414</v>
      </c>
      <c r="F8" s="533">
        <f>AVERAGE(D15:J15,D29:O29)</f>
        <v>0.94854215538345876</v>
      </c>
      <c r="G8" s="534">
        <f>AVERAGE(D15:J15)</f>
        <v>0.94854215538345876</v>
      </c>
      <c r="H8" s="535"/>
      <c r="I8" s="534">
        <f>AVERAGE(K15:M15)</f>
        <v>0.9580284875899433</v>
      </c>
      <c r="J8" s="535"/>
      <c r="K8" s="8" t="s">
        <v>2142</v>
      </c>
      <c r="L8" s="7"/>
      <c r="M8" s="7"/>
      <c r="N8" s="7"/>
    </row>
    <row r="9" spans="2:17" ht="28.5" customHeight="1" thickBot="1">
      <c r="H9" s="10"/>
      <c r="N9" s="7"/>
      <c r="O9" s="7"/>
      <c r="P9" s="7"/>
      <c r="Q9" s="7"/>
    </row>
    <row r="10" spans="2:17" ht="30" customHeight="1">
      <c r="B10" s="509" t="s">
        <v>2143</v>
      </c>
      <c r="C10" s="510"/>
      <c r="D10" s="511" t="s">
        <v>2144</v>
      </c>
      <c r="E10" s="512"/>
      <c r="F10" s="512"/>
      <c r="G10" s="512"/>
      <c r="H10" s="512"/>
      <c r="I10" s="512"/>
      <c r="J10" s="513"/>
      <c r="K10" s="514" t="s">
        <v>2145</v>
      </c>
      <c r="L10" s="515"/>
      <c r="M10" s="516"/>
      <c r="P10" s="11"/>
      <c r="Q10" s="11"/>
    </row>
    <row r="11" spans="2:17" ht="17.25" customHeight="1">
      <c r="B11" s="517" t="s">
        <v>2146</v>
      </c>
      <c r="C11" s="518"/>
      <c r="D11" s="12">
        <v>1</v>
      </c>
      <c r="E11" s="13">
        <v>2</v>
      </c>
      <c r="F11" s="13">
        <v>3</v>
      </c>
      <c r="G11" s="13">
        <v>4</v>
      </c>
      <c r="H11" s="13">
        <v>5</v>
      </c>
      <c r="I11" s="13">
        <v>6</v>
      </c>
      <c r="J11" s="14">
        <v>7</v>
      </c>
      <c r="K11" s="12">
        <v>1</v>
      </c>
      <c r="L11" s="13">
        <v>2</v>
      </c>
      <c r="M11" s="14">
        <v>3</v>
      </c>
      <c r="P11" s="11"/>
      <c r="Q11" s="11"/>
    </row>
    <row r="12" spans="2:17" ht="34.15" customHeight="1">
      <c r="B12" s="519"/>
      <c r="C12" s="520"/>
      <c r="D12" s="15" t="s">
        <v>49</v>
      </c>
      <c r="E12" s="16" t="s">
        <v>50</v>
      </c>
      <c r="F12" s="16" t="s">
        <v>51</v>
      </c>
      <c r="G12" s="16" t="s">
        <v>52</v>
      </c>
      <c r="H12" s="16" t="s">
        <v>53</v>
      </c>
      <c r="I12" s="16" t="s">
        <v>54</v>
      </c>
      <c r="J12" s="17" t="s">
        <v>55</v>
      </c>
      <c r="K12" s="15" t="s">
        <v>56</v>
      </c>
      <c r="L12" s="16" t="s">
        <v>57</v>
      </c>
      <c r="M12" s="17" t="s">
        <v>58</v>
      </c>
    </row>
    <row r="13" spans="2:17" ht="40.15" customHeight="1">
      <c r="B13" s="521" t="s">
        <v>2147</v>
      </c>
      <c r="C13" s="18" t="s">
        <v>2148</v>
      </c>
      <c r="D13" s="19">
        <f>SUMIFS('1230 4度C'!$K:$K,'1230 4度C'!$A:$A,"新豐6線",'1230 4度C'!$B:$B,"平均")</f>
        <v>115.38461538461539</v>
      </c>
      <c r="E13" s="20">
        <f>SUMIFS('1230 4度C'!$K:$K,'1230 4度C'!$A:$A,"新豐2線",'1230 4度C'!$B:$B,"平均")</f>
        <v>83.333333333333329</v>
      </c>
      <c r="F13" s="21">
        <f>SUMIFS('1230 4度C'!$K:$K,'1230 4度C'!$A:$A,"新豐5線",'1230 4度C'!$B:$B,"平均")</f>
        <v>108.20895522388059</v>
      </c>
      <c r="G13" s="21">
        <f>SUMIFS('1230 4度C'!$K:$K,'1230 4度C'!$A:$A,"新豐7線",'1230 4度C'!$B:$B,"平均")</f>
        <v>118.05555555555556</v>
      </c>
      <c r="H13" s="21">
        <f>SUMIFS('1230 4度C'!$K:$K,'1230 4度C'!$A:$A,"新豐3線",'1230 4度C'!$B:$B,"平均")</f>
        <v>235.29411764705881</v>
      </c>
      <c r="I13" s="21">
        <f>SUMIFS('1230 4度C'!$K:$K,'1230 4度C'!$A:$A,"新豐1線",'1230 4度C'!$B:$B,"平均")</f>
        <v>104.57516339869281</v>
      </c>
      <c r="J13" s="22">
        <f>SUMIFS('1230 4度C'!$K:$K,'1230 4度C'!$A:$A,"新豐10線",'1230 4度C'!$B:$B,"平均")</f>
        <v>294.64285714285711</v>
      </c>
      <c r="K13" s="23">
        <f>SUMIFS('1230 4度C'!$K:$K,'1230 4度C'!$A:$A,"新豐8線",'1230 4度C'!$B:$B,"平均")</f>
        <v>132.11009174311926</v>
      </c>
      <c r="L13" s="24">
        <f>SUMIFS('1230 4度C'!$K:$K,'1230 4度C'!$A:$A,"新豐9線",'1230 4度C'!$B:$B,"平均")</f>
        <v>137.70491803278691</v>
      </c>
      <c r="M13" s="22">
        <f>SUMIFS('1230 4度C'!$K:$K,'1230 4度C'!$A:$A,"新豐4線",'1230 4度C'!$B:$B,"平均")</f>
        <v>148.45360824742266</v>
      </c>
    </row>
    <row r="14" spans="2:17" ht="39.6" customHeight="1">
      <c r="B14" s="522"/>
      <c r="C14" s="25" t="s">
        <v>2149</v>
      </c>
      <c r="D14" s="26">
        <f>SUMIFS('1230 4度C'!$N:$N,'1230 4度C'!$A:$A,"新豐6線",'1230 4度C'!$B:$B,"平均")</f>
        <v>110.30483255019979</v>
      </c>
      <c r="E14" s="27">
        <f>SUMIFS('1230 4度C'!$N:$N,'1230 4度C'!$A:$A,"新豐2線",'1230 4度C'!$B:$B,"平均")</f>
        <v>79.607142857142833</v>
      </c>
      <c r="F14" s="27">
        <f>SUMIFS('1230 4度C'!$N:$N,'1230 4度C'!$A:$A,"新豐5線",'1230 4度C'!$B:$B,"平均")</f>
        <v>103.79169434334699</v>
      </c>
      <c r="G14" s="27">
        <f>SUMIFS('1230 4度C'!$N:$N,'1230 4度C'!$A:$A,"新豐7線",'1230 4度C'!$B:$B,"平均")</f>
        <v>113.38966232925839</v>
      </c>
      <c r="H14" s="27">
        <f>SUMIFS('1230 4度C'!$N:$N,'1230 4度C'!$A:$A,"新豐3線",'1230 4度C'!$B:$B,"平均")</f>
        <v>225.26942679474172</v>
      </c>
      <c r="I14" s="27">
        <f>SUMIFS('1230 4度C'!$N:$N,'1230 4度C'!$A:$A,"新豐1線",'1230 4度C'!$B:$B,"平均")</f>
        <v>93.133535676603756</v>
      </c>
      <c r="J14" s="28">
        <f>SUMIFS('1230 4度C'!$N:$N,'1230 4度C'!$A:$A,"新豐10線",'1230 4度C'!$B:$B,"平均")</f>
        <v>283.12058384828811</v>
      </c>
      <c r="K14" s="29">
        <f>SUMIFS('1230 4度C'!$N:$N,'1230 4度C'!$A:$A,"新豐8線",'1230 4度C'!$B:$B,"平均")</f>
        <v>126.17336713890045</v>
      </c>
      <c r="L14" s="30">
        <f>SUMIFS('1230 4度C'!$N:$N,'1230 4度C'!$A:$A,"新豐9線",'1230 4度C'!$B:$B,"平均")</f>
        <v>132.48500855413565</v>
      </c>
      <c r="M14" s="28">
        <f>SUMIFS('1230 4度C'!$N:$N,'1230 4度C'!$A:$A,"新豐4線",'1230 4度C'!$B:$B,"平均")</f>
        <v>142.05966017465468</v>
      </c>
    </row>
    <row r="15" spans="2:17" ht="40.15" customHeight="1">
      <c r="B15" s="523"/>
      <c r="C15" s="31" t="s">
        <v>2150</v>
      </c>
      <c r="D15" s="32">
        <f t="shared" ref="D15:M15" si="0">D14/D13</f>
        <v>0.95597521543506481</v>
      </c>
      <c r="E15" s="33">
        <f t="shared" si="0"/>
        <v>0.95528571428571407</v>
      </c>
      <c r="F15" s="33">
        <f t="shared" si="0"/>
        <v>0.95917841669024118</v>
      </c>
      <c r="G15" s="33">
        <f t="shared" si="0"/>
        <v>0.96047713973018867</v>
      </c>
      <c r="H15" s="33">
        <f t="shared" si="0"/>
        <v>0.95739506387765239</v>
      </c>
      <c r="I15" s="33">
        <f t="shared" si="0"/>
        <v>0.8905894349075234</v>
      </c>
      <c r="J15" s="34">
        <f t="shared" si="0"/>
        <v>0.96089410275782638</v>
      </c>
      <c r="K15" s="32">
        <f t="shared" si="0"/>
        <v>0.95506229292639933</v>
      </c>
      <c r="L15" s="33">
        <f t="shared" si="0"/>
        <v>0.96209351450027059</v>
      </c>
      <c r="M15" s="34">
        <f t="shared" si="0"/>
        <v>0.9569296553431601</v>
      </c>
    </row>
    <row r="16" spans="2:17" ht="17.25" customHeight="1">
      <c r="B16" s="524" t="s">
        <v>2151</v>
      </c>
      <c r="C16" s="35" t="s">
        <v>2152</v>
      </c>
      <c r="D16" s="49">
        <f>VLOOKUP("新豐6線",'1230 4度C'!$A:$T,19,0)</f>
        <v>0.70833333333333337</v>
      </c>
      <c r="E16" s="50">
        <f>VLOOKUP("新豐2線",'1230 4度C'!$A:$T,19,0)</f>
        <v>0.16666666666666666</v>
      </c>
      <c r="F16" s="50">
        <f>VLOOKUP("新豐5線",'1230 4度C'!$A:$T,19,0)</f>
        <v>0.20833333333333334</v>
      </c>
      <c r="G16" s="50">
        <f>VLOOKUP("新豐7線",'1230 4度C'!$A:$T,19,0)</f>
        <v>0.20833333333333334</v>
      </c>
      <c r="H16" s="50">
        <f>VLOOKUP("新豐3線",'1230 4度C'!$A:$T,19,0)</f>
        <v>8.3333333333333329E-2</v>
      </c>
      <c r="I16" s="50">
        <f>VLOOKUP("新豐1線",'1230 4度C'!$A:$T,19,0)</f>
        <v>0.20833333333333334</v>
      </c>
      <c r="J16" s="51">
        <f>VLOOKUP("新豐10線",'1230 4度C'!$A:$T,19,0)</f>
        <v>0.20833333333333334</v>
      </c>
      <c r="K16" s="36">
        <f>VLOOKUP("新豐8線",'1230 4度C'!$A:$T,19,0)</f>
        <v>8.3333333333333329E-2</v>
      </c>
      <c r="L16" s="37">
        <f>VLOOKUP("新豐9線",'1230 4度C'!$A:$T,19,0)</f>
        <v>8.3333333333333329E-2</v>
      </c>
      <c r="M16" s="38">
        <f>VLOOKUP("新豐4線",'1230 4度C'!$A:$T,19,0)</f>
        <v>8.3333333333333329E-2</v>
      </c>
    </row>
    <row r="17" spans="2:13" ht="17.25" customHeight="1">
      <c r="B17" s="525"/>
      <c r="C17" s="35" t="s">
        <v>2153</v>
      </c>
      <c r="D17" s="36">
        <f>LOOKUP(2,1/(('1230 4度C'!$A:$A="新豐6線")*('1230 4度C'!$T:$T&lt;&gt;"")),'1230 4度C'!$T:$T)</f>
        <v>0.82638888888888884</v>
      </c>
      <c r="E17" s="50">
        <f>LOOKUP(2,1/(('1230 4度C'!$A:$A="新豐2線")*('1230 4度C'!$T:$T&lt;&gt;"")),'1230 4度C'!$T:$T)</f>
        <v>0.43472222222222223</v>
      </c>
      <c r="F17" s="50">
        <f>LOOKUP(2,1/(('1230 4度C'!$A:$A="新豐5線")*('1230 4度C'!$T:$T&lt;&gt;"")),'1230 4度C'!$T:$T)</f>
        <v>0.90763888888888888</v>
      </c>
      <c r="G17" s="50">
        <f>LOOKUP(2,1/(('1230 4度C'!$A:$A="新豐7線")*('1230 4度C'!$T:$T&lt;&gt;"")),'1230 4度C'!$T:$T)</f>
        <v>0.93124999999999991</v>
      </c>
      <c r="H17" s="50">
        <f>LOOKUP(2,1/(('1230 4度C'!$A:$A="新豐3線")*('1230 4度C'!$T:$T&lt;&gt;"")),'1230 4度C'!$T:$T)</f>
        <v>0.47847222222222213</v>
      </c>
      <c r="I17" s="50">
        <f>LOOKUP(2,1/(('1230 4度C'!$A:$A="新豐1線")*('1230 4度C'!$T:$T&lt;&gt;"")),'1230 4度C'!$T:$T)</f>
        <v>0.93333333333333324</v>
      </c>
      <c r="J17" s="51">
        <f>LOOKUP(2,1/(('1230 4度C'!$A:$A="新豐10線")*('1230 4度C'!$T:$T&lt;&gt;"")),'1230 4度C'!$T:$T)</f>
        <v>0.45763888888888882</v>
      </c>
      <c r="K17" s="49">
        <f>LOOKUP(2,1/(('1230 4度C'!$A:$A="新豐8線")*('1230 4度C'!$T:$T&lt;&gt;"")),'1230 4度C'!$T:$T)</f>
        <v>0.61388888888888882</v>
      </c>
      <c r="L17" s="50">
        <f>LOOKUP(2,1/(('1230 4度C'!$A:$A="新豐9線")*('1230 4度C'!$T:$T&lt;&gt;"")),'1230 4度C'!$T:$T)</f>
        <v>0.51597222222222217</v>
      </c>
      <c r="M17" s="51">
        <f>LOOKUP(2,1/(('1230 4度C'!$A:$A="新豐4線")*('1230 4度C'!$T:$T&lt;&gt;"")),'1230 4度C'!$T:$T)</f>
        <v>0.59513888888888877</v>
      </c>
    </row>
    <row r="18" spans="2:13" ht="17.25" customHeight="1">
      <c r="B18" s="503" t="s">
        <v>2154</v>
      </c>
      <c r="C18" s="504"/>
      <c r="D18" s="39">
        <f>SUMIFS('1230 4度C'!$I:$I,'1230 4度C'!$A:$A,"新豐6線",'1230 4度C'!$B:$B,"平均")</f>
        <v>17.333333333333332</v>
      </c>
      <c r="E18" s="40">
        <f>SUMIFS('1230 4度C'!$I:$I,'1230 4度C'!$A:$A,"新豐2線",'1230 4度C'!$B:$B,"平均")</f>
        <v>18</v>
      </c>
      <c r="F18" s="40">
        <f>SUMIFS('1230 4度C'!$I:$I,'1230 4度C'!$A:$A,"新豐5線",'1230 4度C'!$B:$B,"平均")</f>
        <v>16.75</v>
      </c>
      <c r="G18" s="40">
        <f>SUMIFS('1230 4度C'!$I:$I,'1230 4度C'!$A:$A,"新豐7線",'1230 4度C'!$B:$B,"平均")</f>
        <v>16</v>
      </c>
      <c r="H18" s="40">
        <f>SUMIFS('1230 4度C'!$I:$I,'1230 4度C'!$A:$A,"新豐3線",'1230 4度C'!$B:$B,"平均")</f>
        <v>11.333333333333334</v>
      </c>
      <c r="I18" s="40">
        <f>SUMIFS('1230 4度C'!$I:$I,'1230 4度C'!$A:$A,"新豐1線",'1230 4度C'!$B:$B,"平均")</f>
        <v>19.125</v>
      </c>
      <c r="J18" s="41">
        <f>SUMIFS('1230 4度C'!$I:$I,'1230 4度C'!$A:$A,"新豐10線",'1230 4度C'!$B:$B,"平均")</f>
        <v>9.3333333333333339</v>
      </c>
      <c r="K18" s="39">
        <f>SUMIFS('1230 4度C'!$I:$I,'1230 4度C'!$A:$A,"新豐8線",'1230 4度C'!$B:$B,"平均")</f>
        <v>18.166666666666668</v>
      </c>
      <c r="L18" s="40">
        <f>SUMIFS('1230 4度C'!$I:$I,'1230 4度C'!$A:$A,"新豐9線",'1230 4度C'!$B:$B,"平均")</f>
        <v>17.428571428571427</v>
      </c>
      <c r="M18" s="41">
        <f>SUMIFS('1230 4度C'!$I:$I,'1230 4度C'!$A:$A,"新豐4線",'1230 4度C'!$B:$B,"平均")</f>
        <v>16.166666666666668</v>
      </c>
    </row>
    <row r="19" spans="2:13" ht="17.25" customHeight="1">
      <c r="B19" s="503" t="s">
        <v>2155</v>
      </c>
      <c r="C19" s="504"/>
      <c r="D19" s="42" t="s">
        <v>59</v>
      </c>
      <c r="E19" s="43" t="s">
        <v>60</v>
      </c>
      <c r="F19" s="43" t="s">
        <v>2156</v>
      </c>
      <c r="G19" s="43" t="s">
        <v>275</v>
      </c>
      <c r="H19" s="43" t="s">
        <v>61</v>
      </c>
      <c r="I19" s="43" t="s">
        <v>59</v>
      </c>
      <c r="J19" s="44" t="s">
        <v>61</v>
      </c>
      <c r="K19" s="42" t="s">
        <v>2157</v>
      </c>
      <c r="L19" s="43" t="s">
        <v>2157</v>
      </c>
      <c r="M19" s="44" t="s">
        <v>2157</v>
      </c>
    </row>
    <row r="20" spans="2:13" ht="17.25" customHeight="1">
      <c r="B20" s="503" t="s">
        <v>2158</v>
      </c>
      <c r="C20" s="504"/>
      <c r="D20" s="42"/>
      <c r="E20" s="43"/>
      <c r="F20" s="43" t="s">
        <v>2159</v>
      </c>
      <c r="G20" s="43" t="s">
        <v>59</v>
      </c>
      <c r="H20" s="43"/>
      <c r="I20" s="43"/>
      <c r="J20" s="44"/>
      <c r="K20" s="42"/>
      <c r="L20" s="43"/>
      <c r="M20" s="44"/>
    </row>
    <row r="21" spans="2:13" ht="17.25" customHeight="1" thickBot="1">
      <c r="B21" s="505" t="s">
        <v>2160</v>
      </c>
      <c r="C21" s="506"/>
      <c r="D21" s="45"/>
      <c r="E21" s="46" t="s">
        <v>2161</v>
      </c>
      <c r="F21" s="507" t="s">
        <v>2162</v>
      </c>
      <c r="G21" s="508"/>
      <c r="H21" s="46" t="s">
        <v>2163</v>
      </c>
      <c r="I21" s="46" t="s">
        <v>2164</v>
      </c>
      <c r="J21" s="47" t="s">
        <v>283</v>
      </c>
      <c r="K21" s="48"/>
      <c r="L21" s="46"/>
      <c r="M21" s="4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K10:M10"/>
    <mergeCell ref="B11:C12"/>
    <mergeCell ref="B13:B15"/>
    <mergeCell ref="B18:C18"/>
    <mergeCell ref="B19:C19"/>
    <mergeCell ref="B20:C20"/>
    <mergeCell ref="B21:C21"/>
    <mergeCell ref="F21:G21"/>
  </mergeCells>
  <phoneticPr fontId="3" type="noConversion"/>
  <conditionalFormatting sqref="D15:M15">
    <cfRule type="cellIs" dxfId="2000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C76"/>
  <sheetViews>
    <sheetView topLeftCell="H1" zoomScale="80" zoomScaleNormal="80" workbookViewId="0">
      <pane ySplit="4" topLeftCell="A5" activePane="bottomLeft" state="frozen"/>
      <selection activeCell="J13" sqref="J13"/>
      <selection pane="bottomLeft" activeCell="K24" sqref="K24"/>
    </sheetView>
  </sheetViews>
  <sheetFormatPr defaultColWidth="8" defaultRowHeight="15.75"/>
  <cols>
    <col min="1" max="1" width="15.125" style="54" customWidth="1"/>
    <col min="2" max="2" width="19.375" style="54" customWidth="1"/>
    <col min="3" max="3" width="15.25" style="54" customWidth="1"/>
    <col min="4" max="4" width="17.5" style="54" customWidth="1"/>
    <col min="5" max="5" width="7.5" style="54" bestFit="1" customWidth="1"/>
    <col min="6" max="6" width="14.375" style="54" bestFit="1" customWidth="1"/>
    <col min="7" max="7" width="14.375" style="54" customWidth="1"/>
    <col min="8" max="8" width="8" style="54" customWidth="1"/>
    <col min="9" max="9" width="5.875" style="54" customWidth="1"/>
    <col min="10" max="10" width="10.625" style="54" customWidth="1"/>
    <col min="11" max="11" width="14.625" style="54" customWidth="1"/>
    <col min="12" max="12" width="7.25" style="54" bestFit="1" customWidth="1"/>
    <col min="13" max="13" width="8" style="54" customWidth="1"/>
    <col min="14" max="14" width="12" style="54" customWidth="1"/>
    <col min="15" max="15" width="6" style="54" customWidth="1"/>
    <col min="16" max="16" width="9.25" style="54" customWidth="1"/>
    <col min="17" max="17" width="11.5" style="54" customWidth="1"/>
    <col min="18" max="18" width="8.5" style="54" customWidth="1"/>
    <col min="19" max="19" width="10.125" style="73" bestFit="1" customWidth="1"/>
    <col min="20" max="20" width="7.625" style="73" bestFit="1" customWidth="1"/>
    <col min="21" max="21" width="10.25" style="54" bestFit="1" customWidth="1"/>
    <col min="22" max="22" width="8.75" style="71" customWidth="1"/>
    <col min="23" max="23" width="7.375" style="54" customWidth="1"/>
    <col min="24" max="24" width="6.875" style="54" bestFit="1" customWidth="1"/>
    <col min="25" max="25" width="12.75" style="54" customWidth="1"/>
    <col min="26" max="26" width="18.875" style="54" customWidth="1"/>
    <col min="27" max="27" width="13.125" style="54" bestFit="1" customWidth="1"/>
    <col min="28" max="28" width="10.375" style="54" customWidth="1"/>
    <col min="29" max="29" width="9.375" style="54" customWidth="1"/>
    <col min="30" max="30" width="8" style="54"/>
    <col min="31" max="31" width="24.625" style="54" bestFit="1" customWidth="1"/>
    <col min="32" max="16384" width="8" style="54"/>
  </cols>
  <sheetData>
    <row r="1" spans="1:29" ht="26.25" customHeight="1">
      <c r="A1" s="52" t="s">
        <v>2165</v>
      </c>
      <c r="B1" s="52"/>
      <c r="C1" s="117" t="s">
        <v>2166</v>
      </c>
      <c r="D1" s="118">
        <f>SUM(F5:F75)</f>
        <v>160703</v>
      </c>
      <c r="E1" s="473" t="s">
        <v>2167</v>
      </c>
      <c r="F1" s="52">
        <f>SUM(G5:G75)</f>
        <v>5536615.5299999993</v>
      </c>
      <c r="G1" s="52" t="s">
        <v>2168</v>
      </c>
      <c r="H1" s="53">
        <f>L8+L11+L52+L61+L20+L68+L37+L45+L30+L75</f>
        <v>159.63690476190473</v>
      </c>
      <c r="I1" s="607" t="s">
        <v>2169</v>
      </c>
      <c r="J1" s="607"/>
      <c r="K1" s="607"/>
      <c r="L1" s="607" t="s">
        <v>2170</v>
      </c>
      <c r="M1" s="607"/>
      <c r="N1" s="607"/>
      <c r="O1" s="607" t="s">
        <v>2171</v>
      </c>
      <c r="P1" s="607"/>
      <c r="Q1" s="607"/>
      <c r="R1" s="607"/>
      <c r="S1" s="607" t="s">
        <v>2172</v>
      </c>
      <c r="T1" s="607"/>
      <c r="U1" s="607"/>
      <c r="V1" s="607"/>
      <c r="W1" s="607"/>
      <c r="X1" s="607"/>
      <c r="Y1" s="607" t="s">
        <v>2173</v>
      </c>
      <c r="Z1" s="607"/>
      <c r="AA1" s="607" t="s">
        <v>2174</v>
      </c>
      <c r="AB1" s="608"/>
      <c r="AC1" s="608"/>
    </row>
    <row r="2" spans="1:29" ht="26.25" customHeight="1">
      <c r="A2" s="55">
        <v>46021</v>
      </c>
      <c r="B2" s="56" t="s">
        <v>212</v>
      </c>
      <c r="C2" s="117" t="s">
        <v>2147</v>
      </c>
      <c r="D2" s="119">
        <f>AVERAGE(N8,N11,N52,N61,N20,N68,N30,N37,N45,N75)</f>
        <v>140.93349142672724</v>
      </c>
      <c r="E2" s="120" t="s">
        <v>0</v>
      </c>
      <c r="F2" s="121">
        <f>F1/D1</f>
        <v>34.452471515777546</v>
      </c>
      <c r="G2" s="52" t="s">
        <v>2175</v>
      </c>
      <c r="H2" s="486">
        <f>COUNT(H5:H75)</f>
        <v>5</v>
      </c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8"/>
      <c r="AB2" s="608"/>
      <c r="AC2" s="608"/>
    </row>
    <row r="3" spans="1:29" ht="23.25" customHeight="1">
      <c r="A3" s="559" t="s">
        <v>297</v>
      </c>
      <c r="B3" s="559" t="s">
        <v>2176</v>
      </c>
      <c r="C3" s="559" t="s">
        <v>2177</v>
      </c>
      <c r="D3" s="559"/>
      <c r="E3" s="605" t="s">
        <v>2178</v>
      </c>
      <c r="F3" s="559" t="s">
        <v>2179</v>
      </c>
      <c r="G3" s="605" t="s">
        <v>2180</v>
      </c>
      <c r="H3" s="598" t="s">
        <v>303</v>
      </c>
      <c r="I3" s="596" t="s">
        <v>2181</v>
      </c>
      <c r="J3" s="601" t="s">
        <v>2182</v>
      </c>
      <c r="K3" s="603" t="s">
        <v>2183</v>
      </c>
      <c r="L3" s="596" t="s">
        <v>2181</v>
      </c>
      <c r="M3" s="601" t="s">
        <v>2182</v>
      </c>
      <c r="N3" s="603" t="s">
        <v>2147</v>
      </c>
      <c r="O3" s="596" t="s">
        <v>2181</v>
      </c>
      <c r="P3" s="603" t="s">
        <v>2147</v>
      </c>
      <c r="Q3" s="602" t="s">
        <v>2184</v>
      </c>
      <c r="R3" s="574" t="s">
        <v>2185</v>
      </c>
      <c r="S3" s="604" t="s">
        <v>1</v>
      </c>
      <c r="T3" s="604"/>
      <c r="U3" s="598" t="s">
        <v>2</v>
      </c>
      <c r="V3" s="598" t="s">
        <v>2186</v>
      </c>
      <c r="W3" s="559" t="s">
        <v>2187</v>
      </c>
      <c r="X3" s="559"/>
      <c r="Y3" s="599" t="s">
        <v>2188</v>
      </c>
      <c r="Z3" s="600"/>
      <c r="AA3" s="601" t="s">
        <v>2182</v>
      </c>
      <c r="AB3" s="602" t="s">
        <v>2184</v>
      </c>
      <c r="AC3" s="574" t="s">
        <v>2185</v>
      </c>
    </row>
    <row r="4" spans="1:29">
      <c r="A4" s="559"/>
      <c r="B4" s="559"/>
      <c r="C4" s="559"/>
      <c r="D4" s="559"/>
      <c r="E4" s="606"/>
      <c r="F4" s="559"/>
      <c r="G4" s="606"/>
      <c r="H4" s="598"/>
      <c r="I4" s="596"/>
      <c r="J4" s="601"/>
      <c r="K4" s="603"/>
      <c r="L4" s="596"/>
      <c r="M4" s="601"/>
      <c r="N4" s="603"/>
      <c r="O4" s="596"/>
      <c r="P4" s="603"/>
      <c r="Q4" s="602"/>
      <c r="R4" s="574"/>
      <c r="S4" s="485" t="s">
        <v>3</v>
      </c>
      <c r="T4" s="485" t="s">
        <v>4</v>
      </c>
      <c r="U4" s="598"/>
      <c r="V4" s="598"/>
      <c r="W4" s="473" t="s">
        <v>2189</v>
      </c>
      <c r="X4" s="473" t="s">
        <v>2190</v>
      </c>
      <c r="Y4" s="600"/>
      <c r="Z4" s="600"/>
      <c r="AA4" s="601"/>
      <c r="AB4" s="602"/>
      <c r="AC4" s="574"/>
    </row>
    <row r="5" spans="1:29">
      <c r="A5" s="595" t="s">
        <v>2191</v>
      </c>
      <c r="B5" s="57" t="s">
        <v>6</v>
      </c>
      <c r="C5" s="597" t="s">
        <v>9</v>
      </c>
      <c r="D5" s="597"/>
      <c r="E5" s="57">
        <v>50.67</v>
      </c>
      <c r="F5" s="485">
        <v>1427</v>
      </c>
      <c r="G5" s="473">
        <f t="shared" ref="G5:G7" si="0">E5*F5</f>
        <v>72306.09</v>
      </c>
      <c r="H5" s="487" t="s">
        <v>5</v>
      </c>
      <c r="I5" s="483">
        <v>17</v>
      </c>
      <c r="J5" s="58">
        <v>2000</v>
      </c>
      <c r="K5" s="59">
        <f t="shared" ref="K5:K68" si="1">J5/I5</f>
        <v>117.64705882352941</v>
      </c>
      <c r="L5" s="483">
        <v>17</v>
      </c>
      <c r="M5" s="60">
        <f t="shared" ref="M5:M7" si="2">F5/V5*60</f>
        <v>1902.6666666666667</v>
      </c>
      <c r="N5" s="59">
        <f t="shared" ref="N5:N68" si="3">M5/L5</f>
        <v>111.92156862745098</v>
      </c>
      <c r="O5" s="61">
        <f t="shared" ref="O5:O68" si="4">L5-I5</f>
        <v>0</v>
      </c>
      <c r="P5" s="62">
        <f t="shared" ref="P5:P68" si="5">N5-K5</f>
        <v>-5.7254901960784252</v>
      </c>
      <c r="Q5" s="475">
        <f t="shared" ref="Q5:Q68" si="6">N5/K5</f>
        <v>0.95133333333333336</v>
      </c>
      <c r="R5" s="566">
        <f>Q8</f>
        <v>0.95597521543506481</v>
      </c>
      <c r="S5" s="63">
        <v>0.70833333333333337</v>
      </c>
      <c r="T5" s="63">
        <v>0.73958333333333337</v>
      </c>
      <c r="U5" s="473"/>
      <c r="V5" s="484">
        <f t="shared" ref="V5:V7" si="7">(T5-S5)*24*60</f>
        <v>45</v>
      </c>
      <c r="W5" s="64"/>
      <c r="X5" s="65"/>
      <c r="Y5" s="559"/>
      <c r="Z5" s="559"/>
      <c r="AA5" s="61">
        <f t="shared" ref="AA5:AA68" si="8">M5-J5</f>
        <v>-97.333333333333258</v>
      </c>
      <c r="AB5" s="475">
        <f t="shared" ref="AB5:AB68" si="9">M5/J5</f>
        <v>0.95133333333333336</v>
      </c>
      <c r="AC5" s="566">
        <f>AB8</f>
        <v>0.95597521543506481</v>
      </c>
    </row>
    <row r="6" spans="1:29">
      <c r="A6" s="596" t="s">
        <v>2191</v>
      </c>
      <c r="B6" s="57" t="s">
        <v>6</v>
      </c>
      <c r="C6" s="597" t="s">
        <v>22</v>
      </c>
      <c r="D6" s="597"/>
      <c r="E6" s="57">
        <v>54.09</v>
      </c>
      <c r="F6" s="485">
        <v>1507</v>
      </c>
      <c r="G6" s="473">
        <f t="shared" si="0"/>
        <v>81513.63</v>
      </c>
      <c r="H6" s="487" t="s">
        <v>5</v>
      </c>
      <c r="I6" s="483">
        <v>19</v>
      </c>
      <c r="J6" s="58">
        <v>2000</v>
      </c>
      <c r="K6" s="59">
        <f t="shared" si="1"/>
        <v>105.26315789473684</v>
      </c>
      <c r="L6" s="483">
        <v>19</v>
      </c>
      <c r="M6" s="60">
        <f t="shared" si="2"/>
        <v>1923.8297872340429</v>
      </c>
      <c r="N6" s="59">
        <f t="shared" si="3"/>
        <v>101.25419932810752</v>
      </c>
      <c r="O6" s="61">
        <f t="shared" si="4"/>
        <v>0</v>
      </c>
      <c r="P6" s="62">
        <f t="shared" si="5"/>
        <v>-4.0089585666293175</v>
      </c>
      <c r="Q6" s="475">
        <f t="shared" si="6"/>
        <v>0.96191489361702143</v>
      </c>
      <c r="R6" s="566"/>
      <c r="S6" s="63">
        <v>0.74513888888888891</v>
      </c>
      <c r="T6" s="63">
        <v>0.77777777777777779</v>
      </c>
      <c r="U6" s="473">
        <f t="shared" ref="U6:U7" si="10">IF(S6=TIME(17,0,0),"",(S6-T5)*24*60)</f>
        <v>7.9999999999999716</v>
      </c>
      <c r="V6" s="484">
        <f t="shared" si="7"/>
        <v>46.999999999999993</v>
      </c>
      <c r="W6" s="64"/>
      <c r="X6" s="64"/>
      <c r="Y6" s="559"/>
      <c r="Z6" s="559"/>
      <c r="AA6" s="61">
        <f t="shared" si="8"/>
        <v>-76.170212765957103</v>
      </c>
      <c r="AB6" s="475">
        <f t="shared" si="9"/>
        <v>0.96191489361702143</v>
      </c>
      <c r="AC6" s="566"/>
    </row>
    <row r="7" spans="1:29">
      <c r="A7" s="596" t="s">
        <v>2192</v>
      </c>
      <c r="B7" s="57" t="s">
        <v>6</v>
      </c>
      <c r="C7" s="590" t="s">
        <v>1619</v>
      </c>
      <c r="D7" s="591"/>
      <c r="E7" s="57">
        <v>50.29</v>
      </c>
      <c r="F7" s="485">
        <v>1973</v>
      </c>
      <c r="G7" s="473">
        <f t="shared" si="0"/>
        <v>99222.17</v>
      </c>
      <c r="H7" s="487" t="s">
        <v>5</v>
      </c>
      <c r="I7" s="483">
        <v>16</v>
      </c>
      <c r="J7" s="58">
        <v>2000</v>
      </c>
      <c r="K7" s="59">
        <f t="shared" si="1"/>
        <v>125</v>
      </c>
      <c r="L7" s="483">
        <v>16</v>
      </c>
      <c r="M7" s="60">
        <f t="shared" si="2"/>
        <v>1909.3548387096791</v>
      </c>
      <c r="N7" s="59">
        <f t="shared" si="3"/>
        <v>119.33467741935495</v>
      </c>
      <c r="O7" s="61">
        <f t="shared" si="4"/>
        <v>0</v>
      </c>
      <c r="P7" s="62">
        <f t="shared" si="5"/>
        <v>-5.6653225806450536</v>
      </c>
      <c r="Q7" s="475">
        <f t="shared" si="6"/>
        <v>0.95467741935483952</v>
      </c>
      <c r="R7" s="566"/>
      <c r="S7" s="63">
        <v>0.78333333333333333</v>
      </c>
      <c r="T7" s="63">
        <v>0.82638888888888884</v>
      </c>
      <c r="U7" s="473">
        <f t="shared" si="10"/>
        <v>7.9999999999999716</v>
      </c>
      <c r="V7" s="484">
        <f t="shared" si="7"/>
        <v>61.999999999999943</v>
      </c>
      <c r="W7" s="64"/>
      <c r="X7" s="64"/>
      <c r="Y7" s="569"/>
      <c r="Z7" s="570"/>
      <c r="AA7" s="61">
        <f t="shared" si="8"/>
        <v>-90.645161290320857</v>
      </c>
      <c r="AB7" s="475">
        <f t="shared" si="9"/>
        <v>0.95467741935483952</v>
      </c>
      <c r="AC7" s="566"/>
    </row>
    <row r="8" spans="1:29">
      <c r="A8" s="596" t="s">
        <v>2192</v>
      </c>
      <c r="B8" s="57" t="s">
        <v>2193</v>
      </c>
      <c r="C8" s="571"/>
      <c r="D8" s="571"/>
      <c r="E8" s="476"/>
      <c r="F8" s="66"/>
      <c r="G8" s="59"/>
      <c r="H8" s="485"/>
      <c r="I8" s="67">
        <v>17.333333333333332</v>
      </c>
      <c r="J8" s="58">
        <v>2000</v>
      </c>
      <c r="K8" s="59">
        <f t="shared" si="1"/>
        <v>115.38461538461539</v>
      </c>
      <c r="L8" s="67">
        <v>17.333333333333332</v>
      </c>
      <c r="M8" s="60">
        <f>AVERAGE(M5:M7)</f>
        <v>1911.9504308701296</v>
      </c>
      <c r="N8" s="59">
        <f t="shared" si="3"/>
        <v>110.30483255019979</v>
      </c>
      <c r="O8" s="61">
        <f t="shared" si="4"/>
        <v>0</v>
      </c>
      <c r="P8" s="62">
        <f t="shared" si="5"/>
        <v>-5.079782834415596</v>
      </c>
      <c r="Q8" s="475">
        <f t="shared" si="6"/>
        <v>0.95597521543506481</v>
      </c>
      <c r="R8" s="566"/>
      <c r="S8" s="63"/>
      <c r="T8" s="63"/>
      <c r="U8" s="473"/>
      <c r="V8" s="484"/>
      <c r="W8" s="59"/>
      <c r="X8" s="59"/>
      <c r="Y8" s="559"/>
      <c r="Z8" s="559"/>
      <c r="AA8" s="61">
        <f t="shared" si="8"/>
        <v>-88.049569129870406</v>
      </c>
      <c r="AB8" s="475">
        <f t="shared" si="9"/>
        <v>0.95597521543506481</v>
      </c>
      <c r="AC8" s="566"/>
    </row>
    <row r="9" spans="1:29" ht="15.75" customHeight="1">
      <c r="A9" s="594" t="s">
        <v>2194</v>
      </c>
      <c r="B9" s="57" t="s">
        <v>10</v>
      </c>
      <c r="C9" s="590" t="s">
        <v>14</v>
      </c>
      <c r="D9" s="591"/>
      <c r="E9" s="57">
        <v>39.619999999999997</v>
      </c>
      <c r="F9" s="485">
        <v>3347</v>
      </c>
      <c r="G9" s="473">
        <f t="shared" ref="G9:G10" si="11">E9*F9</f>
        <v>132608.13999999998</v>
      </c>
      <c r="H9" s="487" t="s">
        <v>5</v>
      </c>
      <c r="I9" s="483">
        <v>19</v>
      </c>
      <c r="J9" s="58">
        <v>1500</v>
      </c>
      <c r="K9" s="59">
        <f t="shared" si="1"/>
        <v>78.94736842105263</v>
      </c>
      <c r="L9" s="483">
        <v>19</v>
      </c>
      <c r="M9" s="60">
        <f t="shared" ref="M9:M10" si="12">F9/V9*60</f>
        <v>1434.4285714285711</v>
      </c>
      <c r="N9" s="59">
        <f t="shared" si="3"/>
        <v>75.496240601503743</v>
      </c>
      <c r="O9" s="61">
        <f t="shared" si="4"/>
        <v>0</v>
      </c>
      <c r="P9" s="62">
        <f t="shared" si="5"/>
        <v>-3.451127819548887</v>
      </c>
      <c r="Q9" s="475">
        <f t="shared" si="6"/>
        <v>0.95628571428571407</v>
      </c>
      <c r="R9" s="566">
        <f>Q11</f>
        <v>0.95528571428571407</v>
      </c>
      <c r="S9" s="63">
        <v>0.16666666666666666</v>
      </c>
      <c r="T9" s="63">
        <v>0.2638888888888889</v>
      </c>
      <c r="U9" s="473"/>
      <c r="V9" s="484">
        <f t="shared" ref="V9:V10" si="13">(T9-S9)*24*60</f>
        <v>140.00000000000003</v>
      </c>
      <c r="W9" s="64">
        <f>T9</f>
        <v>0.2638888888888889</v>
      </c>
      <c r="X9" s="64">
        <f>S10</f>
        <v>0.28402777777777777</v>
      </c>
      <c r="Y9" s="559"/>
      <c r="Z9" s="559"/>
      <c r="AA9" s="61">
        <f t="shared" si="8"/>
        <v>-65.571428571428896</v>
      </c>
      <c r="AB9" s="475">
        <f t="shared" si="9"/>
        <v>0.95628571428571407</v>
      </c>
      <c r="AC9" s="566">
        <f>AB11</f>
        <v>0.95528571428571407</v>
      </c>
    </row>
    <row r="10" spans="1:29" ht="15.75" customHeight="1">
      <c r="A10" s="594" t="s">
        <v>2195</v>
      </c>
      <c r="B10" s="57" t="s">
        <v>10</v>
      </c>
      <c r="C10" s="590" t="s">
        <v>11</v>
      </c>
      <c r="D10" s="591"/>
      <c r="E10" s="57">
        <v>39.799999999999997</v>
      </c>
      <c r="F10" s="485">
        <v>5177</v>
      </c>
      <c r="G10" s="473">
        <f t="shared" si="11"/>
        <v>206044.59999999998</v>
      </c>
      <c r="H10" s="487" t="s">
        <v>5</v>
      </c>
      <c r="I10" s="483">
        <v>17</v>
      </c>
      <c r="J10" s="58">
        <v>1500</v>
      </c>
      <c r="K10" s="59">
        <f t="shared" si="1"/>
        <v>88.235294117647058</v>
      </c>
      <c r="L10" s="483">
        <v>17</v>
      </c>
      <c r="M10" s="60">
        <f t="shared" si="12"/>
        <v>1431.4285714285713</v>
      </c>
      <c r="N10" s="59">
        <f t="shared" si="3"/>
        <v>84.201680672268907</v>
      </c>
      <c r="O10" s="61">
        <f t="shared" si="4"/>
        <v>0</v>
      </c>
      <c r="P10" s="62">
        <f t="shared" si="5"/>
        <v>-4.0336134453781511</v>
      </c>
      <c r="Q10" s="475">
        <f t="shared" si="6"/>
        <v>0.95428571428571429</v>
      </c>
      <c r="R10" s="566"/>
      <c r="S10" s="63">
        <v>0.28402777777777777</v>
      </c>
      <c r="T10" s="63">
        <v>0.43472222222222223</v>
      </c>
      <c r="U10" s="473">
        <f t="shared" ref="U10" si="14">IF(S10=TIME(17,0,0),"",(S10-T9)*24*60)</f>
        <v>28.999999999999979</v>
      </c>
      <c r="V10" s="484">
        <f t="shared" si="13"/>
        <v>217.00000000000003</v>
      </c>
      <c r="W10" s="64"/>
      <c r="X10" s="64"/>
      <c r="Y10" s="559"/>
      <c r="Z10" s="559"/>
      <c r="AA10" s="61">
        <f t="shared" si="8"/>
        <v>-68.571428571428669</v>
      </c>
      <c r="AB10" s="475">
        <f t="shared" si="9"/>
        <v>0.95428571428571418</v>
      </c>
      <c r="AC10" s="566"/>
    </row>
    <row r="11" spans="1:29" ht="16.5" customHeight="1">
      <c r="A11" s="594" t="s">
        <v>2194</v>
      </c>
      <c r="B11" s="57" t="s">
        <v>2193</v>
      </c>
      <c r="C11" s="571"/>
      <c r="D11" s="571"/>
      <c r="E11" s="476"/>
      <c r="F11" s="58"/>
      <c r="G11" s="60"/>
      <c r="H11" s="485"/>
      <c r="I11" s="67">
        <v>18</v>
      </c>
      <c r="J11" s="58">
        <v>1500</v>
      </c>
      <c r="K11" s="59">
        <f t="shared" si="1"/>
        <v>83.333333333333329</v>
      </c>
      <c r="L11" s="67">
        <v>18</v>
      </c>
      <c r="M11" s="60">
        <f>AVERAGE(M9:M10)</f>
        <v>1432.9285714285711</v>
      </c>
      <c r="N11" s="59">
        <f t="shared" si="3"/>
        <v>79.607142857142833</v>
      </c>
      <c r="O11" s="61">
        <f t="shared" si="4"/>
        <v>0</v>
      </c>
      <c r="P11" s="62">
        <f t="shared" si="5"/>
        <v>-3.7261904761904958</v>
      </c>
      <c r="Q11" s="475">
        <f t="shared" si="6"/>
        <v>0.95528571428571407</v>
      </c>
      <c r="R11" s="566"/>
      <c r="S11" s="63"/>
      <c r="T11" s="63"/>
      <c r="U11" s="59"/>
      <c r="V11" s="484"/>
      <c r="W11" s="59"/>
      <c r="X11" s="59"/>
      <c r="Y11" s="559"/>
      <c r="Z11" s="559"/>
      <c r="AA11" s="61">
        <f t="shared" si="8"/>
        <v>-67.071428571428896</v>
      </c>
      <c r="AB11" s="475">
        <f t="shared" si="9"/>
        <v>0.95528571428571407</v>
      </c>
      <c r="AC11" s="566"/>
    </row>
    <row r="12" spans="1:29" ht="16.5" customHeight="1">
      <c r="A12" s="592" t="s">
        <v>2196</v>
      </c>
      <c r="B12" s="485" t="s">
        <v>12</v>
      </c>
      <c r="C12" s="584" t="s">
        <v>13</v>
      </c>
      <c r="D12" s="584"/>
      <c r="E12" s="57">
        <v>41</v>
      </c>
      <c r="F12" s="485">
        <v>2261</v>
      </c>
      <c r="G12" s="473">
        <f t="shared" ref="G12:G19" si="15">E12*F12</f>
        <v>92701</v>
      </c>
      <c r="H12" s="487" t="s">
        <v>5</v>
      </c>
      <c r="I12" s="483">
        <v>26</v>
      </c>
      <c r="J12" s="58">
        <v>1500</v>
      </c>
      <c r="K12" s="59">
        <f t="shared" si="1"/>
        <v>57.692307692307693</v>
      </c>
      <c r="L12" s="483">
        <v>26</v>
      </c>
      <c r="M12" s="60">
        <f t="shared" ref="M12:M19" si="16">F12/V12*60</f>
        <v>1443.1914893617018</v>
      </c>
      <c r="N12" s="59">
        <f t="shared" si="3"/>
        <v>55.507364975450066</v>
      </c>
      <c r="O12" s="61">
        <f t="shared" si="4"/>
        <v>0</v>
      </c>
      <c r="P12" s="62">
        <f t="shared" si="5"/>
        <v>-2.184942716857627</v>
      </c>
      <c r="Q12" s="475">
        <f t="shared" si="6"/>
        <v>0.96212765957446778</v>
      </c>
      <c r="R12" s="566">
        <f>Q20</f>
        <v>0.95917841669024118</v>
      </c>
      <c r="S12" s="63">
        <v>0.20833333333333334</v>
      </c>
      <c r="T12" s="63">
        <v>0.27361111111111114</v>
      </c>
      <c r="U12" s="473"/>
      <c r="V12" s="484">
        <f t="shared" ref="V12:V19" si="17">(T12-S12)*24*60</f>
        <v>94.000000000000028</v>
      </c>
      <c r="W12" s="68"/>
      <c r="X12" s="68"/>
      <c r="Y12" s="559"/>
      <c r="Z12" s="559"/>
      <c r="AA12" s="61">
        <f t="shared" si="8"/>
        <v>-56.80851063829823</v>
      </c>
      <c r="AB12" s="475">
        <f t="shared" si="9"/>
        <v>0.96212765957446789</v>
      </c>
      <c r="AC12" s="566">
        <f>AB20</f>
        <v>0.95917841669024118</v>
      </c>
    </row>
    <row r="13" spans="1:29" ht="16.5" customHeight="1">
      <c r="A13" s="593" t="s">
        <v>2196</v>
      </c>
      <c r="B13" s="485" t="s">
        <v>657</v>
      </c>
      <c r="C13" s="584" t="s">
        <v>236</v>
      </c>
      <c r="D13" s="584"/>
      <c r="E13" s="57">
        <v>72.400000000000006</v>
      </c>
      <c r="F13" s="485">
        <v>1049</v>
      </c>
      <c r="G13" s="473">
        <f t="shared" si="15"/>
        <v>75947.600000000006</v>
      </c>
      <c r="H13" s="487" t="s">
        <v>5</v>
      </c>
      <c r="I13" s="483">
        <v>18</v>
      </c>
      <c r="J13" s="58">
        <v>1500</v>
      </c>
      <c r="K13" s="59">
        <f t="shared" si="1"/>
        <v>83.333333333333329</v>
      </c>
      <c r="L13" s="483">
        <v>18</v>
      </c>
      <c r="M13" s="60">
        <f t="shared" si="16"/>
        <v>1430.4545454545455</v>
      </c>
      <c r="N13" s="59">
        <f t="shared" si="3"/>
        <v>79.469696969696969</v>
      </c>
      <c r="O13" s="61">
        <f t="shared" si="4"/>
        <v>0</v>
      </c>
      <c r="P13" s="62">
        <f t="shared" si="5"/>
        <v>-3.8636363636363598</v>
      </c>
      <c r="Q13" s="475">
        <f t="shared" si="6"/>
        <v>0.95363636363636373</v>
      </c>
      <c r="R13" s="566"/>
      <c r="S13" s="63">
        <v>0.27708333333333335</v>
      </c>
      <c r="T13" s="63">
        <v>0.30763888888888891</v>
      </c>
      <c r="U13" s="473">
        <f t="shared" ref="U13:U19" si="18">IF(S13=TIME(17,0,0),"",(S13-T12)*24*60)</f>
        <v>4.9999999999999822</v>
      </c>
      <c r="V13" s="484">
        <f t="shared" si="17"/>
        <v>44</v>
      </c>
      <c r="W13" s="64"/>
      <c r="X13" s="64"/>
      <c r="Y13" s="559"/>
      <c r="Z13" s="559"/>
      <c r="AA13" s="61">
        <f t="shared" si="8"/>
        <v>-69.545454545454504</v>
      </c>
      <c r="AB13" s="475">
        <f t="shared" si="9"/>
        <v>0.95363636363636362</v>
      </c>
      <c r="AC13" s="566"/>
    </row>
    <row r="14" spans="1:29" ht="16.5" customHeight="1">
      <c r="A14" s="593" t="s">
        <v>2196</v>
      </c>
      <c r="B14" s="485" t="s">
        <v>65</v>
      </c>
      <c r="C14" s="584" t="s">
        <v>1765</v>
      </c>
      <c r="D14" s="584"/>
      <c r="E14" s="57">
        <v>50.67</v>
      </c>
      <c r="F14" s="485">
        <v>1495</v>
      </c>
      <c r="G14" s="473">
        <f t="shared" si="15"/>
        <v>75751.650000000009</v>
      </c>
      <c r="H14" s="487" t="s">
        <v>5</v>
      </c>
      <c r="I14" s="483">
        <v>16</v>
      </c>
      <c r="J14" s="58">
        <v>1500</v>
      </c>
      <c r="K14" s="59">
        <f t="shared" si="1"/>
        <v>93.75</v>
      </c>
      <c r="L14" s="483">
        <v>16</v>
      </c>
      <c r="M14" s="60">
        <f t="shared" si="16"/>
        <v>1446.7741935483866</v>
      </c>
      <c r="N14" s="59">
        <f t="shared" si="3"/>
        <v>90.423387096774164</v>
      </c>
      <c r="O14" s="61">
        <f t="shared" si="4"/>
        <v>0</v>
      </c>
      <c r="P14" s="62">
        <f t="shared" si="5"/>
        <v>-3.3266129032258362</v>
      </c>
      <c r="Q14" s="475">
        <f t="shared" si="6"/>
        <v>0.9645161290322577</v>
      </c>
      <c r="R14" s="566"/>
      <c r="S14" s="63">
        <v>0.31319444444444444</v>
      </c>
      <c r="T14" s="63">
        <v>0.35625000000000001</v>
      </c>
      <c r="U14" s="473">
        <f t="shared" si="18"/>
        <v>7.9999999999999716</v>
      </c>
      <c r="V14" s="484">
        <f t="shared" si="17"/>
        <v>62.000000000000021</v>
      </c>
      <c r="W14" s="64"/>
      <c r="X14" s="64"/>
      <c r="Y14" s="559"/>
      <c r="Z14" s="559"/>
      <c r="AA14" s="61">
        <f t="shared" si="8"/>
        <v>-53.22580645161338</v>
      </c>
      <c r="AB14" s="475">
        <f t="shared" si="9"/>
        <v>0.9645161290322577</v>
      </c>
      <c r="AC14" s="566"/>
    </row>
    <row r="15" spans="1:29" ht="16.5" customHeight="1">
      <c r="A15" s="593" t="s">
        <v>2196</v>
      </c>
      <c r="B15" s="485" t="s">
        <v>6</v>
      </c>
      <c r="C15" s="584" t="s">
        <v>95</v>
      </c>
      <c r="D15" s="584"/>
      <c r="E15" s="57">
        <v>50.98</v>
      </c>
      <c r="F15" s="485">
        <v>800</v>
      </c>
      <c r="G15" s="473">
        <f t="shared" si="15"/>
        <v>40784</v>
      </c>
      <c r="H15" s="487">
        <v>2</v>
      </c>
      <c r="I15" s="483">
        <v>16</v>
      </c>
      <c r="J15" s="58">
        <v>2000</v>
      </c>
      <c r="K15" s="59">
        <f t="shared" si="1"/>
        <v>125</v>
      </c>
      <c r="L15" s="483">
        <v>16</v>
      </c>
      <c r="M15" s="60">
        <f t="shared" si="16"/>
        <v>1919.9999999999945</v>
      </c>
      <c r="N15" s="59">
        <f t="shared" si="3"/>
        <v>119.99999999999966</v>
      </c>
      <c r="O15" s="61">
        <f t="shared" si="4"/>
        <v>0</v>
      </c>
      <c r="P15" s="62">
        <f t="shared" si="5"/>
        <v>-5.0000000000003411</v>
      </c>
      <c r="Q15" s="475">
        <f t="shared" si="6"/>
        <v>0.9599999999999973</v>
      </c>
      <c r="R15" s="566"/>
      <c r="S15" s="63">
        <v>0.70833333333333337</v>
      </c>
      <c r="T15" s="63">
        <v>0.72569444444444453</v>
      </c>
      <c r="U15" s="473" t="str">
        <f t="shared" si="18"/>
        <v/>
      </c>
      <c r="V15" s="484">
        <f t="shared" si="17"/>
        <v>25.000000000000071</v>
      </c>
      <c r="W15" s="64"/>
      <c r="X15" s="64"/>
      <c r="Y15" s="559"/>
      <c r="Z15" s="559"/>
      <c r="AA15" s="61">
        <f t="shared" si="8"/>
        <v>-80.000000000005457</v>
      </c>
      <c r="AB15" s="475">
        <f t="shared" si="9"/>
        <v>0.9599999999999973</v>
      </c>
      <c r="AC15" s="566"/>
    </row>
    <row r="16" spans="1:29" ht="16.5" customHeight="1">
      <c r="A16" s="593" t="s">
        <v>2196</v>
      </c>
      <c r="B16" s="485" t="s">
        <v>6</v>
      </c>
      <c r="C16" s="584" t="s">
        <v>18</v>
      </c>
      <c r="D16" s="584"/>
      <c r="E16" s="57">
        <v>50.92</v>
      </c>
      <c r="F16" s="485">
        <v>800</v>
      </c>
      <c r="G16" s="473">
        <f t="shared" si="15"/>
        <v>40736</v>
      </c>
      <c r="H16" s="487">
        <v>2</v>
      </c>
      <c r="I16" s="483">
        <v>15</v>
      </c>
      <c r="J16" s="58">
        <v>2000</v>
      </c>
      <c r="K16" s="59">
        <f t="shared" si="1"/>
        <v>133.33333333333334</v>
      </c>
      <c r="L16" s="483">
        <v>15</v>
      </c>
      <c r="M16" s="60">
        <f t="shared" si="16"/>
        <v>1919.9999999999945</v>
      </c>
      <c r="N16" s="59">
        <f t="shared" si="3"/>
        <v>127.99999999999963</v>
      </c>
      <c r="O16" s="61">
        <f t="shared" si="4"/>
        <v>0</v>
      </c>
      <c r="P16" s="62">
        <f t="shared" si="5"/>
        <v>-5.3333333333337123</v>
      </c>
      <c r="Q16" s="475">
        <f t="shared" si="6"/>
        <v>0.95999999999999719</v>
      </c>
      <c r="R16" s="566"/>
      <c r="S16" s="63">
        <v>0.72986111111111118</v>
      </c>
      <c r="T16" s="63">
        <v>0.74722222222222234</v>
      </c>
      <c r="U16" s="473">
        <f t="shared" si="18"/>
        <v>5.9999999999999787</v>
      </c>
      <c r="V16" s="484">
        <f t="shared" si="17"/>
        <v>25.000000000000071</v>
      </c>
      <c r="W16" s="64"/>
      <c r="X16" s="64"/>
      <c r="Y16" s="559"/>
      <c r="Z16" s="559"/>
      <c r="AA16" s="61">
        <f t="shared" si="8"/>
        <v>-80.000000000005457</v>
      </c>
      <c r="AB16" s="475">
        <f t="shared" si="9"/>
        <v>0.9599999999999973</v>
      </c>
      <c r="AC16" s="566"/>
    </row>
    <row r="17" spans="1:29" ht="16.5" customHeight="1">
      <c r="A17" s="593" t="s">
        <v>2197</v>
      </c>
      <c r="B17" s="485" t="s">
        <v>6</v>
      </c>
      <c r="C17" s="585" t="s">
        <v>68</v>
      </c>
      <c r="D17" s="586"/>
      <c r="E17" s="57">
        <v>50.67</v>
      </c>
      <c r="F17" s="485">
        <v>1516</v>
      </c>
      <c r="G17" s="473">
        <f t="shared" si="15"/>
        <v>76815.72</v>
      </c>
      <c r="H17" s="487" t="s">
        <v>5</v>
      </c>
      <c r="I17" s="483">
        <v>15</v>
      </c>
      <c r="J17" s="58">
        <v>2000</v>
      </c>
      <c r="K17" s="59">
        <f t="shared" si="1"/>
        <v>133.33333333333334</v>
      </c>
      <c r="L17" s="483">
        <v>15</v>
      </c>
      <c r="M17" s="60">
        <f t="shared" si="16"/>
        <v>1935.3191489361704</v>
      </c>
      <c r="N17" s="59">
        <f t="shared" si="3"/>
        <v>129.02127659574469</v>
      </c>
      <c r="O17" s="61">
        <f t="shared" si="4"/>
        <v>0</v>
      </c>
      <c r="P17" s="62">
        <f t="shared" si="5"/>
        <v>-4.312056737588648</v>
      </c>
      <c r="Q17" s="475">
        <f t="shared" si="6"/>
        <v>0.96765957446808515</v>
      </c>
      <c r="R17" s="566"/>
      <c r="S17" s="63">
        <v>0.75208333333333344</v>
      </c>
      <c r="T17" s="63">
        <v>0.78472222222222232</v>
      </c>
      <c r="U17" s="473">
        <f t="shared" si="18"/>
        <v>6.9999999999999751</v>
      </c>
      <c r="V17" s="484">
        <f t="shared" si="17"/>
        <v>46.999999999999993</v>
      </c>
      <c r="W17" s="64"/>
      <c r="X17" s="64"/>
      <c r="Y17" s="569"/>
      <c r="Z17" s="570"/>
      <c r="AA17" s="61">
        <f t="shared" si="8"/>
        <v>-64.68085106382955</v>
      </c>
      <c r="AB17" s="475">
        <f t="shared" si="9"/>
        <v>0.96765957446808526</v>
      </c>
      <c r="AC17" s="566"/>
    </row>
    <row r="18" spans="1:29" ht="16.5" customHeight="1">
      <c r="A18" s="593" t="s">
        <v>2198</v>
      </c>
      <c r="B18" s="485" t="s">
        <v>6</v>
      </c>
      <c r="C18" s="481" t="s">
        <v>94</v>
      </c>
      <c r="D18" s="482"/>
      <c r="E18" s="57">
        <v>57.3</v>
      </c>
      <c r="F18" s="485">
        <v>1940</v>
      </c>
      <c r="G18" s="473">
        <f t="shared" si="15"/>
        <v>111162</v>
      </c>
      <c r="H18" s="487" t="s">
        <v>5</v>
      </c>
      <c r="I18" s="483">
        <v>13</v>
      </c>
      <c r="J18" s="58">
        <v>2000</v>
      </c>
      <c r="K18" s="59">
        <f t="shared" si="1"/>
        <v>153.84615384615384</v>
      </c>
      <c r="L18" s="483">
        <v>13</v>
      </c>
      <c r="M18" s="60">
        <f t="shared" si="16"/>
        <v>1908.1967213114772</v>
      </c>
      <c r="N18" s="59">
        <f t="shared" si="3"/>
        <v>146.78436317780594</v>
      </c>
      <c r="O18" s="61">
        <f t="shared" si="4"/>
        <v>0</v>
      </c>
      <c r="P18" s="62">
        <f t="shared" si="5"/>
        <v>-7.0617906683478964</v>
      </c>
      <c r="Q18" s="475">
        <f t="shared" si="6"/>
        <v>0.95409836065573872</v>
      </c>
      <c r="R18" s="566"/>
      <c r="S18" s="63">
        <v>0.78888888888888897</v>
      </c>
      <c r="T18" s="63">
        <v>0.83125000000000004</v>
      </c>
      <c r="U18" s="473">
        <f t="shared" si="18"/>
        <v>5.9999999999999787</v>
      </c>
      <c r="V18" s="484">
        <f t="shared" si="17"/>
        <v>60.999999999999943</v>
      </c>
      <c r="W18" s="64">
        <f>T18</f>
        <v>0.83125000000000004</v>
      </c>
      <c r="X18" s="64">
        <f>S19</f>
        <v>0.87083333333333335</v>
      </c>
      <c r="Y18" s="569"/>
      <c r="Z18" s="570"/>
      <c r="AA18" s="61">
        <f t="shared" si="8"/>
        <v>-91.803278688522823</v>
      </c>
      <c r="AB18" s="475">
        <f t="shared" si="9"/>
        <v>0.95409836065573861</v>
      </c>
      <c r="AC18" s="566"/>
    </row>
    <row r="19" spans="1:29" ht="16.5" customHeight="1">
      <c r="A19" s="593" t="s">
        <v>2196</v>
      </c>
      <c r="B19" s="485" t="s">
        <v>6</v>
      </c>
      <c r="C19" s="481" t="s">
        <v>18</v>
      </c>
      <c r="D19" s="482"/>
      <c r="E19" s="57">
        <v>50.92</v>
      </c>
      <c r="F19" s="485">
        <v>1682</v>
      </c>
      <c r="G19" s="473">
        <f t="shared" si="15"/>
        <v>85647.44</v>
      </c>
      <c r="H19" s="487" t="s">
        <v>5</v>
      </c>
      <c r="I19" s="483">
        <v>15</v>
      </c>
      <c r="J19" s="58">
        <v>2000</v>
      </c>
      <c r="K19" s="59">
        <f t="shared" si="1"/>
        <v>133.33333333333334</v>
      </c>
      <c r="L19" s="483">
        <v>15</v>
      </c>
      <c r="M19" s="60">
        <f t="shared" si="16"/>
        <v>1904.1509433962274</v>
      </c>
      <c r="N19" s="59">
        <f t="shared" si="3"/>
        <v>126.94339622641516</v>
      </c>
      <c r="O19" s="61">
        <f t="shared" si="4"/>
        <v>0</v>
      </c>
      <c r="P19" s="62">
        <f t="shared" si="5"/>
        <v>-6.3899371069181825</v>
      </c>
      <c r="Q19" s="475">
        <f t="shared" si="6"/>
        <v>0.95207547169811368</v>
      </c>
      <c r="R19" s="566"/>
      <c r="S19" s="63">
        <v>0.87083333333333335</v>
      </c>
      <c r="T19" s="63">
        <v>0.90763888888888888</v>
      </c>
      <c r="U19" s="473">
        <f t="shared" si="18"/>
        <v>56.999999999999957</v>
      </c>
      <c r="V19" s="484">
        <f t="shared" si="17"/>
        <v>52.999999999999972</v>
      </c>
      <c r="W19" s="64"/>
      <c r="X19" s="64"/>
      <c r="Y19" s="569"/>
      <c r="Z19" s="570"/>
      <c r="AA19" s="61">
        <f t="shared" si="8"/>
        <v>-95.849056603772624</v>
      </c>
      <c r="AB19" s="475">
        <f t="shared" si="9"/>
        <v>0.95207547169811368</v>
      </c>
      <c r="AC19" s="566"/>
    </row>
    <row r="20" spans="1:29" ht="16.5" customHeight="1">
      <c r="A20" s="593" t="s">
        <v>2198</v>
      </c>
      <c r="B20" s="57" t="s">
        <v>2193</v>
      </c>
      <c r="C20" s="571"/>
      <c r="D20" s="571"/>
      <c r="E20" s="476"/>
      <c r="F20" s="66"/>
      <c r="G20" s="59"/>
      <c r="H20" s="485"/>
      <c r="I20" s="67">
        <v>16.75</v>
      </c>
      <c r="J20" s="58">
        <v>1812.5</v>
      </c>
      <c r="K20" s="59">
        <f t="shared" si="1"/>
        <v>108.20895522388059</v>
      </c>
      <c r="L20" s="67">
        <v>16.75</v>
      </c>
      <c r="M20" s="60">
        <f>AVERAGE(M12:M19)</f>
        <v>1738.5108802510622</v>
      </c>
      <c r="N20" s="59">
        <f t="shared" si="3"/>
        <v>103.79169434334699</v>
      </c>
      <c r="O20" s="61">
        <f t="shared" si="4"/>
        <v>0</v>
      </c>
      <c r="P20" s="62">
        <f t="shared" si="5"/>
        <v>-4.417260880533604</v>
      </c>
      <c r="Q20" s="475">
        <f t="shared" si="6"/>
        <v>0.95917841669024118</v>
      </c>
      <c r="R20" s="566"/>
      <c r="S20" s="63"/>
      <c r="T20" s="63"/>
      <c r="U20" s="473"/>
      <c r="V20" s="484"/>
      <c r="W20" s="59"/>
      <c r="X20" s="59"/>
      <c r="Y20" s="559"/>
      <c r="Z20" s="559"/>
      <c r="AA20" s="61">
        <f t="shared" si="8"/>
        <v>-73.98911974893781</v>
      </c>
      <c r="AB20" s="475">
        <f t="shared" si="9"/>
        <v>0.95917841669024118</v>
      </c>
      <c r="AC20" s="566"/>
    </row>
    <row r="21" spans="1:29" ht="15.75" customHeight="1">
      <c r="A21" s="588" t="s">
        <v>2199</v>
      </c>
      <c r="B21" s="57" t="s">
        <v>12</v>
      </c>
      <c r="C21" s="584" t="s">
        <v>19</v>
      </c>
      <c r="D21" s="584"/>
      <c r="E21" s="57">
        <v>43.14</v>
      </c>
      <c r="F21" s="485">
        <v>1056</v>
      </c>
      <c r="G21" s="473">
        <f t="shared" ref="G21:G29" si="19">E21*F21</f>
        <v>45555.840000000004</v>
      </c>
      <c r="H21" s="487" t="s">
        <v>5</v>
      </c>
      <c r="I21" s="483">
        <v>17</v>
      </c>
      <c r="J21" s="58">
        <v>2000</v>
      </c>
      <c r="K21" s="59">
        <f t="shared" si="1"/>
        <v>117.64705882352941</v>
      </c>
      <c r="L21" s="483">
        <v>17</v>
      </c>
      <c r="M21" s="60">
        <f t="shared" ref="M21:M29" si="20">F21/V21*60</f>
        <v>1920</v>
      </c>
      <c r="N21" s="59">
        <f t="shared" si="3"/>
        <v>112.94117647058823</v>
      </c>
      <c r="O21" s="61">
        <f t="shared" si="4"/>
        <v>0</v>
      </c>
      <c r="P21" s="62">
        <f t="shared" si="5"/>
        <v>-4.705882352941174</v>
      </c>
      <c r="Q21" s="475">
        <f t="shared" si="6"/>
        <v>0.96</v>
      </c>
      <c r="R21" s="566">
        <f>Q30</f>
        <v>0.96047713973018867</v>
      </c>
      <c r="S21" s="63">
        <v>0.20833333333333334</v>
      </c>
      <c r="T21" s="63">
        <v>0.23125000000000001</v>
      </c>
      <c r="U21" s="473"/>
      <c r="V21" s="484">
        <f t="shared" ref="V21:V29" si="21">(T21-S21)*24*60</f>
        <v>33</v>
      </c>
      <c r="W21" s="68"/>
      <c r="X21" s="68"/>
      <c r="Y21" s="559"/>
      <c r="Z21" s="559"/>
      <c r="AA21" s="61">
        <f t="shared" si="8"/>
        <v>-80</v>
      </c>
      <c r="AB21" s="475">
        <f t="shared" si="9"/>
        <v>0.96</v>
      </c>
      <c r="AC21" s="566">
        <f>AB30</f>
        <v>0.96047713973018867</v>
      </c>
    </row>
    <row r="22" spans="1:29" ht="15.75" customHeight="1">
      <c r="A22" s="589" t="s">
        <v>2199</v>
      </c>
      <c r="B22" s="57" t="s">
        <v>65</v>
      </c>
      <c r="C22" s="584" t="s">
        <v>97</v>
      </c>
      <c r="D22" s="584"/>
      <c r="E22" s="57">
        <v>49.9</v>
      </c>
      <c r="F22" s="485">
        <v>1151</v>
      </c>
      <c r="G22" s="473">
        <f t="shared" si="19"/>
        <v>57434.9</v>
      </c>
      <c r="H22" s="487" t="s">
        <v>5</v>
      </c>
      <c r="I22" s="483">
        <v>17</v>
      </c>
      <c r="J22" s="58">
        <v>2000</v>
      </c>
      <c r="K22" s="59">
        <f t="shared" si="1"/>
        <v>117.64705882352941</v>
      </c>
      <c r="L22" s="483">
        <v>17</v>
      </c>
      <c r="M22" s="60">
        <f t="shared" si="20"/>
        <v>1918.3333333333319</v>
      </c>
      <c r="N22" s="59">
        <f t="shared" si="3"/>
        <v>112.84313725490188</v>
      </c>
      <c r="O22" s="61">
        <f t="shared" si="4"/>
        <v>0</v>
      </c>
      <c r="P22" s="62">
        <f t="shared" si="5"/>
        <v>-4.8039215686275298</v>
      </c>
      <c r="Q22" s="475">
        <f t="shared" si="6"/>
        <v>0.95916666666666595</v>
      </c>
      <c r="R22" s="566"/>
      <c r="S22" s="63">
        <v>0.23472222222222222</v>
      </c>
      <c r="T22" s="63">
        <v>0.25972222222222224</v>
      </c>
      <c r="U22" s="473">
        <f t="shared" ref="U22:U29" si="22">IF(S22=TIME(17,0,0),"",(S22-T21)*24*60)</f>
        <v>4.9999999999999822</v>
      </c>
      <c r="V22" s="484">
        <f t="shared" si="21"/>
        <v>36.000000000000028</v>
      </c>
      <c r="W22" s="64"/>
      <c r="X22" s="473"/>
      <c r="Y22" s="559"/>
      <c r="Z22" s="559"/>
      <c r="AA22" s="61">
        <f t="shared" si="8"/>
        <v>-81.666666666668107</v>
      </c>
      <c r="AB22" s="475">
        <f t="shared" si="9"/>
        <v>0.95916666666666595</v>
      </c>
      <c r="AC22" s="566"/>
    </row>
    <row r="23" spans="1:29" ht="15.75" customHeight="1">
      <c r="A23" s="589" t="s">
        <v>2199</v>
      </c>
      <c r="B23" s="57" t="s">
        <v>6</v>
      </c>
      <c r="C23" s="584" t="s">
        <v>20</v>
      </c>
      <c r="D23" s="584"/>
      <c r="E23" s="57">
        <v>57.73</v>
      </c>
      <c r="F23" s="485">
        <v>2629</v>
      </c>
      <c r="G23" s="473">
        <f t="shared" si="19"/>
        <v>151772.16999999998</v>
      </c>
      <c r="H23" s="487" t="s">
        <v>5</v>
      </c>
      <c r="I23" s="483">
        <v>14</v>
      </c>
      <c r="J23" s="58">
        <v>2000</v>
      </c>
      <c r="K23" s="59">
        <f t="shared" si="1"/>
        <v>142.85714285714286</v>
      </c>
      <c r="L23" s="483">
        <v>14</v>
      </c>
      <c r="M23" s="60">
        <f t="shared" si="20"/>
        <v>1923.658536585365</v>
      </c>
      <c r="N23" s="59">
        <f t="shared" si="3"/>
        <v>137.40418118466894</v>
      </c>
      <c r="O23" s="61">
        <f t="shared" si="4"/>
        <v>0</v>
      </c>
      <c r="P23" s="62">
        <f t="shared" si="5"/>
        <v>-5.4529616724739185</v>
      </c>
      <c r="Q23" s="475">
        <f t="shared" si="6"/>
        <v>0.96182926829268256</v>
      </c>
      <c r="R23" s="566"/>
      <c r="S23" s="63">
        <v>0.26319444444444445</v>
      </c>
      <c r="T23" s="63">
        <v>0.32013888888888892</v>
      </c>
      <c r="U23" s="473">
        <f t="shared" si="22"/>
        <v>4.9999999999999822</v>
      </c>
      <c r="V23" s="484">
        <f t="shared" si="21"/>
        <v>82.000000000000028</v>
      </c>
      <c r="W23" s="64"/>
      <c r="X23" s="473"/>
      <c r="Y23" s="559"/>
      <c r="Z23" s="559"/>
      <c r="AA23" s="61">
        <f t="shared" si="8"/>
        <v>-76.341463414634973</v>
      </c>
      <c r="AB23" s="475">
        <f t="shared" si="9"/>
        <v>0.96182926829268256</v>
      </c>
      <c r="AC23" s="566"/>
    </row>
    <row r="24" spans="1:29" ht="15.75" customHeight="1">
      <c r="A24" s="589" t="s">
        <v>2199</v>
      </c>
      <c r="B24" s="57" t="s">
        <v>6</v>
      </c>
      <c r="C24" s="584" t="s">
        <v>21</v>
      </c>
      <c r="D24" s="584"/>
      <c r="E24" s="57">
        <v>53.68</v>
      </c>
      <c r="F24" s="485">
        <v>1537</v>
      </c>
      <c r="G24" s="473">
        <f t="shared" si="19"/>
        <v>82506.16</v>
      </c>
      <c r="H24" s="487" t="s">
        <v>5</v>
      </c>
      <c r="I24" s="483">
        <v>16</v>
      </c>
      <c r="J24" s="58">
        <v>2000</v>
      </c>
      <c r="K24" s="59">
        <f t="shared" si="1"/>
        <v>125</v>
      </c>
      <c r="L24" s="483">
        <v>16</v>
      </c>
      <c r="M24" s="60">
        <f t="shared" si="20"/>
        <v>1921.2500000000005</v>
      </c>
      <c r="N24" s="59">
        <f t="shared" si="3"/>
        <v>120.07812500000003</v>
      </c>
      <c r="O24" s="61">
        <f t="shared" si="4"/>
        <v>0</v>
      </c>
      <c r="P24" s="62">
        <f t="shared" si="5"/>
        <v>-4.9218749999999716</v>
      </c>
      <c r="Q24" s="475">
        <f t="shared" si="6"/>
        <v>0.96062500000000017</v>
      </c>
      <c r="R24" s="566"/>
      <c r="S24" s="63">
        <v>0.32430555555555557</v>
      </c>
      <c r="T24" s="63">
        <v>0.3576388888888889</v>
      </c>
      <c r="U24" s="473">
        <f t="shared" si="22"/>
        <v>5.9999999999999787</v>
      </c>
      <c r="V24" s="484">
        <f t="shared" si="21"/>
        <v>47.999999999999986</v>
      </c>
      <c r="W24" s="64"/>
      <c r="X24" s="473"/>
      <c r="Y24" s="559"/>
      <c r="Z24" s="559"/>
      <c r="AA24" s="61">
        <f t="shared" si="8"/>
        <v>-78.749999999999545</v>
      </c>
      <c r="AB24" s="475">
        <f t="shared" si="9"/>
        <v>0.96062500000000017</v>
      </c>
      <c r="AC24" s="566"/>
    </row>
    <row r="25" spans="1:29" ht="15.75" customHeight="1">
      <c r="A25" s="589" t="s">
        <v>2199</v>
      </c>
      <c r="B25" s="57" t="s">
        <v>6</v>
      </c>
      <c r="C25" s="584" t="s">
        <v>96</v>
      </c>
      <c r="D25" s="584"/>
      <c r="E25" s="57">
        <v>49.91</v>
      </c>
      <c r="F25" s="485">
        <v>903</v>
      </c>
      <c r="G25" s="473">
        <f t="shared" si="19"/>
        <v>45068.729999999996</v>
      </c>
      <c r="H25" s="487" t="s">
        <v>5</v>
      </c>
      <c r="I25" s="483">
        <v>17</v>
      </c>
      <c r="J25" s="58">
        <v>2000</v>
      </c>
      <c r="K25" s="59">
        <f t="shared" si="1"/>
        <v>117.64705882352941</v>
      </c>
      <c r="L25" s="483">
        <v>17</v>
      </c>
      <c r="M25" s="60">
        <f t="shared" si="20"/>
        <v>1935.0000000000014</v>
      </c>
      <c r="N25" s="59">
        <f t="shared" si="3"/>
        <v>113.82352941176478</v>
      </c>
      <c r="O25" s="61">
        <f t="shared" si="4"/>
        <v>0</v>
      </c>
      <c r="P25" s="62">
        <f t="shared" si="5"/>
        <v>-3.8235294117646248</v>
      </c>
      <c r="Q25" s="475">
        <f t="shared" si="6"/>
        <v>0.96750000000000069</v>
      </c>
      <c r="R25" s="566"/>
      <c r="S25" s="63">
        <v>0.36249999999999999</v>
      </c>
      <c r="T25" s="63">
        <v>0.38194444444444442</v>
      </c>
      <c r="U25" s="473">
        <f t="shared" si="22"/>
        <v>6.9999999999999751</v>
      </c>
      <c r="V25" s="484">
        <f t="shared" si="21"/>
        <v>27.999999999999979</v>
      </c>
      <c r="W25" s="64"/>
      <c r="X25" s="473"/>
      <c r="Y25" s="559"/>
      <c r="Z25" s="559"/>
      <c r="AA25" s="61">
        <f t="shared" si="8"/>
        <v>-64.999999999998636</v>
      </c>
      <c r="AB25" s="475">
        <f t="shared" si="9"/>
        <v>0.96750000000000069</v>
      </c>
      <c r="AC25" s="566"/>
    </row>
    <row r="26" spans="1:29" ht="15.75" customHeight="1">
      <c r="A26" s="589" t="s">
        <v>2199</v>
      </c>
      <c r="B26" s="57" t="s">
        <v>6</v>
      </c>
      <c r="C26" s="584" t="s">
        <v>8</v>
      </c>
      <c r="D26" s="584"/>
      <c r="E26" s="57">
        <v>50.49</v>
      </c>
      <c r="F26" s="485">
        <v>2042</v>
      </c>
      <c r="G26" s="473">
        <f t="shared" si="19"/>
        <v>103100.58</v>
      </c>
      <c r="H26" s="487" t="s">
        <v>5</v>
      </c>
      <c r="I26" s="483">
        <v>15</v>
      </c>
      <c r="J26" s="58">
        <v>2000</v>
      </c>
      <c r="K26" s="59">
        <f t="shared" si="1"/>
        <v>133.33333333333334</v>
      </c>
      <c r="L26" s="483">
        <v>15</v>
      </c>
      <c r="M26" s="60">
        <f t="shared" si="20"/>
        <v>1914.375000000002</v>
      </c>
      <c r="N26" s="59">
        <f t="shared" si="3"/>
        <v>127.62500000000014</v>
      </c>
      <c r="O26" s="61">
        <f t="shared" si="4"/>
        <v>0</v>
      </c>
      <c r="P26" s="62">
        <f t="shared" si="5"/>
        <v>-5.7083333333332007</v>
      </c>
      <c r="Q26" s="475">
        <f t="shared" si="6"/>
        <v>0.95718750000000097</v>
      </c>
      <c r="R26" s="566"/>
      <c r="S26" s="63">
        <v>0.70833333333333337</v>
      </c>
      <c r="T26" s="63">
        <v>0.75277777777777777</v>
      </c>
      <c r="U26" s="473" t="str">
        <f t="shared" si="22"/>
        <v/>
      </c>
      <c r="V26" s="484">
        <f t="shared" si="21"/>
        <v>63.999999999999929</v>
      </c>
      <c r="W26" s="64"/>
      <c r="X26" s="68"/>
      <c r="Y26" s="559"/>
      <c r="Z26" s="559"/>
      <c r="AA26" s="61">
        <f t="shared" si="8"/>
        <v>-85.624999999997954</v>
      </c>
      <c r="AB26" s="475">
        <f t="shared" si="9"/>
        <v>0.95718750000000097</v>
      </c>
      <c r="AC26" s="566"/>
    </row>
    <row r="27" spans="1:29" ht="15.75" customHeight="1">
      <c r="A27" s="589" t="s">
        <v>2199</v>
      </c>
      <c r="B27" s="57" t="s">
        <v>6</v>
      </c>
      <c r="C27" s="584" t="s">
        <v>69</v>
      </c>
      <c r="D27" s="584"/>
      <c r="E27" s="57">
        <v>57.73</v>
      </c>
      <c r="F27" s="485">
        <v>1200</v>
      </c>
      <c r="G27" s="473">
        <f t="shared" si="19"/>
        <v>69276</v>
      </c>
      <c r="H27" s="487" t="s">
        <v>5</v>
      </c>
      <c r="I27" s="483">
        <v>16</v>
      </c>
      <c r="J27" s="58">
        <v>1500</v>
      </c>
      <c r="K27" s="59">
        <f t="shared" si="1"/>
        <v>93.75</v>
      </c>
      <c r="L27" s="483">
        <v>16</v>
      </c>
      <c r="M27" s="60">
        <f t="shared" si="20"/>
        <v>1440.0000000000005</v>
      </c>
      <c r="N27" s="59">
        <f t="shared" si="3"/>
        <v>90.000000000000028</v>
      </c>
      <c r="O27" s="61">
        <f t="shared" si="4"/>
        <v>0</v>
      </c>
      <c r="P27" s="62">
        <f t="shared" si="5"/>
        <v>-3.7499999999999716</v>
      </c>
      <c r="Q27" s="475">
        <f t="shared" si="6"/>
        <v>0.9600000000000003</v>
      </c>
      <c r="R27" s="566"/>
      <c r="S27" s="63">
        <v>0.75624999999999998</v>
      </c>
      <c r="T27" s="63">
        <v>0.79097222222222219</v>
      </c>
      <c r="U27" s="473">
        <f t="shared" si="22"/>
        <v>4.9999999999999822</v>
      </c>
      <c r="V27" s="484">
        <f t="shared" si="21"/>
        <v>49.999999999999986</v>
      </c>
      <c r="W27" s="64"/>
      <c r="X27" s="68"/>
      <c r="Y27" s="569"/>
      <c r="Z27" s="570"/>
      <c r="AA27" s="61">
        <f t="shared" si="8"/>
        <v>-59.999999999999545</v>
      </c>
      <c r="AB27" s="475">
        <f t="shared" si="9"/>
        <v>0.9600000000000003</v>
      </c>
      <c r="AC27" s="566"/>
    </row>
    <row r="28" spans="1:29" ht="15.75" customHeight="1">
      <c r="A28" s="589" t="s">
        <v>2199</v>
      </c>
      <c r="B28" s="57" t="s">
        <v>6</v>
      </c>
      <c r="C28" s="585" t="s">
        <v>99</v>
      </c>
      <c r="D28" s="586"/>
      <c r="E28" s="57">
        <v>53.68</v>
      </c>
      <c r="F28" s="485">
        <v>2000</v>
      </c>
      <c r="G28" s="473">
        <f t="shared" si="19"/>
        <v>107360</v>
      </c>
      <c r="H28" s="487" t="s">
        <v>5</v>
      </c>
      <c r="I28" s="483">
        <v>16</v>
      </c>
      <c r="J28" s="58">
        <v>1500</v>
      </c>
      <c r="K28" s="59">
        <f t="shared" si="1"/>
        <v>93.75</v>
      </c>
      <c r="L28" s="483">
        <v>16</v>
      </c>
      <c r="M28" s="60">
        <f t="shared" si="20"/>
        <v>1428.5714285714282</v>
      </c>
      <c r="N28" s="59">
        <f t="shared" si="3"/>
        <v>89.285714285714263</v>
      </c>
      <c r="O28" s="61">
        <f t="shared" si="4"/>
        <v>0</v>
      </c>
      <c r="P28" s="62">
        <f t="shared" si="5"/>
        <v>-4.4642857142857366</v>
      </c>
      <c r="Q28" s="475">
        <f t="shared" si="6"/>
        <v>0.95238095238095211</v>
      </c>
      <c r="R28" s="566"/>
      <c r="S28" s="63">
        <v>0.79583333333333328</v>
      </c>
      <c r="T28" s="63">
        <v>0.85416666666666663</v>
      </c>
      <c r="U28" s="473">
        <f t="shared" si="22"/>
        <v>6.9999999999999751</v>
      </c>
      <c r="V28" s="484">
        <f t="shared" si="21"/>
        <v>84.000000000000028</v>
      </c>
      <c r="W28" s="64">
        <f>T28</f>
        <v>0.85416666666666663</v>
      </c>
      <c r="X28" s="64">
        <f>S29</f>
        <v>0.89513888888888882</v>
      </c>
      <c r="Y28" s="569"/>
      <c r="Z28" s="570"/>
      <c r="AA28" s="61">
        <f t="shared" si="8"/>
        <v>-71.428571428571786</v>
      </c>
      <c r="AB28" s="475">
        <f t="shared" si="9"/>
        <v>0.95238095238095211</v>
      </c>
      <c r="AC28" s="566"/>
    </row>
    <row r="29" spans="1:29" ht="15.75" customHeight="1">
      <c r="A29" s="589" t="s">
        <v>2199</v>
      </c>
      <c r="B29" s="57" t="s">
        <v>6</v>
      </c>
      <c r="C29" s="585" t="s">
        <v>95</v>
      </c>
      <c r="D29" s="586"/>
      <c r="E29" s="57">
        <v>50.98</v>
      </c>
      <c r="F29" s="485">
        <v>1670</v>
      </c>
      <c r="G29" s="473">
        <f t="shared" si="19"/>
        <v>85136.599999999991</v>
      </c>
      <c r="H29" s="487" t="s">
        <v>5</v>
      </c>
      <c r="I29" s="483">
        <v>16</v>
      </c>
      <c r="J29" s="58">
        <v>2000</v>
      </c>
      <c r="K29" s="59">
        <f t="shared" si="1"/>
        <v>125</v>
      </c>
      <c r="L29" s="483">
        <v>16</v>
      </c>
      <c r="M29" s="60">
        <f t="shared" si="20"/>
        <v>1926.923076923078</v>
      </c>
      <c r="N29" s="59">
        <f t="shared" si="3"/>
        <v>120.43269230769238</v>
      </c>
      <c r="O29" s="61">
        <f t="shared" si="4"/>
        <v>0</v>
      </c>
      <c r="P29" s="62">
        <f t="shared" si="5"/>
        <v>-4.5673076923076223</v>
      </c>
      <c r="Q29" s="475">
        <f t="shared" si="6"/>
        <v>0.96346153846153904</v>
      </c>
      <c r="R29" s="566"/>
      <c r="S29" s="63">
        <v>0.89513888888888882</v>
      </c>
      <c r="T29" s="63">
        <v>0.93124999999999991</v>
      </c>
      <c r="U29" s="473">
        <f t="shared" si="22"/>
        <v>58.99999999999995</v>
      </c>
      <c r="V29" s="484">
        <f t="shared" si="21"/>
        <v>51.999999999999972</v>
      </c>
      <c r="W29" s="64"/>
      <c r="X29" s="64"/>
      <c r="Y29" s="569"/>
      <c r="Z29" s="570"/>
      <c r="AA29" s="61">
        <f t="shared" si="8"/>
        <v>-73.076923076921958</v>
      </c>
      <c r="AB29" s="475">
        <f t="shared" si="9"/>
        <v>0.96346153846153904</v>
      </c>
      <c r="AC29" s="566"/>
    </row>
    <row r="30" spans="1:29" ht="15.75" customHeight="1">
      <c r="A30" s="589" t="s">
        <v>2199</v>
      </c>
      <c r="B30" s="57" t="s">
        <v>2193</v>
      </c>
      <c r="C30" s="571"/>
      <c r="D30" s="571"/>
      <c r="E30" s="476"/>
      <c r="F30" s="485"/>
      <c r="G30" s="473"/>
      <c r="H30" s="485"/>
      <c r="I30" s="67">
        <v>16</v>
      </c>
      <c r="J30" s="58">
        <v>1888.8888888888889</v>
      </c>
      <c r="K30" s="59">
        <f t="shared" si="1"/>
        <v>118.05555555555556</v>
      </c>
      <c r="L30" s="67">
        <v>16</v>
      </c>
      <c r="M30" s="60">
        <f>AVERAGE(M21:M29)</f>
        <v>1814.2345972681342</v>
      </c>
      <c r="N30" s="59">
        <f t="shared" si="3"/>
        <v>113.38966232925839</v>
      </c>
      <c r="O30" s="61">
        <f t="shared" si="4"/>
        <v>0</v>
      </c>
      <c r="P30" s="62">
        <f t="shared" si="5"/>
        <v>-4.6658932262971717</v>
      </c>
      <c r="Q30" s="475">
        <f t="shared" si="6"/>
        <v>0.96047713973018867</v>
      </c>
      <c r="R30" s="566"/>
      <c r="S30" s="63"/>
      <c r="T30" s="63"/>
      <c r="U30" s="59"/>
      <c r="V30" s="484"/>
      <c r="W30" s="59"/>
      <c r="X30" s="59"/>
      <c r="Y30" s="559"/>
      <c r="Z30" s="559"/>
      <c r="AA30" s="61">
        <f t="shared" si="8"/>
        <v>-74.654291620754748</v>
      </c>
      <c r="AB30" s="475">
        <f t="shared" si="9"/>
        <v>0.96047713973018867</v>
      </c>
      <c r="AC30" s="566"/>
    </row>
    <row r="31" spans="1:29" ht="15.75" customHeight="1">
      <c r="A31" s="587" t="s">
        <v>2200</v>
      </c>
      <c r="B31" s="57" t="s">
        <v>15</v>
      </c>
      <c r="C31" s="584" t="s">
        <v>26</v>
      </c>
      <c r="D31" s="584"/>
      <c r="E31" s="57">
        <v>31.29</v>
      </c>
      <c r="F31" s="485">
        <v>4900</v>
      </c>
      <c r="G31" s="473">
        <f t="shared" ref="G31:G36" si="23">E31*F31</f>
        <v>153321</v>
      </c>
      <c r="H31" s="487">
        <v>2</v>
      </c>
      <c r="I31" s="483">
        <v>18</v>
      </c>
      <c r="J31" s="58">
        <v>2400</v>
      </c>
      <c r="K31" s="59">
        <f t="shared" si="1"/>
        <v>133.33333333333334</v>
      </c>
      <c r="L31" s="483">
        <v>18</v>
      </c>
      <c r="M31" s="60">
        <f t="shared" ref="M31:M36" si="24">F31/V31*60</f>
        <v>2296.875</v>
      </c>
      <c r="N31" s="59">
        <f t="shared" si="3"/>
        <v>127.60416666666667</v>
      </c>
      <c r="O31" s="61">
        <f t="shared" si="4"/>
        <v>0</v>
      </c>
      <c r="P31" s="62">
        <f t="shared" si="5"/>
        <v>-5.7291666666666714</v>
      </c>
      <c r="Q31" s="475">
        <f t="shared" si="6"/>
        <v>0.95703125</v>
      </c>
      <c r="R31" s="566">
        <f>Q37</f>
        <v>0.95506229292639933</v>
      </c>
      <c r="S31" s="63">
        <v>8.3333333333333329E-2</v>
      </c>
      <c r="T31" s="63">
        <v>0.17222222222222222</v>
      </c>
      <c r="U31" s="473"/>
      <c r="V31" s="484">
        <f t="shared" ref="V31:V36" si="25">(T31-S31)*24*60</f>
        <v>128</v>
      </c>
      <c r="W31" s="64">
        <f>T31</f>
        <v>0.17222222222222222</v>
      </c>
      <c r="X31" s="64">
        <f>S32</f>
        <v>0.1895833333333333</v>
      </c>
      <c r="Y31" s="559"/>
      <c r="Z31" s="559"/>
      <c r="AA31" s="61">
        <f t="shared" si="8"/>
        <v>-103.125</v>
      </c>
      <c r="AB31" s="475">
        <f t="shared" si="9"/>
        <v>0.95703125</v>
      </c>
      <c r="AC31" s="566">
        <f>AB37</f>
        <v>0.95506229292639921</v>
      </c>
    </row>
    <row r="32" spans="1:29" ht="15.75" customHeight="1">
      <c r="A32" s="587" t="s">
        <v>2201</v>
      </c>
      <c r="B32" s="57" t="s">
        <v>15</v>
      </c>
      <c r="C32" s="584" t="s">
        <v>23</v>
      </c>
      <c r="D32" s="584"/>
      <c r="E32" s="57">
        <v>26.2</v>
      </c>
      <c r="F32" s="485">
        <v>4703</v>
      </c>
      <c r="G32" s="473">
        <f t="shared" si="23"/>
        <v>123218.59999999999</v>
      </c>
      <c r="H32" s="487" t="s">
        <v>5</v>
      </c>
      <c r="I32" s="483">
        <v>20</v>
      </c>
      <c r="J32" s="58">
        <v>2400</v>
      </c>
      <c r="K32" s="59">
        <f t="shared" si="1"/>
        <v>120</v>
      </c>
      <c r="L32" s="483">
        <v>20</v>
      </c>
      <c r="M32" s="60">
        <f t="shared" si="24"/>
        <v>2294.146341463415</v>
      </c>
      <c r="N32" s="59">
        <f t="shared" si="3"/>
        <v>114.70731707317074</v>
      </c>
      <c r="O32" s="61">
        <f t="shared" si="4"/>
        <v>0</v>
      </c>
      <c r="P32" s="62">
        <f t="shared" si="5"/>
        <v>-5.2926829268292579</v>
      </c>
      <c r="Q32" s="475">
        <f t="shared" si="6"/>
        <v>0.95589430894308947</v>
      </c>
      <c r="R32" s="566"/>
      <c r="S32" s="63">
        <v>0.1895833333333333</v>
      </c>
      <c r="T32" s="63">
        <v>0.27499999999999997</v>
      </c>
      <c r="U32" s="473">
        <f t="shared" ref="U32:U36" si="26">(S32-T31)*24*60</f>
        <v>24.99999999999995</v>
      </c>
      <c r="V32" s="484">
        <f t="shared" si="25"/>
        <v>122.99999999999999</v>
      </c>
      <c r="W32" s="64"/>
      <c r="X32" s="64"/>
      <c r="Y32" s="559"/>
      <c r="Z32" s="559"/>
      <c r="AA32" s="61">
        <f t="shared" si="8"/>
        <v>-105.85365853658504</v>
      </c>
      <c r="AB32" s="475">
        <f t="shared" si="9"/>
        <v>0.95589430894308958</v>
      </c>
      <c r="AC32" s="566"/>
    </row>
    <row r="33" spans="1:29" ht="15.75" customHeight="1">
      <c r="A33" s="587" t="s">
        <v>87</v>
      </c>
      <c r="B33" s="57" t="s">
        <v>15</v>
      </c>
      <c r="C33" s="584" t="s">
        <v>70</v>
      </c>
      <c r="D33" s="584"/>
      <c r="E33" s="57">
        <v>25.99</v>
      </c>
      <c r="F33" s="485">
        <v>4265</v>
      </c>
      <c r="G33" s="473">
        <f t="shared" si="23"/>
        <v>110847.34999999999</v>
      </c>
      <c r="H33" s="487" t="s">
        <v>5</v>
      </c>
      <c r="I33" s="483">
        <v>14</v>
      </c>
      <c r="J33" s="58">
        <v>2400</v>
      </c>
      <c r="K33" s="59">
        <f t="shared" si="1"/>
        <v>171.42857142857142</v>
      </c>
      <c r="L33" s="483">
        <v>14</v>
      </c>
      <c r="M33" s="60">
        <f t="shared" si="24"/>
        <v>2284.8214285714289</v>
      </c>
      <c r="N33" s="59">
        <f t="shared" si="3"/>
        <v>163.20153061224491</v>
      </c>
      <c r="O33" s="61">
        <f t="shared" si="4"/>
        <v>0</v>
      </c>
      <c r="P33" s="62">
        <f t="shared" si="5"/>
        <v>-8.2270408163265074</v>
      </c>
      <c r="Q33" s="475">
        <f t="shared" si="6"/>
        <v>0.95200892857142871</v>
      </c>
      <c r="R33" s="566"/>
      <c r="S33" s="63">
        <v>0.2805555555555555</v>
      </c>
      <c r="T33" s="63">
        <v>0.35833333333333328</v>
      </c>
      <c r="U33" s="473">
        <f t="shared" si="26"/>
        <v>7.9999999999999716</v>
      </c>
      <c r="V33" s="484">
        <f t="shared" si="25"/>
        <v>112</v>
      </c>
      <c r="W33" s="64"/>
      <c r="X33" s="64"/>
      <c r="Y33" s="559"/>
      <c r="Z33" s="559"/>
      <c r="AA33" s="61">
        <f t="shared" si="8"/>
        <v>-115.1785714285711</v>
      </c>
      <c r="AB33" s="475">
        <f t="shared" si="9"/>
        <v>0.95200892857142871</v>
      </c>
      <c r="AC33" s="566"/>
    </row>
    <row r="34" spans="1:29" ht="15.75" customHeight="1">
      <c r="A34" s="587" t="s">
        <v>87</v>
      </c>
      <c r="B34" s="57" t="s">
        <v>15</v>
      </c>
      <c r="C34" s="584" t="s">
        <v>45</v>
      </c>
      <c r="D34" s="584"/>
      <c r="E34" s="57">
        <v>20.52</v>
      </c>
      <c r="F34" s="485">
        <v>4156</v>
      </c>
      <c r="G34" s="473">
        <f t="shared" si="23"/>
        <v>85281.12</v>
      </c>
      <c r="H34" s="487" t="s">
        <v>5</v>
      </c>
      <c r="I34" s="483">
        <v>18</v>
      </c>
      <c r="J34" s="58">
        <v>2400</v>
      </c>
      <c r="K34" s="59">
        <f t="shared" si="1"/>
        <v>133.33333333333334</v>
      </c>
      <c r="L34" s="483">
        <v>18</v>
      </c>
      <c r="M34" s="60">
        <f t="shared" si="24"/>
        <v>2287.7064220183483</v>
      </c>
      <c r="N34" s="59">
        <f t="shared" si="3"/>
        <v>127.09480122324157</v>
      </c>
      <c r="O34" s="61">
        <f t="shared" si="4"/>
        <v>0</v>
      </c>
      <c r="P34" s="62">
        <f t="shared" si="5"/>
        <v>-6.2385321100917679</v>
      </c>
      <c r="Q34" s="475">
        <f t="shared" si="6"/>
        <v>0.95321100917431179</v>
      </c>
      <c r="R34" s="566"/>
      <c r="S34" s="63">
        <v>0.36388888888888882</v>
      </c>
      <c r="T34" s="63">
        <v>0.43958333333333327</v>
      </c>
      <c r="U34" s="473">
        <f t="shared" si="26"/>
        <v>7.9999999999999716</v>
      </c>
      <c r="V34" s="484">
        <f t="shared" si="25"/>
        <v>109.00000000000001</v>
      </c>
      <c r="W34" s="64"/>
      <c r="X34" s="64"/>
      <c r="Y34" s="559"/>
      <c r="Z34" s="559"/>
      <c r="AA34" s="61">
        <f t="shared" si="8"/>
        <v>-112.29357798165165</v>
      </c>
      <c r="AB34" s="475">
        <f t="shared" si="9"/>
        <v>0.95321100917431179</v>
      </c>
      <c r="AC34" s="566"/>
    </row>
    <row r="35" spans="1:29" ht="15.75" customHeight="1">
      <c r="A35" s="587" t="s">
        <v>87</v>
      </c>
      <c r="B35" s="57" t="s">
        <v>15</v>
      </c>
      <c r="C35" s="584" t="s">
        <v>98</v>
      </c>
      <c r="D35" s="584"/>
      <c r="E35" s="57">
        <v>25.98</v>
      </c>
      <c r="F35" s="485">
        <v>3535</v>
      </c>
      <c r="G35" s="473">
        <f t="shared" si="23"/>
        <v>91839.3</v>
      </c>
      <c r="H35" s="487" t="s">
        <v>5</v>
      </c>
      <c r="I35" s="483">
        <v>21</v>
      </c>
      <c r="J35" s="58">
        <v>2400</v>
      </c>
      <c r="K35" s="59">
        <f t="shared" si="1"/>
        <v>114.28571428571429</v>
      </c>
      <c r="L35" s="483">
        <v>21</v>
      </c>
      <c r="M35" s="60">
        <f t="shared" si="24"/>
        <v>2305.4347826086937</v>
      </c>
      <c r="N35" s="59">
        <f t="shared" si="3"/>
        <v>109.78260869565209</v>
      </c>
      <c r="O35" s="61">
        <f t="shared" si="4"/>
        <v>0</v>
      </c>
      <c r="P35" s="62">
        <f t="shared" si="5"/>
        <v>-4.503105590062205</v>
      </c>
      <c r="Q35" s="475">
        <f t="shared" si="6"/>
        <v>0.96059782608695565</v>
      </c>
      <c r="R35" s="566"/>
      <c r="S35" s="63">
        <v>0.44374999999999992</v>
      </c>
      <c r="T35" s="63">
        <v>0.50763888888888886</v>
      </c>
      <c r="U35" s="473">
        <f t="shared" si="26"/>
        <v>5.9999999999999787</v>
      </c>
      <c r="V35" s="484">
        <f t="shared" si="25"/>
        <v>92.000000000000071</v>
      </c>
      <c r="W35" s="64">
        <f>T35</f>
        <v>0.50763888888888886</v>
      </c>
      <c r="X35" s="64">
        <f>S36</f>
        <v>0.54999999999999993</v>
      </c>
      <c r="Y35" s="559"/>
      <c r="Z35" s="559"/>
      <c r="AA35" s="61">
        <f t="shared" si="8"/>
        <v>-94.565217391306305</v>
      </c>
      <c r="AB35" s="475">
        <f t="shared" si="9"/>
        <v>0.96059782608695565</v>
      </c>
      <c r="AC35" s="566"/>
    </row>
    <row r="36" spans="1:29" ht="15.75" customHeight="1">
      <c r="A36" s="587" t="s">
        <v>87</v>
      </c>
      <c r="B36" s="57" t="s">
        <v>15</v>
      </c>
      <c r="C36" s="584" t="s">
        <v>26</v>
      </c>
      <c r="D36" s="584"/>
      <c r="E36" s="57">
        <v>31.29</v>
      </c>
      <c r="F36" s="485">
        <v>3502</v>
      </c>
      <c r="G36" s="473">
        <f t="shared" si="23"/>
        <v>109577.58</v>
      </c>
      <c r="H36" s="487" t="s">
        <v>5</v>
      </c>
      <c r="I36" s="483">
        <v>18</v>
      </c>
      <c r="J36" s="58">
        <v>2400</v>
      </c>
      <c r="K36" s="59">
        <f t="shared" si="1"/>
        <v>133.33333333333334</v>
      </c>
      <c r="L36" s="483">
        <v>18</v>
      </c>
      <c r="M36" s="60">
        <f t="shared" si="24"/>
        <v>2283.913043478261</v>
      </c>
      <c r="N36" s="59">
        <f t="shared" si="3"/>
        <v>126.8840579710145</v>
      </c>
      <c r="O36" s="61">
        <f t="shared" si="4"/>
        <v>0</v>
      </c>
      <c r="P36" s="62">
        <f t="shared" si="5"/>
        <v>-6.4492753623188435</v>
      </c>
      <c r="Q36" s="475">
        <f t="shared" si="6"/>
        <v>0.95163043478260867</v>
      </c>
      <c r="R36" s="566"/>
      <c r="S36" s="63">
        <v>0.54999999999999993</v>
      </c>
      <c r="T36" s="63">
        <v>0.61388888888888882</v>
      </c>
      <c r="U36" s="473">
        <f t="shared" si="26"/>
        <v>60.999999999999943</v>
      </c>
      <c r="V36" s="484">
        <f t="shared" si="25"/>
        <v>92</v>
      </c>
      <c r="W36" s="64"/>
      <c r="X36" s="64"/>
      <c r="Y36" s="559"/>
      <c r="Z36" s="559"/>
      <c r="AA36" s="61">
        <f t="shared" si="8"/>
        <v>-116.08695652173901</v>
      </c>
      <c r="AB36" s="475">
        <f t="shared" si="9"/>
        <v>0.95163043478260878</v>
      </c>
      <c r="AC36" s="566"/>
    </row>
    <row r="37" spans="1:29" ht="15.75" customHeight="1">
      <c r="A37" s="587" t="s">
        <v>2202</v>
      </c>
      <c r="B37" s="57" t="s">
        <v>233</v>
      </c>
      <c r="C37" s="571"/>
      <c r="D37" s="571"/>
      <c r="E37" s="476"/>
      <c r="F37" s="485"/>
      <c r="G37" s="473"/>
      <c r="H37" s="485"/>
      <c r="I37" s="67">
        <v>18.166666666666668</v>
      </c>
      <c r="J37" s="58">
        <v>2400</v>
      </c>
      <c r="K37" s="59">
        <f t="shared" si="1"/>
        <v>132.11009174311926</v>
      </c>
      <c r="L37" s="67">
        <v>18.166666666666668</v>
      </c>
      <c r="M37" s="60">
        <f>AVERAGE(M31:M36)</f>
        <v>2292.1495030233582</v>
      </c>
      <c r="N37" s="59">
        <f t="shared" si="3"/>
        <v>126.17336713890045</v>
      </c>
      <c r="O37" s="61">
        <f t="shared" si="4"/>
        <v>0</v>
      </c>
      <c r="P37" s="62">
        <f t="shared" si="5"/>
        <v>-5.93672460421881</v>
      </c>
      <c r="Q37" s="475">
        <f t="shared" si="6"/>
        <v>0.95506229292639933</v>
      </c>
      <c r="R37" s="566"/>
      <c r="S37" s="63"/>
      <c r="T37" s="63"/>
      <c r="U37" s="473"/>
      <c r="V37" s="484"/>
      <c r="W37" s="473"/>
      <c r="X37" s="473"/>
      <c r="Y37" s="559"/>
      <c r="Z37" s="559"/>
      <c r="AA37" s="61">
        <f t="shared" si="8"/>
        <v>-107.85049697664181</v>
      </c>
      <c r="AB37" s="475">
        <f t="shared" si="9"/>
        <v>0.95506229292639921</v>
      </c>
      <c r="AC37" s="566"/>
    </row>
    <row r="38" spans="1:29" ht="15.75" customHeight="1">
      <c r="A38" s="582" t="s">
        <v>2203</v>
      </c>
      <c r="B38" s="57" t="s">
        <v>15</v>
      </c>
      <c r="C38" s="560" t="s">
        <v>101</v>
      </c>
      <c r="D38" s="560"/>
      <c r="E38" s="57">
        <v>22.69</v>
      </c>
      <c r="F38" s="485">
        <v>1135</v>
      </c>
      <c r="G38" s="473">
        <f t="shared" ref="G38:G44" si="27">E38*F38</f>
        <v>25753.15</v>
      </c>
      <c r="H38" s="487" t="s">
        <v>5</v>
      </c>
      <c r="I38" s="483">
        <v>15</v>
      </c>
      <c r="J38" s="58">
        <v>2400</v>
      </c>
      <c r="K38" s="59">
        <f t="shared" si="1"/>
        <v>160</v>
      </c>
      <c r="L38" s="483">
        <v>15</v>
      </c>
      <c r="M38" s="60">
        <f t="shared" ref="M38:M44" si="28">F38/V38*60</f>
        <v>2348.2758620689656</v>
      </c>
      <c r="N38" s="59">
        <f t="shared" si="3"/>
        <v>156.55172413793105</v>
      </c>
      <c r="O38" s="61">
        <f t="shared" si="4"/>
        <v>0</v>
      </c>
      <c r="P38" s="62">
        <f t="shared" si="5"/>
        <v>-3.4482758620689538</v>
      </c>
      <c r="Q38" s="475">
        <f t="shared" si="6"/>
        <v>0.97844827586206906</v>
      </c>
      <c r="R38" s="566">
        <f>Q45</f>
        <v>0.96209351450027059</v>
      </c>
      <c r="S38" s="63">
        <v>8.3333333333333329E-2</v>
      </c>
      <c r="T38" s="63">
        <v>0.10347222222222222</v>
      </c>
      <c r="U38" s="473"/>
      <c r="V38" s="484">
        <f t="shared" ref="V38:V44" si="29">(T38-S38)*24*60</f>
        <v>28.999999999999996</v>
      </c>
      <c r="W38" s="68">
        <f>T38</f>
        <v>0.10347222222222222</v>
      </c>
      <c r="X38" s="68">
        <f>S39</f>
        <v>0.1236111111111111</v>
      </c>
      <c r="Y38" s="559"/>
      <c r="Z38" s="559"/>
      <c r="AA38" s="61">
        <f t="shared" si="8"/>
        <v>-51.72413793103442</v>
      </c>
      <c r="AB38" s="475">
        <f t="shared" si="9"/>
        <v>0.97844827586206895</v>
      </c>
      <c r="AC38" s="566">
        <f>AB45</f>
        <v>0.96209351450027059</v>
      </c>
    </row>
    <row r="39" spans="1:29" ht="15.75" customHeight="1">
      <c r="A39" s="582" t="s">
        <v>88</v>
      </c>
      <c r="B39" s="57" t="s">
        <v>15</v>
      </c>
      <c r="C39" s="560" t="s">
        <v>27</v>
      </c>
      <c r="D39" s="560"/>
      <c r="E39" s="57">
        <v>26.2</v>
      </c>
      <c r="F39" s="485">
        <v>5978</v>
      </c>
      <c r="G39" s="473">
        <f t="shared" si="27"/>
        <v>156623.6</v>
      </c>
      <c r="H39" s="487" t="s">
        <v>5</v>
      </c>
      <c r="I39" s="483">
        <v>18</v>
      </c>
      <c r="J39" s="58">
        <v>2400</v>
      </c>
      <c r="K39" s="59">
        <f t="shared" si="1"/>
        <v>133.33333333333334</v>
      </c>
      <c r="L39" s="483">
        <v>18</v>
      </c>
      <c r="M39" s="60">
        <f t="shared" si="28"/>
        <v>2284.5859872611459</v>
      </c>
      <c r="N39" s="59">
        <f t="shared" si="3"/>
        <v>126.92144373673032</v>
      </c>
      <c r="O39" s="61">
        <f t="shared" si="4"/>
        <v>0</v>
      </c>
      <c r="P39" s="62">
        <f t="shared" si="5"/>
        <v>-6.411889596603018</v>
      </c>
      <c r="Q39" s="475">
        <f t="shared" si="6"/>
        <v>0.95191082802547733</v>
      </c>
      <c r="R39" s="566"/>
      <c r="S39" s="63">
        <v>0.1236111111111111</v>
      </c>
      <c r="T39" s="63">
        <v>0.2326388888888889</v>
      </c>
      <c r="U39" s="473">
        <f t="shared" ref="U39:U44" si="30">(S39-T38)*24*60</f>
        <v>28.999999999999996</v>
      </c>
      <c r="V39" s="484">
        <f t="shared" si="29"/>
        <v>157.00000000000003</v>
      </c>
      <c r="W39" s="473"/>
      <c r="X39" s="473"/>
      <c r="Y39" s="559"/>
      <c r="Z39" s="559"/>
      <c r="AA39" s="61">
        <f t="shared" si="8"/>
        <v>-115.41401273885413</v>
      </c>
      <c r="AB39" s="475">
        <f t="shared" si="9"/>
        <v>0.95191082802547744</v>
      </c>
      <c r="AC39" s="566"/>
    </row>
    <row r="40" spans="1:29">
      <c r="A40" s="583" t="s">
        <v>2203</v>
      </c>
      <c r="B40" s="57" t="s">
        <v>15</v>
      </c>
      <c r="C40" s="560" t="s">
        <v>25</v>
      </c>
      <c r="D40" s="560"/>
      <c r="E40" s="57">
        <v>26.18</v>
      </c>
      <c r="F40" s="485">
        <v>2249</v>
      </c>
      <c r="G40" s="473">
        <f t="shared" si="27"/>
        <v>58878.82</v>
      </c>
      <c r="H40" s="487" t="s">
        <v>5</v>
      </c>
      <c r="I40" s="483">
        <v>19</v>
      </c>
      <c r="J40" s="58">
        <v>2400</v>
      </c>
      <c r="K40" s="59">
        <f t="shared" si="1"/>
        <v>126.31578947368421</v>
      </c>
      <c r="L40" s="483">
        <v>19</v>
      </c>
      <c r="M40" s="60">
        <f t="shared" si="28"/>
        <v>2287.118644067797</v>
      </c>
      <c r="N40" s="59">
        <f t="shared" si="3"/>
        <v>120.37466547725248</v>
      </c>
      <c r="O40" s="61">
        <f t="shared" si="4"/>
        <v>0</v>
      </c>
      <c r="P40" s="62">
        <f t="shared" si="5"/>
        <v>-5.9411239964317275</v>
      </c>
      <c r="Q40" s="475">
        <f t="shared" si="6"/>
        <v>0.95296610169491547</v>
      </c>
      <c r="R40" s="566"/>
      <c r="S40" s="63">
        <v>0.23819444444444446</v>
      </c>
      <c r="T40" s="63">
        <v>0.27916666666666667</v>
      </c>
      <c r="U40" s="473">
        <f t="shared" si="30"/>
        <v>8.0000000000000107</v>
      </c>
      <c r="V40" s="484">
        <f t="shared" si="29"/>
        <v>58.999999999999993</v>
      </c>
      <c r="W40" s="473"/>
      <c r="X40" s="473"/>
      <c r="Y40" s="559"/>
      <c r="Z40" s="559"/>
      <c r="AA40" s="61">
        <f t="shared" si="8"/>
        <v>-112.88135593220295</v>
      </c>
      <c r="AB40" s="475">
        <f t="shared" si="9"/>
        <v>0.95296610169491547</v>
      </c>
      <c r="AC40" s="566"/>
    </row>
    <row r="41" spans="1:29">
      <c r="A41" s="583" t="s">
        <v>88</v>
      </c>
      <c r="B41" s="57" t="s">
        <v>15</v>
      </c>
      <c r="C41" s="560" t="s">
        <v>28</v>
      </c>
      <c r="D41" s="560"/>
      <c r="E41" s="57">
        <v>26.39</v>
      </c>
      <c r="F41" s="485">
        <v>5776</v>
      </c>
      <c r="G41" s="473">
        <f t="shared" si="27"/>
        <v>152428.64000000001</v>
      </c>
      <c r="H41" s="487" t="s">
        <v>5</v>
      </c>
      <c r="I41" s="483">
        <v>19</v>
      </c>
      <c r="J41" s="58">
        <v>2400</v>
      </c>
      <c r="K41" s="59">
        <f t="shared" si="1"/>
        <v>126.31578947368421</v>
      </c>
      <c r="L41" s="483">
        <v>19</v>
      </c>
      <c r="M41" s="60">
        <f t="shared" si="28"/>
        <v>2295.0993377483437</v>
      </c>
      <c r="N41" s="59">
        <f t="shared" si="3"/>
        <v>120.79470198675493</v>
      </c>
      <c r="O41" s="61">
        <f t="shared" si="4"/>
        <v>0</v>
      </c>
      <c r="P41" s="62">
        <f t="shared" si="5"/>
        <v>-5.5210874869292752</v>
      </c>
      <c r="Q41" s="475">
        <f t="shared" si="6"/>
        <v>0.95629139072847658</v>
      </c>
      <c r="R41" s="566"/>
      <c r="S41" s="63">
        <v>0.28263888888888888</v>
      </c>
      <c r="T41" s="63">
        <v>0.38750000000000001</v>
      </c>
      <c r="U41" s="473">
        <f t="shared" si="30"/>
        <v>4.9999999999999822</v>
      </c>
      <c r="V41" s="484">
        <f t="shared" si="29"/>
        <v>151.00000000000003</v>
      </c>
      <c r="W41" s="64"/>
      <c r="X41" s="64"/>
      <c r="Y41" s="559"/>
      <c r="Z41" s="559"/>
      <c r="AA41" s="61">
        <f t="shared" si="8"/>
        <v>-104.90066225165629</v>
      </c>
      <c r="AB41" s="475">
        <f t="shared" si="9"/>
        <v>0.95629139072847658</v>
      </c>
      <c r="AC41" s="566"/>
    </row>
    <row r="42" spans="1:29">
      <c r="A42" s="583" t="s">
        <v>88</v>
      </c>
      <c r="B42" s="57" t="s">
        <v>15</v>
      </c>
      <c r="C42" s="560" t="s">
        <v>658</v>
      </c>
      <c r="D42" s="560"/>
      <c r="E42" s="57">
        <v>22.69</v>
      </c>
      <c r="F42" s="485">
        <v>3324</v>
      </c>
      <c r="G42" s="473">
        <f t="shared" si="27"/>
        <v>75421.56</v>
      </c>
      <c r="H42" s="487" t="s">
        <v>5</v>
      </c>
      <c r="I42" s="483">
        <v>15</v>
      </c>
      <c r="J42" s="58">
        <v>2400</v>
      </c>
      <c r="K42" s="59">
        <f t="shared" si="1"/>
        <v>160</v>
      </c>
      <c r="L42" s="483">
        <v>15</v>
      </c>
      <c r="M42" s="60">
        <f t="shared" si="28"/>
        <v>2292.4137931034479</v>
      </c>
      <c r="N42" s="59">
        <f t="shared" si="3"/>
        <v>152.82758620689654</v>
      </c>
      <c r="O42" s="61">
        <f t="shared" si="4"/>
        <v>0</v>
      </c>
      <c r="P42" s="62">
        <f t="shared" si="5"/>
        <v>-7.1724137931034591</v>
      </c>
      <c r="Q42" s="475">
        <f t="shared" si="6"/>
        <v>0.95517241379310336</v>
      </c>
      <c r="R42" s="566"/>
      <c r="S42" s="63">
        <v>0.39166666666666666</v>
      </c>
      <c r="T42" s="63">
        <v>0.45208333333333334</v>
      </c>
      <c r="U42" s="473">
        <f t="shared" si="30"/>
        <v>5.9999999999999787</v>
      </c>
      <c r="V42" s="484">
        <f t="shared" si="29"/>
        <v>87.000000000000014</v>
      </c>
      <c r="W42" s="64"/>
      <c r="X42" s="64"/>
      <c r="Y42" s="559"/>
      <c r="Z42" s="559"/>
      <c r="AA42" s="61">
        <f t="shared" si="8"/>
        <v>-107.58620689655208</v>
      </c>
      <c r="AB42" s="475">
        <f t="shared" si="9"/>
        <v>0.95517241379310325</v>
      </c>
      <c r="AC42" s="566"/>
    </row>
    <row r="43" spans="1:29">
      <c r="A43" s="583" t="s">
        <v>88</v>
      </c>
      <c r="B43" s="57" t="s">
        <v>15</v>
      </c>
      <c r="C43" s="560" t="s">
        <v>16</v>
      </c>
      <c r="D43" s="560"/>
      <c r="E43" s="57">
        <v>24.45</v>
      </c>
      <c r="F43" s="485">
        <v>2397</v>
      </c>
      <c r="G43" s="473">
        <f t="shared" si="27"/>
        <v>58606.65</v>
      </c>
      <c r="H43" s="487" t="s">
        <v>5</v>
      </c>
      <c r="I43" s="483">
        <v>20</v>
      </c>
      <c r="J43" s="58">
        <v>2400</v>
      </c>
      <c r="K43" s="59">
        <f t="shared" si="1"/>
        <v>120</v>
      </c>
      <c r="L43" s="483">
        <v>20</v>
      </c>
      <c r="M43" s="60">
        <f t="shared" si="28"/>
        <v>2319.6774193548381</v>
      </c>
      <c r="N43" s="59">
        <f t="shared" si="3"/>
        <v>115.98387096774191</v>
      </c>
      <c r="O43" s="61">
        <f t="shared" si="4"/>
        <v>0</v>
      </c>
      <c r="P43" s="62">
        <f t="shared" si="5"/>
        <v>-4.0161290322580925</v>
      </c>
      <c r="Q43" s="475">
        <f t="shared" si="6"/>
        <v>0.96653225806451593</v>
      </c>
      <c r="R43" s="566"/>
      <c r="S43" s="63">
        <v>0.45694444444444443</v>
      </c>
      <c r="T43" s="63">
        <v>0.5</v>
      </c>
      <c r="U43" s="473">
        <f t="shared" si="30"/>
        <v>6.9999999999999751</v>
      </c>
      <c r="V43" s="484">
        <f t="shared" si="29"/>
        <v>62.000000000000021</v>
      </c>
      <c r="W43" s="64"/>
      <c r="X43" s="64"/>
      <c r="Y43" s="559"/>
      <c r="Z43" s="559"/>
      <c r="AA43" s="61">
        <f t="shared" si="8"/>
        <v>-80.322580645161906</v>
      </c>
      <c r="AB43" s="475">
        <f t="shared" si="9"/>
        <v>0.96653225806451593</v>
      </c>
      <c r="AC43" s="566"/>
    </row>
    <row r="44" spans="1:29">
      <c r="A44" s="583" t="s">
        <v>2204</v>
      </c>
      <c r="B44" s="57" t="s">
        <v>15</v>
      </c>
      <c r="C44" s="560" t="s">
        <v>100</v>
      </c>
      <c r="D44" s="560"/>
      <c r="E44" s="57">
        <v>28.51</v>
      </c>
      <c r="F44" s="485">
        <v>584</v>
      </c>
      <c r="G44" s="473">
        <f t="shared" si="27"/>
        <v>16649.84</v>
      </c>
      <c r="H44" s="487" t="s">
        <v>5</v>
      </c>
      <c r="I44" s="483">
        <v>16</v>
      </c>
      <c r="J44" s="58">
        <v>2400</v>
      </c>
      <c r="K44" s="59">
        <f t="shared" si="1"/>
        <v>150</v>
      </c>
      <c r="L44" s="483">
        <v>16</v>
      </c>
      <c r="M44" s="60">
        <f t="shared" si="28"/>
        <v>2336.0000000000082</v>
      </c>
      <c r="N44" s="59">
        <f t="shared" si="3"/>
        <v>146.00000000000051</v>
      </c>
      <c r="O44" s="61">
        <f t="shared" si="4"/>
        <v>0</v>
      </c>
      <c r="P44" s="62">
        <f t="shared" si="5"/>
        <v>-3.9999999999994884</v>
      </c>
      <c r="Q44" s="475">
        <f t="shared" si="6"/>
        <v>0.97333333333333671</v>
      </c>
      <c r="R44" s="566"/>
      <c r="S44" s="63">
        <v>0.50555555555555554</v>
      </c>
      <c r="T44" s="63">
        <v>0.51597222222222217</v>
      </c>
      <c r="U44" s="473">
        <f t="shared" si="30"/>
        <v>7.9999999999999716</v>
      </c>
      <c r="V44" s="484">
        <f t="shared" si="29"/>
        <v>14.999999999999947</v>
      </c>
      <c r="W44" s="64"/>
      <c r="X44" s="64"/>
      <c r="Y44" s="569"/>
      <c r="Z44" s="570"/>
      <c r="AA44" s="61">
        <f t="shared" si="8"/>
        <v>-63.999999999991815</v>
      </c>
      <c r="AB44" s="475">
        <f t="shared" si="9"/>
        <v>0.97333333333333671</v>
      </c>
      <c r="AC44" s="566"/>
    </row>
    <row r="45" spans="1:29">
      <c r="A45" s="583" t="s">
        <v>88</v>
      </c>
      <c r="B45" s="66" t="s">
        <v>233</v>
      </c>
      <c r="C45" s="571"/>
      <c r="D45" s="571"/>
      <c r="E45" s="476"/>
      <c r="F45" s="66"/>
      <c r="G45" s="59"/>
      <c r="H45" s="485"/>
      <c r="I45" s="67">
        <v>17.428571428571427</v>
      </c>
      <c r="J45" s="58">
        <v>2400</v>
      </c>
      <c r="K45" s="59">
        <f t="shared" si="1"/>
        <v>137.70491803278691</v>
      </c>
      <c r="L45" s="67">
        <v>17.428571428571427</v>
      </c>
      <c r="M45" s="60">
        <f>AVERAGE(M38:M44)</f>
        <v>2309.0244348006495</v>
      </c>
      <c r="N45" s="59">
        <f t="shared" si="3"/>
        <v>132.48500855413565</v>
      </c>
      <c r="O45" s="61">
        <f t="shared" si="4"/>
        <v>0</v>
      </c>
      <c r="P45" s="62">
        <f t="shared" si="5"/>
        <v>-5.2199094786512603</v>
      </c>
      <c r="Q45" s="475">
        <f t="shared" si="6"/>
        <v>0.96209351450027059</v>
      </c>
      <c r="R45" s="566"/>
      <c r="S45" s="63"/>
      <c r="T45" s="63"/>
      <c r="U45" s="59"/>
      <c r="V45" s="484"/>
      <c r="W45" s="59"/>
      <c r="X45" s="59"/>
      <c r="Y45" s="559"/>
      <c r="Z45" s="559"/>
      <c r="AA45" s="61">
        <f t="shared" si="8"/>
        <v>-90.975565199350513</v>
      </c>
      <c r="AB45" s="475">
        <f t="shared" si="9"/>
        <v>0.96209351450027059</v>
      </c>
      <c r="AC45" s="566"/>
    </row>
    <row r="46" spans="1:29" ht="15.75" customHeight="1">
      <c r="A46" s="576" t="s">
        <v>244</v>
      </c>
      <c r="B46" s="57" t="s">
        <v>31</v>
      </c>
      <c r="C46" s="567" t="s">
        <v>32</v>
      </c>
      <c r="D46" s="568"/>
      <c r="E46" s="57">
        <v>21.13</v>
      </c>
      <c r="F46" s="485">
        <v>5180</v>
      </c>
      <c r="G46" s="473">
        <f t="shared" ref="G46:G51" si="31">E46*F46</f>
        <v>109453.4</v>
      </c>
      <c r="H46" s="487" t="s">
        <v>5</v>
      </c>
      <c r="I46" s="483">
        <v>10</v>
      </c>
      <c r="J46" s="58">
        <v>3000</v>
      </c>
      <c r="K46" s="59">
        <f t="shared" si="1"/>
        <v>300</v>
      </c>
      <c r="L46" s="483">
        <v>10</v>
      </c>
      <c r="M46" s="60">
        <f t="shared" ref="M46:M51" si="32">F46/V46*60</f>
        <v>2877.7777777777783</v>
      </c>
      <c r="N46" s="60">
        <f t="shared" si="3"/>
        <v>287.77777777777783</v>
      </c>
      <c r="O46" s="61">
        <f t="shared" si="4"/>
        <v>0</v>
      </c>
      <c r="P46" s="62">
        <f t="shared" si="5"/>
        <v>-12.222222222222172</v>
      </c>
      <c r="Q46" s="475">
        <f t="shared" si="6"/>
        <v>0.95925925925925948</v>
      </c>
      <c r="R46" s="579">
        <f>Q52</f>
        <v>0.95739506387765239</v>
      </c>
      <c r="S46" s="63">
        <v>8.3333333333333329E-2</v>
      </c>
      <c r="T46" s="63">
        <v>0.15833333333333333</v>
      </c>
      <c r="U46" s="68"/>
      <c r="V46" s="484">
        <f t="shared" ref="V46:V51" si="33">(T46-S46)*24*60</f>
        <v>107.99999999999999</v>
      </c>
      <c r="W46" s="64">
        <f>T46</f>
        <v>0.15833333333333333</v>
      </c>
      <c r="X46" s="64">
        <f>S47</f>
        <v>0.17777777777777776</v>
      </c>
      <c r="Y46" s="569"/>
      <c r="Z46" s="570"/>
      <c r="AA46" s="61">
        <f t="shared" si="8"/>
        <v>-122.22222222222172</v>
      </c>
      <c r="AB46" s="475">
        <f t="shared" si="9"/>
        <v>0.95925925925925948</v>
      </c>
      <c r="AC46" s="579">
        <f>AB52</f>
        <v>0.95739506387765239</v>
      </c>
    </row>
    <row r="47" spans="1:29" ht="15.75" customHeight="1">
      <c r="A47" s="577" t="s">
        <v>244</v>
      </c>
      <c r="B47" s="57" t="s">
        <v>31</v>
      </c>
      <c r="C47" s="567" t="s">
        <v>33</v>
      </c>
      <c r="D47" s="568"/>
      <c r="E47" s="57">
        <v>27.17</v>
      </c>
      <c r="F47" s="485">
        <v>6546</v>
      </c>
      <c r="G47" s="473">
        <f t="shared" si="31"/>
        <v>177854.82</v>
      </c>
      <c r="H47" s="487" t="s">
        <v>5</v>
      </c>
      <c r="I47" s="483">
        <v>10</v>
      </c>
      <c r="J47" s="58">
        <v>3000</v>
      </c>
      <c r="K47" s="59">
        <f t="shared" si="1"/>
        <v>300</v>
      </c>
      <c r="L47" s="483">
        <v>10</v>
      </c>
      <c r="M47" s="60">
        <f t="shared" si="32"/>
        <v>2866.8613138686133</v>
      </c>
      <c r="N47" s="60">
        <f t="shared" si="3"/>
        <v>286.68613138686135</v>
      </c>
      <c r="O47" s="61">
        <f t="shared" si="4"/>
        <v>0</v>
      </c>
      <c r="P47" s="62">
        <f t="shared" si="5"/>
        <v>-13.313868613138652</v>
      </c>
      <c r="Q47" s="475">
        <f t="shared" si="6"/>
        <v>0.95562043795620444</v>
      </c>
      <c r="R47" s="580"/>
      <c r="S47" s="63">
        <v>0.17777777777777776</v>
      </c>
      <c r="T47" s="63">
        <v>0.27291666666666664</v>
      </c>
      <c r="U47" s="473">
        <f t="shared" ref="U47:U51" si="34">(S47-T46)*24*60</f>
        <v>27.999999999999979</v>
      </c>
      <c r="V47" s="484">
        <f t="shared" si="33"/>
        <v>137</v>
      </c>
      <c r="W47" s="64"/>
      <c r="X47" s="64"/>
      <c r="Y47" s="569"/>
      <c r="Z47" s="570"/>
      <c r="AA47" s="61">
        <f t="shared" si="8"/>
        <v>-133.13868613138675</v>
      </c>
      <c r="AB47" s="475">
        <f t="shared" si="9"/>
        <v>0.95562043795620444</v>
      </c>
      <c r="AC47" s="580"/>
    </row>
    <row r="48" spans="1:29" ht="15.75" customHeight="1">
      <c r="A48" s="577" t="s">
        <v>244</v>
      </c>
      <c r="B48" s="57" t="s">
        <v>31</v>
      </c>
      <c r="C48" s="567" t="s">
        <v>34</v>
      </c>
      <c r="D48" s="568"/>
      <c r="E48" s="57">
        <v>35.119999999999997</v>
      </c>
      <c r="F48" s="485">
        <v>4518</v>
      </c>
      <c r="G48" s="473">
        <f t="shared" si="31"/>
        <v>158672.15999999997</v>
      </c>
      <c r="H48" s="487" t="s">
        <v>5</v>
      </c>
      <c r="I48" s="483">
        <v>10</v>
      </c>
      <c r="J48" s="58">
        <v>3000</v>
      </c>
      <c r="K48" s="59">
        <f t="shared" si="1"/>
        <v>300</v>
      </c>
      <c r="L48" s="483">
        <v>10</v>
      </c>
      <c r="M48" s="60">
        <f t="shared" si="32"/>
        <v>2883.8297872340431</v>
      </c>
      <c r="N48" s="60">
        <f t="shared" si="3"/>
        <v>288.38297872340434</v>
      </c>
      <c r="O48" s="61">
        <f t="shared" si="4"/>
        <v>0</v>
      </c>
      <c r="P48" s="62">
        <f t="shared" si="5"/>
        <v>-11.617021276595665</v>
      </c>
      <c r="Q48" s="475">
        <f t="shared" si="6"/>
        <v>0.96127659574468116</v>
      </c>
      <c r="R48" s="580"/>
      <c r="S48" s="63">
        <v>0.27708333333333329</v>
      </c>
      <c r="T48" s="63">
        <v>0.34236111111111106</v>
      </c>
      <c r="U48" s="473">
        <f t="shared" si="34"/>
        <v>5.9999999999999787</v>
      </c>
      <c r="V48" s="484">
        <f t="shared" si="33"/>
        <v>93.999999999999986</v>
      </c>
      <c r="W48" s="64"/>
      <c r="X48" s="64"/>
      <c r="Y48" s="569"/>
      <c r="Z48" s="570"/>
      <c r="AA48" s="61">
        <f t="shared" si="8"/>
        <v>-116.17021276595688</v>
      </c>
      <c r="AB48" s="475">
        <f t="shared" si="9"/>
        <v>0.96127659574468105</v>
      </c>
      <c r="AC48" s="580"/>
    </row>
    <row r="49" spans="1:29" ht="15.75" customHeight="1">
      <c r="A49" s="577" t="s">
        <v>244</v>
      </c>
      <c r="B49" s="57" t="s">
        <v>31</v>
      </c>
      <c r="C49" s="567" t="s">
        <v>71</v>
      </c>
      <c r="D49" s="568"/>
      <c r="E49" s="57">
        <v>31</v>
      </c>
      <c r="F49" s="485">
        <v>2008</v>
      </c>
      <c r="G49" s="473">
        <f t="shared" si="31"/>
        <v>62248</v>
      </c>
      <c r="H49" s="487" t="s">
        <v>5</v>
      </c>
      <c r="I49" s="483">
        <v>13</v>
      </c>
      <c r="J49" s="58">
        <v>2000</v>
      </c>
      <c r="K49" s="59">
        <f t="shared" si="1"/>
        <v>153.84615384615384</v>
      </c>
      <c r="L49" s="483">
        <v>13</v>
      </c>
      <c r="M49" s="60">
        <f t="shared" si="32"/>
        <v>1912.3809523809521</v>
      </c>
      <c r="N49" s="60">
        <f t="shared" si="3"/>
        <v>147.1062271062271</v>
      </c>
      <c r="O49" s="61">
        <f t="shared" si="4"/>
        <v>0</v>
      </c>
      <c r="P49" s="62">
        <f t="shared" si="5"/>
        <v>-6.7399267399267444</v>
      </c>
      <c r="Q49" s="475">
        <f t="shared" si="6"/>
        <v>0.95619047619047615</v>
      </c>
      <c r="R49" s="580"/>
      <c r="S49" s="63">
        <v>0.34722222222222215</v>
      </c>
      <c r="T49" s="63">
        <v>0.39097222222222217</v>
      </c>
      <c r="U49" s="473">
        <f t="shared" si="34"/>
        <v>6.9999999999999751</v>
      </c>
      <c r="V49" s="484">
        <f t="shared" si="33"/>
        <v>63.000000000000014</v>
      </c>
      <c r="W49" s="64"/>
      <c r="X49" s="64"/>
      <c r="Y49" s="569"/>
      <c r="Z49" s="570"/>
      <c r="AA49" s="61">
        <f t="shared" si="8"/>
        <v>-87.619047619047933</v>
      </c>
      <c r="AB49" s="475">
        <f t="shared" si="9"/>
        <v>0.95619047619047604</v>
      </c>
      <c r="AC49" s="580"/>
    </row>
    <row r="50" spans="1:29" ht="15.75" customHeight="1">
      <c r="A50" s="577" t="s">
        <v>244</v>
      </c>
      <c r="B50" s="57" t="s">
        <v>31</v>
      </c>
      <c r="C50" s="567" t="s">
        <v>659</v>
      </c>
      <c r="D50" s="568"/>
      <c r="E50" s="57">
        <v>37.880000000000003</v>
      </c>
      <c r="F50" s="485">
        <v>2276</v>
      </c>
      <c r="G50" s="473">
        <f t="shared" si="31"/>
        <v>86214.88</v>
      </c>
      <c r="H50" s="487" t="s">
        <v>5</v>
      </c>
      <c r="I50" s="483">
        <v>14</v>
      </c>
      <c r="J50" s="58">
        <v>2000</v>
      </c>
      <c r="K50" s="59">
        <f t="shared" si="1"/>
        <v>142.85714285714286</v>
      </c>
      <c r="L50" s="483">
        <v>14</v>
      </c>
      <c r="M50" s="60">
        <f t="shared" si="32"/>
        <v>1923.3802816901414</v>
      </c>
      <c r="N50" s="60">
        <f t="shared" si="3"/>
        <v>137.38430583501011</v>
      </c>
      <c r="O50" s="61">
        <f t="shared" si="4"/>
        <v>0</v>
      </c>
      <c r="P50" s="62">
        <f t="shared" si="5"/>
        <v>-5.4728370221327509</v>
      </c>
      <c r="Q50" s="475">
        <f t="shared" si="6"/>
        <v>0.96169014084507076</v>
      </c>
      <c r="R50" s="580"/>
      <c r="S50" s="63">
        <v>0.39513888888888882</v>
      </c>
      <c r="T50" s="63">
        <v>0.44444444444444436</v>
      </c>
      <c r="U50" s="473">
        <f t="shared" si="34"/>
        <v>5.9999999999999787</v>
      </c>
      <c r="V50" s="484">
        <f t="shared" si="33"/>
        <v>70.999999999999986</v>
      </c>
      <c r="W50" s="64"/>
      <c r="X50" s="64"/>
      <c r="Y50" s="569"/>
      <c r="Z50" s="570"/>
      <c r="AA50" s="61">
        <f t="shared" si="8"/>
        <v>-76.619718309858627</v>
      </c>
      <c r="AB50" s="475">
        <f t="shared" si="9"/>
        <v>0.96169014084507065</v>
      </c>
      <c r="AC50" s="580"/>
    </row>
    <row r="51" spans="1:29" ht="15.75" customHeight="1">
      <c r="A51" s="577" t="s">
        <v>2205</v>
      </c>
      <c r="B51" s="57" t="s">
        <v>31</v>
      </c>
      <c r="C51" s="567" t="s">
        <v>1778</v>
      </c>
      <c r="D51" s="568"/>
      <c r="E51" s="57">
        <v>32.020000000000003</v>
      </c>
      <c r="F51" s="485">
        <v>2093</v>
      </c>
      <c r="G51" s="473">
        <f t="shared" si="31"/>
        <v>67017.86</v>
      </c>
      <c r="H51" s="487" t="s">
        <v>5</v>
      </c>
      <c r="I51" s="483">
        <v>11</v>
      </c>
      <c r="J51" s="58">
        <v>3000</v>
      </c>
      <c r="K51" s="59">
        <f t="shared" si="1"/>
        <v>272.72727272727275</v>
      </c>
      <c r="L51" s="483">
        <v>11</v>
      </c>
      <c r="M51" s="60">
        <f t="shared" si="32"/>
        <v>2854.090909090909</v>
      </c>
      <c r="N51" s="60">
        <f t="shared" si="3"/>
        <v>259.46280991735534</v>
      </c>
      <c r="O51" s="61">
        <f t="shared" si="4"/>
        <v>0</v>
      </c>
      <c r="P51" s="62">
        <f t="shared" si="5"/>
        <v>-13.264462809917404</v>
      </c>
      <c r="Q51" s="475">
        <f t="shared" si="6"/>
        <v>0.95136363636363619</v>
      </c>
      <c r="R51" s="580"/>
      <c r="S51" s="63">
        <v>0.44791666666666657</v>
      </c>
      <c r="T51" s="63">
        <v>0.47847222222222213</v>
      </c>
      <c r="U51" s="473">
        <f t="shared" si="34"/>
        <v>4.9999999999999822</v>
      </c>
      <c r="V51" s="484">
        <f t="shared" si="33"/>
        <v>44</v>
      </c>
      <c r="W51" s="64"/>
      <c r="X51" s="64"/>
      <c r="Y51" s="569"/>
      <c r="Z51" s="570"/>
      <c r="AA51" s="61">
        <f t="shared" si="8"/>
        <v>-145.90909090909099</v>
      </c>
      <c r="AB51" s="475">
        <f t="shared" si="9"/>
        <v>0.9513636363636363</v>
      </c>
      <c r="AC51" s="580"/>
    </row>
    <row r="52" spans="1:29" ht="15.75" customHeight="1">
      <c r="A52" s="578" t="s">
        <v>244</v>
      </c>
      <c r="B52" s="57" t="s">
        <v>233</v>
      </c>
      <c r="C52" s="561"/>
      <c r="D52" s="562"/>
      <c r="E52" s="474"/>
      <c r="F52" s="485"/>
      <c r="G52" s="473"/>
      <c r="H52" s="485"/>
      <c r="I52" s="67">
        <v>11.333333333333334</v>
      </c>
      <c r="J52" s="58">
        <v>2666.6666666666665</v>
      </c>
      <c r="K52" s="59">
        <f t="shared" si="1"/>
        <v>235.29411764705881</v>
      </c>
      <c r="L52" s="67">
        <v>11.333333333333334</v>
      </c>
      <c r="M52" s="60">
        <f>AVERAGE(M46:M51)</f>
        <v>2553.0535036737397</v>
      </c>
      <c r="N52" s="59">
        <f t="shared" si="3"/>
        <v>225.26942679474172</v>
      </c>
      <c r="O52" s="61">
        <f t="shared" si="4"/>
        <v>0</v>
      </c>
      <c r="P52" s="62">
        <f t="shared" si="5"/>
        <v>-10.024690852317093</v>
      </c>
      <c r="Q52" s="475">
        <f t="shared" si="6"/>
        <v>0.95739506387765239</v>
      </c>
      <c r="R52" s="581"/>
      <c r="S52" s="63"/>
      <c r="T52" s="63"/>
      <c r="U52" s="473"/>
      <c r="V52" s="484"/>
      <c r="W52" s="64"/>
      <c r="X52" s="64"/>
      <c r="Y52" s="569"/>
      <c r="Z52" s="570"/>
      <c r="AA52" s="61">
        <f t="shared" si="8"/>
        <v>-113.61316299292685</v>
      </c>
      <c r="AB52" s="475">
        <f t="shared" si="9"/>
        <v>0.95739506387765239</v>
      </c>
      <c r="AC52" s="581"/>
    </row>
    <row r="53" spans="1:29" ht="15.75" customHeight="1">
      <c r="A53" s="574" t="s">
        <v>2206</v>
      </c>
      <c r="B53" s="57" t="s">
        <v>10</v>
      </c>
      <c r="C53" s="560" t="s">
        <v>37</v>
      </c>
      <c r="D53" s="560"/>
      <c r="E53" s="57">
        <v>46</v>
      </c>
      <c r="F53" s="69">
        <v>1647</v>
      </c>
      <c r="G53" s="473">
        <f t="shared" ref="G53:G60" si="35">E53*F53</f>
        <v>75762</v>
      </c>
      <c r="H53" s="487" t="s">
        <v>5</v>
      </c>
      <c r="I53" s="483">
        <v>17</v>
      </c>
      <c r="J53" s="58">
        <v>2000</v>
      </c>
      <c r="K53" s="59">
        <f t="shared" si="1"/>
        <v>117.64705882352941</v>
      </c>
      <c r="L53" s="483">
        <v>17</v>
      </c>
      <c r="M53" s="60">
        <f t="shared" ref="M53:M60" si="36">F53/V53*60</f>
        <v>1937.6470588235288</v>
      </c>
      <c r="N53" s="60">
        <f t="shared" si="3"/>
        <v>113.97923875432522</v>
      </c>
      <c r="O53" s="61">
        <f t="shared" si="4"/>
        <v>0</v>
      </c>
      <c r="P53" s="62">
        <f t="shared" si="5"/>
        <v>-3.6678200692041827</v>
      </c>
      <c r="Q53" s="475">
        <f t="shared" si="6"/>
        <v>0.96882352941176442</v>
      </c>
      <c r="R53" s="566">
        <f>Q61</f>
        <v>0.8905894349075234</v>
      </c>
      <c r="S53" s="63">
        <v>0.20833333333333334</v>
      </c>
      <c r="T53" s="63">
        <v>0.24375000000000002</v>
      </c>
      <c r="U53" s="68"/>
      <c r="V53" s="484">
        <f t="shared" ref="V53:V60" si="37">(T53-S53)*24*60</f>
        <v>51.000000000000021</v>
      </c>
      <c r="W53" s="68"/>
      <c r="X53" s="68"/>
      <c r="Y53" s="559"/>
      <c r="Z53" s="559"/>
      <c r="AA53" s="61">
        <f t="shared" si="8"/>
        <v>-62.352941176471177</v>
      </c>
      <c r="AB53" s="475">
        <f t="shared" si="9"/>
        <v>0.96882352941176442</v>
      </c>
      <c r="AC53" s="566">
        <f>AB61</f>
        <v>0.89058943490752351</v>
      </c>
    </row>
    <row r="54" spans="1:29" ht="15.75" customHeight="1">
      <c r="A54" s="574" t="s">
        <v>2206</v>
      </c>
      <c r="B54" s="57" t="s">
        <v>10</v>
      </c>
      <c r="C54" s="560" t="s">
        <v>38</v>
      </c>
      <c r="D54" s="560"/>
      <c r="E54" s="57">
        <v>46</v>
      </c>
      <c r="F54" s="69">
        <v>1792</v>
      </c>
      <c r="G54" s="473">
        <f t="shared" si="35"/>
        <v>82432</v>
      </c>
      <c r="H54" s="487" t="s">
        <v>5</v>
      </c>
      <c r="I54" s="483">
        <v>17</v>
      </c>
      <c r="J54" s="58">
        <v>2000</v>
      </c>
      <c r="K54" s="59">
        <f t="shared" si="1"/>
        <v>117.64705882352941</v>
      </c>
      <c r="L54" s="483">
        <v>17</v>
      </c>
      <c r="M54" s="60">
        <f t="shared" si="36"/>
        <v>1920</v>
      </c>
      <c r="N54" s="60">
        <f t="shared" si="3"/>
        <v>112.94117647058823</v>
      </c>
      <c r="O54" s="61">
        <f t="shared" si="4"/>
        <v>0</v>
      </c>
      <c r="P54" s="62">
        <f t="shared" si="5"/>
        <v>-4.705882352941174</v>
      </c>
      <c r="Q54" s="475">
        <f t="shared" si="6"/>
        <v>0.96</v>
      </c>
      <c r="R54" s="566"/>
      <c r="S54" s="63">
        <v>0.2479166666666667</v>
      </c>
      <c r="T54" s="63">
        <v>0.28680555555555559</v>
      </c>
      <c r="U54" s="473">
        <f t="shared" ref="U54:U60" si="38">IF(S54=TIME(17,0,0),"",(S54-T53)*24*60)</f>
        <v>6.0000000000000187</v>
      </c>
      <c r="V54" s="484">
        <f t="shared" si="37"/>
        <v>56</v>
      </c>
      <c r="W54" s="64"/>
      <c r="X54" s="64"/>
      <c r="Y54" s="559"/>
      <c r="Z54" s="559"/>
      <c r="AA54" s="61">
        <f t="shared" si="8"/>
        <v>-80</v>
      </c>
      <c r="AB54" s="475">
        <f t="shared" si="9"/>
        <v>0.96</v>
      </c>
      <c r="AC54" s="566"/>
    </row>
    <row r="55" spans="1:29" ht="15.75" customHeight="1">
      <c r="A55" s="574" t="s">
        <v>117</v>
      </c>
      <c r="B55" s="57" t="s">
        <v>6</v>
      </c>
      <c r="C55" s="567" t="s">
        <v>1181</v>
      </c>
      <c r="D55" s="568"/>
      <c r="E55" s="57">
        <v>51.86</v>
      </c>
      <c r="F55" s="69">
        <v>1270</v>
      </c>
      <c r="G55" s="473">
        <f t="shared" si="35"/>
        <v>65862.2</v>
      </c>
      <c r="H55" s="487" t="s">
        <v>5</v>
      </c>
      <c r="I55" s="483">
        <v>25</v>
      </c>
      <c r="J55" s="58">
        <v>2000</v>
      </c>
      <c r="K55" s="59">
        <f t="shared" si="1"/>
        <v>80</v>
      </c>
      <c r="L55" s="483">
        <v>25</v>
      </c>
      <c r="M55" s="60">
        <f t="shared" si="36"/>
        <v>1291.5254237288129</v>
      </c>
      <c r="N55" s="60">
        <f t="shared" si="3"/>
        <v>51.661016949152518</v>
      </c>
      <c r="O55" s="61">
        <f t="shared" si="4"/>
        <v>0</v>
      </c>
      <c r="P55" s="62">
        <f t="shared" si="5"/>
        <v>-28.338983050847482</v>
      </c>
      <c r="Q55" s="475">
        <f t="shared" si="6"/>
        <v>0.64576271186440648</v>
      </c>
      <c r="R55" s="566"/>
      <c r="S55" s="63">
        <v>0.2902777777777778</v>
      </c>
      <c r="T55" s="63">
        <v>0.33125000000000004</v>
      </c>
      <c r="U55" s="473">
        <f t="shared" si="38"/>
        <v>4.9999999999999822</v>
      </c>
      <c r="V55" s="484">
        <f t="shared" si="37"/>
        <v>59.000000000000028</v>
      </c>
      <c r="W55" s="64"/>
      <c r="X55" s="64"/>
      <c r="Y55" s="479"/>
      <c r="Z55" s="480"/>
      <c r="AA55" s="61">
        <f t="shared" si="8"/>
        <v>-708.47457627118706</v>
      </c>
      <c r="AB55" s="475">
        <f t="shared" si="9"/>
        <v>0.64576271186440648</v>
      </c>
      <c r="AC55" s="566"/>
    </row>
    <row r="56" spans="1:29" ht="15.75" customHeight="1">
      <c r="A56" s="574" t="s">
        <v>117</v>
      </c>
      <c r="B56" s="57" t="s">
        <v>6</v>
      </c>
      <c r="C56" s="477" t="s">
        <v>1182</v>
      </c>
      <c r="D56" s="478"/>
      <c r="E56" s="57">
        <v>56.43</v>
      </c>
      <c r="F56" s="69">
        <v>2208</v>
      </c>
      <c r="G56" s="473">
        <f t="shared" si="35"/>
        <v>124597.44</v>
      </c>
      <c r="H56" s="487" t="s">
        <v>5</v>
      </c>
      <c r="I56" s="483">
        <v>22</v>
      </c>
      <c r="J56" s="58">
        <v>2000</v>
      </c>
      <c r="K56" s="59">
        <f t="shared" si="1"/>
        <v>90.909090909090907</v>
      </c>
      <c r="L56" s="483">
        <v>22</v>
      </c>
      <c r="M56" s="60">
        <f t="shared" si="36"/>
        <v>1440</v>
      </c>
      <c r="N56" s="60">
        <f t="shared" si="3"/>
        <v>65.454545454545453</v>
      </c>
      <c r="O56" s="61">
        <f t="shared" si="4"/>
        <v>0</v>
      </c>
      <c r="P56" s="62">
        <f t="shared" si="5"/>
        <v>-25.454545454545453</v>
      </c>
      <c r="Q56" s="475">
        <f t="shared" si="6"/>
        <v>0.72</v>
      </c>
      <c r="R56" s="566"/>
      <c r="S56" s="63">
        <v>0.33611111111111114</v>
      </c>
      <c r="T56" s="63">
        <v>0.4</v>
      </c>
      <c r="U56" s="473">
        <f t="shared" si="38"/>
        <v>6.9999999999999751</v>
      </c>
      <c r="V56" s="484">
        <f t="shared" si="37"/>
        <v>92</v>
      </c>
      <c r="W56" s="64"/>
      <c r="X56" s="64"/>
      <c r="Y56" s="479"/>
      <c r="Z56" s="480"/>
      <c r="AA56" s="61">
        <f t="shared" si="8"/>
        <v>-560</v>
      </c>
      <c r="AB56" s="475">
        <f t="shared" si="9"/>
        <v>0.72</v>
      </c>
      <c r="AC56" s="566"/>
    </row>
    <row r="57" spans="1:29" ht="15.75" customHeight="1">
      <c r="A57" s="574" t="s">
        <v>2206</v>
      </c>
      <c r="B57" s="57" t="s">
        <v>6</v>
      </c>
      <c r="C57" s="477" t="s">
        <v>39</v>
      </c>
      <c r="D57" s="478"/>
      <c r="E57" s="57">
        <v>55.56</v>
      </c>
      <c r="F57" s="69">
        <v>2040</v>
      </c>
      <c r="G57" s="473">
        <f t="shared" si="35"/>
        <v>113342.40000000001</v>
      </c>
      <c r="H57" s="487" t="s">
        <v>5</v>
      </c>
      <c r="I57" s="483">
        <v>17</v>
      </c>
      <c r="J57" s="58">
        <v>2000</v>
      </c>
      <c r="K57" s="59">
        <f t="shared" si="1"/>
        <v>117.64705882352941</v>
      </c>
      <c r="L57" s="483">
        <v>17</v>
      </c>
      <c r="M57" s="60">
        <f t="shared" si="36"/>
        <v>1912.500000000002</v>
      </c>
      <c r="N57" s="60">
        <f t="shared" si="3"/>
        <v>112.50000000000011</v>
      </c>
      <c r="O57" s="61">
        <f t="shared" si="4"/>
        <v>0</v>
      </c>
      <c r="P57" s="62">
        <f t="shared" si="5"/>
        <v>-5.1470588235292922</v>
      </c>
      <c r="Q57" s="475">
        <f t="shared" si="6"/>
        <v>0.95625000000000104</v>
      </c>
      <c r="R57" s="566"/>
      <c r="S57" s="63">
        <v>0.70833333333333337</v>
      </c>
      <c r="T57" s="63">
        <v>0.75277777777777777</v>
      </c>
      <c r="U57" s="473" t="str">
        <f t="shared" si="38"/>
        <v/>
      </c>
      <c r="V57" s="484">
        <f t="shared" si="37"/>
        <v>63.999999999999929</v>
      </c>
      <c r="W57" s="64"/>
      <c r="X57" s="64"/>
      <c r="Y57" s="479"/>
      <c r="Z57" s="480"/>
      <c r="AA57" s="61">
        <f t="shared" si="8"/>
        <v>-87.499999999997954</v>
      </c>
      <c r="AB57" s="475">
        <f t="shared" si="9"/>
        <v>0.95625000000000104</v>
      </c>
      <c r="AC57" s="566"/>
    </row>
    <row r="58" spans="1:29" ht="15.75" customHeight="1">
      <c r="A58" s="574" t="s">
        <v>117</v>
      </c>
      <c r="B58" s="57" t="s">
        <v>6</v>
      </c>
      <c r="C58" s="567" t="s">
        <v>40</v>
      </c>
      <c r="D58" s="568"/>
      <c r="E58" s="57">
        <v>55.32</v>
      </c>
      <c r="F58" s="69">
        <v>1493</v>
      </c>
      <c r="G58" s="473">
        <f t="shared" si="35"/>
        <v>82592.759999999995</v>
      </c>
      <c r="H58" s="487" t="s">
        <v>5</v>
      </c>
      <c r="I58" s="483">
        <v>15</v>
      </c>
      <c r="J58" s="58">
        <v>2000</v>
      </c>
      <c r="K58" s="59">
        <f t="shared" si="1"/>
        <v>133.33333333333334</v>
      </c>
      <c r="L58" s="483">
        <v>15</v>
      </c>
      <c r="M58" s="60">
        <f t="shared" si="36"/>
        <v>1905.9574468085109</v>
      </c>
      <c r="N58" s="60">
        <f t="shared" si="3"/>
        <v>127.06382978723406</v>
      </c>
      <c r="O58" s="61">
        <f t="shared" si="4"/>
        <v>0</v>
      </c>
      <c r="P58" s="62">
        <f t="shared" si="5"/>
        <v>-6.269503546099287</v>
      </c>
      <c r="Q58" s="475">
        <f t="shared" si="6"/>
        <v>0.95297872340425538</v>
      </c>
      <c r="R58" s="566"/>
      <c r="S58" s="63">
        <v>0.75694444444444442</v>
      </c>
      <c r="T58" s="63">
        <v>0.7895833333333333</v>
      </c>
      <c r="U58" s="473">
        <f t="shared" si="38"/>
        <v>5.9999999999999787</v>
      </c>
      <c r="V58" s="484">
        <f t="shared" si="37"/>
        <v>46.999999999999993</v>
      </c>
      <c r="W58" s="64"/>
      <c r="X58" s="64"/>
      <c r="Y58" s="569"/>
      <c r="Z58" s="570"/>
      <c r="AA58" s="61">
        <f t="shared" si="8"/>
        <v>-94.042553191489105</v>
      </c>
      <c r="AB58" s="475">
        <f t="shared" si="9"/>
        <v>0.95297872340425549</v>
      </c>
      <c r="AC58" s="566"/>
    </row>
    <row r="59" spans="1:29" ht="15.75" customHeight="1">
      <c r="A59" s="574" t="s">
        <v>2207</v>
      </c>
      <c r="B59" s="57" t="s">
        <v>6</v>
      </c>
      <c r="C59" s="567" t="s">
        <v>2127</v>
      </c>
      <c r="D59" s="568"/>
      <c r="E59" s="57">
        <v>51.83</v>
      </c>
      <c r="F59" s="69">
        <v>1700</v>
      </c>
      <c r="G59" s="473">
        <f t="shared" si="35"/>
        <v>88111</v>
      </c>
      <c r="H59" s="487">
        <v>2</v>
      </c>
      <c r="I59" s="483">
        <v>20</v>
      </c>
      <c r="J59" s="58">
        <v>2000</v>
      </c>
      <c r="K59" s="59">
        <f t="shared" si="1"/>
        <v>100</v>
      </c>
      <c r="L59" s="483">
        <v>20</v>
      </c>
      <c r="M59" s="60">
        <f t="shared" si="36"/>
        <v>1924.5283018867935</v>
      </c>
      <c r="N59" s="60">
        <f t="shared" si="3"/>
        <v>96.226415094339671</v>
      </c>
      <c r="O59" s="61">
        <f t="shared" si="4"/>
        <v>0</v>
      </c>
      <c r="P59" s="62">
        <f t="shared" si="5"/>
        <v>-3.7735849056603286</v>
      </c>
      <c r="Q59" s="475">
        <f t="shared" si="6"/>
        <v>0.96226415094339668</v>
      </c>
      <c r="R59" s="566"/>
      <c r="S59" s="63">
        <v>0.79513888888888884</v>
      </c>
      <c r="T59" s="63">
        <v>0.83194444444444438</v>
      </c>
      <c r="U59" s="473">
        <f t="shared" si="38"/>
        <v>7.9999999999999716</v>
      </c>
      <c r="V59" s="484">
        <f t="shared" si="37"/>
        <v>52.999999999999972</v>
      </c>
      <c r="W59" s="64">
        <f>T59</f>
        <v>0.83194444444444438</v>
      </c>
      <c r="X59" s="64">
        <f>S60</f>
        <v>0.87222222222222212</v>
      </c>
      <c r="Y59" s="569"/>
      <c r="Z59" s="570"/>
      <c r="AA59" s="61">
        <f t="shared" si="8"/>
        <v>-75.471698113206457</v>
      </c>
      <c r="AB59" s="475">
        <f t="shared" si="9"/>
        <v>0.96226415094339679</v>
      </c>
      <c r="AC59" s="566"/>
    </row>
    <row r="60" spans="1:29" ht="15.75" customHeight="1">
      <c r="A60" s="574" t="s">
        <v>2206</v>
      </c>
      <c r="B60" s="57" t="s">
        <v>6</v>
      </c>
      <c r="C60" s="567" t="s">
        <v>2127</v>
      </c>
      <c r="D60" s="568"/>
      <c r="E60" s="57">
        <v>51.83</v>
      </c>
      <c r="F60" s="69">
        <v>2812</v>
      </c>
      <c r="G60" s="473">
        <f t="shared" si="35"/>
        <v>145745.96</v>
      </c>
      <c r="H60" s="487" t="s">
        <v>5</v>
      </c>
      <c r="I60" s="483">
        <v>20</v>
      </c>
      <c r="J60" s="58">
        <v>2000</v>
      </c>
      <c r="K60" s="59">
        <f t="shared" si="1"/>
        <v>100</v>
      </c>
      <c r="L60" s="483">
        <v>20</v>
      </c>
      <c r="M60" s="60">
        <f t="shared" si="36"/>
        <v>1917.2727272727273</v>
      </c>
      <c r="N60" s="60">
        <f t="shared" si="3"/>
        <v>95.86363636363636</v>
      </c>
      <c r="O60" s="61">
        <f t="shared" si="4"/>
        <v>0</v>
      </c>
      <c r="P60" s="62">
        <f t="shared" si="5"/>
        <v>-4.1363636363636402</v>
      </c>
      <c r="Q60" s="475">
        <f t="shared" si="6"/>
        <v>0.95863636363636362</v>
      </c>
      <c r="R60" s="566"/>
      <c r="S60" s="63">
        <v>0.87222222222222212</v>
      </c>
      <c r="T60" s="63">
        <v>0.93333333333333324</v>
      </c>
      <c r="U60" s="473">
        <f t="shared" si="38"/>
        <v>57.999999999999957</v>
      </c>
      <c r="V60" s="484">
        <f t="shared" si="37"/>
        <v>88</v>
      </c>
      <c r="W60" s="64"/>
      <c r="X60" s="64"/>
      <c r="Y60" s="569"/>
      <c r="Z60" s="570"/>
      <c r="AA60" s="61">
        <f t="shared" si="8"/>
        <v>-82.727272727272748</v>
      </c>
      <c r="AB60" s="475">
        <f t="shared" si="9"/>
        <v>0.95863636363636362</v>
      </c>
      <c r="AC60" s="566"/>
    </row>
    <row r="61" spans="1:29">
      <c r="A61" s="575" t="s">
        <v>117</v>
      </c>
      <c r="B61" s="57" t="s">
        <v>2208</v>
      </c>
      <c r="C61" s="571"/>
      <c r="D61" s="571"/>
      <c r="E61" s="476"/>
      <c r="F61" s="66"/>
      <c r="G61" s="59"/>
      <c r="H61" s="485"/>
      <c r="I61" s="67">
        <v>19.125</v>
      </c>
      <c r="J61" s="58">
        <v>2000</v>
      </c>
      <c r="K61" s="59">
        <f t="shared" si="1"/>
        <v>104.57516339869281</v>
      </c>
      <c r="L61" s="67">
        <v>19.125</v>
      </c>
      <c r="M61" s="60">
        <f>AVERAGE(M53:M60)</f>
        <v>1781.1788698150469</v>
      </c>
      <c r="N61" s="59">
        <f t="shared" si="3"/>
        <v>93.133535676603756</v>
      </c>
      <c r="O61" s="61">
        <f t="shared" si="4"/>
        <v>0</v>
      </c>
      <c r="P61" s="62">
        <f t="shared" si="5"/>
        <v>-11.441627722089052</v>
      </c>
      <c r="Q61" s="475">
        <f t="shared" si="6"/>
        <v>0.8905894349075234</v>
      </c>
      <c r="R61" s="566"/>
      <c r="S61" s="70"/>
      <c r="T61" s="63"/>
      <c r="U61" s="59"/>
      <c r="V61" s="484"/>
      <c r="W61" s="59"/>
      <c r="X61" s="59"/>
      <c r="Y61" s="559"/>
      <c r="Z61" s="559"/>
      <c r="AA61" s="61">
        <f t="shared" si="8"/>
        <v>-218.82113018495306</v>
      </c>
      <c r="AB61" s="475">
        <f t="shared" si="9"/>
        <v>0.89058943490752351</v>
      </c>
      <c r="AC61" s="566"/>
    </row>
    <row r="62" spans="1:29" ht="15.75" customHeight="1">
      <c r="A62" s="572" t="s">
        <v>2209</v>
      </c>
      <c r="B62" s="485" t="s">
        <v>10</v>
      </c>
      <c r="C62" s="560" t="s">
        <v>42</v>
      </c>
      <c r="D62" s="560"/>
      <c r="E62" s="57">
        <v>26.97</v>
      </c>
      <c r="F62" s="69">
        <v>2453</v>
      </c>
      <c r="G62" s="473">
        <f t="shared" ref="G62:G67" si="39">E62*F62</f>
        <v>66157.41</v>
      </c>
      <c r="H62" s="487" t="s">
        <v>5</v>
      </c>
      <c r="I62" s="483">
        <v>8</v>
      </c>
      <c r="J62" s="58">
        <v>1500</v>
      </c>
      <c r="K62" s="59">
        <f t="shared" si="1"/>
        <v>187.5</v>
      </c>
      <c r="L62" s="483">
        <v>8</v>
      </c>
      <c r="M62" s="60">
        <f t="shared" ref="M62:M67" si="40">F62/V62*60</f>
        <v>1428.9320388349515</v>
      </c>
      <c r="N62" s="59">
        <f t="shared" si="3"/>
        <v>178.61650485436894</v>
      </c>
      <c r="O62" s="61">
        <f t="shared" si="4"/>
        <v>0</v>
      </c>
      <c r="P62" s="62">
        <f t="shared" si="5"/>
        <v>-8.8834951456310591</v>
      </c>
      <c r="Q62" s="475">
        <f t="shared" si="6"/>
        <v>0.95262135922330105</v>
      </c>
      <c r="R62" s="566">
        <f>Q68</f>
        <v>0.96089410275782638</v>
      </c>
      <c r="S62" s="63">
        <v>0.20833333333333334</v>
      </c>
      <c r="T62" s="63">
        <v>0.27986111111111112</v>
      </c>
      <c r="U62" s="473"/>
      <c r="V62" s="484">
        <f t="shared" ref="V62:V67" si="41">(T62-S62)*24*60</f>
        <v>103</v>
      </c>
      <c r="W62" s="68"/>
      <c r="X62" s="68"/>
      <c r="Y62" s="559"/>
      <c r="Z62" s="559"/>
      <c r="AA62" s="61">
        <f t="shared" si="8"/>
        <v>-71.067961165048473</v>
      </c>
      <c r="AB62" s="475">
        <f t="shared" si="9"/>
        <v>0.95262135922330105</v>
      </c>
      <c r="AC62" s="566">
        <f>AB68</f>
        <v>0.96089410275782638</v>
      </c>
    </row>
    <row r="63" spans="1:29" ht="15.75" customHeight="1">
      <c r="A63" s="572" t="s">
        <v>93</v>
      </c>
      <c r="B63" s="485" t="s">
        <v>31</v>
      </c>
      <c r="C63" s="560" t="s">
        <v>41</v>
      </c>
      <c r="D63" s="560"/>
      <c r="E63" s="57">
        <v>26.78</v>
      </c>
      <c r="F63" s="69">
        <v>2507</v>
      </c>
      <c r="G63" s="473">
        <f t="shared" si="39"/>
        <v>67137.460000000006</v>
      </c>
      <c r="H63" s="487" t="s">
        <v>5</v>
      </c>
      <c r="I63" s="483">
        <v>10</v>
      </c>
      <c r="J63" s="58">
        <v>3000</v>
      </c>
      <c r="K63" s="59">
        <f t="shared" si="1"/>
        <v>300</v>
      </c>
      <c r="L63" s="483">
        <v>10</v>
      </c>
      <c r="M63" s="60">
        <f t="shared" si="40"/>
        <v>2892.6923076923094</v>
      </c>
      <c r="N63" s="59">
        <f t="shared" si="3"/>
        <v>289.26923076923094</v>
      </c>
      <c r="O63" s="61">
        <f t="shared" si="4"/>
        <v>0</v>
      </c>
      <c r="P63" s="62">
        <f t="shared" si="5"/>
        <v>-10.730769230769056</v>
      </c>
      <c r="Q63" s="475">
        <f t="shared" si="6"/>
        <v>0.96423076923076978</v>
      </c>
      <c r="R63" s="566"/>
      <c r="S63" s="63">
        <v>0.28333333333333333</v>
      </c>
      <c r="T63" s="63">
        <v>0.31944444444444442</v>
      </c>
      <c r="U63" s="473">
        <f t="shared" ref="U63:U67" si="42">(S63-T62)*24*60</f>
        <v>4.9999999999999822</v>
      </c>
      <c r="V63" s="484">
        <f t="shared" si="41"/>
        <v>51.999999999999972</v>
      </c>
      <c r="W63" s="473"/>
      <c r="X63" s="473"/>
      <c r="Y63" s="559"/>
      <c r="Z63" s="559"/>
      <c r="AA63" s="61">
        <f t="shared" si="8"/>
        <v>-107.30769230769056</v>
      </c>
      <c r="AB63" s="475">
        <f t="shared" si="9"/>
        <v>0.96423076923076978</v>
      </c>
      <c r="AC63" s="566"/>
    </row>
    <row r="64" spans="1:29" ht="15.75" customHeight="1">
      <c r="A64" s="572" t="s">
        <v>93</v>
      </c>
      <c r="B64" s="485" t="s">
        <v>31</v>
      </c>
      <c r="C64" s="560" t="s">
        <v>64</v>
      </c>
      <c r="D64" s="560"/>
      <c r="E64" s="57">
        <v>37.880000000000003</v>
      </c>
      <c r="F64" s="69">
        <v>2516</v>
      </c>
      <c r="G64" s="473">
        <f t="shared" si="39"/>
        <v>95306.08</v>
      </c>
      <c r="H64" s="487" t="s">
        <v>5</v>
      </c>
      <c r="I64" s="483">
        <v>10</v>
      </c>
      <c r="J64" s="58">
        <v>3000</v>
      </c>
      <c r="K64" s="59">
        <f t="shared" si="1"/>
        <v>300</v>
      </c>
      <c r="L64" s="483">
        <v>10</v>
      </c>
      <c r="M64" s="60">
        <f t="shared" si="40"/>
        <v>2903.0769230769247</v>
      </c>
      <c r="N64" s="59">
        <f t="shared" si="3"/>
        <v>290.30769230769249</v>
      </c>
      <c r="O64" s="61">
        <f t="shared" si="4"/>
        <v>0</v>
      </c>
      <c r="P64" s="62">
        <f t="shared" si="5"/>
        <v>-9.6923076923075087</v>
      </c>
      <c r="Q64" s="475">
        <f t="shared" si="6"/>
        <v>0.9676923076923083</v>
      </c>
      <c r="R64" s="566"/>
      <c r="S64" s="63">
        <v>0.32499999999999996</v>
      </c>
      <c r="T64" s="63">
        <v>0.36111111111111105</v>
      </c>
      <c r="U64" s="473">
        <f t="shared" si="42"/>
        <v>7.9999999999999716</v>
      </c>
      <c r="V64" s="484">
        <f t="shared" si="41"/>
        <v>51.999999999999972</v>
      </c>
      <c r="W64" s="473"/>
      <c r="X64" s="473"/>
      <c r="Y64" s="559"/>
      <c r="Z64" s="559"/>
      <c r="AA64" s="61">
        <f t="shared" si="8"/>
        <v>-96.923076923075314</v>
      </c>
      <c r="AB64" s="475">
        <f t="shared" si="9"/>
        <v>0.96769230769230818</v>
      </c>
      <c r="AC64" s="566"/>
    </row>
    <row r="65" spans="1:29" ht="15.75" customHeight="1">
      <c r="A65" s="572" t="s">
        <v>93</v>
      </c>
      <c r="B65" s="485" t="s">
        <v>31</v>
      </c>
      <c r="C65" s="560" t="s">
        <v>35</v>
      </c>
      <c r="D65" s="560"/>
      <c r="E65" s="57">
        <v>35.869999999999997</v>
      </c>
      <c r="F65" s="69">
        <v>2978</v>
      </c>
      <c r="G65" s="473">
        <f t="shared" si="39"/>
        <v>106820.85999999999</v>
      </c>
      <c r="H65" s="487" t="s">
        <v>5</v>
      </c>
      <c r="I65" s="483">
        <v>9</v>
      </c>
      <c r="J65" s="58">
        <v>3000</v>
      </c>
      <c r="K65" s="59">
        <f t="shared" si="1"/>
        <v>333.33333333333331</v>
      </c>
      <c r="L65" s="483">
        <v>9</v>
      </c>
      <c r="M65" s="60">
        <f t="shared" si="40"/>
        <v>2881.9354838709669</v>
      </c>
      <c r="N65" s="59">
        <f t="shared" si="3"/>
        <v>320.21505376344078</v>
      </c>
      <c r="O65" s="61">
        <f t="shared" si="4"/>
        <v>0</v>
      </c>
      <c r="P65" s="62">
        <f t="shared" si="5"/>
        <v>-13.118279569892536</v>
      </c>
      <c r="Q65" s="475">
        <f t="shared" si="6"/>
        <v>0.9606451612903224</v>
      </c>
      <c r="R65" s="566"/>
      <c r="S65" s="63">
        <v>0.3652777777777777</v>
      </c>
      <c r="T65" s="63">
        <v>0.40833333333333327</v>
      </c>
      <c r="U65" s="473">
        <f t="shared" si="42"/>
        <v>5.9999999999999787</v>
      </c>
      <c r="V65" s="484">
        <f t="shared" si="41"/>
        <v>62.000000000000021</v>
      </c>
      <c r="W65" s="473"/>
      <c r="X65" s="473"/>
      <c r="Y65" s="559"/>
      <c r="Z65" s="559"/>
      <c r="AA65" s="61">
        <f t="shared" si="8"/>
        <v>-118.06451612903311</v>
      </c>
      <c r="AB65" s="475">
        <f t="shared" si="9"/>
        <v>0.96064516129032229</v>
      </c>
      <c r="AC65" s="566"/>
    </row>
    <row r="66" spans="1:29">
      <c r="A66" s="573" t="s">
        <v>93</v>
      </c>
      <c r="B66" s="485" t="s">
        <v>31</v>
      </c>
      <c r="C66" s="560" t="s">
        <v>63</v>
      </c>
      <c r="D66" s="560"/>
      <c r="E66" s="57">
        <v>34.36</v>
      </c>
      <c r="F66" s="69">
        <v>1724</v>
      </c>
      <c r="G66" s="473">
        <f t="shared" si="39"/>
        <v>59236.639999999999</v>
      </c>
      <c r="H66" s="487" t="s">
        <v>5</v>
      </c>
      <c r="I66" s="483">
        <v>10</v>
      </c>
      <c r="J66" s="58">
        <v>3000</v>
      </c>
      <c r="K66" s="59">
        <f t="shared" si="1"/>
        <v>300</v>
      </c>
      <c r="L66" s="483">
        <v>10</v>
      </c>
      <c r="M66" s="60">
        <f t="shared" si="40"/>
        <v>2873.3333333333312</v>
      </c>
      <c r="N66" s="59">
        <f t="shared" si="3"/>
        <v>287.33333333333314</v>
      </c>
      <c r="O66" s="61">
        <f t="shared" si="4"/>
        <v>0</v>
      </c>
      <c r="P66" s="62">
        <f t="shared" si="5"/>
        <v>-12.666666666666856</v>
      </c>
      <c r="Q66" s="475">
        <f t="shared" si="6"/>
        <v>0.95777777777777717</v>
      </c>
      <c r="R66" s="566"/>
      <c r="S66" s="63">
        <v>0.41180555555555548</v>
      </c>
      <c r="T66" s="63">
        <v>0.4368055555555555</v>
      </c>
      <c r="U66" s="473">
        <f t="shared" si="42"/>
        <v>4.9999999999999822</v>
      </c>
      <c r="V66" s="484">
        <f t="shared" si="41"/>
        <v>36.000000000000028</v>
      </c>
      <c r="W66" s="64"/>
      <c r="X66" s="64"/>
      <c r="Y66" s="559"/>
      <c r="Z66" s="559"/>
      <c r="AA66" s="61">
        <f t="shared" si="8"/>
        <v>-126.66666666666879</v>
      </c>
      <c r="AB66" s="475">
        <f t="shared" si="9"/>
        <v>0.95777777777777706</v>
      </c>
      <c r="AC66" s="566"/>
    </row>
    <row r="67" spans="1:29" ht="15" customHeight="1">
      <c r="A67" s="573" t="s">
        <v>93</v>
      </c>
      <c r="B67" s="485" t="s">
        <v>31</v>
      </c>
      <c r="C67" s="567" t="s">
        <v>36</v>
      </c>
      <c r="D67" s="568"/>
      <c r="E67" s="57">
        <v>36.14</v>
      </c>
      <c r="F67" s="69">
        <v>1102</v>
      </c>
      <c r="G67" s="473">
        <f t="shared" si="39"/>
        <v>39826.28</v>
      </c>
      <c r="H67" s="487" t="s">
        <v>5</v>
      </c>
      <c r="I67" s="483">
        <v>9</v>
      </c>
      <c r="J67" s="58">
        <v>3000</v>
      </c>
      <c r="K67" s="59">
        <f t="shared" si="1"/>
        <v>333.33333333333331</v>
      </c>
      <c r="L67" s="483">
        <v>9</v>
      </c>
      <c r="M67" s="60">
        <f t="shared" si="40"/>
        <v>2874.782608695652</v>
      </c>
      <c r="N67" s="59">
        <f t="shared" si="3"/>
        <v>319.42028985507244</v>
      </c>
      <c r="O67" s="61">
        <f t="shared" si="4"/>
        <v>0</v>
      </c>
      <c r="P67" s="62">
        <f t="shared" si="5"/>
        <v>-13.913043478260875</v>
      </c>
      <c r="Q67" s="475">
        <f t="shared" si="6"/>
        <v>0.95826086956521739</v>
      </c>
      <c r="R67" s="566"/>
      <c r="S67" s="63">
        <v>0.4416666666666666</v>
      </c>
      <c r="T67" s="63">
        <v>0.45763888888888882</v>
      </c>
      <c r="U67" s="473">
        <f t="shared" si="42"/>
        <v>6.9999999999999751</v>
      </c>
      <c r="V67" s="484">
        <f t="shared" si="41"/>
        <v>23</v>
      </c>
      <c r="W67" s="473"/>
      <c r="X67" s="473"/>
      <c r="Y67" s="569"/>
      <c r="Z67" s="570"/>
      <c r="AA67" s="61">
        <f t="shared" si="8"/>
        <v>-125.21739130434798</v>
      </c>
      <c r="AB67" s="475">
        <f t="shared" si="9"/>
        <v>0.95826086956521739</v>
      </c>
      <c r="AC67" s="566"/>
    </row>
    <row r="68" spans="1:29">
      <c r="A68" s="573" t="s">
        <v>93</v>
      </c>
      <c r="B68" s="57" t="s">
        <v>2208</v>
      </c>
      <c r="C68" s="571"/>
      <c r="D68" s="571"/>
      <c r="E68" s="476"/>
      <c r="F68" s="66"/>
      <c r="G68" s="59"/>
      <c r="H68" s="485"/>
      <c r="I68" s="67">
        <v>9.3333333333333339</v>
      </c>
      <c r="J68" s="58">
        <v>2750</v>
      </c>
      <c r="K68" s="59">
        <f t="shared" si="1"/>
        <v>294.64285714285711</v>
      </c>
      <c r="L68" s="67">
        <v>9.3333333333333339</v>
      </c>
      <c r="M68" s="60">
        <f>AVERAGE(M62:M67)</f>
        <v>2642.4587825840226</v>
      </c>
      <c r="N68" s="59">
        <f t="shared" si="3"/>
        <v>283.12058384828811</v>
      </c>
      <c r="O68" s="61">
        <f t="shared" si="4"/>
        <v>0</v>
      </c>
      <c r="P68" s="62">
        <f t="shared" si="5"/>
        <v>-11.522273294569004</v>
      </c>
      <c r="Q68" s="475">
        <f t="shared" si="6"/>
        <v>0.96089410275782638</v>
      </c>
      <c r="R68" s="566"/>
      <c r="S68" s="63"/>
      <c r="T68" s="63"/>
      <c r="U68" s="59"/>
      <c r="V68" s="484"/>
      <c r="W68" s="59"/>
      <c r="X68" s="59"/>
      <c r="Y68" s="559"/>
      <c r="Z68" s="559"/>
      <c r="AA68" s="61">
        <f t="shared" si="8"/>
        <v>-107.54121741597737</v>
      </c>
      <c r="AB68" s="475">
        <f t="shared" si="9"/>
        <v>0.96089410275782638</v>
      </c>
      <c r="AC68" s="566"/>
    </row>
    <row r="69" spans="1:29" ht="15.75" customHeight="1">
      <c r="A69" s="563" t="s">
        <v>2210</v>
      </c>
      <c r="B69" s="485" t="s">
        <v>15</v>
      </c>
      <c r="C69" s="560" t="s">
        <v>43</v>
      </c>
      <c r="D69" s="560"/>
      <c r="E69" s="57">
        <v>20.2</v>
      </c>
      <c r="F69" s="485">
        <v>1995</v>
      </c>
      <c r="G69" s="473">
        <f t="shared" ref="G69:G74" si="43">E69*F69</f>
        <v>40299</v>
      </c>
      <c r="H69" s="487" t="s">
        <v>5</v>
      </c>
      <c r="I69" s="483">
        <v>19</v>
      </c>
      <c r="J69" s="58">
        <v>2400</v>
      </c>
      <c r="K69" s="59">
        <f t="shared" ref="K69:K75" si="44">J69/I69</f>
        <v>126.31578947368421</v>
      </c>
      <c r="L69" s="483">
        <v>19</v>
      </c>
      <c r="M69" s="60">
        <f t="shared" ref="M69:M74" si="45">F69/V69*60</f>
        <v>2301.9230769230771</v>
      </c>
      <c r="N69" s="59">
        <f t="shared" ref="N69:N75" si="46">M69/L69</f>
        <v>121.15384615384616</v>
      </c>
      <c r="O69" s="61">
        <f t="shared" ref="O69:O75" si="47">L69-I69</f>
        <v>0</v>
      </c>
      <c r="P69" s="62">
        <f t="shared" ref="P69:P75" si="48">N69-K69</f>
        <v>-5.1619433198380449</v>
      </c>
      <c r="Q69" s="475">
        <f t="shared" ref="Q69:Q75" si="49">N69/K69</f>
        <v>0.95913461538461553</v>
      </c>
      <c r="R69" s="566">
        <f>Q75</f>
        <v>0.9569296553431601</v>
      </c>
      <c r="S69" s="63">
        <v>8.3333333333333329E-2</v>
      </c>
      <c r="T69" s="63">
        <v>0.11944444444444444</v>
      </c>
      <c r="U69" s="68"/>
      <c r="V69" s="484">
        <f t="shared" ref="V69:V74" si="50">(T69-S69)*24*60</f>
        <v>51.999999999999993</v>
      </c>
      <c r="W69" s="64">
        <f>T69</f>
        <v>0.11944444444444444</v>
      </c>
      <c r="X69" s="64">
        <f>S70</f>
        <v>0.13749999999999998</v>
      </c>
      <c r="Y69" s="559"/>
      <c r="Z69" s="559"/>
      <c r="AA69" s="61">
        <f t="shared" ref="AA69:AA75" si="51">M69-J69</f>
        <v>-98.076923076922867</v>
      </c>
      <c r="AB69" s="475">
        <f t="shared" ref="AB69:AB75" si="52">M69/J69</f>
        <v>0.95913461538461542</v>
      </c>
      <c r="AC69" s="566">
        <f>AB75</f>
        <v>0.9569296553431601</v>
      </c>
    </row>
    <row r="70" spans="1:29" ht="15.75" customHeight="1">
      <c r="A70" s="564" t="s">
        <v>90</v>
      </c>
      <c r="B70" s="485" t="s">
        <v>15</v>
      </c>
      <c r="C70" s="560" t="s">
        <v>24</v>
      </c>
      <c r="D70" s="560"/>
      <c r="E70" s="57">
        <v>20.52</v>
      </c>
      <c r="F70" s="485">
        <v>2957</v>
      </c>
      <c r="G70" s="473">
        <f t="shared" si="43"/>
        <v>60677.64</v>
      </c>
      <c r="H70" s="487" t="s">
        <v>5</v>
      </c>
      <c r="I70" s="483">
        <v>18</v>
      </c>
      <c r="J70" s="58">
        <v>2400</v>
      </c>
      <c r="K70" s="59">
        <f t="shared" si="44"/>
        <v>133.33333333333334</v>
      </c>
      <c r="L70" s="483">
        <v>18</v>
      </c>
      <c r="M70" s="60">
        <f t="shared" si="45"/>
        <v>2304.1558441558441</v>
      </c>
      <c r="N70" s="59">
        <f t="shared" si="46"/>
        <v>128.00865800865802</v>
      </c>
      <c r="O70" s="61">
        <f t="shared" si="47"/>
        <v>0</v>
      </c>
      <c r="P70" s="62">
        <f t="shared" si="48"/>
        <v>-5.3246753246753258</v>
      </c>
      <c r="Q70" s="475">
        <f t="shared" si="49"/>
        <v>0.96006493506493507</v>
      </c>
      <c r="R70" s="566"/>
      <c r="S70" s="63">
        <v>0.13749999999999998</v>
      </c>
      <c r="T70" s="63">
        <v>0.19097222222222221</v>
      </c>
      <c r="U70" s="473">
        <f t="shared" ref="U70:U74" si="53">(S70-T69)*24*60</f>
        <v>25.999999999999986</v>
      </c>
      <c r="V70" s="484">
        <f t="shared" si="50"/>
        <v>77</v>
      </c>
      <c r="W70" s="64"/>
      <c r="X70" s="64"/>
      <c r="Y70" s="559"/>
      <c r="Z70" s="559"/>
      <c r="AA70" s="61">
        <f t="shared" si="51"/>
        <v>-95.844155844155921</v>
      </c>
      <c r="AB70" s="475">
        <f t="shared" si="52"/>
        <v>0.96006493506493507</v>
      </c>
      <c r="AC70" s="566"/>
    </row>
    <row r="71" spans="1:29" ht="15.75" customHeight="1">
      <c r="A71" s="564" t="s">
        <v>2211</v>
      </c>
      <c r="B71" s="485" t="s">
        <v>15</v>
      </c>
      <c r="C71" s="560" t="s">
        <v>29</v>
      </c>
      <c r="D71" s="560"/>
      <c r="E71" s="57">
        <v>24.43</v>
      </c>
      <c r="F71" s="485">
        <v>6300</v>
      </c>
      <c r="G71" s="473">
        <f t="shared" si="43"/>
        <v>153909</v>
      </c>
      <c r="H71" s="487" t="s">
        <v>5</v>
      </c>
      <c r="I71" s="483">
        <v>14</v>
      </c>
      <c r="J71" s="58">
        <v>2400</v>
      </c>
      <c r="K71" s="59">
        <f t="shared" si="44"/>
        <v>171.42857142857142</v>
      </c>
      <c r="L71" s="483">
        <v>14</v>
      </c>
      <c r="M71" s="60">
        <f t="shared" si="45"/>
        <v>2290.909090909091</v>
      </c>
      <c r="N71" s="59">
        <f t="shared" si="46"/>
        <v>163.63636363636365</v>
      </c>
      <c r="O71" s="61">
        <f t="shared" si="47"/>
        <v>0</v>
      </c>
      <c r="P71" s="62">
        <f t="shared" si="48"/>
        <v>-7.7922077922077619</v>
      </c>
      <c r="Q71" s="475">
        <f t="shared" si="49"/>
        <v>0.9545454545454547</v>
      </c>
      <c r="R71" s="566"/>
      <c r="S71" s="63">
        <v>0.19583333333333333</v>
      </c>
      <c r="T71" s="63">
        <v>0.31041666666666667</v>
      </c>
      <c r="U71" s="473">
        <f t="shared" si="53"/>
        <v>7.0000000000000151</v>
      </c>
      <c r="V71" s="484">
        <f t="shared" si="50"/>
        <v>165</v>
      </c>
      <c r="W71" s="64"/>
      <c r="X71" s="64"/>
      <c r="Y71" s="559"/>
      <c r="Z71" s="559"/>
      <c r="AA71" s="61">
        <f t="shared" si="51"/>
        <v>-109.09090909090901</v>
      </c>
      <c r="AB71" s="475">
        <f t="shared" si="52"/>
        <v>0.95454545454545459</v>
      </c>
      <c r="AC71" s="566"/>
    </row>
    <row r="72" spans="1:29" ht="15.75" customHeight="1">
      <c r="A72" s="564" t="s">
        <v>2211</v>
      </c>
      <c r="B72" s="485" t="s">
        <v>15</v>
      </c>
      <c r="C72" s="560" t="s">
        <v>1183</v>
      </c>
      <c r="D72" s="560"/>
      <c r="E72" s="57">
        <v>20.21</v>
      </c>
      <c r="F72" s="485">
        <v>3919</v>
      </c>
      <c r="G72" s="473">
        <f t="shared" si="43"/>
        <v>79202.990000000005</v>
      </c>
      <c r="H72" s="487" t="s">
        <v>5</v>
      </c>
      <c r="I72" s="483">
        <v>16</v>
      </c>
      <c r="J72" s="58">
        <v>2400</v>
      </c>
      <c r="K72" s="59">
        <f t="shared" si="44"/>
        <v>150</v>
      </c>
      <c r="L72" s="483">
        <v>16</v>
      </c>
      <c r="M72" s="60">
        <f t="shared" si="45"/>
        <v>2305.2941176470595</v>
      </c>
      <c r="N72" s="59">
        <f t="shared" si="46"/>
        <v>144.08088235294122</v>
      </c>
      <c r="O72" s="61">
        <f t="shared" si="47"/>
        <v>0</v>
      </c>
      <c r="P72" s="62">
        <f t="shared" si="48"/>
        <v>-5.9191176470587834</v>
      </c>
      <c r="Q72" s="475">
        <f t="shared" si="49"/>
        <v>0.96053921568627476</v>
      </c>
      <c r="R72" s="566"/>
      <c r="S72" s="63">
        <v>0.31527777777777777</v>
      </c>
      <c r="T72" s="63">
        <v>0.38611111111111107</v>
      </c>
      <c r="U72" s="473">
        <f t="shared" si="53"/>
        <v>6.9999999999999751</v>
      </c>
      <c r="V72" s="484">
        <f t="shared" si="50"/>
        <v>101.99999999999996</v>
      </c>
      <c r="W72" s="64"/>
      <c r="X72" s="64"/>
      <c r="Y72" s="559"/>
      <c r="Z72" s="559"/>
      <c r="AA72" s="61">
        <f t="shared" si="51"/>
        <v>-94.705882352940534</v>
      </c>
      <c r="AB72" s="475">
        <f t="shared" si="52"/>
        <v>0.96053921568627476</v>
      </c>
      <c r="AC72" s="566"/>
    </row>
    <row r="73" spans="1:29" ht="15.75" customHeight="1">
      <c r="A73" s="564" t="s">
        <v>90</v>
      </c>
      <c r="B73" s="485" t="s">
        <v>15</v>
      </c>
      <c r="C73" s="560" t="s">
        <v>44</v>
      </c>
      <c r="D73" s="560"/>
      <c r="E73" s="57">
        <v>19.02</v>
      </c>
      <c r="F73" s="485">
        <v>5000</v>
      </c>
      <c r="G73" s="473">
        <f t="shared" si="43"/>
        <v>95100</v>
      </c>
      <c r="H73" s="487">
        <v>2</v>
      </c>
      <c r="I73" s="483">
        <v>15</v>
      </c>
      <c r="J73" s="58">
        <v>2400</v>
      </c>
      <c r="K73" s="59">
        <f t="shared" si="44"/>
        <v>160</v>
      </c>
      <c r="L73" s="483">
        <v>15</v>
      </c>
      <c r="M73" s="60">
        <f t="shared" si="45"/>
        <v>2290.0763358778627</v>
      </c>
      <c r="N73" s="59">
        <f t="shared" si="46"/>
        <v>152.67175572519085</v>
      </c>
      <c r="O73" s="61">
        <f t="shared" si="47"/>
        <v>0</v>
      </c>
      <c r="P73" s="62">
        <f t="shared" si="48"/>
        <v>-7.3282442748091512</v>
      </c>
      <c r="Q73" s="475">
        <f t="shared" si="49"/>
        <v>0.95419847328244278</v>
      </c>
      <c r="R73" s="566"/>
      <c r="S73" s="63">
        <v>0.39027777777777772</v>
      </c>
      <c r="T73" s="63">
        <v>0.48124999999999996</v>
      </c>
      <c r="U73" s="473">
        <f t="shared" si="53"/>
        <v>5.9999999999999787</v>
      </c>
      <c r="V73" s="484">
        <f t="shared" si="50"/>
        <v>131</v>
      </c>
      <c r="W73" s="64">
        <f>T73</f>
        <v>0.48124999999999996</v>
      </c>
      <c r="X73" s="64">
        <f>S74</f>
        <v>0.52222222222222214</v>
      </c>
      <c r="Y73" s="559"/>
      <c r="Z73" s="559"/>
      <c r="AA73" s="61">
        <f t="shared" si="51"/>
        <v>-109.92366412213732</v>
      </c>
      <c r="AB73" s="475">
        <f t="shared" si="52"/>
        <v>0.95419847328244278</v>
      </c>
      <c r="AC73" s="566"/>
    </row>
    <row r="74" spans="1:29" ht="15.75" customHeight="1">
      <c r="A74" s="564" t="s">
        <v>2212</v>
      </c>
      <c r="B74" s="485" t="s">
        <v>15</v>
      </c>
      <c r="C74" s="560" t="s">
        <v>44</v>
      </c>
      <c r="D74" s="560"/>
      <c r="E74" s="57">
        <v>19.02</v>
      </c>
      <c r="F74" s="485">
        <v>4003</v>
      </c>
      <c r="G74" s="473">
        <f t="shared" si="43"/>
        <v>76137.06</v>
      </c>
      <c r="H74" s="487" t="s">
        <v>5</v>
      </c>
      <c r="I74" s="483">
        <v>15</v>
      </c>
      <c r="J74" s="58">
        <v>2400</v>
      </c>
      <c r="K74" s="59">
        <f t="shared" si="44"/>
        <v>160</v>
      </c>
      <c r="L74" s="483">
        <v>15</v>
      </c>
      <c r="M74" s="60">
        <f t="shared" si="45"/>
        <v>2287.4285714285725</v>
      </c>
      <c r="N74" s="59">
        <f t="shared" si="46"/>
        <v>152.49523809523816</v>
      </c>
      <c r="O74" s="61">
        <f t="shared" si="47"/>
        <v>0</v>
      </c>
      <c r="P74" s="62">
        <f t="shared" si="48"/>
        <v>-7.5047619047618355</v>
      </c>
      <c r="Q74" s="475">
        <f t="shared" si="49"/>
        <v>0.95309523809523855</v>
      </c>
      <c r="R74" s="566"/>
      <c r="S74" s="63">
        <v>0.52222222222222214</v>
      </c>
      <c r="T74" s="63">
        <v>0.59513888888888877</v>
      </c>
      <c r="U74" s="473">
        <f t="shared" si="53"/>
        <v>58.99999999999995</v>
      </c>
      <c r="V74" s="484">
        <f t="shared" si="50"/>
        <v>104.99999999999994</v>
      </c>
      <c r="W74" s="64"/>
      <c r="X74" s="64"/>
      <c r="Y74" s="559"/>
      <c r="Z74" s="559"/>
      <c r="AA74" s="61">
        <f t="shared" si="51"/>
        <v>-112.57142857142753</v>
      </c>
      <c r="AB74" s="475">
        <f t="shared" si="52"/>
        <v>0.95309523809523855</v>
      </c>
      <c r="AC74" s="566"/>
    </row>
    <row r="75" spans="1:29" ht="16.5" customHeight="1">
      <c r="A75" s="565" t="s">
        <v>90</v>
      </c>
      <c r="B75" s="57" t="s">
        <v>233</v>
      </c>
      <c r="C75" s="561"/>
      <c r="D75" s="562"/>
      <c r="E75" s="476"/>
      <c r="F75" s="66"/>
      <c r="G75" s="59"/>
      <c r="H75" s="485"/>
      <c r="I75" s="67">
        <v>16.166666666666668</v>
      </c>
      <c r="J75" s="58">
        <v>2400</v>
      </c>
      <c r="K75" s="59">
        <f t="shared" si="44"/>
        <v>148.45360824742266</v>
      </c>
      <c r="L75" s="67">
        <v>16.166666666666668</v>
      </c>
      <c r="M75" s="60">
        <f>AVERAGE(M69:M74)</f>
        <v>2296.6311728235842</v>
      </c>
      <c r="N75" s="59">
        <f t="shared" si="46"/>
        <v>142.05966017465468</v>
      </c>
      <c r="O75" s="61">
        <f t="shared" si="47"/>
        <v>0</v>
      </c>
      <c r="P75" s="62">
        <f t="shared" si="48"/>
        <v>-6.3939480727679836</v>
      </c>
      <c r="Q75" s="475">
        <f t="shared" si="49"/>
        <v>0.9569296553431601</v>
      </c>
      <c r="R75" s="566"/>
      <c r="S75" s="63"/>
      <c r="T75" s="63"/>
      <c r="U75" s="59"/>
      <c r="V75" s="484"/>
      <c r="W75" s="59"/>
      <c r="X75" s="59"/>
      <c r="Y75" s="559"/>
      <c r="Z75" s="559"/>
      <c r="AA75" s="61">
        <f t="shared" si="51"/>
        <v>-103.36882717641583</v>
      </c>
      <c r="AB75" s="475">
        <f t="shared" si="52"/>
        <v>0.9569296553431601</v>
      </c>
      <c r="AC75" s="566"/>
    </row>
    <row r="76" spans="1:29">
      <c r="D76" s="122"/>
      <c r="E76" s="122"/>
    </row>
  </sheetData>
  <mergeCells count="196"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C8:D8"/>
    <mergeCell ref="Y8:Z8"/>
    <mergeCell ref="A9:A11"/>
    <mergeCell ref="C9:D9"/>
    <mergeCell ref="R9:R11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AC9:AC11"/>
    <mergeCell ref="C10:D10"/>
    <mergeCell ref="Y10:Z10"/>
    <mergeCell ref="C11:D11"/>
    <mergeCell ref="Y11:Z11"/>
    <mergeCell ref="A12:A20"/>
    <mergeCell ref="C12:D12"/>
    <mergeCell ref="R12:R20"/>
    <mergeCell ref="Y12:Z12"/>
    <mergeCell ref="AC12:AC20"/>
    <mergeCell ref="C16:D16"/>
    <mergeCell ref="Y16:Z16"/>
    <mergeCell ref="C17:D17"/>
    <mergeCell ref="Y17:Z17"/>
    <mergeCell ref="Y18:Z18"/>
    <mergeCell ref="Y19:Z19"/>
    <mergeCell ref="C13:D13"/>
    <mergeCell ref="Y13:Z13"/>
    <mergeCell ref="C14:D14"/>
    <mergeCell ref="Y14:Z14"/>
    <mergeCell ref="C15:D15"/>
    <mergeCell ref="Y15:Z15"/>
    <mergeCell ref="C20:D20"/>
    <mergeCell ref="Y20:Z20"/>
    <mergeCell ref="A21:A30"/>
    <mergeCell ref="C21:D21"/>
    <mergeCell ref="R21:R30"/>
    <mergeCell ref="Y21:Z21"/>
    <mergeCell ref="Y26:Z26"/>
    <mergeCell ref="C27:D27"/>
    <mergeCell ref="Y27:Z27"/>
    <mergeCell ref="C28:D28"/>
    <mergeCell ref="AC21:AC30"/>
    <mergeCell ref="C22:D22"/>
    <mergeCell ref="Y22:Z22"/>
    <mergeCell ref="C23:D23"/>
    <mergeCell ref="Y23:Z23"/>
    <mergeCell ref="C24:D24"/>
    <mergeCell ref="Y24:Z24"/>
    <mergeCell ref="C25:D25"/>
    <mergeCell ref="Y25:Z25"/>
    <mergeCell ref="C26:D26"/>
    <mergeCell ref="Y28:Z28"/>
    <mergeCell ref="C29:D29"/>
    <mergeCell ref="Y29:Z29"/>
    <mergeCell ref="C30:D30"/>
    <mergeCell ref="Y30:Z30"/>
    <mergeCell ref="A31:A37"/>
    <mergeCell ref="C31:D31"/>
    <mergeCell ref="R31:R37"/>
    <mergeCell ref="Y31:Z31"/>
    <mergeCell ref="Y36:Z36"/>
    <mergeCell ref="AC31:AC37"/>
    <mergeCell ref="C32:D32"/>
    <mergeCell ref="Y32:Z32"/>
    <mergeCell ref="C33:D33"/>
    <mergeCell ref="Y33:Z33"/>
    <mergeCell ref="C34:D34"/>
    <mergeCell ref="Y34:Z34"/>
    <mergeCell ref="C35:D35"/>
    <mergeCell ref="Y35:Z35"/>
    <mergeCell ref="C36:D36"/>
    <mergeCell ref="C37:D37"/>
    <mergeCell ref="Y37:Z37"/>
    <mergeCell ref="A38:A45"/>
    <mergeCell ref="C38:D38"/>
    <mergeCell ref="R38:R45"/>
    <mergeCell ref="Y38:Z38"/>
    <mergeCell ref="Y43:Z43"/>
    <mergeCell ref="C44:D44"/>
    <mergeCell ref="Y44:Z44"/>
    <mergeCell ref="C45:D45"/>
    <mergeCell ref="Y45:Z45"/>
    <mergeCell ref="A46:A52"/>
    <mergeCell ref="C46:D46"/>
    <mergeCell ref="R46:R52"/>
    <mergeCell ref="Y46:Z46"/>
    <mergeCell ref="AC46:AC52"/>
    <mergeCell ref="C47:D47"/>
    <mergeCell ref="Y47:Z47"/>
    <mergeCell ref="C48:D48"/>
    <mergeCell ref="Y48:Z48"/>
    <mergeCell ref="AC38:AC45"/>
    <mergeCell ref="C39:D39"/>
    <mergeCell ref="Y39:Z39"/>
    <mergeCell ref="C40:D40"/>
    <mergeCell ref="Y40:Z40"/>
    <mergeCell ref="C41:D41"/>
    <mergeCell ref="Y41:Z41"/>
    <mergeCell ref="C42:D42"/>
    <mergeCell ref="Y42:Z42"/>
    <mergeCell ref="C43:D43"/>
    <mergeCell ref="C52:D52"/>
    <mergeCell ref="Y52:Z52"/>
    <mergeCell ref="A53:A61"/>
    <mergeCell ref="C53:D53"/>
    <mergeCell ref="R53:R61"/>
    <mergeCell ref="Y53:Z53"/>
    <mergeCell ref="C61:D61"/>
    <mergeCell ref="Y61:Z61"/>
    <mergeCell ref="C49:D49"/>
    <mergeCell ref="Y49:Z49"/>
    <mergeCell ref="C50:D50"/>
    <mergeCell ref="Y50:Z50"/>
    <mergeCell ref="C51:D51"/>
    <mergeCell ref="Y51:Z51"/>
    <mergeCell ref="AC53:AC61"/>
    <mergeCell ref="C54:D54"/>
    <mergeCell ref="Y54:Z54"/>
    <mergeCell ref="C55:D55"/>
    <mergeCell ref="C58:D58"/>
    <mergeCell ref="Y58:Z58"/>
    <mergeCell ref="C59:D59"/>
    <mergeCell ref="Y59:Z59"/>
    <mergeCell ref="C60:D60"/>
    <mergeCell ref="Y60:Z60"/>
    <mergeCell ref="A62:A68"/>
    <mergeCell ref="C62:D62"/>
    <mergeCell ref="R62:R68"/>
    <mergeCell ref="Y62:Z62"/>
    <mergeCell ref="AC62:AC68"/>
    <mergeCell ref="C63:D63"/>
    <mergeCell ref="Y63:Z63"/>
    <mergeCell ref="C64:D64"/>
    <mergeCell ref="Y64:Z64"/>
    <mergeCell ref="C65:D65"/>
    <mergeCell ref="AC69:AC75"/>
    <mergeCell ref="C70:D70"/>
    <mergeCell ref="Y70:Z70"/>
    <mergeCell ref="C71:D71"/>
    <mergeCell ref="Y71:Z71"/>
    <mergeCell ref="C72:D72"/>
    <mergeCell ref="Y65:Z65"/>
    <mergeCell ref="C66:D66"/>
    <mergeCell ref="Y66:Z66"/>
    <mergeCell ref="C67:D67"/>
    <mergeCell ref="Y67:Z67"/>
    <mergeCell ref="C68:D68"/>
    <mergeCell ref="Y68:Z68"/>
    <mergeCell ref="Y72:Z72"/>
    <mergeCell ref="C73:D73"/>
    <mergeCell ref="Y73:Z73"/>
    <mergeCell ref="C74:D74"/>
    <mergeCell ref="Y74:Z74"/>
    <mergeCell ref="C75:D75"/>
    <mergeCell ref="Y75:Z75"/>
    <mergeCell ref="A69:A75"/>
    <mergeCell ref="C69:D69"/>
    <mergeCell ref="R69:R75"/>
    <mergeCell ref="Y69:Z69"/>
  </mergeCells>
  <phoneticPr fontId="3" type="noConversion"/>
  <conditionalFormatting sqref="O61:O62 O65:O75 O5:O9 O11:O13 O20:O58">
    <cfRule type="cellIs" dxfId="1999" priority="60" operator="greaterThan">
      <formula>0</formula>
    </cfRule>
  </conditionalFormatting>
  <conditionalFormatting sqref="P5:P7 P65:P67 AA65:AA67 P69:P74 P31:P36 P62 P9 P11:P13 P21:P29 P53:P58 P38:P51 AA5:AA62 AA69:AA75">
    <cfRule type="cellIs" dxfId="1998" priority="64" operator="lessThan">
      <formula>0</formula>
    </cfRule>
  </conditionalFormatting>
  <conditionalFormatting sqref="AB65:AB67 Q61:Q62 Q65:Q75 Q5:Q9 Q11:Q13 Q20:Q58 AB5:AB62 AB69:AB75">
    <cfRule type="cellIs" dxfId="1997" priority="61" operator="greaterThan">
      <formula>1</formula>
    </cfRule>
    <cfRule type="cellIs" dxfId="1996" priority="62" operator="lessThan">
      <formula>0.8</formula>
    </cfRule>
  </conditionalFormatting>
  <conditionalFormatting sqref="AC12:AC13 R12:R13 AC65 R20:R26 AC20:AC26 AC61:AC62 R61:R62 R65:R75 AC5:AC9 R5:R9 AC30:AC58 R30:R58">
    <cfRule type="cellIs" dxfId="1995" priority="66" operator="lessThan">
      <formula>0.8</formula>
    </cfRule>
  </conditionalFormatting>
  <conditionalFormatting sqref="AC46">
    <cfRule type="cellIs" dxfId="1994" priority="68" operator="lessThan">
      <formula>0.8</formula>
    </cfRule>
  </conditionalFormatting>
  <conditionalFormatting sqref="AC21:AC26">
    <cfRule type="cellIs" dxfId="1993" priority="65" operator="lessThan">
      <formula>0.8</formula>
    </cfRule>
  </conditionalFormatting>
  <conditionalFormatting sqref="AC31">
    <cfRule type="cellIs" dxfId="1992" priority="67" operator="lessThan">
      <formula>0.8</formula>
    </cfRule>
  </conditionalFormatting>
  <conditionalFormatting sqref="AC38:AC44">
    <cfRule type="cellIs" dxfId="1991" priority="63" operator="lessThan">
      <formula>0.8</formula>
    </cfRule>
  </conditionalFormatting>
  <conditionalFormatting sqref="AA68">
    <cfRule type="cellIs" dxfId="1990" priority="59" operator="lessThan">
      <formula>0</formula>
    </cfRule>
  </conditionalFormatting>
  <conditionalFormatting sqref="AB68">
    <cfRule type="cellIs" dxfId="1989" priority="57" operator="greaterThan">
      <formula>1</formula>
    </cfRule>
    <cfRule type="cellIs" dxfId="1988" priority="58" operator="lessThan">
      <formula>0.8</formula>
    </cfRule>
  </conditionalFormatting>
  <conditionalFormatting sqref="O14:O15">
    <cfRule type="cellIs" dxfId="1987" priority="52" operator="greaterThan">
      <formula>0</formula>
    </cfRule>
  </conditionalFormatting>
  <conditionalFormatting sqref="P14:P15">
    <cfRule type="cellIs" dxfId="1986" priority="55" operator="lessThan">
      <formula>0</formula>
    </cfRule>
  </conditionalFormatting>
  <conditionalFormatting sqref="Q14:Q15">
    <cfRule type="cellIs" dxfId="1985" priority="53" operator="greaterThan">
      <formula>1</formula>
    </cfRule>
    <cfRule type="cellIs" dxfId="1984" priority="54" operator="lessThan">
      <formula>0.8</formula>
    </cfRule>
  </conditionalFormatting>
  <conditionalFormatting sqref="R14:R15 AC14:AC15">
    <cfRule type="cellIs" dxfId="1983" priority="56" operator="lessThan">
      <formula>0.8</formula>
    </cfRule>
  </conditionalFormatting>
  <conditionalFormatting sqref="O10">
    <cfRule type="cellIs" dxfId="1982" priority="48" operator="greaterThan">
      <formula>0</formula>
    </cfRule>
  </conditionalFormatting>
  <conditionalFormatting sqref="P10">
    <cfRule type="cellIs" dxfId="1981" priority="51" operator="lessThan">
      <formula>0</formula>
    </cfRule>
  </conditionalFormatting>
  <conditionalFormatting sqref="Q10">
    <cfRule type="cellIs" dxfId="1980" priority="49" operator="greaterThan">
      <formula>1</formula>
    </cfRule>
    <cfRule type="cellIs" dxfId="1979" priority="50" operator="lessThan">
      <formula>0.8</formula>
    </cfRule>
  </conditionalFormatting>
  <conditionalFormatting sqref="O59">
    <cfRule type="cellIs" dxfId="1978" priority="43" operator="greaterThan">
      <formula>0</formula>
    </cfRule>
  </conditionalFormatting>
  <conditionalFormatting sqref="P59">
    <cfRule type="cellIs" dxfId="1977" priority="46" operator="lessThan">
      <formula>0</formula>
    </cfRule>
  </conditionalFormatting>
  <conditionalFormatting sqref="Q59">
    <cfRule type="cellIs" dxfId="1976" priority="44" operator="greaterThan">
      <formula>1</formula>
    </cfRule>
    <cfRule type="cellIs" dxfId="1975" priority="45" operator="lessThan">
      <formula>0.8</formula>
    </cfRule>
  </conditionalFormatting>
  <conditionalFormatting sqref="R59 AC59">
    <cfRule type="cellIs" dxfId="1974" priority="47" operator="lessThan">
      <formula>0.8</formula>
    </cfRule>
  </conditionalFormatting>
  <conditionalFormatting sqref="AC28 R28">
    <cfRule type="cellIs" dxfId="1973" priority="42" operator="lessThan">
      <formula>0.8</formula>
    </cfRule>
  </conditionalFormatting>
  <conditionalFormatting sqref="O64">
    <cfRule type="cellIs" dxfId="1972" priority="37" operator="greaterThan">
      <formula>0</formula>
    </cfRule>
  </conditionalFormatting>
  <conditionalFormatting sqref="P64 AA64">
    <cfRule type="cellIs" dxfId="1971" priority="40" operator="lessThan">
      <formula>0</formula>
    </cfRule>
  </conditionalFormatting>
  <conditionalFormatting sqref="Q64 AB64">
    <cfRule type="cellIs" dxfId="1970" priority="38" operator="greaterThan">
      <formula>1</formula>
    </cfRule>
    <cfRule type="cellIs" dxfId="1969" priority="39" operator="lessThan">
      <formula>0.8</formula>
    </cfRule>
  </conditionalFormatting>
  <conditionalFormatting sqref="R64 AC64">
    <cfRule type="cellIs" dxfId="1968" priority="41" operator="lessThan">
      <formula>0.8</formula>
    </cfRule>
  </conditionalFormatting>
  <conditionalFormatting sqref="O16:O17">
    <cfRule type="cellIs" dxfId="1967" priority="32" operator="greaterThan">
      <formula>0</formula>
    </cfRule>
  </conditionalFormatting>
  <conditionalFormatting sqref="P16:P17">
    <cfRule type="cellIs" dxfId="1966" priority="35" operator="lessThan">
      <formula>0</formula>
    </cfRule>
  </conditionalFormatting>
  <conditionalFormatting sqref="Q16:Q17">
    <cfRule type="cellIs" dxfId="1965" priority="33" operator="greaterThan">
      <formula>1</formula>
    </cfRule>
    <cfRule type="cellIs" dxfId="1964" priority="34" operator="lessThan">
      <formula>0.8</formula>
    </cfRule>
  </conditionalFormatting>
  <conditionalFormatting sqref="R16:R17 AC16:AC17">
    <cfRule type="cellIs" dxfId="1963" priority="36" operator="lessThan">
      <formula>0.8</formula>
    </cfRule>
  </conditionalFormatting>
  <conditionalFormatting sqref="O60">
    <cfRule type="cellIs" dxfId="1962" priority="27" operator="greaterThan">
      <formula>0</formula>
    </cfRule>
  </conditionalFormatting>
  <conditionalFormatting sqref="P60">
    <cfRule type="cellIs" dxfId="1961" priority="30" operator="lessThan">
      <formula>0</formula>
    </cfRule>
  </conditionalFormatting>
  <conditionalFormatting sqref="Q60">
    <cfRule type="cellIs" dxfId="1960" priority="28" operator="greaterThan">
      <formula>1</formula>
    </cfRule>
    <cfRule type="cellIs" dxfId="1959" priority="29" operator="lessThan">
      <formula>0.8</formula>
    </cfRule>
  </conditionalFormatting>
  <conditionalFormatting sqref="AC60 R60">
    <cfRule type="cellIs" dxfId="1958" priority="31" operator="lessThan">
      <formula>0.8</formula>
    </cfRule>
  </conditionalFormatting>
  <conditionalFormatting sqref="AC29 R29">
    <cfRule type="cellIs" dxfId="1957" priority="26" operator="lessThan">
      <formula>0.8</formula>
    </cfRule>
  </conditionalFormatting>
  <conditionalFormatting sqref="R27 AC27">
    <cfRule type="cellIs" dxfId="1956" priority="25" operator="lessThan">
      <formula>0.8</formula>
    </cfRule>
  </conditionalFormatting>
  <conditionalFormatting sqref="AC27">
    <cfRule type="cellIs" dxfId="1955" priority="24" operator="lessThan">
      <formula>0.8</formula>
    </cfRule>
  </conditionalFormatting>
  <conditionalFormatting sqref="O63">
    <cfRule type="cellIs" dxfId="1954" priority="19" operator="greaterThan">
      <formula>0</formula>
    </cfRule>
  </conditionalFormatting>
  <conditionalFormatting sqref="P63 AA63">
    <cfRule type="cellIs" dxfId="1953" priority="22" operator="lessThan">
      <formula>0</formula>
    </cfRule>
  </conditionalFormatting>
  <conditionalFormatting sqref="Q63 AB63">
    <cfRule type="cellIs" dxfId="1952" priority="20" operator="greaterThan">
      <formula>1</formula>
    </cfRule>
    <cfRule type="cellIs" dxfId="1951" priority="21" operator="lessThan">
      <formula>0.8</formula>
    </cfRule>
  </conditionalFormatting>
  <conditionalFormatting sqref="R63 AC63">
    <cfRule type="cellIs" dxfId="1950" priority="23" operator="lessThan">
      <formula>0.8</formula>
    </cfRule>
  </conditionalFormatting>
  <conditionalFormatting sqref="O18">
    <cfRule type="cellIs" dxfId="1949" priority="14" operator="greaterThan">
      <formula>0</formula>
    </cfRule>
  </conditionalFormatting>
  <conditionalFormatting sqref="P18">
    <cfRule type="cellIs" dxfId="1948" priority="17" operator="lessThan">
      <formula>0</formula>
    </cfRule>
  </conditionalFormatting>
  <conditionalFormatting sqref="Q18">
    <cfRule type="cellIs" dxfId="1947" priority="15" operator="greaterThan">
      <formula>1</formula>
    </cfRule>
    <cfRule type="cellIs" dxfId="1946" priority="16" operator="lessThan">
      <formula>0.8</formula>
    </cfRule>
  </conditionalFormatting>
  <conditionalFormatting sqref="AC18 R18">
    <cfRule type="cellIs" dxfId="1945" priority="18" operator="lessThan">
      <formula>0.8</formula>
    </cfRule>
  </conditionalFormatting>
  <conditionalFormatting sqref="O19">
    <cfRule type="cellIs" dxfId="1944" priority="9" operator="greaterThan">
      <formula>0</formula>
    </cfRule>
  </conditionalFormatting>
  <conditionalFormatting sqref="P19">
    <cfRule type="cellIs" dxfId="1943" priority="12" operator="lessThan">
      <formula>0</formula>
    </cfRule>
  </conditionalFormatting>
  <conditionalFormatting sqref="Q19">
    <cfRule type="cellIs" dxfId="1942" priority="10" operator="greaterThan">
      <formula>1</formula>
    </cfRule>
    <cfRule type="cellIs" dxfId="1941" priority="11" operator="lessThan">
      <formula>0.8</formula>
    </cfRule>
  </conditionalFormatting>
  <conditionalFormatting sqref="AC19 R19">
    <cfRule type="cellIs" dxfId="1940" priority="13" operator="lessThan">
      <formula>0.8</formula>
    </cfRule>
  </conditionalFormatting>
  <conditionalFormatting sqref="P8">
    <cfRule type="cellIs" dxfId="1939" priority="8" operator="lessThan">
      <formula>0</formula>
    </cfRule>
  </conditionalFormatting>
  <conditionalFormatting sqref="P20">
    <cfRule type="cellIs" dxfId="1938" priority="7" operator="lessThan">
      <formula>0</formula>
    </cfRule>
  </conditionalFormatting>
  <conditionalFormatting sqref="P30">
    <cfRule type="cellIs" dxfId="1937" priority="6" operator="lessThan">
      <formula>0</formula>
    </cfRule>
  </conditionalFormatting>
  <conditionalFormatting sqref="P37">
    <cfRule type="cellIs" dxfId="1936" priority="5" operator="lessThan">
      <formula>0</formula>
    </cfRule>
  </conditionalFormatting>
  <conditionalFormatting sqref="P52">
    <cfRule type="cellIs" dxfId="1935" priority="4" operator="lessThan">
      <formula>0</formula>
    </cfRule>
  </conditionalFormatting>
  <conditionalFormatting sqref="P61">
    <cfRule type="cellIs" dxfId="1934" priority="3" operator="lessThan">
      <formula>0</formula>
    </cfRule>
  </conditionalFormatting>
  <conditionalFormatting sqref="P68">
    <cfRule type="cellIs" dxfId="1933" priority="2" operator="lessThan">
      <formula>0</formula>
    </cfRule>
  </conditionalFormatting>
  <conditionalFormatting sqref="P75">
    <cfRule type="cellIs" dxfId="1932" priority="1" operator="lessThan">
      <formula>0</formula>
    </cfRule>
  </conditionalFormatting>
  <dataValidations count="1">
    <dataValidation type="list" allowBlank="1" showInputMessage="1" showErrorMessage="1" sqref="Z8 Z66:Z67 Y5:Z7 Y8:Y67 Z10:Z62 Y68:Z75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="85" zoomScaleNormal="85" workbookViewId="0">
      <selection activeCell="B23" sqref="B23"/>
    </sheetView>
  </sheetViews>
  <sheetFormatPr defaultColWidth="8.75" defaultRowHeight="15.75"/>
  <cols>
    <col min="1" max="1" width="8.75" style="2"/>
    <col min="2" max="2" width="17.875" style="2" customWidth="1"/>
    <col min="3" max="3" width="9.25" style="9" customWidth="1"/>
    <col min="4" max="13" width="12.625" style="2" customWidth="1"/>
    <col min="14" max="14" width="11" style="2" bestFit="1" customWidth="1"/>
    <col min="15" max="15" width="17.75" style="2" bestFit="1" customWidth="1"/>
    <col min="16" max="16" width="12.25" style="2" bestFit="1" customWidth="1"/>
    <col min="17" max="22" width="9.25" style="2" customWidth="1"/>
    <col min="23" max="23" width="10.75" style="2" customWidth="1"/>
    <col min="24" max="24" width="11" style="2" customWidth="1"/>
    <col min="25" max="16384" width="8.75" style="2"/>
  </cols>
  <sheetData>
    <row r="1" spans="2:17" ht="27.75" customHeight="1">
      <c r="B1" s="546" t="s">
        <v>2064</v>
      </c>
      <c r="C1" s="546"/>
      <c r="D1" s="546"/>
      <c r="E1" s="546"/>
      <c r="F1" s="546"/>
      <c r="G1" s="546"/>
      <c r="H1" s="546"/>
      <c r="I1" s="546"/>
      <c r="J1" s="546"/>
      <c r="K1" s="1"/>
      <c r="L1" s="1"/>
      <c r="M1" s="1"/>
      <c r="N1" s="1"/>
      <c r="O1" s="1"/>
      <c r="P1" s="1"/>
    </row>
    <row r="2" spans="2:17" ht="27.75" customHeight="1">
      <c r="B2" s="547"/>
      <c r="C2" s="547"/>
      <c r="D2" s="547"/>
      <c r="E2" s="547"/>
      <c r="F2" s="547"/>
      <c r="G2" s="547"/>
      <c r="H2" s="547"/>
      <c r="I2" s="547"/>
      <c r="J2" s="547"/>
      <c r="K2" s="3"/>
      <c r="L2" s="3"/>
      <c r="M2" s="3"/>
      <c r="N2" s="1"/>
      <c r="O2" s="1"/>
      <c r="P2" s="1"/>
    </row>
    <row r="3" spans="2:17" ht="46.5" customHeight="1">
      <c r="B3" s="4" t="s">
        <v>2065</v>
      </c>
      <c r="C3" s="548" t="str">
        <f>TEXT('1229 4度C'!A2,"yyyy.mm.ddaaaa")</f>
        <v>2025.12.29星期一</v>
      </c>
      <c r="D3" s="549"/>
      <c r="E3" s="4" t="s">
        <v>2066</v>
      </c>
      <c r="F3" s="550">
        <f>'1229 4度C'!D1</f>
        <v>176087</v>
      </c>
      <c r="G3" s="551"/>
      <c r="H3" s="4" t="s">
        <v>2067</v>
      </c>
      <c r="I3" s="552">
        <f>'1229 4度C'!F1</f>
        <v>6065182.0299999993</v>
      </c>
      <c r="J3" s="553"/>
      <c r="K3" s="5"/>
      <c r="L3" s="6"/>
      <c r="M3" s="7"/>
      <c r="N3" s="7"/>
    </row>
    <row r="4" spans="2:17" ht="28.5" customHeight="1">
      <c r="B4" s="554" t="s">
        <v>176</v>
      </c>
      <c r="C4" s="536" t="s">
        <v>2068</v>
      </c>
      <c r="D4" s="537"/>
      <c r="E4" s="557" t="s">
        <v>2069</v>
      </c>
      <c r="F4" s="558"/>
      <c r="G4" s="557" t="s">
        <v>2070</v>
      </c>
      <c r="H4" s="558"/>
      <c r="I4" s="557" t="s">
        <v>2071</v>
      </c>
      <c r="J4" s="558"/>
      <c r="L4" s="7"/>
      <c r="M4" s="7"/>
      <c r="N4" s="7"/>
    </row>
    <row r="5" spans="2:17" ht="28.5" customHeight="1">
      <c r="B5" s="555"/>
      <c r="C5" s="536" t="s">
        <v>2072</v>
      </c>
      <c r="D5" s="537"/>
      <c r="E5" s="536" t="s">
        <v>2073</v>
      </c>
      <c r="F5" s="537"/>
      <c r="G5" s="538" t="s">
        <v>2074</v>
      </c>
      <c r="H5" s="539"/>
      <c r="I5" s="540" t="s">
        <v>2075</v>
      </c>
      <c r="J5" s="541"/>
      <c r="K5" s="7"/>
      <c r="L5" s="7"/>
      <c r="M5" s="7"/>
      <c r="N5" s="7"/>
    </row>
    <row r="6" spans="2:17" ht="28.5" customHeight="1">
      <c r="B6" s="555"/>
      <c r="C6" s="536" t="s">
        <v>46</v>
      </c>
      <c r="D6" s="537"/>
      <c r="E6" s="542">
        <f>AVERAGE(D13:M13)</f>
        <v>147.36424437697053</v>
      </c>
      <c r="F6" s="543">
        <f>AVERAGE(D27:O27,D13:J13)</f>
        <v>151.11620289141297</v>
      </c>
      <c r="G6" s="544">
        <f>AVERAGE(D13:J13)</f>
        <v>151.11620289141297</v>
      </c>
      <c r="H6" s="545"/>
      <c r="I6" s="544">
        <f>AVERAGE(K13:M13)</f>
        <v>138.60967450993823</v>
      </c>
      <c r="J6" s="545"/>
      <c r="K6" s="7"/>
      <c r="L6" s="7"/>
      <c r="M6" s="7"/>
      <c r="N6" s="7"/>
    </row>
    <row r="7" spans="2:17" ht="28.5" customHeight="1">
      <c r="B7" s="555"/>
      <c r="C7" s="526" t="s">
        <v>47</v>
      </c>
      <c r="D7" s="527"/>
      <c r="E7" s="528">
        <f>AVERAGE(D14:M14)</f>
        <v>140.4611593562378</v>
      </c>
      <c r="F7" s="529">
        <f>AVERAGE(D28:O28,D14:J14)</f>
        <v>143.80832952757586</v>
      </c>
      <c r="G7" s="530">
        <f>AVERAGE(D14:J14)</f>
        <v>143.80832952757586</v>
      </c>
      <c r="H7" s="531"/>
      <c r="I7" s="530">
        <f>AVERAGE(K14:M14)</f>
        <v>132.65109562311559</v>
      </c>
      <c r="J7" s="531"/>
      <c r="K7" s="7"/>
      <c r="L7" s="7"/>
      <c r="M7" s="7"/>
      <c r="N7" s="7"/>
    </row>
    <row r="8" spans="2:17" ht="28.5" customHeight="1">
      <c r="B8" s="556"/>
      <c r="C8" s="526" t="s">
        <v>48</v>
      </c>
      <c r="D8" s="527"/>
      <c r="E8" s="532">
        <f>AVERAGE(D15:M15)</f>
        <v>0.95154561397064952</v>
      </c>
      <c r="F8" s="533">
        <f>AVERAGE(D15:J15,D29:O29)</f>
        <v>0.94918505113516161</v>
      </c>
      <c r="G8" s="534">
        <f>AVERAGE(D15:J15)</f>
        <v>0.94918505113516161</v>
      </c>
      <c r="H8" s="535"/>
      <c r="I8" s="534">
        <f>AVERAGE(K15:M15)</f>
        <v>0.95705359392012124</v>
      </c>
      <c r="J8" s="535"/>
      <c r="K8" s="8" t="s">
        <v>2076</v>
      </c>
      <c r="L8" s="7"/>
      <c r="M8" s="7"/>
      <c r="N8" s="7"/>
    </row>
    <row r="9" spans="2:17" ht="28.5" customHeight="1" thickBot="1">
      <c r="H9" s="10"/>
      <c r="N9" s="7"/>
      <c r="O9" s="7"/>
      <c r="P9" s="7"/>
      <c r="Q9" s="7"/>
    </row>
    <row r="10" spans="2:17" ht="30" customHeight="1">
      <c r="B10" s="509" t="s">
        <v>2077</v>
      </c>
      <c r="C10" s="510"/>
      <c r="D10" s="511" t="s">
        <v>2078</v>
      </c>
      <c r="E10" s="512"/>
      <c r="F10" s="512"/>
      <c r="G10" s="512"/>
      <c r="H10" s="512"/>
      <c r="I10" s="512"/>
      <c r="J10" s="513"/>
      <c r="K10" s="514" t="s">
        <v>2079</v>
      </c>
      <c r="L10" s="515"/>
      <c r="M10" s="516"/>
      <c r="P10" s="11"/>
      <c r="Q10" s="11"/>
    </row>
    <row r="11" spans="2:17" ht="17.25" customHeight="1">
      <c r="B11" s="517" t="s">
        <v>2080</v>
      </c>
      <c r="C11" s="518"/>
      <c r="D11" s="12">
        <v>1</v>
      </c>
      <c r="E11" s="13">
        <v>2</v>
      </c>
      <c r="F11" s="13">
        <v>3</v>
      </c>
      <c r="G11" s="13">
        <v>4</v>
      </c>
      <c r="H11" s="13">
        <v>5</v>
      </c>
      <c r="I11" s="13">
        <v>6</v>
      </c>
      <c r="J11" s="14">
        <v>7</v>
      </c>
      <c r="K11" s="12">
        <v>1</v>
      </c>
      <c r="L11" s="13">
        <v>2</v>
      </c>
      <c r="M11" s="14">
        <v>3</v>
      </c>
      <c r="P11" s="11"/>
      <c r="Q11" s="11"/>
    </row>
    <row r="12" spans="2:17" ht="34.15" customHeight="1">
      <c r="B12" s="519"/>
      <c r="C12" s="520"/>
      <c r="D12" s="15" t="s">
        <v>49</v>
      </c>
      <c r="E12" s="16" t="s">
        <v>50</v>
      </c>
      <c r="F12" s="16" t="s">
        <v>51</v>
      </c>
      <c r="G12" s="16" t="s">
        <v>52</v>
      </c>
      <c r="H12" s="16" t="s">
        <v>53</v>
      </c>
      <c r="I12" s="16" t="s">
        <v>54</v>
      </c>
      <c r="J12" s="17" t="s">
        <v>55</v>
      </c>
      <c r="K12" s="15" t="s">
        <v>56</v>
      </c>
      <c r="L12" s="16" t="s">
        <v>57</v>
      </c>
      <c r="M12" s="17" t="s">
        <v>58</v>
      </c>
    </row>
    <row r="13" spans="2:17" ht="40.15" customHeight="1">
      <c r="B13" s="521" t="s">
        <v>2081</v>
      </c>
      <c r="C13" s="18" t="s">
        <v>2082</v>
      </c>
      <c r="D13" s="19">
        <f>SUMIFS('1229 4度C'!$K:$K,'1229 4度C'!$A:$A,"新豐6線",'1229 4度C'!$B:$B,"平均")</f>
        <v>115.38461538461539</v>
      </c>
      <c r="E13" s="20">
        <f>SUMIFS('1229 4度C'!$K:$K,'1229 4度C'!$A:$A,"新豐2線",'1229 4度C'!$B:$B,"平均")</f>
        <v>83.333333333333329</v>
      </c>
      <c r="F13" s="21">
        <f>SUMIFS('1229 4度C'!$K:$K,'1229 4度C'!$A:$A,"新豐5線",'1229 4度C'!$B:$B,"平均")</f>
        <v>109.99999999999999</v>
      </c>
      <c r="G13" s="21">
        <f>SUMIFS('1229 4度C'!$K:$K,'1229 4度C'!$A:$A,"新豐7線",'1229 4度C'!$B:$B,"平均")</f>
        <v>114.58333333333333</v>
      </c>
      <c r="H13" s="21">
        <f>SUMIFS('1229 4度C'!$K:$K,'1229 4度C'!$A:$A,"新豐3線",'1229 4度C'!$B:$B,"平均")</f>
        <v>235.29411764705881</v>
      </c>
      <c r="I13" s="21">
        <f>SUMIFS('1229 4度C'!$K:$K,'1229 4度C'!$A:$A,"新豐1線",'1229 4度C'!$B:$B,"平均")</f>
        <v>104.57516339869281</v>
      </c>
      <c r="J13" s="22">
        <f>SUMIFS('1229 4度C'!$K:$K,'1229 4度C'!$A:$A,"新豐10線",'1229 4度C'!$B:$B,"平均")</f>
        <v>294.64285714285711</v>
      </c>
      <c r="K13" s="23">
        <f>SUMIFS('1229 4度C'!$K:$K,'1229 4度C'!$A:$A,"新豐8線",'1229 4度C'!$B:$B,"平均")</f>
        <v>130.23255813953489</v>
      </c>
      <c r="L13" s="24">
        <f>SUMIFS('1229 4度C'!$K:$K,'1229 4度C'!$A:$A,"新豐9線",'1229 4度C'!$B:$B,"平均")</f>
        <v>137.14285714285714</v>
      </c>
      <c r="M13" s="22">
        <f>SUMIFS('1229 4度C'!$K:$K,'1229 4度C'!$A:$A,"新豐4線",'1229 4度C'!$B:$B,"平均")</f>
        <v>148.45360824742266</v>
      </c>
    </row>
    <row r="14" spans="2:17" ht="39.6" customHeight="1">
      <c r="B14" s="522"/>
      <c r="C14" s="25" t="s">
        <v>2083</v>
      </c>
      <c r="D14" s="26">
        <f>SUMIFS('1229 4度C'!$N:$N,'1229 4度C'!$A:$A,"新豐6線",'1229 4度C'!$B:$B,"平均")</f>
        <v>110.69285773546</v>
      </c>
      <c r="E14" s="27">
        <f>SUMIFS('1229 4度C'!$N:$N,'1229 4度C'!$A:$A,"新豐2線",'1229 4度C'!$B:$B,"平均")</f>
        <v>79.525057065781269</v>
      </c>
      <c r="F14" s="27">
        <f>SUMIFS('1229 4度C'!$N:$N,'1229 4度C'!$A:$A,"新豐5線",'1229 4度C'!$B:$B,"平均")</f>
        <v>105.78237076315098</v>
      </c>
      <c r="G14" s="27">
        <f>SUMIFS('1229 4度C'!$N:$N,'1229 4度C'!$A:$A,"新豐7線",'1229 4度C'!$B:$B,"平均")</f>
        <v>110.25184946486448</v>
      </c>
      <c r="H14" s="27">
        <f>SUMIFS('1229 4度C'!$N:$N,'1229 4度C'!$A:$A,"新豐3線",'1229 4度C'!$B:$B,"平均")</f>
        <v>224.70764418052391</v>
      </c>
      <c r="I14" s="27">
        <f>SUMIFS('1229 4度C'!$N:$N,'1229 4度C'!$A:$A,"新豐1線",'1229 4度C'!$B:$B,"平均")</f>
        <v>93.489423899601206</v>
      </c>
      <c r="J14" s="28">
        <f>SUMIFS('1229 4度C'!$N:$N,'1229 4度C'!$A:$A,"新豐10線",'1229 4度C'!$B:$B,"平均")</f>
        <v>282.20910358364927</v>
      </c>
      <c r="K14" s="29">
        <f>SUMIFS('1229 4度C'!$N:$N,'1229 4度C'!$A:$A,"新豐8線",'1229 4度C'!$B:$B,"平均")</f>
        <v>124.518985621995</v>
      </c>
      <c r="L14" s="30">
        <f>SUMIFS('1229 4度C'!$N:$N,'1229 4度C'!$A:$A,"新豐9線",'1229 4度C'!$B:$B,"平均")</f>
        <v>131.66823898336932</v>
      </c>
      <c r="M14" s="28">
        <f>SUMIFS('1229 4度C'!$N:$N,'1229 4度C'!$A:$A,"新豐4線",'1229 4度C'!$B:$B,"平均")</f>
        <v>141.76606226398246</v>
      </c>
    </row>
    <row r="15" spans="2:17" ht="40.15" customHeight="1">
      <c r="B15" s="523"/>
      <c r="C15" s="31" t="s">
        <v>2084</v>
      </c>
      <c r="D15" s="32">
        <f t="shared" ref="D15:M15" si="0">D14/D13</f>
        <v>0.95933810037398659</v>
      </c>
      <c r="E15" s="33">
        <f t="shared" si="0"/>
        <v>0.95430068478937524</v>
      </c>
      <c r="F15" s="33">
        <f t="shared" si="0"/>
        <v>0.96165791602864537</v>
      </c>
      <c r="G15" s="33">
        <f t="shared" si="0"/>
        <v>0.96219795896609006</v>
      </c>
      <c r="H15" s="33">
        <f t="shared" si="0"/>
        <v>0.95500748776722666</v>
      </c>
      <c r="I15" s="33">
        <f t="shared" si="0"/>
        <v>0.89399261603993652</v>
      </c>
      <c r="J15" s="34">
        <f t="shared" si="0"/>
        <v>0.95780059398087036</v>
      </c>
      <c r="K15" s="32">
        <f t="shared" si="0"/>
        <v>0.95612792531174728</v>
      </c>
      <c r="L15" s="33">
        <f t="shared" si="0"/>
        <v>0.96008090925373468</v>
      </c>
      <c r="M15" s="34">
        <f t="shared" si="0"/>
        <v>0.95495194719488197</v>
      </c>
    </row>
    <row r="16" spans="2:17" ht="17.25" customHeight="1">
      <c r="B16" s="524" t="s">
        <v>2085</v>
      </c>
      <c r="C16" s="35" t="s">
        <v>2086</v>
      </c>
      <c r="D16" s="49">
        <f>VLOOKUP("新豐6線",'1229 4度C'!$A:$T,19,0)</f>
        <v>0.70833333333333337</v>
      </c>
      <c r="E16" s="50">
        <f>VLOOKUP("新豐2線",'1229 4度C'!$A:$T,19,0)</f>
        <v>0.16666666666666666</v>
      </c>
      <c r="F16" s="50">
        <f>VLOOKUP("新豐5線",'1229 4度C'!$A:$T,19,0)</f>
        <v>0.20833333333333334</v>
      </c>
      <c r="G16" s="50">
        <f>VLOOKUP("新豐7線",'1229 4度C'!$A:$T,19,0)</f>
        <v>0.20833333333333334</v>
      </c>
      <c r="H16" s="50">
        <f>VLOOKUP("新豐3線",'1229 4度C'!$A:$T,19,0)</f>
        <v>8.3333333333333329E-2</v>
      </c>
      <c r="I16" s="50">
        <f>VLOOKUP("新豐1線",'1229 4度C'!$A:$T,19,0)</f>
        <v>0.20833333333333334</v>
      </c>
      <c r="J16" s="51">
        <f>VLOOKUP("新豐10線",'1229 4度C'!$A:$T,19,0)</f>
        <v>0.20833333333333334</v>
      </c>
      <c r="K16" s="36">
        <f>VLOOKUP("新豐8線",'1229 4度C'!$A:$T,19,0)</f>
        <v>8.3333333333333329E-2</v>
      </c>
      <c r="L16" s="37">
        <f>VLOOKUP("新豐9線",'1229 4度C'!$A:$T,19,0)</f>
        <v>8.3333333333333329E-2</v>
      </c>
      <c r="M16" s="38">
        <f>VLOOKUP("新豐4線",'1229 4度C'!$A:$T,19,0)</f>
        <v>8.3333333333333329E-2</v>
      </c>
    </row>
    <row r="17" spans="2:13" ht="17.25" customHeight="1">
      <c r="B17" s="525"/>
      <c r="C17" s="35" t="s">
        <v>2087</v>
      </c>
      <c r="D17" s="36">
        <f>LOOKUP(2,1/(('1229 4度C'!$A:$A="新豐6線")*('1229 4度C'!$T:$T&lt;&gt;"")),'1229 4度C'!$T:$T)</f>
        <v>0.82777777777777772</v>
      </c>
      <c r="E17" s="50">
        <f>LOOKUP(2,1/(('1229 4度C'!$A:$A="新豐2線")*('1229 4度C'!$T:$T&lt;&gt;"")),'1229 4度C'!$T:$T)</f>
        <v>0.46388888888888891</v>
      </c>
      <c r="F17" s="50">
        <f>LOOKUP(2,1/(('1229 4度C'!$A:$A="新豐5線")*('1229 4度C'!$T:$T&lt;&gt;"")),'1229 4度C'!$T:$T)</f>
        <v>0.96180555555555547</v>
      </c>
      <c r="G17" s="50">
        <f>LOOKUP(2,1/(('1229 4度C'!$A:$A="新豐7線")*('1229 4度C'!$T:$T&lt;&gt;"")),'1229 4度C'!$T:$T)</f>
        <v>0.90902777777777766</v>
      </c>
      <c r="H17" s="50">
        <f>LOOKUP(2,1/(('1229 4度C'!$A:$A="新豐3線")*('1229 4度C'!$T:$T&lt;&gt;"")),'1229 4度C'!$T:$T)</f>
        <v>0.50763888888888886</v>
      </c>
      <c r="I17" s="50">
        <f>LOOKUP(2,1/(('1229 4度C'!$A:$A="新豐1線")*('1229 4度C'!$T:$T&lt;&gt;"")),'1229 4度C'!$T:$T)</f>
        <v>0.9493055555555554</v>
      </c>
      <c r="J17" s="51">
        <f>LOOKUP(2,1/(('1229 4度C'!$A:$A="新豐10線")*('1229 4度C'!$T:$T&lt;&gt;"")),'1229 4度C'!$T:$T)</f>
        <v>0.48541666666666661</v>
      </c>
      <c r="K17" s="49">
        <f>LOOKUP(2,1/(('1229 4度C'!$A:$A="新豐8線")*('1229 4度C'!$T:$T&lt;&gt;"")),'1229 4度C'!$T:$T)</f>
        <v>0.6597222222222221</v>
      </c>
      <c r="L17" s="50">
        <f>LOOKUP(2,1/(('1229 4度C'!$A:$A="新豐9線")*('1229 4度C'!$T:$T&lt;&gt;"")),'1229 4度C'!$T:$T)</f>
        <v>0.58472222222222214</v>
      </c>
      <c r="M17" s="51">
        <f>LOOKUP(2,1/(('1229 4度C'!$A:$A="新豐4線")*('1229 4度C'!$T:$T&lt;&gt;"")),'1229 4度C'!$T:$T)</f>
        <v>0.65416666666666656</v>
      </c>
    </row>
    <row r="18" spans="2:13" ht="17.25" customHeight="1">
      <c r="B18" s="503" t="s">
        <v>2088</v>
      </c>
      <c r="C18" s="504"/>
      <c r="D18" s="39">
        <f>SUMIFS('1229 4度C'!$I:$I,'1229 4度C'!$A:$A,"新豐6線",'1229 4度C'!$B:$B,"平均")</f>
        <v>17.333333333333332</v>
      </c>
      <c r="E18" s="40">
        <f>SUMIFS('1229 4度C'!$I:$I,'1229 4度C'!$A:$A,"新豐2線",'1229 4度C'!$B:$B,"平均")</f>
        <v>18</v>
      </c>
      <c r="F18" s="40">
        <f>SUMIFS('1229 4度C'!$I:$I,'1229 4度C'!$A:$A,"新豐5線",'1229 4度C'!$B:$B,"平均")</f>
        <v>16.666666666666668</v>
      </c>
      <c r="G18" s="40">
        <f>SUMIFS('1229 4度C'!$I:$I,'1229 4度C'!$A:$A,"新豐7線",'1229 4度C'!$B:$B,"平均")</f>
        <v>16</v>
      </c>
      <c r="H18" s="40">
        <f>SUMIFS('1229 4度C'!$I:$I,'1229 4度C'!$A:$A,"新豐3線",'1229 4度C'!$B:$B,"平均")</f>
        <v>11.333333333333334</v>
      </c>
      <c r="I18" s="40">
        <f>SUMIFS('1229 4度C'!$I:$I,'1229 4度C'!$A:$A,"新豐1線",'1229 4度C'!$B:$B,"平均")</f>
        <v>19.125</v>
      </c>
      <c r="J18" s="41">
        <f>SUMIFS('1229 4度C'!$I:$I,'1229 4度C'!$A:$A,"新豐10線",'1229 4度C'!$B:$B,"平均")</f>
        <v>9.3333333333333339</v>
      </c>
      <c r="K18" s="39">
        <f>SUMIFS('1229 4度C'!$I:$I,'1229 4度C'!$A:$A,"新豐8線",'1229 4度C'!$B:$B,"平均")</f>
        <v>18.428571428571427</v>
      </c>
      <c r="L18" s="40">
        <f>SUMIFS('1229 4度C'!$I:$I,'1229 4度C'!$A:$A,"新豐9線",'1229 4度C'!$B:$B,"平均")</f>
        <v>17.5</v>
      </c>
      <c r="M18" s="41">
        <f>SUMIFS('1229 4度C'!$I:$I,'1229 4度C'!$A:$A,"新豐4線",'1229 4度C'!$B:$B,"平均")</f>
        <v>16.166666666666668</v>
      </c>
    </row>
    <row r="19" spans="2:13" ht="17.25" customHeight="1">
      <c r="B19" s="503" t="s">
        <v>2089</v>
      </c>
      <c r="C19" s="504"/>
      <c r="D19" s="42" t="s">
        <v>59</v>
      </c>
      <c r="E19" s="43" t="s">
        <v>60</v>
      </c>
      <c r="F19" s="43" t="s">
        <v>2090</v>
      </c>
      <c r="G19" s="43" t="s">
        <v>2090</v>
      </c>
      <c r="H19" s="43" t="s">
        <v>61</v>
      </c>
      <c r="I19" s="43" t="s">
        <v>59</v>
      </c>
      <c r="J19" s="44" t="s">
        <v>61</v>
      </c>
      <c r="K19" s="42" t="s">
        <v>2091</v>
      </c>
      <c r="L19" s="43" t="s">
        <v>2091</v>
      </c>
      <c r="M19" s="44" t="s">
        <v>2091</v>
      </c>
    </row>
    <row r="20" spans="2:13" ht="17.25" customHeight="1">
      <c r="B20" s="503" t="s">
        <v>140</v>
      </c>
      <c r="C20" s="504"/>
      <c r="D20" s="42"/>
      <c r="E20" s="43"/>
      <c r="F20" s="43" t="s">
        <v>2092</v>
      </c>
      <c r="G20" s="43" t="s">
        <v>59</v>
      </c>
      <c r="H20" s="43"/>
      <c r="I20" s="43"/>
      <c r="J20" s="44"/>
      <c r="K20" s="42"/>
      <c r="L20" s="43"/>
      <c r="M20" s="44"/>
    </row>
    <row r="21" spans="2:13" ht="17.25" customHeight="1" thickBot="1">
      <c r="B21" s="505" t="s">
        <v>2093</v>
      </c>
      <c r="C21" s="506"/>
      <c r="D21" s="45"/>
      <c r="E21" s="46" t="s">
        <v>2094</v>
      </c>
      <c r="F21" s="507" t="s">
        <v>2095</v>
      </c>
      <c r="G21" s="508"/>
      <c r="H21" s="46" t="s">
        <v>2096</v>
      </c>
      <c r="I21" s="46" t="s">
        <v>2097</v>
      </c>
      <c r="J21" s="47" t="s">
        <v>2096</v>
      </c>
      <c r="K21" s="48"/>
      <c r="L21" s="46"/>
      <c r="M21" s="4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20:C20"/>
    <mergeCell ref="B21:C21"/>
    <mergeCell ref="F21:G21"/>
    <mergeCell ref="K10:M10"/>
    <mergeCell ref="B11:C12"/>
    <mergeCell ref="B13:B15"/>
    <mergeCell ref="B18:C18"/>
    <mergeCell ref="B19:C19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1931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C79"/>
  <sheetViews>
    <sheetView zoomScale="80" zoomScaleNormal="80" workbookViewId="0">
      <pane ySplit="4" topLeftCell="A47" activePane="bottomLeft" state="frozen"/>
      <selection activeCell="B23" sqref="B23"/>
      <selection pane="bottomLeft" activeCell="B23" sqref="B23"/>
    </sheetView>
  </sheetViews>
  <sheetFormatPr defaultColWidth="8" defaultRowHeight="15.75"/>
  <cols>
    <col min="1" max="1" width="15.125" style="54" customWidth="1"/>
    <col min="2" max="2" width="19.375" style="73" customWidth="1"/>
    <col min="3" max="3" width="15.25" style="73" customWidth="1"/>
    <col min="4" max="4" width="17.5" style="73" customWidth="1"/>
    <col min="5" max="5" width="7.5" style="73" bestFit="1" customWidth="1"/>
    <col min="6" max="6" width="14.375" style="73" bestFit="1" customWidth="1"/>
    <col min="7" max="7" width="14.375" style="54" customWidth="1"/>
    <col min="8" max="8" width="8" style="54" customWidth="1"/>
    <col min="9" max="9" width="5.875" style="54" customWidth="1"/>
    <col min="10" max="10" width="10.625" style="54" customWidth="1"/>
    <col min="11" max="11" width="14.625" style="54" customWidth="1"/>
    <col min="12" max="12" width="7.25" style="54" bestFit="1" customWidth="1"/>
    <col min="13" max="13" width="8" style="54" customWidth="1"/>
    <col min="14" max="14" width="12" style="54" customWidth="1"/>
    <col min="15" max="15" width="6" style="54" customWidth="1"/>
    <col min="16" max="16" width="9.25" style="54" customWidth="1"/>
    <col min="17" max="17" width="11.5" style="54" customWidth="1"/>
    <col min="18" max="18" width="8.5" style="54" customWidth="1"/>
    <col min="19" max="19" width="10.125" style="73" bestFit="1" customWidth="1"/>
    <col min="20" max="20" width="7.625" style="73" bestFit="1" customWidth="1"/>
    <col min="21" max="21" width="10.25" style="54" bestFit="1" customWidth="1"/>
    <col min="22" max="22" width="8.75" style="71" customWidth="1"/>
    <col min="23" max="23" width="7.375" style="54" customWidth="1"/>
    <col min="24" max="24" width="6.875" style="54" bestFit="1" customWidth="1"/>
    <col min="25" max="25" width="12.75" style="54" customWidth="1"/>
    <col min="26" max="26" width="18.875" style="54" customWidth="1"/>
    <col min="27" max="27" width="13.125" style="54" bestFit="1" customWidth="1"/>
    <col min="28" max="28" width="10.375" style="54" customWidth="1"/>
    <col min="29" max="29" width="9.375" style="54" customWidth="1"/>
    <col min="30" max="30" width="8" style="54"/>
    <col min="31" max="31" width="24.625" style="54" bestFit="1" customWidth="1"/>
    <col min="32" max="16384" width="8" style="54"/>
  </cols>
  <sheetData>
    <row r="1" spans="1:29" ht="26.25" customHeight="1">
      <c r="A1" s="52" t="s">
        <v>1246</v>
      </c>
      <c r="B1" s="74"/>
      <c r="C1" s="75" t="s">
        <v>2098</v>
      </c>
      <c r="D1" s="76">
        <v>176087</v>
      </c>
      <c r="E1" s="470" t="s">
        <v>1297</v>
      </c>
      <c r="F1" s="74">
        <v>6065182.0299999993</v>
      </c>
      <c r="G1" s="52" t="s">
        <v>2099</v>
      </c>
      <c r="H1" s="53">
        <f>L8+L11+L55+L64+L21+L71+L39+L48+L31+L78</f>
        <v>159.88690476190473</v>
      </c>
      <c r="I1" s="607" t="s">
        <v>2100</v>
      </c>
      <c r="J1" s="607"/>
      <c r="K1" s="607"/>
      <c r="L1" s="607" t="s">
        <v>977</v>
      </c>
      <c r="M1" s="607"/>
      <c r="N1" s="607"/>
      <c r="O1" s="607" t="s">
        <v>2101</v>
      </c>
      <c r="P1" s="607"/>
      <c r="Q1" s="607"/>
      <c r="R1" s="607"/>
      <c r="S1" s="607" t="s">
        <v>2102</v>
      </c>
      <c r="T1" s="607"/>
      <c r="U1" s="607"/>
      <c r="V1" s="607"/>
      <c r="W1" s="607"/>
      <c r="X1" s="607"/>
      <c r="Y1" s="607" t="s">
        <v>2103</v>
      </c>
      <c r="Z1" s="607"/>
      <c r="AA1" s="607" t="s">
        <v>2104</v>
      </c>
      <c r="AB1" s="608"/>
      <c r="AC1" s="608"/>
    </row>
    <row r="2" spans="1:29" ht="26.25" customHeight="1">
      <c r="A2" s="55">
        <v>46020</v>
      </c>
      <c r="B2" s="56" t="s">
        <v>150</v>
      </c>
      <c r="C2" s="75" t="s">
        <v>2105</v>
      </c>
      <c r="D2" s="77">
        <v>140.4611593562378</v>
      </c>
      <c r="E2" s="78" t="s">
        <v>0</v>
      </c>
      <c r="F2" s="79">
        <v>34.444235122411079</v>
      </c>
      <c r="G2" s="52" t="s">
        <v>1746</v>
      </c>
      <c r="H2" s="471">
        <f>COUNT(H5:H78)</f>
        <v>8</v>
      </c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8"/>
      <c r="AB2" s="608"/>
      <c r="AC2" s="608"/>
    </row>
    <row r="3" spans="1:29" ht="23.25" customHeight="1">
      <c r="A3" s="559" t="s">
        <v>2106</v>
      </c>
      <c r="B3" s="604" t="s">
        <v>2107</v>
      </c>
      <c r="C3" s="604" t="s">
        <v>2108</v>
      </c>
      <c r="D3" s="604"/>
      <c r="E3" s="609" t="s">
        <v>2109</v>
      </c>
      <c r="F3" s="604" t="s">
        <v>2110</v>
      </c>
      <c r="G3" s="605" t="s">
        <v>2111</v>
      </c>
      <c r="H3" s="598" t="s">
        <v>2112</v>
      </c>
      <c r="I3" s="596" t="s">
        <v>2113</v>
      </c>
      <c r="J3" s="601" t="s">
        <v>2114</v>
      </c>
      <c r="K3" s="603" t="s">
        <v>2105</v>
      </c>
      <c r="L3" s="596" t="s">
        <v>2113</v>
      </c>
      <c r="M3" s="601" t="s">
        <v>2114</v>
      </c>
      <c r="N3" s="603" t="s">
        <v>2105</v>
      </c>
      <c r="O3" s="596" t="s">
        <v>2113</v>
      </c>
      <c r="P3" s="603" t="s">
        <v>2105</v>
      </c>
      <c r="Q3" s="602" t="s">
        <v>1315</v>
      </c>
      <c r="R3" s="574" t="s">
        <v>2115</v>
      </c>
      <c r="S3" s="604" t="s">
        <v>1</v>
      </c>
      <c r="T3" s="604"/>
      <c r="U3" s="598" t="s">
        <v>2</v>
      </c>
      <c r="V3" s="598" t="s">
        <v>2116</v>
      </c>
      <c r="W3" s="559" t="s">
        <v>2117</v>
      </c>
      <c r="X3" s="559"/>
      <c r="Y3" s="599" t="s">
        <v>2118</v>
      </c>
      <c r="Z3" s="600"/>
      <c r="AA3" s="601" t="s">
        <v>2114</v>
      </c>
      <c r="AB3" s="602" t="s">
        <v>1315</v>
      </c>
      <c r="AC3" s="574" t="s">
        <v>2115</v>
      </c>
    </row>
    <row r="4" spans="1:29">
      <c r="A4" s="559"/>
      <c r="B4" s="604"/>
      <c r="C4" s="604"/>
      <c r="D4" s="604"/>
      <c r="E4" s="610"/>
      <c r="F4" s="604"/>
      <c r="G4" s="606"/>
      <c r="H4" s="598"/>
      <c r="I4" s="596"/>
      <c r="J4" s="601"/>
      <c r="K4" s="603"/>
      <c r="L4" s="596"/>
      <c r="M4" s="601"/>
      <c r="N4" s="603"/>
      <c r="O4" s="596"/>
      <c r="P4" s="603"/>
      <c r="Q4" s="602"/>
      <c r="R4" s="574"/>
      <c r="S4" s="470" t="s">
        <v>3</v>
      </c>
      <c r="T4" s="470" t="s">
        <v>4</v>
      </c>
      <c r="U4" s="598"/>
      <c r="V4" s="598"/>
      <c r="W4" s="458" t="s">
        <v>2119</v>
      </c>
      <c r="X4" s="458" t="s">
        <v>922</v>
      </c>
      <c r="Y4" s="600"/>
      <c r="Z4" s="600"/>
      <c r="AA4" s="601"/>
      <c r="AB4" s="602"/>
      <c r="AC4" s="574"/>
    </row>
    <row r="5" spans="1:29">
      <c r="A5" s="595" t="s">
        <v>2120</v>
      </c>
      <c r="B5" s="57" t="s">
        <v>6</v>
      </c>
      <c r="C5" s="597" t="s">
        <v>9</v>
      </c>
      <c r="D5" s="597"/>
      <c r="E5" s="57">
        <v>50.67</v>
      </c>
      <c r="F5" s="470">
        <v>1507</v>
      </c>
      <c r="G5" s="458">
        <f t="shared" ref="G5:G7" si="0">E5*F5</f>
        <v>76359.69</v>
      </c>
      <c r="H5" s="472" t="s">
        <v>5</v>
      </c>
      <c r="I5" s="468">
        <v>17</v>
      </c>
      <c r="J5" s="58">
        <v>2000</v>
      </c>
      <c r="K5" s="59">
        <f t="shared" ref="K5:K68" si="1">J5/I5</f>
        <v>117.64705882352941</v>
      </c>
      <c r="L5" s="468">
        <v>17</v>
      </c>
      <c r="M5" s="60">
        <f t="shared" ref="M5:M7" si="2">F5/V5*60</f>
        <v>1923.8297872340429</v>
      </c>
      <c r="N5" s="59">
        <f t="shared" ref="N5:N68" si="3">M5/L5</f>
        <v>113.16645807259076</v>
      </c>
      <c r="O5" s="61">
        <f t="shared" ref="O5:O68" si="4">L5-I5</f>
        <v>0</v>
      </c>
      <c r="P5" s="62">
        <f t="shared" ref="P5:P68" si="5">N5-K5</f>
        <v>-4.480600750938649</v>
      </c>
      <c r="Q5" s="460">
        <f t="shared" ref="Q5:Q68" si="6">N5/K5</f>
        <v>0.96191489361702143</v>
      </c>
      <c r="R5" s="566">
        <f>Q8</f>
        <v>0.95933810037398659</v>
      </c>
      <c r="S5" s="63">
        <v>0.70833333333333337</v>
      </c>
      <c r="T5" s="63">
        <v>0.74097222222222225</v>
      </c>
      <c r="U5" s="458"/>
      <c r="V5" s="469">
        <f t="shared" ref="V5:V7" si="7">(T5-S5)*24*60</f>
        <v>46.999999999999993</v>
      </c>
      <c r="W5" s="64"/>
      <c r="X5" s="65"/>
      <c r="Y5" s="559"/>
      <c r="Z5" s="559"/>
      <c r="AA5" s="61">
        <f t="shared" ref="AA5:AA68" si="8">M5-J5</f>
        <v>-76.170212765957103</v>
      </c>
      <c r="AB5" s="460">
        <f t="shared" ref="AB5:AB68" si="9">M5/J5</f>
        <v>0.96191489361702143</v>
      </c>
      <c r="AC5" s="566">
        <f>AB8</f>
        <v>0.95933810037398659</v>
      </c>
    </row>
    <row r="6" spans="1:29">
      <c r="A6" s="596" t="s">
        <v>2120</v>
      </c>
      <c r="B6" s="57" t="s">
        <v>6</v>
      </c>
      <c r="C6" s="597" t="s">
        <v>22</v>
      </c>
      <c r="D6" s="597"/>
      <c r="E6" s="57">
        <v>54.09</v>
      </c>
      <c r="F6" s="470">
        <v>1564</v>
      </c>
      <c r="G6" s="458">
        <f t="shared" si="0"/>
        <v>84596.760000000009</v>
      </c>
      <c r="H6" s="472" t="s">
        <v>5</v>
      </c>
      <c r="I6" s="468">
        <v>19</v>
      </c>
      <c r="J6" s="58">
        <v>2000</v>
      </c>
      <c r="K6" s="59">
        <f t="shared" si="1"/>
        <v>105.26315789473684</v>
      </c>
      <c r="L6" s="468">
        <v>19</v>
      </c>
      <c r="M6" s="60">
        <f t="shared" si="2"/>
        <v>1915.102040816327</v>
      </c>
      <c r="N6" s="59">
        <f t="shared" si="3"/>
        <v>100.79484425349089</v>
      </c>
      <c r="O6" s="61">
        <f t="shared" si="4"/>
        <v>0</v>
      </c>
      <c r="P6" s="62">
        <f t="shared" si="5"/>
        <v>-4.4683136412459419</v>
      </c>
      <c r="Q6" s="460">
        <f t="shared" si="6"/>
        <v>0.95755102040816353</v>
      </c>
      <c r="R6" s="566"/>
      <c r="S6" s="63">
        <v>0.74652777777777779</v>
      </c>
      <c r="T6" s="63">
        <v>0.78055555555555556</v>
      </c>
      <c r="U6" s="458">
        <f t="shared" ref="U6:U7" si="10">IF(S6=TIME(17,0,0),"",(S6-T5)*24*60)</f>
        <v>7.9999999999999716</v>
      </c>
      <c r="V6" s="469">
        <f t="shared" si="7"/>
        <v>48.999999999999986</v>
      </c>
      <c r="W6" s="64"/>
      <c r="X6" s="64"/>
      <c r="Y6" s="559"/>
      <c r="Z6" s="559"/>
      <c r="AA6" s="61">
        <f t="shared" si="8"/>
        <v>-84.897959183673038</v>
      </c>
      <c r="AB6" s="460">
        <f t="shared" si="9"/>
        <v>0.95755102040816353</v>
      </c>
      <c r="AC6" s="566"/>
    </row>
    <row r="7" spans="1:29">
      <c r="A7" s="596" t="s">
        <v>2120</v>
      </c>
      <c r="B7" s="57" t="s">
        <v>6</v>
      </c>
      <c r="C7" s="590" t="s">
        <v>1619</v>
      </c>
      <c r="D7" s="591"/>
      <c r="E7" s="57">
        <v>50.29</v>
      </c>
      <c r="F7" s="470">
        <v>1981</v>
      </c>
      <c r="G7" s="458">
        <f t="shared" si="0"/>
        <v>99624.49</v>
      </c>
      <c r="H7" s="472" t="s">
        <v>5</v>
      </c>
      <c r="I7" s="468">
        <v>16</v>
      </c>
      <c r="J7" s="58">
        <v>2000</v>
      </c>
      <c r="K7" s="59">
        <f t="shared" si="1"/>
        <v>125</v>
      </c>
      <c r="L7" s="468">
        <v>16</v>
      </c>
      <c r="M7" s="60">
        <f t="shared" si="2"/>
        <v>1917.0967741935501</v>
      </c>
      <c r="N7" s="59">
        <f t="shared" si="3"/>
        <v>119.81854838709688</v>
      </c>
      <c r="O7" s="61">
        <f t="shared" si="4"/>
        <v>0</v>
      </c>
      <c r="P7" s="62">
        <f t="shared" si="5"/>
        <v>-5.1814516129031176</v>
      </c>
      <c r="Q7" s="460">
        <f t="shared" si="6"/>
        <v>0.95854838709677503</v>
      </c>
      <c r="R7" s="566"/>
      <c r="S7" s="63">
        <v>0.78472222222222221</v>
      </c>
      <c r="T7" s="63">
        <v>0.82777777777777772</v>
      </c>
      <c r="U7" s="458">
        <f t="shared" si="10"/>
        <v>5.9999999999999787</v>
      </c>
      <c r="V7" s="469">
        <f t="shared" si="7"/>
        <v>61.999999999999943</v>
      </c>
      <c r="W7" s="64"/>
      <c r="X7" s="64"/>
      <c r="Y7" s="569"/>
      <c r="Z7" s="570"/>
      <c r="AA7" s="61">
        <f t="shared" si="8"/>
        <v>-82.903225806449882</v>
      </c>
      <c r="AB7" s="460">
        <f t="shared" si="9"/>
        <v>0.95854838709677503</v>
      </c>
      <c r="AC7" s="566"/>
    </row>
    <row r="8" spans="1:29">
      <c r="A8" s="596" t="s">
        <v>2120</v>
      </c>
      <c r="B8" s="57" t="s">
        <v>2121</v>
      </c>
      <c r="C8" s="571"/>
      <c r="D8" s="571"/>
      <c r="E8" s="461"/>
      <c r="F8" s="66"/>
      <c r="G8" s="59"/>
      <c r="H8" s="470"/>
      <c r="I8" s="67">
        <v>17.333333333333332</v>
      </c>
      <c r="J8" s="58">
        <v>2000</v>
      </c>
      <c r="K8" s="59">
        <f t="shared" si="1"/>
        <v>115.38461538461539</v>
      </c>
      <c r="L8" s="67">
        <v>17.333333333333332</v>
      </c>
      <c r="M8" s="60">
        <f>AVERAGE(M5:M7)</f>
        <v>1918.6762007479731</v>
      </c>
      <c r="N8" s="59">
        <f t="shared" si="3"/>
        <v>110.69285773546</v>
      </c>
      <c r="O8" s="61">
        <f t="shared" si="4"/>
        <v>0</v>
      </c>
      <c r="P8" s="62">
        <f t="shared" si="5"/>
        <v>-4.6917576491553916</v>
      </c>
      <c r="Q8" s="460">
        <f t="shared" si="6"/>
        <v>0.95933810037398659</v>
      </c>
      <c r="R8" s="566"/>
      <c r="S8" s="63"/>
      <c r="T8" s="63"/>
      <c r="U8" s="458"/>
      <c r="V8" s="469"/>
      <c r="W8" s="59"/>
      <c r="X8" s="59"/>
      <c r="Y8" s="559"/>
      <c r="Z8" s="559"/>
      <c r="AA8" s="61">
        <f t="shared" si="8"/>
        <v>-81.323799252026902</v>
      </c>
      <c r="AB8" s="460">
        <f t="shared" si="9"/>
        <v>0.95933810037398659</v>
      </c>
      <c r="AC8" s="566"/>
    </row>
    <row r="9" spans="1:29" ht="15.75" customHeight="1">
      <c r="A9" s="594" t="s">
        <v>1895</v>
      </c>
      <c r="B9" s="57" t="s">
        <v>10</v>
      </c>
      <c r="C9" s="590" t="s">
        <v>14</v>
      </c>
      <c r="D9" s="591"/>
      <c r="E9" s="57">
        <v>39.619999999999997</v>
      </c>
      <c r="F9" s="470">
        <v>3780</v>
      </c>
      <c r="G9" s="458">
        <f t="shared" ref="G9:G10" si="11">E9*F9</f>
        <v>149763.59999999998</v>
      </c>
      <c r="H9" s="472" t="s">
        <v>5</v>
      </c>
      <c r="I9" s="468">
        <v>19</v>
      </c>
      <c r="J9" s="58">
        <v>1500</v>
      </c>
      <c r="K9" s="59">
        <f t="shared" si="1"/>
        <v>78.94736842105263</v>
      </c>
      <c r="L9" s="468">
        <v>19</v>
      </c>
      <c r="M9" s="60">
        <f t="shared" ref="M9:M10" si="12">F9/V9*60</f>
        <v>1435.4430379746832</v>
      </c>
      <c r="N9" s="59">
        <f t="shared" si="3"/>
        <v>75.549633577614898</v>
      </c>
      <c r="O9" s="61">
        <f t="shared" si="4"/>
        <v>0</v>
      </c>
      <c r="P9" s="62">
        <f t="shared" si="5"/>
        <v>-3.3977348434377319</v>
      </c>
      <c r="Q9" s="460">
        <f t="shared" si="6"/>
        <v>0.95696202531645536</v>
      </c>
      <c r="R9" s="566">
        <f>Q11</f>
        <v>0.95430068478937524</v>
      </c>
      <c r="S9" s="63">
        <v>0.16666666666666666</v>
      </c>
      <c r="T9" s="63">
        <v>0.27638888888888891</v>
      </c>
      <c r="U9" s="458"/>
      <c r="V9" s="469">
        <f t="shared" ref="V9:V10" si="13">(T9-S9)*24*60</f>
        <v>158.00000000000003</v>
      </c>
      <c r="W9" s="64">
        <f>T9</f>
        <v>0.27638888888888891</v>
      </c>
      <c r="X9" s="64">
        <f>S10</f>
        <v>0.29444444444444445</v>
      </c>
      <c r="Y9" s="559"/>
      <c r="Z9" s="559"/>
      <c r="AA9" s="61">
        <f t="shared" si="8"/>
        <v>-64.556962025316807</v>
      </c>
      <c r="AB9" s="460">
        <f t="shared" si="9"/>
        <v>0.95696202531645547</v>
      </c>
      <c r="AC9" s="566">
        <f>AB11</f>
        <v>0.95430068478937524</v>
      </c>
    </row>
    <row r="10" spans="1:29" ht="15.75" customHeight="1">
      <c r="A10" s="594" t="s">
        <v>1895</v>
      </c>
      <c r="B10" s="57" t="s">
        <v>10</v>
      </c>
      <c r="C10" s="590" t="s">
        <v>11</v>
      </c>
      <c r="D10" s="591"/>
      <c r="E10" s="57">
        <v>39.799999999999997</v>
      </c>
      <c r="F10" s="470">
        <v>5805</v>
      </c>
      <c r="G10" s="458">
        <f t="shared" si="11"/>
        <v>231038.99999999997</v>
      </c>
      <c r="H10" s="472" t="s">
        <v>5</v>
      </c>
      <c r="I10" s="468">
        <v>17</v>
      </c>
      <c r="J10" s="58">
        <v>1500</v>
      </c>
      <c r="K10" s="59">
        <f t="shared" si="1"/>
        <v>88.235294117647058</v>
      </c>
      <c r="L10" s="468">
        <v>17</v>
      </c>
      <c r="M10" s="60">
        <f t="shared" si="12"/>
        <v>1427.4590163934427</v>
      </c>
      <c r="N10" s="59">
        <f t="shared" si="3"/>
        <v>83.968177434908398</v>
      </c>
      <c r="O10" s="61">
        <f t="shared" si="4"/>
        <v>0</v>
      </c>
      <c r="P10" s="62">
        <f t="shared" si="5"/>
        <v>-4.26711668273866</v>
      </c>
      <c r="Q10" s="460">
        <f t="shared" si="6"/>
        <v>0.95163934426229524</v>
      </c>
      <c r="R10" s="566"/>
      <c r="S10" s="63">
        <v>0.29444444444444445</v>
      </c>
      <c r="T10" s="63">
        <v>0.46388888888888891</v>
      </c>
      <c r="U10" s="458">
        <f t="shared" ref="U10" si="14">IF(S10=TIME(17,0,0),"",(S10-T9)*24*60)</f>
        <v>25.999999999999986</v>
      </c>
      <c r="V10" s="469">
        <f t="shared" si="13"/>
        <v>244</v>
      </c>
      <c r="W10" s="64"/>
      <c r="X10" s="64"/>
      <c r="Y10" s="559"/>
      <c r="Z10" s="559"/>
      <c r="AA10" s="61">
        <f t="shared" si="8"/>
        <v>-72.540983606557347</v>
      </c>
      <c r="AB10" s="460">
        <f t="shared" si="9"/>
        <v>0.95163934426229513</v>
      </c>
      <c r="AC10" s="566"/>
    </row>
    <row r="11" spans="1:29" ht="16.5" customHeight="1">
      <c r="A11" s="594" t="s">
        <v>1895</v>
      </c>
      <c r="B11" s="57" t="s">
        <v>2121</v>
      </c>
      <c r="C11" s="571"/>
      <c r="D11" s="571"/>
      <c r="E11" s="461"/>
      <c r="F11" s="58"/>
      <c r="G11" s="60"/>
      <c r="H11" s="470"/>
      <c r="I11" s="67">
        <v>18</v>
      </c>
      <c r="J11" s="58">
        <v>1500</v>
      </c>
      <c r="K11" s="59">
        <f t="shared" si="1"/>
        <v>83.333333333333329</v>
      </c>
      <c r="L11" s="67">
        <v>18</v>
      </c>
      <c r="M11" s="60">
        <f>AVERAGE(M9:M10)</f>
        <v>1431.4510271840629</v>
      </c>
      <c r="N11" s="59">
        <f t="shared" si="3"/>
        <v>79.525057065781269</v>
      </c>
      <c r="O11" s="61">
        <f t="shared" si="4"/>
        <v>0</v>
      </c>
      <c r="P11" s="62">
        <f t="shared" si="5"/>
        <v>-3.8082762675520598</v>
      </c>
      <c r="Q11" s="460">
        <f t="shared" si="6"/>
        <v>0.95430068478937524</v>
      </c>
      <c r="R11" s="566"/>
      <c r="S11" s="63"/>
      <c r="T11" s="63"/>
      <c r="U11" s="59"/>
      <c r="V11" s="469"/>
      <c r="W11" s="59"/>
      <c r="X11" s="59"/>
      <c r="Y11" s="559"/>
      <c r="Z11" s="559"/>
      <c r="AA11" s="61">
        <f t="shared" si="8"/>
        <v>-68.548972815937077</v>
      </c>
      <c r="AB11" s="460">
        <f t="shared" si="9"/>
        <v>0.95430068478937524</v>
      </c>
      <c r="AC11" s="566"/>
    </row>
    <row r="12" spans="1:29" ht="16.5" customHeight="1">
      <c r="A12" s="592" t="s">
        <v>929</v>
      </c>
      <c r="B12" s="470" t="s">
        <v>12</v>
      </c>
      <c r="C12" s="584" t="s">
        <v>13</v>
      </c>
      <c r="D12" s="584"/>
      <c r="E12" s="57">
        <v>41</v>
      </c>
      <c r="F12" s="470">
        <v>2411</v>
      </c>
      <c r="G12" s="458">
        <f t="shared" ref="G12:G20" si="15">E12*F12</f>
        <v>98851</v>
      </c>
      <c r="H12" s="472" t="s">
        <v>5</v>
      </c>
      <c r="I12" s="468">
        <v>26</v>
      </c>
      <c r="J12" s="58">
        <v>1500</v>
      </c>
      <c r="K12" s="59">
        <f t="shared" si="1"/>
        <v>57.692307692307693</v>
      </c>
      <c r="L12" s="468">
        <v>26</v>
      </c>
      <c r="M12" s="60">
        <f t="shared" ref="M12:M20" si="16">F12/V12*60</f>
        <v>1432.2772277227723</v>
      </c>
      <c r="N12" s="59">
        <f t="shared" si="3"/>
        <v>55.087585681645088</v>
      </c>
      <c r="O12" s="61">
        <f t="shared" si="4"/>
        <v>0</v>
      </c>
      <c r="P12" s="62">
        <f t="shared" si="5"/>
        <v>-2.6047220106626057</v>
      </c>
      <c r="Q12" s="460">
        <f t="shared" si="6"/>
        <v>0.95485148514851481</v>
      </c>
      <c r="R12" s="566">
        <f>Q21</f>
        <v>0.96165791602864537</v>
      </c>
      <c r="S12" s="63">
        <v>0.20833333333333334</v>
      </c>
      <c r="T12" s="63">
        <v>0.27847222222222223</v>
      </c>
      <c r="U12" s="458"/>
      <c r="V12" s="469">
        <f t="shared" ref="V12:V20" si="17">(T12-S12)*24*60</f>
        <v>101</v>
      </c>
      <c r="W12" s="68"/>
      <c r="X12" s="68"/>
      <c r="Y12" s="559"/>
      <c r="Z12" s="559"/>
      <c r="AA12" s="61">
        <f t="shared" si="8"/>
        <v>-67.722772277227705</v>
      </c>
      <c r="AB12" s="460">
        <f t="shared" si="9"/>
        <v>0.95485148514851481</v>
      </c>
      <c r="AC12" s="566">
        <f>AB21</f>
        <v>0.96165791602864525</v>
      </c>
    </row>
    <row r="13" spans="1:29" ht="16.5" customHeight="1">
      <c r="A13" s="593" t="s">
        <v>929</v>
      </c>
      <c r="B13" s="470" t="s">
        <v>657</v>
      </c>
      <c r="C13" s="584" t="s">
        <v>236</v>
      </c>
      <c r="D13" s="584"/>
      <c r="E13" s="57">
        <v>72.400000000000006</v>
      </c>
      <c r="F13" s="470">
        <v>1160</v>
      </c>
      <c r="G13" s="458">
        <f t="shared" si="15"/>
        <v>83984</v>
      </c>
      <c r="H13" s="472" t="s">
        <v>5</v>
      </c>
      <c r="I13" s="468">
        <v>18</v>
      </c>
      <c r="J13" s="58">
        <v>1500</v>
      </c>
      <c r="K13" s="59">
        <f t="shared" si="1"/>
        <v>83.333333333333329</v>
      </c>
      <c r="L13" s="468">
        <v>18</v>
      </c>
      <c r="M13" s="60">
        <f t="shared" si="16"/>
        <v>1450.0000000000005</v>
      </c>
      <c r="N13" s="59">
        <f t="shared" si="3"/>
        <v>80.555555555555586</v>
      </c>
      <c r="O13" s="61">
        <f t="shared" si="4"/>
        <v>0</v>
      </c>
      <c r="P13" s="62">
        <f t="shared" si="5"/>
        <v>-2.777777777777743</v>
      </c>
      <c r="Q13" s="460">
        <f t="shared" si="6"/>
        <v>0.96666666666666712</v>
      </c>
      <c r="R13" s="566"/>
      <c r="S13" s="63">
        <v>0.28194444444444444</v>
      </c>
      <c r="T13" s="63">
        <v>0.31527777777777777</v>
      </c>
      <c r="U13" s="458">
        <f t="shared" ref="U13:U20" si="18">IF(S13=TIME(17,0,0),"",(S13-T12)*24*60)</f>
        <v>4.9999999999999822</v>
      </c>
      <c r="V13" s="469">
        <f t="shared" si="17"/>
        <v>47.999999999999986</v>
      </c>
      <c r="W13" s="64"/>
      <c r="X13" s="64"/>
      <c r="Y13" s="559"/>
      <c r="Z13" s="559"/>
      <c r="AA13" s="61">
        <f t="shared" si="8"/>
        <v>-49.999999999999545</v>
      </c>
      <c r="AB13" s="460">
        <f t="shared" si="9"/>
        <v>0.96666666666666701</v>
      </c>
      <c r="AC13" s="566"/>
    </row>
    <row r="14" spans="1:29" ht="16.5" customHeight="1">
      <c r="A14" s="593" t="s">
        <v>929</v>
      </c>
      <c r="B14" s="470" t="s">
        <v>65</v>
      </c>
      <c r="C14" s="584" t="s">
        <v>1765</v>
      </c>
      <c r="D14" s="584"/>
      <c r="E14" s="57">
        <v>50.67</v>
      </c>
      <c r="F14" s="470">
        <v>1622</v>
      </c>
      <c r="G14" s="458">
        <f t="shared" si="15"/>
        <v>82186.740000000005</v>
      </c>
      <c r="H14" s="472" t="s">
        <v>5</v>
      </c>
      <c r="I14" s="468">
        <v>16</v>
      </c>
      <c r="J14" s="58">
        <v>1500</v>
      </c>
      <c r="K14" s="59">
        <f t="shared" si="1"/>
        <v>93.75</v>
      </c>
      <c r="L14" s="468">
        <v>16</v>
      </c>
      <c r="M14" s="60">
        <f t="shared" si="16"/>
        <v>1431.1764705882351</v>
      </c>
      <c r="N14" s="59">
        <f t="shared" si="3"/>
        <v>89.448529411764696</v>
      </c>
      <c r="O14" s="61">
        <f t="shared" si="4"/>
        <v>0</v>
      </c>
      <c r="P14" s="62">
        <f t="shared" si="5"/>
        <v>-4.3014705882353041</v>
      </c>
      <c r="Q14" s="460">
        <f t="shared" si="6"/>
        <v>0.9541176470588234</v>
      </c>
      <c r="R14" s="566"/>
      <c r="S14" s="63">
        <v>0.3208333333333333</v>
      </c>
      <c r="T14" s="63">
        <v>0.36805555555555552</v>
      </c>
      <c r="U14" s="458">
        <f t="shared" si="18"/>
        <v>7.9999999999999716</v>
      </c>
      <c r="V14" s="469">
        <f t="shared" si="17"/>
        <v>68</v>
      </c>
      <c r="W14" s="64"/>
      <c r="X14" s="64"/>
      <c r="Y14" s="559"/>
      <c r="Z14" s="559"/>
      <c r="AA14" s="61">
        <f t="shared" si="8"/>
        <v>-68.823529411764866</v>
      </c>
      <c r="AB14" s="460">
        <f t="shared" si="9"/>
        <v>0.9541176470588234</v>
      </c>
      <c r="AC14" s="566"/>
    </row>
    <row r="15" spans="1:29" ht="16.5" customHeight="1">
      <c r="A15" s="593" t="s">
        <v>929</v>
      </c>
      <c r="B15" s="470" t="s">
        <v>6</v>
      </c>
      <c r="C15" s="584" t="s">
        <v>95</v>
      </c>
      <c r="D15" s="584"/>
      <c r="E15" s="57">
        <v>50.98</v>
      </c>
      <c r="F15" s="470">
        <v>800</v>
      </c>
      <c r="G15" s="458">
        <f t="shared" si="15"/>
        <v>40784</v>
      </c>
      <c r="H15" s="472">
        <v>2</v>
      </c>
      <c r="I15" s="468">
        <v>16</v>
      </c>
      <c r="J15" s="58">
        <v>2000</v>
      </c>
      <c r="K15" s="59">
        <f t="shared" si="1"/>
        <v>125</v>
      </c>
      <c r="L15" s="468">
        <v>16</v>
      </c>
      <c r="M15" s="60">
        <f t="shared" si="16"/>
        <v>1919.9999999999945</v>
      </c>
      <c r="N15" s="59">
        <f t="shared" si="3"/>
        <v>119.99999999999966</v>
      </c>
      <c r="O15" s="61">
        <f t="shared" si="4"/>
        <v>0</v>
      </c>
      <c r="P15" s="62">
        <f t="shared" si="5"/>
        <v>-5.0000000000003411</v>
      </c>
      <c r="Q15" s="460">
        <f t="shared" si="6"/>
        <v>0.9599999999999973</v>
      </c>
      <c r="R15" s="566"/>
      <c r="S15" s="63">
        <v>0.70833333333333337</v>
      </c>
      <c r="T15" s="63">
        <v>0.72569444444444453</v>
      </c>
      <c r="U15" s="458" t="str">
        <f t="shared" si="18"/>
        <v/>
      </c>
      <c r="V15" s="469">
        <f t="shared" si="17"/>
        <v>25.000000000000071</v>
      </c>
      <c r="W15" s="64"/>
      <c r="X15" s="64"/>
      <c r="Y15" s="559"/>
      <c r="Z15" s="559"/>
      <c r="AA15" s="61">
        <f t="shared" si="8"/>
        <v>-80.000000000005457</v>
      </c>
      <c r="AB15" s="460">
        <f t="shared" si="9"/>
        <v>0.9599999999999973</v>
      </c>
      <c r="AC15" s="566"/>
    </row>
    <row r="16" spans="1:29" ht="16.5" customHeight="1">
      <c r="A16" s="593" t="s">
        <v>929</v>
      </c>
      <c r="B16" s="470" t="s">
        <v>6</v>
      </c>
      <c r="C16" s="584" t="s">
        <v>18</v>
      </c>
      <c r="D16" s="584"/>
      <c r="E16" s="57">
        <v>50.92</v>
      </c>
      <c r="F16" s="470">
        <v>800</v>
      </c>
      <c r="G16" s="458">
        <f t="shared" si="15"/>
        <v>40736</v>
      </c>
      <c r="H16" s="472">
        <v>2</v>
      </c>
      <c r="I16" s="468">
        <v>15</v>
      </c>
      <c r="J16" s="58">
        <v>2000</v>
      </c>
      <c r="K16" s="59">
        <f t="shared" si="1"/>
        <v>133.33333333333334</v>
      </c>
      <c r="L16" s="468">
        <v>15</v>
      </c>
      <c r="M16" s="60">
        <f t="shared" si="16"/>
        <v>1919.9999999999945</v>
      </c>
      <c r="N16" s="59">
        <f t="shared" si="3"/>
        <v>127.99999999999963</v>
      </c>
      <c r="O16" s="61">
        <f t="shared" si="4"/>
        <v>0</v>
      </c>
      <c r="P16" s="62">
        <f t="shared" si="5"/>
        <v>-5.3333333333337123</v>
      </c>
      <c r="Q16" s="460">
        <f t="shared" si="6"/>
        <v>0.95999999999999719</v>
      </c>
      <c r="R16" s="566"/>
      <c r="S16" s="63">
        <v>0.72916666666666674</v>
      </c>
      <c r="T16" s="63">
        <v>0.7465277777777779</v>
      </c>
      <c r="U16" s="458">
        <f t="shared" si="18"/>
        <v>4.9999999999999822</v>
      </c>
      <c r="V16" s="469">
        <f t="shared" si="17"/>
        <v>25.000000000000071</v>
      </c>
      <c r="W16" s="64"/>
      <c r="X16" s="64"/>
      <c r="Y16" s="559"/>
      <c r="Z16" s="559"/>
      <c r="AA16" s="61">
        <f t="shared" si="8"/>
        <v>-80.000000000005457</v>
      </c>
      <c r="AB16" s="460">
        <f t="shared" si="9"/>
        <v>0.9599999999999973</v>
      </c>
      <c r="AC16" s="566"/>
    </row>
    <row r="17" spans="1:29" ht="16.5" customHeight="1">
      <c r="A17" s="593" t="s">
        <v>929</v>
      </c>
      <c r="B17" s="470" t="s">
        <v>6</v>
      </c>
      <c r="C17" s="585" t="s">
        <v>68</v>
      </c>
      <c r="D17" s="586"/>
      <c r="E17" s="57">
        <v>50.67</v>
      </c>
      <c r="F17" s="470">
        <v>1681</v>
      </c>
      <c r="G17" s="458">
        <f t="shared" si="15"/>
        <v>85176.27</v>
      </c>
      <c r="H17" s="472" t="s">
        <v>5</v>
      </c>
      <c r="I17" s="468">
        <v>15</v>
      </c>
      <c r="J17" s="58">
        <v>2000</v>
      </c>
      <c r="K17" s="59">
        <f t="shared" si="1"/>
        <v>133.33333333333334</v>
      </c>
      <c r="L17" s="468">
        <v>15</v>
      </c>
      <c r="M17" s="60">
        <f t="shared" si="16"/>
        <v>1939.6153846153857</v>
      </c>
      <c r="N17" s="59">
        <f t="shared" si="3"/>
        <v>129.30769230769238</v>
      </c>
      <c r="O17" s="61">
        <f t="shared" si="4"/>
        <v>0</v>
      </c>
      <c r="P17" s="62">
        <f t="shared" si="5"/>
        <v>-4.0256410256409652</v>
      </c>
      <c r="Q17" s="460">
        <f t="shared" si="6"/>
        <v>0.96980769230769281</v>
      </c>
      <c r="R17" s="566"/>
      <c r="S17" s="63">
        <v>0.75000000000000011</v>
      </c>
      <c r="T17" s="63">
        <v>0.7861111111111112</v>
      </c>
      <c r="U17" s="458">
        <f t="shared" si="18"/>
        <v>4.9999999999999822</v>
      </c>
      <c r="V17" s="469">
        <f t="shared" si="17"/>
        <v>51.999999999999972</v>
      </c>
      <c r="W17" s="64"/>
      <c r="X17" s="64"/>
      <c r="Y17" s="569"/>
      <c r="Z17" s="570"/>
      <c r="AA17" s="61">
        <f t="shared" si="8"/>
        <v>-60.384615384614335</v>
      </c>
      <c r="AB17" s="460">
        <f t="shared" si="9"/>
        <v>0.96980769230769281</v>
      </c>
      <c r="AC17" s="566"/>
    </row>
    <row r="18" spans="1:29" ht="16.5" customHeight="1">
      <c r="A18" s="593" t="s">
        <v>929</v>
      </c>
      <c r="B18" s="470" t="s">
        <v>6</v>
      </c>
      <c r="C18" s="466" t="s">
        <v>94</v>
      </c>
      <c r="D18" s="467"/>
      <c r="E18" s="57">
        <v>57.3</v>
      </c>
      <c r="F18" s="470">
        <v>2212</v>
      </c>
      <c r="G18" s="458">
        <f t="shared" si="15"/>
        <v>126747.59999999999</v>
      </c>
      <c r="H18" s="472" t="s">
        <v>5</v>
      </c>
      <c r="I18" s="468">
        <v>13</v>
      </c>
      <c r="J18" s="58">
        <v>2000</v>
      </c>
      <c r="K18" s="59">
        <f t="shared" si="1"/>
        <v>153.84615384615384</v>
      </c>
      <c r="L18" s="468">
        <v>13</v>
      </c>
      <c r="M18" s="60">
        <f t="shared" si="16"/>
        <v>1923.4782608695675</v>
      </c>
      <c r="N18" s="59">
        <f t="shared" si="3"/>
        <v>147.95986622073596</v>
      </c>
      <c r="O18" s="61">
        <f t="shared" si="4"/>
        <v>0</v>
      </c>
      <c r="P18" s="62">
        <f t="shared" si="5"/>
        <v>-5.8862876254178786</v>
      </c>
      <c r="Q18" s="460">
        <f t="shared" si="6"/>
        <v>0.96173913043478376</v>
      </c>
      <c r="R18" s="566"/>
      <c r="S18" s="63">
        <v>0.79027777777777786</v>
      </c>
      <c r="T18" s="63">
        <v>0.83819444444444446</v>
      </c>
      <c r="U18" s="458">
        <f t="shared" si="18"/>
        <v>5.9999999999999787</v>
      </c>
      <c r="V18" s="469">
        <f t="shared" si="17"/>
        <v>68.999999999999915</v>
      </c>
      <c r="W18" s="64">
        <f>T18</f>
        <v>0.83819444444444446</v>
      </c>
      <c r="X18" s="64">
        <f>S19</f>
        <v>0.87916666666666665</v>
      </c>
      <c r="Y18" s="569"/>
      <c r="Z18" s="570"/>
      <c r="AA18" s="61">
        <f t="shared" si="8"/>
        <v>-76.521739130432479</v>
      </c>
      <c r="AB18" s="460">
        <f t="shared" si="9"/>
        <v>0.96173913043478376</v>
      </c>
      <c r="AC18" s="566"/>
    </row>
    <row r="19" spans="1:29" ht="16.5" customHeight="1">
      <c r="A19" s="593" t="s">
        <v>2122</v>
      </c>
      <c r="B19" s="470" t="s">
        <v>6</v>
      </c>
      <c r="C19" s="466" t="s">
        <v>95</v>
      </c>
      <c r="D19" s="467"/>
      <c r="E19" s="57">
        <v>50.98</v>
      </c>
      <c r="F19" s="470">
        <v>1819</v>
      </c>
      <c r="G19" s="458">
        <f t="shared" si="15"/>
        <v>92732.62</v>
      </c>
      <c r="H19" s="472" t="s">
        <v>5</v>
      </c>
      <c r="I19" s="468">
        <v>16</v>
      </c>
      <c r="J19" s="58">
        <v>2000</v>
      </c>
      <c r="K19" s="59">
        <f t="shared" si="1"/>
        <v>125</v>
      </c>
      <c r="L19" s="468">
        <v>16</v>
      </c>
      <c r="M19" s="60">
        <f t="shared" si="16"/>
        <v>1914.7368421052645</v>
      </c>
      <c r="N19" s="59">
        <f t="shared" si="3"/>
        <v>119.67105263157903</v>
      </c>
      <c r="O19" s="61">
        <f t="shared" si="4"/>
        <v>0</v>
      </c>
      <c r="P19" s="62">
        <f t="shared" si="5"/>
        <v>-5.3289473684209696</v>
      </c>
      <c r="Q19" s="460">
        <f t="shared" si="6"/>
        <v>0.9573684210526322</v>
      </c>
      <c r="R19" s="566"/>
      <c r="S19" s="63">
        <v>0.87916666666666665</v>
      </c>
      <c r="T19" s="63">
        <v>0.91874999999999996</v>
      </c>
      <c r="U19" s="458">
        <f t="shared" si="18"/>
        <v>58.99999999999995</v>
      </c>
      <c r="V19" s="469">
        <f t="shared" si="17"/>
        <v>56.999999999999957</v>
      </c>
      <c r="W19" s="64"/>
      <c r="X19" s="64"/>
      <c r="Y19" s="569"/>
      <c r="Z19" s="570"/>
      <c r="AA19" s="61">
        <f t="shared" si="8"/>
        <v>-85.263157894735514</v>
      </c>
      <c r="AB19" s="460">
        <f t="shared" si="9"/>
        <v>0.9573684210526322</v>
      </c>
      <c r="AC19" s="566"/>
    </row>
    <row r="20" spans="1:29" ht="16.5" customHeight="1">
      <c r="A20" s="593" t="s">
        <v>2122</v>
      </c>
      <c r="B20" s="470" t="s">
        <v>6</v>
      </c>
      <c r="C20" s="585" t="s">
        <v>18</v>
      </c>
      <c r="D20" s="586"/>
      <c r="E20" s="57">
        <v>50.92</v>
      </c>
      <c r="F20" s="470">
        <v>1807</v>
      </c>
      <c r="G20" s="458">
        <f t="shared" si="15"/>
        <v>92012.44</v>
      </c>
      <c r="H20" s="472" t="s">
        <v>5</v>
      </c>
      <c r="I20" s="468">
        <v>15</v>
      </c>
      <c r="J20" s="58">
        <v>2000</v>
      </c>
      <c r="K20" s="59">
        <f t="shared" si="1"/>
        <v>133.33333333333334</v>
      </c>
      <c r="L20" s="468">
        <v>15</v>
      </c>
      <c r="M20" s="60">
        <f t="shared" si="16"/>
        <v>1936.07142857143</v>
      </c>
      <c r="N20" s="59">
        <f t="shared" si="3"/>
        <v>129.07142857142867</v>
      </c>
      <c r="O20" s="61">
        <f t="shared" si="4"/>
        <v>0</v>
      </c>
      <c r="P20" s="62">
        <f t="shared" si="5"/>
        <v>-4.2619047619046739</v>
      </c>
      <c r="Q20" s="460">
        <f t="shared" si="6"/>
        <v>0.968035714285715</v>
      </c>
      <c r="R20" s="566"/>
      <c r="S20" s="63">
        <v>0.92291666666666661</v>
      </c>
      <c r="T20" s="63">
        <v>0.96180555555555547</v>
      </c>
      <c r="U20" s="458">
        <f t="shared" si="18"/>
        <v>5.9999999999999787</v>
      </c>
      <c r="V20" s="469">
        <f t="shared" si="17"/>
        <v>55.999999999999957</v>
      </c>
      <c r="W20" s="64"/>
      <c r="X20" s="64"/>
      <c r="Y20" s="569"/>
      <c r="Z20" s="570"/>
      <c r="AA20" s="61">
        <f t="shared" si="8"/>
        <v>-63.928571428569967</v>
      </c>
      <c r="AB20" s="460">
        <f t="shared" si="9"/>
        <v>0.968035714285715</v>
      </c>
      <c r="AC20" s="566"/>
    </row>
    <row r="21" spans="1:29" ht="16.5" customHeight="1">
      <c r="A21" s="593" t="s">
        <v>2122</v>
      </c>
      <c r="B21" s="57" t="s">
        <v>2123</v>
      </c>
      <c r="C21" s="571"/>
      <c r="D21" s="571"/>
      <c r="E21" s="461"/>
      <c r="F21" s="66"/>
      <c r="G21" s="59"/>
      <c r="H21" s="470"/>
      <c r="I21" s="67">
        <v>16.666666666666668</v>
      </c>
      <c r="J21" s="58">
        <v>1833.3333333333333</v>
      </c>
      <c r="K21" s="59">
        <f t="shared" si="1"/>
        <v>109.99999999999999</v>
      </c>
      <c r="L21" s="67">
        <v>16.666666666666668</v>
      </c>
      <c r="M21" s="60">
        <f>AVERAGE(M12:M20)</f>
        <v>1763.039512719183</v>
      </c>
      <c r="N21" s="59">
        <f t="shared" si="3"/>
        <v>105.78237076315098</v>
      </c>
      <c r="O21" s="61">
        <f t="shared" si="4"/>
        <v>0</v>
      </c>
      <c r="P21" s="62">
        <f t="shared" si="5"/>
        <v>-4.2176292368490067</v>
      </c>
      <c r="Q21" s="460">
        <f t="shared" si="6"/>
        <v>0.96165791602864537</v>
      </c>
      <c r="R21" s="566"/>
      <c r="S21" s="63"/>
      <c r="T21" s="63"/>
      <c r="U21" s="458"/>
      <c r="V21" s="469"/>
      <c r="W21" s="59"/>
      <c r="X21" s="59"/>
      <c r="Y21" s="559"/>
      <c r="Z21" s="559"/>
      <c r="AA21" s="61">
        <f t="shared" si="8"/>
        <v>-70.293820614150263</v>
      </c>
      <c r="AB21" s="460">
        <f t="shared" si="9"/>
        <v>0.96165791602864525</v>
      </c>
      <c r="AC21" s="566"/>
    </row>
    <row r="22" spans="1:29" ht="15.75" customHeight="1">
      <c r="A22" s="588" t="s">
        <v>587</v>
      </c>
      <c r="B22" s="57" t="s">
        <v>12</v>
      </c>
      <c r="C22" s="584" t="s">
        <v>19</v>
      </c>
      <c r="D22" s="584"/>
      <c r="E22" s="57">
        <v>43.14</v>
      </c>
      <c r="F22" s="470">
        <v>1171</v>
      </c>
      <c r="G22" s="458">
        <f t="shared" ref="G22:G30" si="19">E22*F22</f>
        <v>50516.94</v>
      </c>
      <c r="H22" s="472" t="s">
        <v>5</v>
      </c>
      <c r="I22" s="468">
        <v>17</v>
      </c>
      <c r="J22" s="58">
        <v>2000</v>
      </c>
      <c r="K22" s="59">
        <f t="shared" si="1"/>
        <v>117.64705882352941</v>
      </c>
      <c r="L22" s="468">
        <v>17</v>
      </c>
      <c r="M22" s="60">
        <f t="shared" ref="M22:M30" si="20">F22/V22*60</f>
        <v>1951.6666666666672</v>
      </c>
      <c r="N22" s="59">
        <f t="shared" si="3"/>
        <v>114.80392156862749</v>
      </c>
      <c r="O22" s="61">
        <f t="shared" si="4"/>
        <v>0</v>
      </c>
      <c r="P22" s="62">
        <f t="shared" si="5"/>
        <v>-2.8431372549019187</v>
      </c>
      <c r="Q22" s="460">
        <f t="shared" si="6"/>
        <v>0.97583333333333366</v>
      </c>
      <c r="R22" s="566">
        <f>Q31</f>
        <v>0.96219795896609006</v>
      </c>
      <c r="S22" s="63">
        <v>0.20833333333333334</v>
      </c>
      <c r="T22" s="63">
        <v>0.23333333333333334</v>
      </c>
      <c r="U22" s="458"/>
      <c r="V22" s="469">
        <f t="shared" ref="V22:V30" si="21">(T22-S22)*24*60</f>
        <v>35.999999999999993</v>
      </c>
      <c r="W22" s="68"/>
      <c r="X22" s="68"/>
      <c r="Y22" s="559"/>
      <c r="Z22" s="559"/>
      <c r="AA22" s="61">
        <f t="shared" si="8"/>
        <v>-48.333333333332803</v>
      </c>
      <c r="AB22" s="460">
        <f t="shared" si="9"/>
        <v>0.97583333333333355</v>
      </c>
      <c r="AC22" s="566">
        <f>AB31</f>
        <v>0.96219795896609006</v>
      </c>
    </row>
    <row r="23" spans="1:29" ht="15.75" customHeight="1">
      <c r="A23" s="589" t="s">
        <v>2124</v>
      </c>
      <c r="B23" s="57" t="s">
        <v>65</v>
      </c>
      <c r="C23" s="584" t="s">
        <v>97</v>
      </c>
      <c r="D23" s="584"/>
      <c r="E23" s="57">
        <v>49.9</v>
      </c>
      <c r="F23" s="470">
        <v>1290</v>
      </c>
      <c r="G23" s="458">
        <f t="shared" si="19"/>
        <v>64371</v>
      </c>
      <c r="H23" s="472" t="s">
        <v>5</v>
      </c>
      <c r="I23" s="468">
        <v>17</v>
      </c>
      <c r="J23" s="58">
        <v>2000</v>
      </c>
      <c r="K23" s="59">
        <f t="shared" si="1"/>
        <v>117.64705882352941</v>
      </c>
      <c r="L23" s="468">
        <v>17</v>
      </c>
      <c r="M23" s="60">
        <f t="shared" si="20"/>
        <v>1934.9999999999991</v>
      </c>
      <c r="N23" s="59">
        <f t="shared" si="3"/>
        <v>113.82352941176465</v>
      </c>
      <c r="O23" s="61">
        <f t="shared" si="4"/>
        <v>0</v>
      </c>
      <c r="P23" s="62">
        <f t="shared" si="5"/>
        <v>-3.8235294117647527</v>
      </c>
      <c r="Q23" s="460">
        <f t="shared" si="6"/>
        <v>0.96749999999999958</v>
      </c>
      <c r="R23" s="566"/>
      <c r="S23" s="63">
        <v>0.23680555555555555</v>
      </c>
      <c r="T23" s="63">
        <v>0.26458333333333334</v>
      </c>
      <c r="U23" s="458">
        <f t="shared" ref="U23:U30" si="22">IF(S23=TIME(17,0,0),"",(S23-T22)*24*60)</f>
        <v>4.9999999999999822</v>
      </c>
      <c r="V23" s="469">
        <f t="shared" si="21"/>
        <v>40.000000000000014</v>
      </c>
      <c r="W23" s="64"/>
      <c r="X23" s="458"/>
      <c r="Y23" s="559"/>
      <c r="Z23" s="559"/>
      <c r="AA23" s="61">
        <f t="shared" si="8"/>
        <v>-65.000000000000909</v>
      </c>
      <c r="AB23" s="460">
        <f t="shared" si="9"/>
        <v>0.96749999999999958</v>
      </c>
      <c r="AC23" s="566"/>
    </row>
    <row r="24" spans="1:29" ht="15.75" customHeight="1">
      <c r="A24" s="589" t="s">
        <v>587</v>
      </c>
      <c r="B24" s="57" t="s">
        <v>6</v>
      </c>
      <c r="C24" s="584" t="s">
        <v>20</v>
      </c>
      <c r="D24" s="584"/>
      <c r="E24" s="57">
        <v>57.73</v>
      </c>
      <c r="F24" s="470">
        <v>2830</v>
      </c>
      <c r="G24" s="458">
        <f t="shared" si="19"/>
        <v>163375.9</v>
      </c>
      <c r="H24" s="472" t="s">
        <v>5</v>
      </c>
      <c r="I24" s="468">
        <v>14</v>
      </c>
      <c r="J24" s="58">
        <v>2000</v>
      </c>
      <c r="K24" s="59">
        <f t="shared" si="1"/>
        <v>142.85714285714286</v>
      </c>
      <c r="L24" s="468">
        <v>14</v>
      </c>
      <c r="M24" s="60">
        <f t="shared" si="20"/>
        <v>1907.8651685393259</v>
      </c>
      <c r="N24" s="59">
        <f t="shared" si="3"/>
        <v>136.27608346709471</v>
      </c>
      <c r="O24" s="61">
        <f t="shared" si="4"/>
        <v>0</v>
      </c>
      <c r="P24" s="62">
        <f t="shared" si="5"/>
        <v>-6.5810593900481535</v>
      </c>
      <c r="Q24" s="460">
        <f t="shared" si="6"/>
        <v>0.95393258426966288</v>
      </c>
      <c r="R24" s="566"/>
      <c r="S24" s="63">
        <v>0.26805555555555555</v>
      </c>
      <c r="T24" s="63">
        <v>0.3298611111111111</v>
      </c>
      <c r="U24" s="458">
        <f t="shared" si="22"/>
        <v>4.9999999999999822</v>
      </c>
      <c r="V24" s="469">
        <f t="shared" si="21"/>
        <v>89</v>
      </c>
      <c r="W24" s="64"/>
      <c r="X24" s="458"/>
      <c r="Y24" s="559"/>
      <c r="Z24" s="559"/>
      <c r="AA24" s="61">
        <f t="shared" si="8"/>
        <v>-92.13483146067415</v>
      </c>
      <c r="AB24" s="460">
        <f t="shared" si="9"/>
        <v>0.95393258426966288</v>
      </c>
      <c r="AC24" s="566"/>
    </row>
    <row r="25" spans="1:29" ht="15.75" customHeight="1">
      <c r="A25" s="589" t="s">
        <v>587</v>
      </c>
      <c r="B25" s="57" t="s">
        <v>6</v>
      </c>
      <c r="C25" s="584" t="s">
        <v>21</v>
      </c>
      <c r="D25" s="584"/>
      <c r="E25" s="57">
        <v>53.68</v>
      </c>
      <c r="F25" s="470">
        <v>1717</v>
      </c>
      <c r="G25" s="458">
        <f t="shared" si="19"/>
        <v>92168.56</v>
      </c>
      <c r="H25" s="472" t="s">
        <v>5</v>
      </c>
      <c r="I25" s="468">
        <v>16</v>
      </c>
      <c r="J25" s="58">
        <v>2000</v>
      </c>
      <c r="K25" s="59">
        <f t="shared" si="1"/>
        <v>125</v>
      </c>
      <c r="L25" s="468">
        <v>16</v>
      </c>
      <c r="M25" s="60">
        <f t="shared" si="20"/>
        <v>1907.7777777777787</v>
      </c>
      <c r="N25" s="59">
        <f t="shared" si="3"/>
        <v>119.23611111111117</v>
      </c>
      <c r="O25" s="61">
        <f t="shared" si="4"/>
        <v>0</v>
      </c>
      <c r="P25" s="62">
        <f t="shared" si="5"/>
        <v>-5.7638888888888289</v>
      </c>
      <c r="Q25" s="460">
        <f t="shared" si="6"/>
        <v>0.95388888888888934</v>
      </c>
      <c r="R25" s="566"/>
      <c r="S25" s="63">
        <v>0.3347222222222222</v>
      </c>
      <c r="T25" s="63">
        <v>0.37222222222222218</v>
      </c>
      <c r="U25" s="458">
        <f t="shared" si="22"/>
        <v>6.9999999999999751</v>
      </c>
      <c r="V25" s="469">
        <f t="shared" si="21"/>
        <v>53.999999999999972</v>
      </c>
      <c r="W25" s="64"/>
      <c r="X25" s="458"/>
      <c r="Y25" s="559"/>
      <c r="Z25" s="559"/>
      <c r="AA25" s="61">
        <f t="shared" si="8"/>
        <v>-92.222222222221262</v>
      </c>
      <c r="AB25" s="460">
        <f t="shared" si="9"/>
        <v>0.95388888888888934</v>
      </c>
      <c r="AC25" s="566"/>
    </row>
    <row r="26" spans="1:29" ht="15.75" customHeight="1">
      <c r="A26" s="589" t="s">
        <v>587</v>
      </c>
      <c r="B26" s="57" t="s">
        <v>6</v>
      </c>
      <c r="C26" s="584" t="s">
        <v>96</v>
      </c>
      <c r="D26" s="584"/>
      <c r="E26" s="57">
        <v>49.91</v>
      </c>
      <c r="F26" s="470">
        <v>1057</v>
      </c>
      <c r="G26" s="458">
        <f t="shared" si="19"/>
        <v>52754.869999999995</v>
      </c>
      <c r="H26" s="472" t="s">
        <v>5</v>
      </c>
      <c r="I26" s="468">
        <v>17</v>
      </c>
      <c r="J26" s="58">
        <v>2000</v>
      </c>
      <c r="K26" s="59">
        <f t="shared" si="1"/>
        <v>117.64705882352941</v>
      </c>
      <c r="L26" s="468">
        <v>17</v>
      </c>
      <c r="M26" s="60">
        <f t="shared" si="20"/>
        <v>1921.818181818184</v>
      </c>
      <c r="N26" s="59">
        <f t="shared" si="3"/>
        <v>113.04812834224612</v>
      </c>
      <c r="O26" s="61">
        <f t="shared" si="4"/>
        <v>0</v>
      </c>
      <c r="P26" s="62">
        <f t="shared" si="5"/>
        <v>-4.5989304812832899</v>
      </c>
      <c r="Q26" s="460">
        <f t="shared" si="6"/>
        <v>0.96090909090909205</v>
      </c>
      <c r="R26" s="566"/>
      <c r="S26" s="63">
        <v>0.37777777777777771</v>
      </c>
      <c r="T26" s="63">
        <v>0.40069444444444435</v>
      </c>
      <c r="U26" s="458">
        <f t="shared" si="22"/>
        <v>7.9999999999999716</v>
      </c>
      <c r="V26" s="469">
        <f t="shared" si="21"/>
        <v>32.999999999999964</v>
      </c>
      <c r="W26" s="64"/>
      <c r="X26" s="458"/>
      <c r="Y26" s="559"/>
      <c r="Z26" s="559"/>
      <c r="AA26" s="61">
        <f t="shared" si="8"/>
        <v>-78.18181818181597</v>
      </c>
      <c r="AB26" s="460">
        <f t="shared" si="9"/>
        <v>0.96090909090909205</v>
      </c>
      <c r="AC26" s="566"/>
    </row>
    <row r="27" spans="1:29" ht="15.75" customHeight="1">
      <c r="A27" s="589" t="s">
        <v>2124</v>
      </c>
      <c r="B27" s="57" t="s">
        <v>6</v>
      </c>
      <c r="C27" s="584" t="s">
        <v>8</v>
      </c>
      <c r="D27" s="584"/>
      <c r="E27" s="57">
        <v>50.49</v>
      </c>
      <c r="F27" s="470">
        <v>2027</v>
      </c>
      <c r="G27" s="458">
        <f t="shared" si="19"/>
        <v>102343.23000000001</v>
      </c>
      <c r="H27" s="472" t="s">
        <v>5</v>
      </c>
      <c r="I27" s="468">
        <v>15</v>
      </c>
      <c r="J27" s="58">
        <v>2000</v>
      </c>
      <c r="K27" s="59">
        <f t="shared" si="1"/>
        <v>133.33333333333334</v>
      </c>
      <c r="L27" s="468">
        <v>15</v>
      </c>
      <c r="M27" s="60">
        <f t="shared" si="20"/>
        <v>1930.4761904761924</v>
      </c>
      <c r="N27" s="59">
        <f t="shared" si="3"/>
        <v>128.69841269841282</v>
      </c>
      <c r="O27" s="61">
        <f t="shared" si="4"/>
        <v>0</v>
      </c>
      <c r="P27" s="62">
        <f t="shared" si="5"/>
        <v>-4.634920634920519</v>
      </c>
      <c r="Q27" s="460">
        <f t="shared" si="6"/>
        <v>0.96523809523809612</v>
      </c>
      <c r="R27" s="566"/>
      <c r="S27" s="63">
        <v>0.70833333333333337</v>
      </c>
      <c r="T27" s="63">
        <v>0.75208333333333333</v>
      </c>
      <c r="U27" s="458" t="str">
        <f t="shared" si="22"/>
        <v/>
      </c>
      <c r="V27" s="469">
        <f t="shared" si="21"/>
        <v>62.999999999999936</v>
      </c>
      <c r="W27" s="64"/>
      <c r="X27" s="68"/>
      <c r="Y27" s="559"/>
      <c r="Z27" s="559"/>
      <c r="AA27" s="61">
        <f t="shared" si="8"/>
        <v>-69.523809523807586</v>
      </c>
      <c r="AB27" s="460">
        <f t="shared" si="9"/>
        <v>0.96523809523809623</v>
      </c>
      <c r="AC27" s="566"/>
    </row>
    <row r="28" spans="1:29" ht="15.75" customHeight="1">
      <c r="A28" s="589" t="s">
        <v>2124</v>
      </c>
      <c r="B28" s="57" t="s">
        <v>6</v>
      </c>
      <c r="C28" s="584" t="s">
        <v>69</v>
      </c>
      <c r="D28" s="584"/>
      <c r="E28" s="57">
        <v>57.73</v>
      </c>
      <c r="F28" s="470">
        <v>1325</v>
      </c>
      <c r="G28" s="458">
        <f t="shared" si="19"/>
        <v>76492.25</v>
      </c>
      <c r="H28" s="472" t="s">
        <v>5</v>
      </c>
      <c r="I28" s="468">
        <v>16</v>
      </c>
      <c r="J28" s="58">
        <v>1500</v>
      </c>
      <c r="K28" s="59">
        <f t="shared" si="1"/>
        <v>93.75</v>
      </c>
      <c r="L28" s="468">
        <v>16</v>
      </c>
      <c r="M28" s="60">
        <f t="shared" si="20"/>
        <v>1445.4545454545464</v>
      </c>
      <c r="N28" s="59">
        <f t="shared" si="3"/>
        <v>90.34090909090915</v>
      </c>
      <c r="O28" s="61">
        <f t="shared" si="4"/>
        <v>0</v>
      </c>
      <c r="P28" s="62">
        <f t="shared" si="5"/>
        <v>-3.4090909090908497</v>
      </c>
      <c r="Q28" s="460">
        <f t="shared" si="6"/>
        <v>0.96363636363636429</v>
      </c>
      <c r="R28" s="566"/>
      <c r="S28" s="63">
        <v>0.75694444444444442</v>
      </c>
      <c r="T28" s="63">
        <v>0.79513888888888884</v>
      </c>
      <c r="U28" s="458">
        <f t="shared" si="22"/>
        <v>6.9999999999999751</v>
      </c>
      <c r="V28" s="469">
        <f t="shared" si="21"/>
        <v>54.999999999999964</v>
      </c>
      <c r="W28" s="64"/>
      <c r="X28" s="68"/>
      <c r="Y28" s="569"/>
      <c r="Z28" s="570"/>
      <c r="AA28" s="61">
        <f t="shared" si="8"/>
        <v>-54.545454545453595</v>
      </c>
      <c r="AB28" s="460">
        <f t="shared" si="9"/>
        <v>0.96363636363636429</v>
      </c>
      <c r="AC28" s="566"/>
    </row>
    <row r="29" spans="1:29" ht="15.75" customHeight="1">
      <c r="A29" s="589" t="s">
        <v>2124</v>
      </c>
      <c r="B29" s="57" t="s">
        <v>6</v>
      </c>
      <c r="C29" s="585" t="s">
        <v>99</v>
      </c>
      <c r="D29" s="586"/>
      <c r="E29" s="57">
        <v>53.68</v>
      </c>
      <c r="F29" s="470">
        <v>1000</v>
      </c>
      <c r="G29" s="458">
        <f t="shared" si="19"/>
        <v>53680</v>
      </c>
      <c r="H29" s="472">
        <v>2</v>
      </c>
      <c r="I29" s="468">
        <v>16</v>
      </c>
      <c r="J29" s="58">
        <v>1500</v>
      </c>
      <c r="K29" s="59">
        <f t="shared" si="1"/>
        <v>93.75</v>
      </c>
      <c r="L29" s="468">
        <v>16</v>
      </c>
      <c r="M29" s="60">
        <f t="shared" si="20"/>
        <v>1428.5714285714282</v>
      </c>
      <c r="N29" s="59">
        <f t="shared" si="3"/>
        <v>89.285714285714263</v>
      </c>
      <c r="O29" s="61">
        <f t="shared" si="4"/>
        <v>0</v>
      </c>
      <c r="P29" s="62">
        <f t="shared" si="5"/>
        <v>-4.4642857142857366</v>
      </c>
      <c r="Q29" s="460">
        <f t="shared" si="6"/>
        <v>0.95238095238095211</v>
      </c>
      <c r="R29" s="566"/>
      <c r="S29" s="63">
        <v>0.79930555555555549</v>
      </c>
      <c r="T29" s="63">
        <v>0.82847222222222217</v>
      </c>
      <c r="U29" s="458">
        <f t="shared" si="22"/>
        <v>5.9999999999999787</v>
      </c>
      <c r="V29" s="469">
        <f t="shared" si="21"/>
        <v>42.000000000000014</v>
      </c>
      <c r="W29" s="64">
        <f>T29</f>
        <v>0.82847222222222217</v>
      </c>
      <c r="X29" s="64">
        <f>S30</f>
        <v>0.87083333333333324</v>
      </c>
      <c r="Y29" s="569"/>
      <c r="Z29" s="570"/>
      <c r="AA29" s="61">
        <f t="shared" si="8"/>
        <v>-71.428571428571786</v>
      </c>
      <c r="AB29" s="460">
        <f t="shared" si="9"/>
        <v>0.95238095238095211</v>
      </c>
      <c r="AC29" s="566"/>
    </row>
    <row r="30" spans="1:29" ht="15.75" customHeight="1">
      <c r="A30" s="589" t="s">
        <v>587</v>
      </c>
      <c r="B30" s="57" t="s">
        <v>6</v>
      </c>
      <c r="C30" s="585" t="s">
        <v>99</v>
      </c>
      <c r="D30" s="586"/>
      <c r="E30" s="57">
        <v>53.68</v>
      </c>
      <c r="F30" s="470">
        <v>1327</v>
      </c>
      <c r="G30" s="458">
        <f t="shared" si="19"/>
        <v>71233.36</v>
      </c>
      <c r="H30" s="472" t="s">
        <v>5</v>
      </c>
      <c r="I30" s="468">
        <v>16</v>
      </c>
      <c r="J30" s="58">
        <v>1500</v>
      </c>
      <c r="K30" s="59">
        <f t="shared" si="1"/>
        <v>93.75</v>
      </c>
      <c r="L30" s="468">
        <v>16</v>
      </c>
      <c r="M30" s="60">
        <f t="shared" si="20"/>
        <v>1447.6363636363646</v>
      </c>
      <c r="N30" s="59">
        <f t="shared" si="3"/>
        <v>90.477272727272791</v>
      </c>
      <c r="O30" s="61">
        <f t="shared" si="4"/>
        <v>0</v>
      </c>
      <c r="P30" s="62">
        <f t="shared" si="5"/>
        <v>-3.2727272727272094</v>
      </c>
      <c r="Q30" s="460">
        <f t="shared" si="6"/>
        <v>0.96509090909090978</v>
      </c>
      <c r="R30" s="566"/>
      <c r="S30" s="63">
        <v>0.87083333333333324</v>
      </c>
      <c r="T30" s="63">
        <v>0.90902777777777766</v>
      </c>
      <c r="U30" s="458">
        <f t="shared" si="22"/>
        <v>60.999999999999943</v>
      </c>
      <c r="V30" s="469">
        <f t="shared" si="21"/>
        <v>54.999999999999964</v>
      </c>
      <c r="W30" s="64"/>
      <c r="X30" s="64"/>
      <c r="Y30" s="569"/>
      <c r="Z30" s="570"/>
      <c r="AA30" s="61">
        <f t="shared" si="8"/>
        <v>-52.363636363635351</v>
      </c>
      <c r="AB30" s="460">
        <f t="shared" si="9"/>
        <v>0.96509090909090978</v>
      </c>
      <c r="AC30" s="566"/>
    </row>
    <row r="31" spans="1:29" ht="15.75" customHeight="1">
      <c r="A31" s="589" t="s">
        <v>587</v>
      </c>
      <c r="B31" s="57" t="s">
        <v>2121</v>
      </c>
      <c r="C31" s="571"/>
      <c r="D31" s="571"/>
      <c r="E31" s="461"/>
      <c r="F31" s="470"/>
      <c r="G31" s="458"/>
      <c r="H31" s="470"/>
      <c r="I31" s="67">
        <v>16</v>
      </c>
      <c r="J31" s="58">
        <v>1833.3333333333333</v>
      </c>
      <c r="K31" s="59">
        <f t="shared" si="1"/>
        <v>114.58333333333333</v>
      </c>
      <c r="L31" s="67">
        <v>16</v>
      </c>
      <c r="M31" s="60">
        <f>AVERAGE(M22:M30)</f>
        <v>1764.0295914378316</v>
      </c>
      <c r="N31" s="59">
        <f t="shared" si="3"/>
        <v>110.25184946486448</v>
      </c>
      <c r="O31" s="61">
        <f t="shared" si="4"/>
        <v>0</v>
      </c>
      <c r="P31" s="62">
        <f t="shared" si="5"/>
        <v>-4.331483868468851</v>
      </c>
      <c r="Q31" s="460">
        <f t="shared" si="6"/>
        <v>0.96219795896609006</v>
      </c>
      <c r="R31" s="566"/>
      <c r="S31" s="63"/>
      <c r="T31" s="63"/>
      <c r="U31" s="59"/>
      <c r="V31" s="469"/>
      <c r="W31" s="59"/>
      <c r="X31" s="59"/>
      <c r="Y31" s="559"/>
      <c r="Z31" s="559"/>
      <c r="AA31" s="61">
        <f t="shared" si="8"/>
        <v>-69.303741895501616</v>
      </c>
      <c r="AB31" s="460">
        <f t="shared" si="9"/>
        <v>0.96219795896609006</v>
      </c>
      <c r="AC31" s="566"/>
    </row>
    <row r="32" spans="1:29" ht="15.75" customHeight="1">
      <c r="A32" s="587" t="s">
        <v>2125</v>
      </c>
      <c r="B32" s="57" t="s">
        <v>15</v>
      </c>
      <c r="C32" s="584" t="s">
        <v>26</v>
      </c>
      <c r="D32" s="584"/>
      <c r="E32" s="57">
        <v>31.29</v>
      </c>
      <c r="F32" s="470">
        <v>4100</v>
      </c>
      <c r="G32" s="458">
        <f t="shared" ref="G32:G38" si="23">E32*F32</f>
        <v>128289</v>
      </c>
      <c r="H32" s="472">
        <v>2</v>
      </c>
      <c r="I32" s="468">
        <v>18</v>
      </c>
      <c r="J32" s="58">
        <v>2400</v>
      </c>
      <c r="K32" s="59">
        <f t="shared" si="1"/>
        <v>133.33333333333334</v>
      </c>
      <c r="L32" s="468">
        <v>18</v>
      </c>
      <c r="M32" s="60">
        <f t="shared" ref="M32:M38" si="24">F32/V32*60</f>
        <v>2299.065420560748</v>
      </c>
      <c r="N32" s="59">
        <f t="shared" si="3"/>
        <v>127.72585669781932</v>
      </c>
      <c r="O32" s="61">
        <f t="shared" si="4"/>
        <v>0</v>
      </c>
      <c r="P32" s="62">
        <f t="shared" si="5"/>
        <v>-5.6074766355140184</v>
      </c>
      <c r="Q32" s="460">
        <f t="shared" si="6"/>
        <v>0.95794392523364491</v>
      </c>
      <c r="R32" s="566">
        <f>Q39</f>
        <v>0.95612792531174728</v>
      </c>
      <c r="S32" s="63">
        <v>8.3333333333333329E-2</v>
      </c>
      <c r="T32" s="63">
        <v>0.15763888888888888</v>
      </c>
      <c r="U32" s="458"/>
      <c r="V32" s="469">
        <f t="shared" ref="V32:V38" si="25">(T32-S32)*24*60</f>
        <v>107</v>
      </c>
      <c r="W32" s="64">
        <f>T32</f>
        <v>0.15763888888888888</v>
      </c>
      <c r="X32" s="64">
        <f>S33</f>
        <v>0.17916666666666667</v>
      </c>
      <c r="Y32" s="559"/>
      <c r="Z32" s="559"/>
      <c r="AA32" s="61">
        <f t="shared" si="8"/>
        <v>-100.93457943925205</v>
      </c>
      <c r="AB32" s="460">
        <f t="shared" si="9"/>
        <v>0.95794392523364502</v>
      </c>
      <c r="AC32" s="566">
        <f>AB39</f>
        <v>0.95612792531174728</v>
      </c>
    </row>
    <row r="33" spans="1:29" ht="15.75" customHeight="1">
      <c r="A33" s="587" t="s">
        <v>2125</v>
      </c>
      <c r="B33" s="57" t="s">
        <v>15</v>
      </c>
      <c r="C33" s="584" t="s">
        <v>23</v>
      </c>
      <c r="D33" s="584"/>
      <c r="E33" s="57">
        <v>26.2</v>
      </c>
      <c r="F33" s="470">
        <v>3100</v>
      </c>
      <c r="G33" s="458">
        <f t="shared" si="23"/>
        <v>81220</v>
      </c>
      <c r="H33" s="472">
        <v>2</v>
      </c>
      <c r="I33" s="468">
        <v>20</v>
      </c>
      <c r="J33" s="58">
        <v>2400</v>
      </c>
      <c r="K33" s="59">
        <f t="shared" si="1"/>
        <v>120</v>
      </c>
      <c r="L33" s="468">
        <v>20</v>
      </c>
      <c r="M33" s="60">
        <f t="shared" si="24"/>
        <v>2296.296296296297</v>
      </c>
      <c r="N33" s="59">
        <f t="shared" si="3"/>
        <v>114.81481481481485</v>
      </c>
      <c r="O33" s="61">
        <f t="shared" si="4"/>
        <v>0</v>
      </c>
      <c r="P33" s="62">
        <f t="shared" si="5"/>
        <v>-5.1851851851851478</v>
      </c>
      <c r="Q33" s="460">
        <f t="shared" si="6"/>
        <v>0.95679012345679049</v>
      </c>
      <c r="R33" s="566"/>
      <c r="S33" s="63">
        <v>0.17916666666666667</v>
      </c>
      <c r="T33" s="63">
        <v>0.23541666666666666</v>
      </c>
      <c r="U33" s="458">
        <f t="shared" ref="U33:U38" si="26">(S33-T32)*24*60</f>
        <v>31.000000000000011</v>
      </c>
      <c r="V33" s="469">
        <f t="shared" si="25"/>
        <v>80.999999999999986</v>
      </c>
      <c r="W33" s="64"/>
      <c r="X33" s="64"/>
      <c r="Y33" s="559"/>
      <c r="Z33" s="559"/>
      <c r="AA33" s="61">
        <f t="shared" si="8"/>
        <v>-103.70370370370301</v>
      </c>
      <c r="AB33" s="460">
        <f t="shared" si="9"/>
        <v>0.95679012345679038</v>
      </c>
      <c r="AC33" s="566"/>
    </row>
    <row r="34" spans="1:29" ht="15.75" customHeight="1">
      <c r="A34" s="587" t="s">
        <v>2125</v>
      </c>
      <c r="B34" s="57" t="s">
        <v>15</v>
      </c>
      <c r="C34" s="584" t="s">
        <v>70</v>
      </c>
      <c r="D34" s="584"/>
      <c r="E34" s="57">
        <v>25.99</v>
      </c>
      <c r="F34" s="470">
        <v>4644</v>
      </c>
      <c r="G34" s="458">
        <f t="shared" si="23"/>
        <v>120697.56</v>
      </c>
      <c r="H34" s="472" t="s">
        <v>5</v>
      </c>
      <c r="I34" s="468">
        <v>14</v>
      </c>
      <c r="J34" s="58">
        <v>2400</v>
      </c>
      <c r="K34" s="59">
        <f t="shared" si="1"/>
        <v>171.42857142857142</v>
      </c>
      <c r="L34" s="468">
        <v>14</v>
      </c>
      <c r="M34" s="60">
        <f t="shared" si="24"/>
        <v>2302.8099173553719</v>
      </c>
      <c r="N34" s="59">
        <f t="shared" si="3"/>
        <v>164.48642266824086</v>
      </c>
      <c r="O34" s="61">
        <f t="shared" si="4"/>
        <v>0</v>
      </c>
      <c r="P34" s="62">
        <f t="shared" si="5"/>
        <v>-6.9421487603305536</v>
      </c>
      <c r="Q34" s="460">
        <f t="shared" si="6"/>
        <v>0.95950413223140507</v>
      </c>
      <c r="R34" s="566"/>
      <c r="S34" s="63">
        <v>0.24097222222222223</v>
      </c>
      <c r="T34" s="63">
        <v>0.32500000000000001</v>
      </c>
      <c r="U34" s="458">
        <f t="shared" si="26"/>
        <v>8.0000000000000107</v>
      </c>
      <c r="V34" s="469">
        <f t="shared" si="25"/>
        <v>121</v>
      </c>
      <c r="W34" s="64"/>
      <c r="X34" s="64"/>
      <c r="Y34" s="559"/>
      <c r="Z34" s="559"/>
      <c r="AA34" s="61">
        <f t="shared" si="8"/>
        <v>-97.190082644628092</v>
      </c>
      <c r="AB34" s="460">
        <f t="shared" si="9"/>
        <v>0.95950413223140496</v>
      </c>
      <c r="AC34" s="566"/>
    </row>
    <row r="35" spans="1:29" ht="15.75" customHeight="1">
      <c r="A35" s="587" t="s">
        <v>2125</v>
      </c>
      <c r="B35" s="57" t="s">
        <v>15</v>
      </c>
      <c r="C35" s="584" t="s">
        <v>45</v>
      </c>
      <c r="D35" s="584"/>
      <c r="E35" s="57">
        <v>20.52</v>
      </c>
      <c r="F35" s="470">
        <v>4454</v>
      </c>
      <c r="G35" s="458">
        <f t="shared" si="23"/>
        <v>91396.08</v>
      </c>
      <c r="H35" s="472" t="s">
        <v>5</v>
      </c>
      <c r="I35" s="468">
        <v>18</v>
      </c>
      <c r="J35" s="58">
        <v>2400</v>
      </c>
      <c r="K35" s="59">
        <f t="shared" si="1"/>
        <v>133.33333333333334</v>
      </c>
      <c r="L35" s="468">
        <v>18</v>
      </c>
      <c r="M35" s="60">
        <f t="shared" si="24"/>
        <v>2284.1025641025644</v>
      </c>
      <c r="N35" s="59">
        <f t="shared" si="3"/>
        <v>126.89458689458691</v>
      </c>
      <c r="O35" s="61">
        <f t="shared" si="4"/>
        <v>0</v>
      </c>
      <c r="P35" s="62">
        <f t="shared" si="5"/>
        <v>-6.4387464387464348</v>
      </c>
      <c r="Q35" s="460">
        <f t="shared" si="6"/>
        <v>0.95170940170940177</v>
      </c>
      <c r="R35" s="566"/>
      <c r="S35" s="63">
        <v>0.32916666666666666</v>
      </c>
      <c r="T35" s="63">
        <v>0.41041666666666665</v>
      </c>
      <c r="U35" s="458">
        <f t="shared" si="26"/>
        <v>5.9999999999999787</v>
      </c>
      <c r="V35" s="469">
        <f t="shared" si="25"/>
        <v>116.99999999999999</v>
      </c>
      <c r="W35" s="64"/>
      <c r="X35" s="64"/>
      <c r="Y35" s="559"/>
      <c r="Z35" s="559"/>
      <c r="AA35" s="61">
        <f t="shared" si="8"/>
        <v>-115.89743589743557</v>
      </c>
      <c r="AB35" s="460">
        <f t="shared" si="9"/>
        <v>0.95170940170940188</v>
      </c>
      <c r="AC35" s="566"/>
    </row>
    <row r="36" spans="1:29" ht="15.75" customHeight="1">
      <c r="A36" s="587" t="s">
        <v>2125</v>
      </c>
      <c r="B36" s="57" t="s">
        <v>15</v>
      </c>
      <c r="C36" s="584" t="s">
        <v>98</v>
      </c>
      <c r="D36" s="584"/>
      <c r="E36" s="57">
        <v>25.98</v>
      </c>
      <c r="F36" s="470">
        <v>3957</v>
      </c>
      <c r="G36" s="458">
        <f t="shared" si="23"/>
        <v>102802.86</v>
      </c>
      <c r="H36" s="472" t="s">
        <v>5</v>
      </c>
      <c r="I36" s="468">
        <v>21</v>
      </c>
      <c r="J36" s="58">
        <v>2400</v>
      </c>
      <c r="K36" s="59">
        <f t="shared" si="1"/>
        <v>114.28571428571429</v>
      </c>
      <c r="L36" s="468">
        <v>21</v>
      </c>
      <c r="M36" s="60">
        <f t="shared" si="24"/>
        <v>2305.0485436893214</v>
      </c>
      <c r="N36" s="59">
        <f t="shared" si="3"/>
        <v>109.76421636615817</v>
      </c>
      <c r="O36" s="61">
        <f t="shared" si="4"/>
        <v>0</v>
      </c>
      <c r="P36" s="62">
        <f t="shared" si="5"/>
        <v>-4.5214979195561256</v>
      </c>
      <c r="Q36" s="460">
        <f t="shared" si="6"/>
        <v>0.96043689320388392</v>
      </c>
      <c r="R36" s="566"/>
      <c r="S36" s="63">
        <v>0.41597222222222219</v>
      </c>
      <c r="T36" s="63">
        <v>0.48749999999999993</v>
      </c>
      <c r="U36" s="458">
        <f t="shared" si="26"/>
        <v>7.9999999999999716</v>
      </c>
      <c r="V36" s="469">
        <f t="shared" si="25"/>
        <v>102.99999999999996</v>
      </c>
      <c r="W36" s="64">
        <f>T36</f>
        <v>0.48749999999999993</v>
      </c>
      <c r="X36" s="64">
        <f>S37</f>
        <v>0.52847222222222212</v>
      </c>
      <c r="Y36" s="559"/>
      <c r="Z36" s="559"/>
      <c r="AA36" s="61">
        <f t="shared" si="8"/>
        <v>-94.951456310678623</v>
      </c>
      <c r="AB36" s="460">
        <f t="shared" si="9"/>
        <v>0.96043689320388392</v>
      </c>
      <c r="AC36" s="566"/>
    </row>
    <row r="37" spans="1:29" ht="15.75" customHeight="1">
      <c r="A37" s="587" t="s">
        <v>2125</v>
      </c>
      <c r="B37" s="57" t="s">
        <v>15</v>
      </c>
      <c r="C37" s="584" t="s">
        <v>26</v>
      </c>
      <c r="D37" s="584"/>
      <c r="E37" s="57">
        <v>31.29</v>
      </c>
      <c r="F37" s="470">
        <v>4989</v>
      </c>
      <c r="G37" s="458">
        <f t="shared" si="23"/>
        <v>156105.81</v>
      </c>
      <c r="H37" s="472" t="s">
        <v>5</v>
      </c>
      <c r="I37" s="468">
        <v>18</v>
      </c>
      <c r="J37" s="58">
        <v>2400</v>
      </c>
      <c r="K37" s="59">
        <f t="shared" si="1"/>
        <v>133.33333333333334</v>
      </c>
      <c r="L37" s="468">
        <v>18</v>
      </c>
      <c r="M37" s="60">
        <f t="shared" si="24"/>
        <v>2285.0381679389316</v>
      </c>
      <c r="N37" s="59">
        <f t="shared" si="3"/>
        <v>126.9465648854962</v>
      </c>
      <c r="O37" s="61">
        <f t="shared" si="4"/>
        <v>0</v>
      </c>
      <c r="P37" s="62">
        <f t="shared" si="5"/>
        <v>-6.3867684478371416</v>
      </c>
      <c r="Q37" s="460">
        <f t="shared" si="6"/>
        <v>0.95209923664122142</v>
      </c>
      <c r="R37" s="566"/>
      <c r="S37" s="63">
        <v>0.52847222222222212</v>
      </c>
      <c r="T37" s="63">
        <v>0.61944444444444435</v>
      </c>
      <c r="U37" s="458">
        <f t="shared" si="26"/>
        <v>58.99999999999995</v>
      </c>
      <c r="V37" s="469">
        <f t="shared" si="25"/>
        <v>131</v>
      </c>
      <c r="W37" s="64"/>
      <c r="X37" s="64"/>
      <c r="Y37" s="559"/>
      <c r="Z37" s="559"/>
      <c r="AA37" s="61">
        <f t="shared" si="8"/>
        <v>-114.96183206106843</v>
      </c>
      <c r="AB37" s="460">
        <f t="shared" si="9"/>
        <v>0.95209923664122154</v>
      </c>
      <c r="AC37" s="566"/>
    </row>
    <row r="38" spans="1:29" ht="15.75" customHeight="1">
      <c r="A38" s="587" t="s">
        <v>2125</v>
      </c>
      <c r="B38" s="57" t="s">
        <v>15</v>
      </c>
      <c r="C38" s="584" t="s">
        <v>23</v>
      </c>
      <c r="D38" s="584"/>
      <c r="E38" s="57">
        <v>26.2</v>
      </c>
      <c r="F38" s="470">
        <v>1947</v>
      </c>
      <c r="G38" s="458">
        <f t="shared" si="23"/>
        <v>51011.4</v>
      </c>
      <c r="H38" s="472" t="s">
        <v>5</v>
      </c>
      <c r="I38" s="468">
        <v>20</v>
      </c>
      <c r="J38" s="58">
        <v>2400</v>
      </c>
      <c r="K38" s="59">
        <f t="shared" si="1"/>
        <v>120</v>
      </c>
      <c r="L38" s="468">
        <v>20</v>
      </c>
      <c r="M38" s="60">
        <f t="shared" si="24"/>
        <v>2290.5882352941185</v>
      </c>
      <c r="N38" s="59">
        <f t="shared" si="3"/>
        <v>114.52941176470593</v>
      </c>
      <c r="O38" s="61">
        <f t="shared" si="4"/>
        <v>0</v>
      </c>
      <c r="P38" s="62">
        <f t="shared" si="5"/>
        <v>-5.4705882352940733</v>
      </c>
      <c r="Q38" s="460">
        <f t="shared" si="6"/>
        <v>0.95441176470588274</v>
      </c>
      <c r="R38" s="566"/>
      <c r="S38" s="63">
        <v>0.62430555555555545</v>
      </c>
      <c r="T38" s="63">
        <v>0.6597222222222221</v>
      </c>
      <c r="U38" s="458">
        <f t="shared" si="26"/>
        <v>6.9999999999999751</v>
      </c>
      <c r="V38" s="469">
        <f t="shared" si="25"/>
        <v>50.999999999999979</v>
      </c>
      <c r="W38" s="64"/>
      <c r="X38" s="64"/>
      <c r="Y38" s="559"/>
      <c r="Z38" s="559"/>
      <c r="AA38" s="61">
        <f t="shared" si="8"/>
        <v>-109.41176470588152</v>
      </c>
      <c r="AB38" s="460">
        <f t="shared" si="9"/>
        <v>0.95441176470588274</v>
      </c>
      <c r="AC38" s="566"/>
    </row>
    <row r="39" spans="1:29" ht="15.75" customHeight="1">
      <c r="A39" s="587" t="s">
        <v>2125</v>
      </c>
      <c r="B39" s="57" t="s">
        <v>2121</v>
      </c>
      <c r="C39" s="571"/>
      <c r="D39" s="571"/>
      <c r="E39" s="461"/>
      <c r="F39" s="470"/>
      <c r="G39" s="458"/>
      <c r="H39" s="470"/>
      <c r="I39" s="67">
        <v>18.428571428571427</v>
      </c>
      <c r="J39" s="58">
        <v>2400</v>
      </c>
      <c r="K39" s="59">
        <f t="shared" si="1"/>
        <v>130.23255813953489</v>
      </c>
      <c r="L39" s="67">
        <v>18.428571428571427</v>
      </c>
      <c r="M39" s="60">
        <f>AVERAGE(M32:M38)</f>
        <v>2294.7070207481934</v>
      </c>
      <c r="N39" s="59">
        <f t="shared" si="3"/>
        <v>124.518985621995</v>
      </c>
      <c r="O39" s="61">
        <f t="shared" si="4"/>
        <v>0</v>
      </c>
      <c r="P39" s="62">
        <f t="shared" si="5"/>
        <v>-5.7135725175398875</v>
      </c>
      <c r="Q39" s="460">
        <f t="shared" si="6"/>
        <v>0.95612792531174728</v>
      </c>
      <c r="R39" s="566"/>
      <c r="S39" s="63"/>
      <c r="T39" s="63"/>
      <c r="U39" s="458"/>
      <c r="V39" s="469"/>
      <c r="W39" s="458"/>
      <c r="X39" s="458"/>
      <c r="Y39" s="559"/>
      <c r="Z39" s="559"/>
      <c r="AA39" s="61">
        <f t="shared" si="8"/>
        <v>-105.29297925180663</v>
      </c>
      <c r="AB39" s="460">
        <f t="shared" si="9"/>
        <v>0.95612792531174728</v>
      </c>
      <c r="AC39" s="566"/>
    </row>
    <row r="40" spans="1:29" ht="15.75" customHeight="1">
      <c r="A40" s="582" t="s">
        <v>731</v>
      </c>
      <c r="B40" s="57" t="s">
        <v>15</v>
      </c>
      <c r="C40" s="560" t="s">
        <v>101</v>
      </c>
      <c r="D40" s="560"/>
      <c r="E40" s="57">
        <v>22.69</v>
      </c>
      <c r="F40" s="470">
        <v>1285</v>
      </c>
      <c r="G40" s="458">
        <f t="shared" ref="G40:G47" si="27">E40*F40</f>
        <v>29156.65</v>
      </c>
      <c r="H40" s="472" t="s">
        <v>5</v>
      </c>
      <c r="I40" s="468">
        <v>15</v>
      </c>
      <c r="J40" s="58">
        <v>2400</v>
      </c>
      <c r="K40" s="59">
        <f t="shared" si="1"/>
        <v>160</v>
      </c>
      <c r="L40" s="468">
        <v>15</v>
      </c>
      <c r="M40" s="60">
        <f t="shared" ref="M40:M47" si="28">F40/V40*60</f>
        <v>2336.363636363636</v>
      </c>
      <c r="N40" s="59">
        <f t="shared" si="3"/>
        <v>155.75757575757572</v>
      </c>
      <c r="O40" s="61">
        <f t="shared" si="4"/>
        <v>0</v>
      </c>
      <c r="P40" s="62">
        <f t="shared" si="5"/>
        <v>-4.2424242424242777</v>
      </c>
      <c r="Q40" s="460">
        <f t="shared" si="6"/>
        <v>0.97348484848484829</v>
      </c>
      <c r="R40" s="566">
        <f>Q48</f>
        <v>0.96008090925373468</v>
      </c>
      <c r="S40" s="63">
        <v>8.3333333333333329E-2</v>
      </c>
      <c r="T40" s="63">
        <v>0.10625</v>
      </c>
      <c r="U40" s="458"/>
      <c r="V40" s="469">
        <f t="shared" ref="V40:V47" si="29">(T40-S40)*24*60</f>
        <v>33</v>
      </c>
      <c r="W40" s="68">
        <f>T40</f>
        <v>0.10625</v>
      </c>
      <c r="X40" s="68">
        <f>S41</f>
        <v>0.12638888888888888</v>
      </c>
      <c r="Y40" s="559"/>
      <c r="Z40" s="559"/>
      <c r="AA40" s="61">
        <f t="shared" si="8"/>
        <v>-63.636363636363967</v>
      </c>
      <c r="AB40" s="460">
        <f t="shared" si="9"/>
        <v>0.9734848484848484</v>
      </c>
      <c r="AC40" s="566">
        <f>AB48</f>
        <v>0.96008090925373457</v>
      </c>
    </row>
    <row r="41" spans="1:29" ht="15.75" customHeight="1">
      <c r="A41" s="582" t="s">
        <v>731</v>
      </c>
      <c r="B41" s="57" t="s">
        <v>15</v>
      </c>
      <c r="C41" s="560" t="s">
        <v>27</v>
      </c>
      <c r="D41" s="560"/>
      <c r="E41" s="57">
        <v>26.2</v>
      </c>
      <c r="F41" s="470">
        <v>2700</v>
      </c>
      <c r="G41" s="458">
        <f t="shared" si="27"/>
        <v>70740</v>
      </c>
      <c r="H41" s="472">
        <v>2</v>
      </c>
      <c r="I41" s="468">
        <v>18</v>
      </c>
      <c r="J41" s="58">
        <v>2400</v>
      </c>
      <c r="K41" s="59">
        <f t="shared" si="1"/>
        <v>133.33333333333334</v>
      </c>
      <c r="L41" s="468">
        <v>18</v>
      </c>
      <c r="M41" s="60">
        <f t="shared" si="28"/>
        <v>2314.2857142857147</v>
      </c>
      <c r="N41" s="59">
        <f t="shared" si="3"/>
        <v>128.57142857142858</v>
      </c>
      <c r="O41" s="61">
        <f t="shared" si="4"/>
        <v>0</v>
      </c>
      <c r="P41" s="62">
        <f t="shared" si="5"/>
        <v>-4.7619047619047592</v>
      </c>
      <c r="Q41" s="460">
        <f t="shared" si="6"/>
        <v>0.9642857142857143</v>
      </c>
      <c r="R41" s="566"/>
      <c r="S41" s="63">
        <v>0.12638888888888888</v>
      </c>
      <c r="T41" s="63">
        <v>0.17499999999999999</v>
      </c>
      <c r="U41" s="458">
        <f t="shared" ref="U41:U47" si="30">(S41-T40)*24*60</f>
        <v>28.999999999999996</v>
      </c>
      <c r="V41" s="469">
        <f t="shared" si="29"/>
        <v>69.999999999999986</v>
      </c>
      <c r="W41" s="458"/>
      <c r="X41" s="458"/>
      <c r="Y41" s="559"/>
      <c r="Z41" s="559"/>
      <c r="AA41" s="61">
        <f t="shared" si="8"/>
        <v>-85.714285714285325</v>
      </c>
      <c r="AB41" s="460">
        <f t="shared" si="9"/>
        <v>0.96428571428571441</v>
      </c>
      <c r="AC41" s="566"/>
    </row>
    <row r="42" spans="1:29">
      <c r="A42" s="583" t="s">
        <v>731</v>
      </c>
      <c r="B42" s="57" t="s">
        <v>15</v>
      </c>
      <c r="C42" s="560" t="s">
        <v>25</v>
      </c>
      <c r="D42" s="560"/>
      <c r="E42" s="57">
        <v>26.18</v>
      </c>
      <c r="F42" s="470">
        <v>2516</v>
      </c>
      <c r="G42" s="458">
        <f t="shared" si="27"/>
        <v>65868.88</v>
      </c>
      <c r="H42" s="472" t="s">
        <v>5</v>
      </c>
      <c r="I42" s="468">
        <v>19</v>
      </c>
      <c r="J42" s="58">
        <v>2400</v>
      </c>
      <c r="K42" s="59">
        <f t="shared" si="1"/>
        <v>126.31578947368421</v>
      </c>
      <c r="L42" s="468">
        <v>19</v>
      </c>
      <c r="M42" s="60">
        <f t="shared" si="28"/>
        <v>2287.2727272727275</v>
      </c>
      <c r="N42" s="59">
        <f t="shared" si="3"/>
        <v>120.38277511961724</v>
      </c>
      <c r="O42" s="61">
        <f t="shared" si="4"/>
        <v>0</v>
      </c>
      <c r="P42" s="62">
        <f t="shared" si="5"/>
        <v>-5.9330143540669695</v>
      </c>
      <c r="Q42" s="460">
        <f t="shared" si="6"/>
        <v>0.95303030303030312</v>
      </c>
      <c r="R42" s="566"/>
      <c r="S42" s="63">
        <v>0.17986111111111111</v>
      </c>
      <c r="T42" s="63">
        <v>0.22569444444444445</v>
      </c>
      <c r="U42" s="458">
        <f t="shared" si="30"/>
        <v>7.0000000000000151</v>
      </c>
      <c r="V42" s="469">
        <f t="shared" si="29"/>
        <v>66</v>
      </c>
      <c r="W42" s="458"/>
      <c r="X42" s="458"/>
      <c r="Y42" s="559"/>
      <c r="Z42" s="559"/>
      <c r="AA42" s="61">
        <f t="shared" si="8"/>
        <v>-112.72727272727252</v>
      </c>
      <c r="AB42" s="460">
        <f t="shared" si="9"/>
        <v>0.95303030303030312</v>
      </c>
      <c r="AC42" s="566"/>
    </row>
    <row r="43" spans="1:29">
      <c r="A43" s="583" t="s">
        <v>731</v>
      </c>
      <c r="B43" s="57" t="s">
        <v>15</v>
      </c>
      <c r="C43" s="560" t="s">
        <v>28</v>
      </c>
      <c r="D43" s="560"/>
      <c r="E43" s="57">
        <v>26.39</v>
      </c>
      <c r="F43" s="470">
        <v>6223</v>
      </c>
      <c r="G43" s="458">
        <f t="shared" si="27"/>
        <v>164224.97</v>
      </c>
      <c r="H43" s="472" t="s">
        <v>5</v>
      </c>
      <c r="I43" s="468">
        <v>19</v>
      </c>
      <c r="J43" s="58">
        <v>2400</v>
      </c>
      <c r="K43" s="59">
        <f t="shared" si="1"/>
        <v>126.31578947368421</v>
      </c>
      <c r="L43" s="468">
        <v>19</v>
      </c>
      <c r="M43" s="60">
        <f t="shared" si="28"/>
        <v>2290.6748466257668</v>
      </c>
      <c r="N43" s="59">
        <f t="shared" si="3"/>
        <v>120.5618340329351</v>
      </c>
      <c r="O43" s="61">
        <f t="shared" si="4"/>
        <v>0</v>
      </c>
      <c r="P43" s="62">
        <f t="shared" si="5"/>
        <v>-5.7539554407491096</v>
      </c>
      <c r="Q43" s="460">
        <f t="shared" si="6"/>
        <v>0.95444785276073618</v>
      </c>
      <c r="R43" s="566"/>
      <c r="S43" s="63">
        <v>0.22916666666666666</v>
      </c>
      <c r="T43" s="63">
        <v>0.34236111111111112</v>
      </c>
      <c r="U43" s="458">
        <f t="shared" si="30"/>
        <v>4.9999999999999822</v>
      </c>
      <c r="V43" s="469">
        <f t="shared" si="29"/>
        <v>163</v>
      </c>
      <c r="W43" s="64"/>
      <c r="X43" s="64"/>
      <c r="Y43" s="559"/>
      <c r="Z43" s="559"/>
      <c r="AA43" s="61">
        <f t="shared" si="8"/>
        <v>-109.3251533742332</v>
      </c>
      <c r="AB43" s="460">
        <f t="shared" si="9"/>
        <v>0.95444785276073618</v>
      </c>
      <c r="AC43" s="566"/>
    </row>
    <row r="44" spans="1:29">
      <c r="A44" s="583" t="s">
        <v>731</v>
      </c>
      <c r="B44" s="57" t="s">
        <v>15</v>
      </c>
      <c r="C44" s="560" t="s">
        <v>658</v>
      </c>
      <c r="D44" s="560"/>
      <c r="E44" s="57">
        <v>22.69</v>
      </c>
      <c r="F44" s="470">
        <v>3430</v>
      </c>
      <c r="G44" s="458">
        <f t="shared" si="27"/>
        <v>77826.700000000012</v>
      </c>
      <c r="H44" s="472" t="s">
        <v>5</v>
      </c>
      <c r="I44" s="468">
        <v>15</v>
      </c>
      <c r="J44" s="58">
        <v>2400</v>
      </c>
      <c r="K44" s="59">
        <f t="shared" si="1"/>
        <v>160</v>
      </c>
      <c r="L44" s="468">
        <v>15</v>
      </c>
      <c r="M44" s="60">
        <f t="shared" si="28"/>
        <v>2286.666666666667</v>
      </c>
      <c r="N44" s="59">
        <f t="shared" si="3"/>
        <v>152.44444444444446</v>
      </c>
      <c r="O44" s="61">
        <f t="shared" si="4"/>
        <v>0</v>
      </c>
      <c r="P44" s="62">
        <f t="shared" si="5"/>
        <v>-7.5555555555555429</v>
      </c>
      <c r="Q44" s="460">
        <f t="shared" si="6"/>
        <v>0.95277777777777783</v>
      </c>
      <c r="R44" s="566"/>
      <c r="S44" s="63">
        <v>0.34791666666666665</v>
      </c>
      <c r="T44" s="63">
        <v>0.41041666666666665</v>
      </c>
      <c r="U44" s="458">
        <f t="shared" si="30"/>
        <v>7.9999999999999716</v>
      </c>
      <c r="V44" s="469">
        <f t="shared" si="29"/>
        <v>90</v>
      </c>
      <c r="W44" s="64"/>
      <c r="X44" s="64"/>
      <c r="Y44" s="559"/>
      <c r="Z44" s="559"/>
      <c r="AA44" s="61">
        <f t="shared" si="8"/>
        <v>-113.33333333333303</v>
      </c>
      <c r="AB44" s="460">
        <f t="shared" si="9"/>
        <v>0.95277777777777795</v>
      </c>
      <c r="AC44" s="566"/>
    </row>
    <row r="45" spans="1:29">
      <c r="A45" s="583" t="s">
        <v>731</v>
      </c>
      <c r="B45" s="57" t="s">
        <v>15</v>
      </c>
      <c r="C45" s="560" t="s">
        <v>16</v>
      </c>
      <c r="D45" s="560"/>
      <c r="E45" s="57">
        <v>24.45</v>
      </c>
      <c r="F45" s="470">
        <v>2580</v>
      </c>
      <c r="G45" s="458">
        <f t="shared" si="27"/>
        <v>63081</v>
      </c>
      <c r="H45" s="472" t="s">
        <v>5</v>
      </c>
      <c r="I45" s="468">
        <v>20</v>
      </c>
      <c r="J45" s="58">
        <v>2400</v>
      </c>
      <c r="K45" s="59">
        <f t="shared" si="1"/>
        <v>120</v>
      </c>
      <c r="L45" s="468">
        <v>20</v>
      </c>
      <c r="M45" s="60">
        <f t="shared" si="28"/>
        <v>2310.4477611940301</v>
      </c>
      <c r="N45" s="59">
        <f t="shared" si="3"/>
        <v>115.52238805970151</v>
      </c>
      <c r="O45" s="61">
        <f t="shared" si="4"/>
        <v>0</v>
      </c>
      <c r="P45" s="62">
        <f t="shared" si="5"/>
        <v>-4.4776119402984875</v>
      </c>
      <c r="Q45" s="460">
        <f t="shared" si="6"/>
        <v>0.96268656716417922</v>
      </c>
      <c r="R45" s="566"/>
      <c r="S45" s="63">
        <v>0.41597222222222219</v>
      </c>
      <c r="T45" s="63">
        <v>0.46249999999999997</v>
      </c>
      <c r="U45" s="458">
        <f t="shared" si="30"/>
        <v>7.9999999999999716</v>
      </c>
      <c r="V45" s="469">
        <f t="shared" si="29"/>
        <v>67</v>
      </c>
      <c r="W45" s="64"/>
      <c r="X45" s="64"/>
      <c r="Y45" s="559"/>
      <c r="Z45" s="559"/>
      <c r="AA45" s="61">
        <f t="shared" si="8"/>
        <v>-89.552238805969864</v>
      </c>
      <c r="AB45" s="460">
        <f t="shared" si="9"/>
        <v>0.96268656716417922</v>
      </c>
      <c r="AC45" s="566"/>
    </row>
    <row r="46" spans="1:29">
      <c r="A46" s="583" t="s">
        <v>731</v>
      </c>
      <c r="B46" s="57" t="s">
        <v>15</v>
      </c>
      <c r="C46" s="560" t="s">
        <v>100</v>
      </c>
      <c r="D46" s="560"/>
      <c r="E46" s="57">
        <v>28.51</v>
      </c>
      <c r="F46" s="470">
        <v>769</v>
      </c>
      <c r="G46" s="458">
        <f t="shared" si="27"/>
        <v>21924.190000000002</v>
      </c>
      <c r="H46" s="472" t="s">
        <v>5</v>
      </c>
      <c r="I46" s="468">
        <v>16</v>
      </c>
      <c r="J46" s="58">
        <v>2400</v>
      </c>
      <c r="K46" s="59">
        <f t="shared" si="1"/>
        <v>150</v>
      </c>
      <c r="L46" s="468">
        <v>16</v>
      </c>
      <c r="M46" s="60">
        <f t="shared" si="28"/>
        <v>2306.9999999999991</v>
      </c>
      <c r="N46" s="59">
        <f t="shared" si="3"/>
        <v>144.18749999999994</v>
      </c>
      <c r="O46" s="61">
        <f t="shared" si="4"/>
        <v>0</v>
      </c>
      <c r="P46" s="62">
        <f t="shared" si="5"/>
        <v>-5.8125000000000568</v>
      </c>
      <c r="Q46" s="460">
        <f t="shared" si="6"/>
        <v>0.9612499999999996</v>
      </c>
      <c r="R46" s="566"/>
      <c r="S46" s="63">
        <v>0.46597222222222218</v>
      </c>
      <c r="T46" s="63">
        <v>0.47986111111111107</v>
      </c>
      <c r="U46" s="458">
        <f t="shared" si="30"/>
        <v>4.9999999999999822</v>
      </c>
      <c r="V46" s="469">
        <f t="shared" si="29"/>
        <v>20.000000000000007</v>
      </c>
      <c r="W46" s="64">
        <f>T46</f>
        <v>0.47986111111111107</v>
      </c>
      <c r="X46" s="64">
        <f>S47</f>
        <v>0.51874999999999993</v>
      </c>
      <c r="Y46" s="569"/>
      <c r="Z46" s="570"/>
      <c r="AA46" s="61">
        <f t="shared" si="8"/>
        <v>-93.000000000000909</v>
      </c>
      <c r="AB46" s="460">
        <f t="shared" si="9"/>
        <v>0.9612499999999996</v>
      </c>
      <c r="AC46" s="566"/>
    </row>
    <row r="47" spans="1:29">
      <c r="A47" s="583" t="s">
        <v>731</v>
      </c>
      <c r="B47" s="57" t="s">
        <v>15</v>
      </c>
      <c r="C47" s="560" t="s">
        <v>27</v>
      </c>
      <c r="D47" s="560"/>
      <c r="E47" s="57">
        <v>26.2</v>
      </c>
      <c r="F47" s="470">
        <v>3643</v>
      </c>
      <c r="G47" s="458">
        <f t="shared" si="27"/>
        <v>95446.599999999991</v>
      </c>
      <c r="H47" s="472" t="s">
        <v>5</v>
      </c>
      <c r="I47" s="468">
        <v>18</v>
      </c>
      <c r="J47" s="58">
        <v>2400</v>
      </c>
      <c r="K47" s="59">
        <f t="shared" si="1"/>
        <v>133.33333333333334</v>
      </c>
      <c r="L47" s="468">
        <v>18</v>
      </c>
      <c r="M47" s="60">
        <f t="shared" si="28"/>
        <v>2300.8421052631584</v>
      </c>
      <c r="N47" s="59">
        <f t="shared" si="3"/>
        <v>127.8245614035088</v>
      </c>
      <c r="O47" s="61">
        <f t="shared" si="4"/>
        <v>0</v>
      </c>
      <c r="P47" s="62">
        <f t="shared" si="5"/>
        <v>-5.5087719298245474</v>
      </c>
      <c r="Q47" s="460">
        <f t="shared" si="6"/>
        <v>0.95868421052631592</v>
      </c>
      <c r="R47" s="566"/>
      <c r="S47" s="63">
        <v>0.51874999999999993</v>
      </c>
      <c r="T47" s="63">
        <v>0.58472222222222214</v>
      </c>
      <c r="U47" s="458">
        <f t="shared" si="30"/>
        <v>55.999999999999957</v>
      </c>
      <c r="V47" s="469">
        <f t="shared" si="29"/>
        <v>94.999999999999986</v>
      </c>
      <c r="W47" s="64"/>
      <c r="X47" s="64"/>
      <c r="Y47" s="569"/>
      <c r="Z47" s="570"/>
      <c r="AA47" s="61">
        <f t="shared" si="8"/>
        <v>-99.157894736841627</v>
      </c>
      <c r="AB47" s="460">
        <f t="shared" si="9"/>
        <v>0.95868421052631603</v>
      </c>
      <c r="AC47" s="566"/>
    </row>
    <row r="48" spans="1:29">
      <c r="A48" s="583" t="s">
        <v>731</v>
      </c>
      <c r="B48" s="66" t="s">
        <v>2121</v>
      </c>
      <c r="C48" s="571"/>
      <c r="D48" s="571"/>
      <c r="E48" s="461"/>
      <c r="F48" s="66"/>
      <c r="G48" s="59"/>
      <c r="H48" s="470"/>
      <c r="I48" s="67">
        <v>17.5</v>
      </c>
      <c r="J48" s="58">
        <v>2400</v>
      </c>
      <c r="K48" s="59">
        <f t="shared" si="1"/>
        <v>137.14285714285714</v>
      </c>
      <c r="L48" s="67">
        <v>17.5</v>
      </c>
      <c r="M48" s="60">
        <f>AVERAGE(M40:M47)</f>
        <v>2304.194182208963</v>
      </c>
      <c r="N48" s="59">
        <f t="shared" si="3"/>
        <v>131.66823898336932</v>
      </c>
      <c r="O48" s="61">
        <f t="shared" si="4"/>
        <v>0</v>
      </c>
      <c r="P48" s="62">
        <f t="shared" si="5"/>
        <v>-5.474618159487818</v>
      </c>
      <c r="Q48" s="460">
        <f t="shared" si="6"/>
        <v>0.96008090925373468</v>
      </c>
      <c r="R48" s="566"/>
      <c r="S48" s="63"/>
      <c r="T48" s="63"/>
      <c r="U48" s="59"/>
      <c r="V48" s="469"/>
      <c r="W48" s="59"/>
      <c r="X48" s="59"/>
      <c r="Y48" s="559"/>
      <c r="Z48" s="559"/>
      <c r="AA48" s="61">
        <f t="shared" si="8"/>
        <v>-95.805817791037043</v>
      </c>
      <c r="AB48" s="460">
        <f t="shared" si="9"/>
        <v>0.96008090925373457</v>
      </c>
      <c r="AC48" s="566"/>
    </row>
    <row r="49" spans="1:29" ht="15.75" customHeight="1">
      <c r="A49" s="576" t="s">
        <v>1098</v>
      </c>
      <c r="B49" s="57" t="s">
        <v>31</v>
      </c>
      <c r="C49" s="567" t="s">
        <v>32</v>
      </c>
      <c r="D49" s="568"/>
      <c r="E49" s="57">
        <v>21.13</v>
      </c>
      <c r="F49" s="470">
        <v>5368</v>
      </c>
      <c r="G49" s="458">
        <f t="shared" ref="G49:G54" si="31">E49*F49</f>
        <v>113425.84</v>
      </c>
      <c r="H49" s="472" t="s">
        <v>5</v>
      </c>
      <c r="I49" s="468">
        <v>10</v>
      </c>
      <c r="J49" s="58">
        <v>3000</v>
      </c>
      <c r="K49" s="59">
        <f t="shared" si="1"/>
        <v>300</v>
      </c>
      <c r="L49" s="468">
        <v>10</v>
      </c>
      <c r="M49" s="60">
        <f t="shared" ref="M49:M54" si="32">F49/V49*60</f>
        <v>2875.7142857142862</v>
      </c>
      <c r="N49" s="60">
        <f t="shared" si="3"/>
        <v>287.57142857142861</v>
      </c>
      <c r="O49" s="61">
        <f t="shared" si="4"/>
        <v>0</v>
      </c>
      <c r="P49" s="62">
        <f t="shared" si="5"/>
        <v>-12.428571428571388</v>
      </c>
      <c r="Q49" s="460">
        <f t="shared" si="6"/>
        <v>0.95857142857142874</v>
      </c>
      <c r="R49" s="579">
        <f>Q55</f>
        <v>0.95500748776722666</v>
      </c>
      <c r="S49" s="63">
        <v>8.3333333333333329E-2</v>
      </c>
      <c r="T49" s="63">
        <v>0.16111111111111109</v>
      </c>
      <c r="U49" s="68"/>
      <c r="V49" s="469">
        <f t="shared" ref="V49:V54" si="33">(T49-S49)*24*60</f>
        <v>111.99999999999997</v>
      </c>
      <c r="W49" s="64">
        <f>T49</f>
        <v>0.16111111111111109</v>
      </c>
      <c r="X49" s="64">
        <f>S50</f>
        <v>0.17986111111111108</v>
      </c>
      <c r="Y49" s="569"/>
      <c r="Z49" s="570"/>
      <c r="AA49" s="61">
        <f t="shared" si="8"/>
        <v>-124.28571428571377</v>
      </c>
      <c r="AB49" s="460">
        <f t="shared" si="9"/>
        <v>0.95857142857142874</v>
      </c>
      <c r="AC49" s="579">
        <f>AB55</f>
        <v>0.95500748776722677</v>
      </c>
    </row>
    <row r="50" spans="1:29" ht="15.75" customHeight="1">
      <c r="A50" s="577" t="s">
        <v>1098</v>
      </c>
      <c r="B50" s="57" t="s">
        <v>31</v>
      </c>
      <c r="C50" s="567" t="s">
        <v>33</v>
      </c>
      <c r="D50" s="568"/>
      <c r="E50" s="57">
        <v>27.17</v>
      </c>
      <c r="F50" s="470">
        <v>7043</v>
      </c>
      <c r="G50" s="458">
        <f t="shared" si="31"/>
        <v>191358.31</v>
      </c>
      <c r="H50" s="472" t="s">
        <v>5</v>
      </c>
      <c r="I50" s="468">
        <v>10</v>
      </c>
      <c r="J50" s="58">
        <v>3000</v>
      </c>
      <c r="K50" s="59">
        <f t="shared" si="1"/>
        <v>300</v>
      </c>
      <c r="L50" s="468">
        <v>10</v>
      </c>
      <c r="M50" s="60">
        <f t="shared" si="32"/>
        <v>2855.27027027027</v>
      </c>
      <c r="N50" s="60">
        <f t="shared" si="3"/>
        <v>285.52702702702697</v>
      </c>
      <c r="O50" s="61">
        <f t="shared" si="4"/>
        <v>0</v>
      </c>
      <c r="P50" s="62">
        <f t="shared" si="5"/>
        <v>-14.472972972973025</v>
      </c>
      <c r="Q50" s="460">
        <f t="shared" si="6"/>
        <v>0.95175675675675653</v>
      </c>
      <c r="R50" s="580"/>
      <c r="S50" s="63">
        <v>0.17986111111111108</v>
      </c>
      <c r="T50" s="63">
        <v>0.28263888888888888</v>
      </c>
      <c r="U50" s="458">
        <f t="shared" ref="U50:U54" si="34">(S50-T49)*24*60</f>
        <v>26.999999999999986</v>
      </c>
      <c r="V50" s="469">
        <f t="shared" si="33"/>
        <v>148.00000000000003</v>
      </c>
      <c r="W50" s="64"/>
      <c r="X50" s="64"/>
      <c r="Y50" s="569"/>
      <c r="Z50" s="570"/>
      <c r="AA50" s="61">
        <f t="shared" si="8"/>
        <v>-144.72972972973002</v>
      </c>
      <c r="AB50" s="460">
        <f t="shared" si="9"/>
        <v>0.95175675675675664</v>
      </c>
      <c r="AC50" s="580"/>
    </row>
    <row r="51" spans="1:29" ht="15.75" customHeight="1">
      <c r="A51" s="577" t="s">
        <v>1098</v>
      </c>
      <c r="B51" s="57" t="s">
        <v>31</v>
      </c>
      <c r="C51" s="567" t="s">
        <v>34</v>
      </c>
      <c r="D51" s="568"/>
      <c r="E51" s="57">
        <v>35.119999999999997</v>
      </c>
      <c r="F51" s="470">
        <v>4669</v>
      </c>
      <c r="G51" s="458">
        <f t="shared" si="31"/>
        <v>163975.28</v>
      </c>
      <c r="H51" s="472" t="s">
        <v>5</v>
      </c>
      <c r="I51" s="468">
        <v>10</v>
      </c>
      <c r="J51" s="58">
        <v>3000</v>
      </c>
      <c r="K51" s="59">
        <f t="shared" si="1"/>
        <v>300</v>
      </c>
      <c r="L51" s="468">
        <v>10</v>
      </c>
      <c r="M51" s="60">
        <f t="shared" si="32"/>
        <v>2858.5714285714298</v>
      </c>
      <c r="N51" s="60">
        <f t="shared" si="3"/>
        <v>285.857142857143</v>
      </c>
      <c r="O51" s="61">
        <f t="shared" si="4"/>
        <v>0</v>
      </c>
      <c r="P51" s="62">
        <f t="shared" si="5"/>
        <v>-14.142857142856997</v>
      </c>
      <c r="Q51" s="460">
        <f t="shared" si="6"/>
        <v>0.95285714285714329</v>
      </c>
      <c r="R51" s="580"/>
      <c r="S51" s="63">
        <v>0.28749999999999998</v>
      </c>
      <c r="T51" s="63">
        <v>0.35555555555555551</v>
      </c>
      <c r="U51" s="458">
        <f t="shared" si="34"/>
        <v>6.9999999999999751</v>
      </c>
      <c r="V51" s="469">
        <f t="shared" si="33"/>
        <v>97.999999999999972</v>
      </c>
      <c r="W51" s="64"/>
      <c r="X51" s="64"/>
      <c r="Y51" s="569"/>
      <c r="Z51" s="570"/>
      <c r="AA51" s="61">
        <f t="shared" si="8"/>
        <v>-141.42857142857019</v>
      </c>
      <c r="AB51" s="460">
        <f t="shared" si="9"/>
        <v>0.95285714285714329</v>
      </c>
      <c r="AC51" s="580"/>
    </row>
    <row r="52" spans="1:29" ht="15.75" customHeight="1">
      <c r="A52" s="577" t="s">
        <v>1098</v>
      </c>
      <c r="B52" s="57" t="s">
        <v>31</v>
      </c>
      <c r="C52" s="567" t="s">
        <v>71</v>
      </c>
      <c r="D52" s="568"/>
      <c r="E52" s="57">
        <v>31</v>
      </c>
      <c r="F52" s="470">
        <v>1858</v>
      </c>
      <c r="G52" s="458">
        <f t="shared" si="31"/>
        <v>57598</v>
      </c>
      <c r="H52" s="472" t="s">
        <v>5</v>
      </c>
      <c r="I52" s="468">
        <v>13</v>
      </c>
      <c r="J52" s="58">
        <v>2000</v>
      </c>
      <c r="K52" s="59">
        <f t="shared" si="1"/>
        <v>153.84615384615384</v>
      </c>
      <c r="L52" s="468">
        <v>13</v>
      </c>
      <c r="M52" s="60">
        <f t="shared" si="32"/>
        <v>1922.06896551724</v>
      </c>
      <c r="N52" s="60">
        <f t="shared" si="3"/>
        <v>147.85145888594155</v>
      </c>
      <c r="O52" s="61">
        <f t="shared" si="4"/>
        <v>0</v>
      </c>
      <c r="P52" s="62">
        <f t="shared" si="5"/>
        <v>-5.9946949602122857</v>
      </c>
      <c r="Q52" s="460">
        <f t="shared" si="6"/>
        <v>0.96103448275862013</v>
      </c>
      <c r="R52" s="580"/>
      <c r="S52" s="63">
        <v>0.35972222222222217</v>
      </c>
      <c r="T52" s="63">
        <v>0.39999999999999997</v>
      </c>
      <c r="U52" s="458">
        <f t="shared" si="34"/>
        <v>5.9999999999999787</v>
      </c>
      <c r="V52" s="469">
        <f t="shared" si="33"/>
        <v>58.000000000000036</v>
      </c>
      <c r="W52" s="64"/>
      <c r="X52" s="64"/>
      <c r="Y52" s="569"/>
      <c r="Z52" s="570"/>
      <c r="AA52" s="61">
        <f t="shared" si="8"/>
        <v>-77.931034482759969</v>
      </c>
      <c r="AB52" s="460">
        <f t="shared" si="9"/>
        <v>0.96103448275862002</v>
      </c>
      <c r="AC52" s="580"/>
    </row>
    <row r="53" spans="1:29" ht="15.75" customHeight="1">
      <c r="A53" s="577" t="s">
        <v>1098</v>
      </c>
      <c r="B53" s="57" t="s">
        <v>31</v>
      </c>
      <c r="C53" s="567" t="s">
        <v>659</v>
      </c>
      <c r="D53" s="568"/>
      <c r="E53" s="57">
        <v>37.880000000000003</v>
      </c>
      <c r="F53" s="470">
        <v>2803</v>
      </c>
      <c r="G53" s="458">
        <f t="shared" si="31"/>
        <v>106177.64000000001</v>
      </c>
      <c r="H53" s="472" t="s">
        <v>5</v>
      </c>
      <c r="I53" s="468">
        <v>14</v>
      </c>
      <c r="J53" s="58">
        <v>2000</v>
      </c>
      <c r="K53" s="59">
        <f t="shared" si="1"/>
        <v>142.85714285714286</v>
      </c>
      <c r="L53" s="468">
        <v>14</v>
      </c>
      <c r="M53" s="60">
        <f t="shared" si="32"/>
        <v>1911.1363636363635</v>
      </c>
      <c r="N53" s="60">
        <f t="shared" si="3"/>
        <v>136.50974025974025</v>
      </c>
      <c r="O53" s="61">
        <f t="shared" si="4"/>
        <v>0</v>
      </c>
      <c r="P53" s="62">
        <f t="shared" si="5"/>
        <v>-6.3474025974026063</v>
      </c>
      <c r="Q53" s="460">
        <f t="shared" si="6"/>
        <v>0.95556818181818171</v>
      </c>
      <c r="R53" s="580"/>
      <c r="S53" s="63">
        <v>0.40486111111111106</v>
      </c>
      <c r="T53" s="63">
        <v>0.46597222222222218</v>
      </c>
      <c r="U53" s="458">
        <f t="shared" si="34"/>
        <v>6.9999999999999751</v>
      </c>
      <c r="V53" s="469">
        <f t="shared" si="33"/>
        <v>88</v>
      </c>
      <c r="W53" s="64"/>
      <c r="X53" s="64"/>
      <c r="Y53" s="569"/>
      <c r="Z53" s="570"/>
      <c r="AA53" s="61">
        <f t="shared" si="8"/>
        <v>-88.863636363636488</v>
      </c>
      <c r="AB53" s="460">
        <f t="shared" si="9"/>
        <v>0.95556818181818171</v>
      </c>
      <c r="AC53" s="580"/>
    </row>
    <row r="54" spans="1:29" ht="15.75" customHeight="1">
      <c r="A54" s="577" t="s">
        <v>1098</v>
      </c>
      <c r="B54" s="57" t="s">
        <v>31</v>
      </c>
      <c r="C54" s="567" t="s">
        <v>1778</v>
      </c>
      <c r="D54" s="568"/>
      <c r="E54" s="57">
        <v>32.020000000000003</v>
      </c>
      <c r="F54" s="470">
        <v>2524</v>
      </c>
      <c r="G54" s="458">
        <f t="shared" si="31"/>
        <v>80818.48000000001</v>
      </c>
      <c r="H54" s="472" t="s">
        <v>5</v>
      </c>
      <c r="I54" s="468">
        <v>11</v>
      </c>
      <c r="J54" s="58">
        <v>3000</v>
      </c>
      <c r="K54" s="59">
        <f t="shared" si="1"/>
        <v>272.72727272727275</v>
      </c>
      <c r="L54" s="468">
        <v>11</v>
      </c>
      <c r="M54" s="60">
        <f t="shared" si="32"/>
        <v>2857.358490566035</v>
      </c>
      <c r="N54" s="60">
        <f t="shared" si="3"/>
        <v>259.75986277873045</v>
      </c>
      <c r="O54" s="61">
        <f t="shared" si="4"/>
        <v>0</v>
      </c>
      <c r="P54" s="62">
        <f t="shared" si="5"/>
        <v>-12.967409948542297</v>
      </c>
      <c r="Q54" s="460">
        <f t="shared" si="6"/>
        <v>0.95245283018867821</v>
      </c>
      <c r="R54" s="580"/>
      <c r="S54" s="63">
        <v>0.47083333333333327</v>
      </c>
      <c r="T54" s="63">
        <v>0.50763888888888886</v>
      </c>
      <c r="U54" s="458">
        <f t="shared" si="34"/>
        <v>6.9999999999999751</v>
      </c>
      <c r="V54" s="469">
        <f t="shared" si="33"/>
        <v>53.00000000000005</v>
      </c>
      <c r="W54" s="64"/>
      <c r="X54" s="64"/>
      <c r="Y54" s="569"/>
      <c r="Z54" s="570"/>
      <c r="AA54" s="61">
        <f t="shared" si="8"/>
        <v>-142.64150943396498</v>
      </c>
      <c r="AB54" s="460">
        <f t="shared" si="9"/>
        <v>0.95245283018867832</v>
      </c>
      <c r="AC54" s="580"/>
    </row>
    <row r="55" spans="1:29" ht="15.75" customHeight="1">
      <c r="A55" s="578" t="s">
        <v>1098</v>
      </c>
      <c r="B55" s="57" t="s">
        <v>2121</v>
      </c>
      <c r="C55" s="561"/>
      <c r="D55" s="562"/>
      <c r="E55" s="459"/>
      <c r="F55" s="470"/>
      <c r="G55" s="458"/>
      <c r="H55" s="470"/>
      <c r="I55" s="67">
        <v>11.333333333333334</v>
      </c>
      <c r="J55" s="58">
        <v>2666.6666666666665</v>
      </c>
      <c r="K55" s="59">
        <f t="shared" si="1"/>
        <v>235.29411764705881</v>
      </c>
      <c r="L55" s="67">
        <v>11.333333333333334</v>
      </c>
      <c r="M55" s="60">
        <f>AVERAGE(M49:M54)</f>
        <v>2546.6866340459378</v>
      </c>
      <c r="N55" s="59">
        <f t="shared" si="3"/>
        <v>224.70764418052391</v>
      </c>
      <c r="O55" s="61">
        <f t="shared" si="4"/>
        <v>0</v>
      </c>
      <c r="P55" s="62">
        <f t="shared" si="5"/>
        <v>-10.586473466534898</v>
      </c>
      <c r="Q55" s="460">
        <f t="shared" si="6"/>
        <v>0.95500748776722666</v>
      </c>
      <c r="R55" s="581"/>
      <c r="S55" s="63"/>
      <c r="T55" s="63"/>
      <c r="U55" s="458"/>
      <c r="V55" s="469"/>
      <c r="W55" s="64"/>
      <c r="X55" s="64"/>
      <c r="Y55" s="569"/>
      <c r="Z55" s="570"/>
      <c r="AA55" s="61">
        <f t="shared" si="8"/>
        <v>-119.98003262072871</v>
      </c>
      <c r="AB55" s="460">
        <f t="shared" si="9"/>
        <v>0.95500748776722677</v>
      </c>
      <c r="AC55" s="581"/>
    </row>
    <row r="56" spans="1:29" ht="15.75" customHeight="1">
      <c r="A56" s="574" t="s">
        <v>2126</v>
      </c>
      <c r="B56" s="57" t="s">
        <v>10</v>
      </c>
      <c r="C56" s="560" t="s">
        <v>37</v>
      </c>
      <c r="D56" s="560"/>
      <c r="E56" s="57">
        <v>46</v>
      </c>
      <c r="F56" s="69">
        <v>1990</v>
      </c>
      <c r="G56" s="458">
        <f t="shared" ref="G56:G63" si="35">E56*F56</f>
        <v>91540</v>
      </c>
      <c r="H56" s="472" t="s">
        <v>5</v>
      </c>
      <c r="I56" s="468">
        <v>17</v>
      </c>
      <c r="J56" s="58">
        <v>2000</v>
      </c>
      <c r="K56" s="59">
        <f t="shared" si="1"/>
        <v>117.64705882352941</v>
      </c>
      <c r="L56" s="468">
        <v>17</v>
      </c>
      <c r="M56" s="60">
        <f t="shared" ref="M56:M63" si="36">F56/V56*60</f>
        <v>1925.8064516129039</v>
      </c>
      <c r="N56" s="60">
        <f t="shared" si="3"/>
        <v>113.28273244781788</v>
      </c>
      <c r="O56" s="61">
        <f t="shared" si="4"/>
        <v>0</v>
      </c>
      <c r="P56" s="62">
        <f t="shared" si="5"/>
        <v>-4.3643263757115278</v>
      </c>
      <c r="Q56" s="460">
        <f t="shared" si="6"/>
        <v>0.96290322580645205</v>
      </c>
      <c r="R56" s="566">
        <f>Q64</f>
        <v>0.89399261603993652</v>
      </c>
      <c r="S56" s="63">
        <v>0.20833333333333334</v>
      </c>
      <c r="T56" s="63">
        <v>0.25138888888888888</v>
      </c>
      <c r="U56" s="68"/>
      <c r="V56" s="469">
        <f t="shared" ref="V56:V63" si="37">(T56-S56)*24*60</f>
        <v>61.999999999999979</v>
      </c>
      <c r="W56" s="68"/>
      <c r="X56" s="68"/>
      <c r="Y56" s="559"/>
      <c r="Z56" s="559"/>
      <c r="AA56" s="61">
        <f t="shared" si="8"/>
        <v>-74.193548387096143</v>
      </c>
      <c r="AB56" s="460">
        <f t="shared" si="9"/>
        <v>0.96290322580645193</v>
      </c>
      <c r="AC56" s="566">
        <f>AB64</f>
        <v>0.89399261603993652</v>
      </c>
    </row>
    <row r="57" spans="1:29" ht="15.75" customHeight="1">
      <c r="A57" s="574" t="s">
        <v>2126</v>
      </c>
      <c r="B57" s="57" t="s">
        <v>10</v>
      </c>
      <c r="C57" s="560" t="s">
        <v>38</v>
      </c>
      <c r="D57" s="560"/>
      <c r="E57" s="57">
        <v>46</v>
      </c>
      <c r="F57" s="69">
        <v>2114</v>
      </c>
      <c r="G57" s="458">
        <f t="shared" si="35"/>
        <v>97244</v>
      </c>
      <c r="H57" s="472" t="s">
        <v>5</v>
      </c>
      <c r="I57" s="468">
        <v>17</v>
      </c>
      <c r="J57" s="58">
        <v>2000</v>
      </c>
      <c r="K57" s="59">
        <f t="shared" si="1"/>
        <v>117.64705882352941</v>
      </c>
      <c r="L57" s="468">
        <v>17</v>
      </c>
      <c r="M57" s="60">
        <f t="shared" si="36"/>
        <v>1921.818181818182</v>
      </c>
      <c r="N57" s="60">
        <f t="shared" si="3"/>
        <v>113.048128342246</v>
      </c>
      <c r="O57" s="61">
        <f t="shared" si="4"/>
        <v>0</v>
      </c>
      <c r="P57" s="62">
        <f t="shared" si="5"/>
        <v>-4.5989304812834035</v>
      </c>
      <c r="Q57" s="460">
        <f t="shared" si="6"/>
        <v>0.96090909090909105</v>
      </c>
      <c r="R57" s="566"/>
      <c r="S57" s="63">
        <v>0.25694444444444442</v>
      </c>
      <c r="T57" s="63">
        <v>0.30277777777777776</v>
      </c>
      <c r="U57" s="458">
        <f t="shared" ref="U57:U63" si="38">IF(S57=TIME(17,0,0),"",(S57-T56)*24*60)</f>
        <v>7.9999999999999716</v>
      </c>
      <c r="V57" s="469">
        <f t="shared" si="37"/>
        <v>66</v>
      </c>
      <c r="W57" s="64"/>
      <c r="X57" s="64"/>
      <c r="Y57" s="559"/>
      <c r="Z57" s="559"/>
      <c r="AA57" s="61">
        <f t="shared" si="8"/>
        <v>-78.181818181818016</v>
      </c>
      <c r="AB57" s="460">
        <f t="shared" si="9"/>
        <v>0.96090909090909105</v>
      </c>
      <c r="AC57" s="566"/>
    </row>
    <row r="58" spans="1:29" ht="15.75" customHeight="1">
      <c r="A58" s="574" t="s">
        <v>2126</v>
      </c>
      <c r="B58" s="57" t="s">
        <v>6</v>
      </c>
      <c r="C58" s="567" t="s">
        <v>1181</v>
      </c>
      <c r="D58" s="568"/>
      <c r="E58" s="57">
        <v>51.86</v>
      </c>
      <c r="F58" s="69">
        <v>1347</v>
      </c>
      <c r="G58" s="458">
        <f t="shared" si="35"/>
        <v>69855.42</v>
      </c>
      <c r="H58" s="472" t="s">
        <v>5</v>
      </c>
      <c r="I58" s="468">
        <v>25</v>
      </c>
      <c r="J58" s="58">
        <v>2000</v>
      </c>
      <c r="K58" s="59">
        <f t="shared" si="1"/>
        <v>80</v>
      </c>
      <c r="L58" s="468">
        <v>25</v>
      </c>
      <c r="M58" s="60">
        <f t="shared" si="36"/>
        <v>1262.8124999999998</v>
      </c>
      <c r="N58" s="60">
        <f t="shared" si="3"/>
        <v>50.512499999999989</v>
      </c>
      <c r="O58" s="61">
        <f t="shared" si="4"/>
        <v>0</v>
      </c>
      <c r="P58" s="62">
        <f t="shared" si="5"/>
        <v>-29.487500000000011</v>
      </c>
      <c r="Q58" s="460">
        <f t="shared" si="6"/>
        <v>0.63140624999999984</v>
      </c>
      <c r="R58" s="566"/>
      <c r="S58" s="63">
        <v>0.30694444444444441</v>
      </c>
      <c r="T58" s="63">
        <v>0.35138888888888886</v>
      </c>
      <c r="U58" s="458">
        <f t="shared" si="38"/>
        <v>5.9999999999999787</v>
      </c>
      <c r="V58" s="469">
        <f t="shared" si="37"/>
        <v>64.000000000000014</v>
      </c>
      <c r="W58" s="64"/>
      <c r="X58" s="64"/>
      <c r="Y58" s="462"/>
      <c r="Z58" s="463"/>
      <c r="AA58" s="61">
        <f t="shared" si="8"/>
        <v>-737.18750000000023</v>
      </c>
      <c r="AB58" s="460">
        <f t="shared" si="9"/>
        <v>0.63140624999999984</v>
      </c>
      <c r="AC58" s="566"/>
    </row>
    <row r="59" spans="1:29" ht="15.75" customHeight="1">
      <c r="A59" s="574" t="s">
        <v>2126</v>
      </c>
      <c r="B59" s="57" t="s">
        <v>6</v>
      </c>
      <c r="C59" s="464" t="s">
        <v>1182</v>
      </c>
      <c r="D59" s="465"/>
      <c r="E59" s="57">
        <v>56.43</v>
      </c>
      <c r="F59" s="69">
        <v>2341</v>
      </c>
      <c r="G59" s="458">
        <f t="shared" si="35"/>
        <v>132102.63</v>
      </c>
      <c r="H59" s="472" t="s">
        <v>5</v>
      </c>
      <c r="I59" s="468">
        <v>22</v>
      </c>
      <c r="J59" s="58">
        <v>2000</v>
      </c>
      <c r="K59" s="59">
        <f t="shared" si="1"/>
        <v>90.909090909090907</v>
      </c>
      <c r="L59" s="468">
        <v>22</v>
      </c>
      <c r="M59" s="60">
        <f t="shared" si="36"/>
        <v>1494.2553191489365</v>
      </c>
      <c r="N59" s="60">
        <f t="shared" si="3"/>
        <v>67.920696324951663</v>
      </c>
      <c r="O59" s="61">
        <f t="shared" si="4"/>
        <v>0</v>
      </c>
      <c r="P59" s="62">
        <f t="shared" si="5"/>
        <v>-22.988394584139243</v>
      </c>
      <c r="Q59" s="460">
        <f t="shared" si="6"/>
        <v>0.74712765957446836</v>
      </c>
      <c r="R59" s="566"/>
      <c r="S59" s="63">
        <v>0.3569444444444444</v>
      </c>
      <c r="T59" s="63">
        <v>0.42222222222222217</v>
      </c>
      <c r="U59" s="458">
        <f t="shared" si="38"/>
        <v>7.9999999999999716</v>
      </c>
      <c r="V59" s="469">
        <f t="shared" si="37"/>
        <v>93.999999999999986</v>
      </c>
      <c r="W59" s="64"/>
      <c r="X59" s="64"/>
      <c r="Y59" s="462"/>
      <c r="Z59" s="463"/>
      <c r="AA59" s="61">
        <f t="shared" si="8"/>
        <v>-505.74468085106355</v>
      </c>
      <c r="AB59" s="460">
        <f t="shared" si="9"/>
        <v>0.74712765957446825</v>
      </c>
      <c r="AC59" s="566"/>
    </row>
    <row r="60" spans="1:29" ht="15.75" customHeight="1">
      <c r="A60" s="574" t="s">
        <v>2126</v>
      </c>
      <c r="B60" s="57" t="s">
        <v>6</v>
      </c>
      <c r="C60" s="464" t="s">
        <v>39</v>
      </c>
      <c r="D60" s="465"/>
      <c r="E60" s="57">
        <v>55.56</v>
      </c>
      <c r="F60" s="69">
        <v>2125</v>
      </c>
      <c r="G60" s="458">
        <f t="shared" si="35"/>
        <v>118065</v>
      </c>
      <c r="H60" s="472" t="s">
        <v>5</v>
      </c>
      <c r="I60" s="468">
        <v>17</v>
      </c>
      <c r="J60" s="58">
        <v>2000</v>
      </c>
      <c r="K60" s="59">
        <f t="shared" si="1"/>
        <v>117.64705882352941</v>
      </c>
      <c r="L60" s="468">
        <v>17</v>
      </c>
      <c r="M60" s="60">
        <f t="shared" si="36"/>
        <v>1931.8181818181838</v>
      </c>
      <c r="N60" s="60">
        <f t="shared" si="3"/>
        <v>113.63636363636375</v>
      </c>
      <c r="O60" s="61">
        <f t="shared" si="4"/>
        <v>0</v>
      </c>
      <c r="P60" s="62">
        <f t="shared" si="5"/>
        <v>-4.010695187165652</v>
      </c>
      <c r="Q60" s="460">
        <f t="shared" si="6"/>
        <v>0.96590909090909194</v>
      </c>
      <c r="R60" s="566"/>
      <c r="S60" s="63">
        <v>0.70833333333333337</v>
      </c>
      <c r="T60" s="63">
        <v>0.75416666666666665</v>
      </c>
      <c r="U60" s="458" t="str">
        <f t="shared" si="38"/>
        <v/>
      </c>
      <c r="V60" s="469">
        <f t="shared" si="37"/>
        <v>65.999999999999929</v>
      </c>
      <c r="W60" s="64"/>
      <c r="X60" s="64"/>
      <c r="Y60" s="462"/>
      <c r="Z60" s="463"/>
      <c r="AA60" s="61">
        <f t="shared" si="8"/>
        <v>-68.181818181816197</v>
      </c>
      <c r="AB60" s="460">
        <f t="shared" si="9"/>
        <v>0.96590909090909194</v>
      </c>
      <c r="AC60" s="566"/>
    </row>
    <row r="61" spans="1:29" ht="15.75" customHeight="1">
      <c r="A61" s="574" t="s">
        <v>2126</v>
      </c>
      <c r="B61" s="57" t="s">
        <v>6</v>
      </c>
      <c r="C61" s="567" t="s">
        <v>40</v>
      </c>
      <c r="D61" s="568"/>
      <c r="E61" s="57">
        <v>55.32</v>
      </c>
      <c r="F61" s="69">
        <v>1537</v>
      </c>
      <c r="G61" s="458">
        <f t="shared" si="35"/>
        <v>85026.84</v>
      </c>
      <c r="H61" s="472" t="s">
        <v>5</v>
      </c>
      <c r="I61" s="468">
        <v>15</v>
      </c>
      <c r="J61" s="58">
        <v>2000</v>
      </c>
      <c r="K61" s="59">
        <f t="shared" si="1"/>
        <v>133.33333333333334</v>
      </c>
      <c r="L61" s="468">
        <v>15</v>
      </c>
      <c r="M61" s="60">
        <f t="shared" si="36"/>
        <v>1921.2500000000005</v>
      </c>
      <c r="N61" s="60">
        <f t="shared" si="3"/>
        <v>128.08333333333337</v>
      </c>
      <c r="O61" s="61">
        <f t="shared" si="4"/>
        <v>0</v>
      </c>
      <c r="P61" s="62">
        <f t="shared" si="5"/>
        <v>-5.2499999999999716</v>
      </c>
      <c r="Q61" s="460">
        <f t="shared" si="6"/>
        <v>0.96062500000000017</v>
      </c>
      <c r="R61" s="566"/>
      <c r="S61" s="63">
        <v>0.75763888888888886</v>
      </c>
      <c r="T61" s="63">
        <v>0.79097222222222219</v>
      </c>
      <c r="U61" s="458">
        <f t="shared" si="38"/>
        <v>4.9999999999999822</v>
      </c>
      <c r="V61" s="469">
        <f t="shared" si="37"/>
        <v>47.999999999999986</v>
      </c>
      <c r="W61" s="64"/>
      <c r="X61" s="64"/>
      <c r="Y61" s="569"/>
      <c r="Z61" s="570"/>
      <c r="AA61" s="61">
        <f t="shared" si="8"/>
        <v>-78.749999999999545</v>
      </c>
      <c r="AB61" s="460">
        <f t="shared" si="9"/>
        <v>0.96062500000000017</v>
      </c>
      <c r="AC61" s="566"/>
    </row>
    <row r="62" spans="1:29" ht="15.75" customHeight="1">
      <c r="A62" s="574" t="s">
        <v>2126</v>
      </c>
      <c r="B62" s="57" t="s">
        <v>6</v>
      </c>
      <c r="C62" s="567" t="s">
        <v>2127</v>
      </c>
      <c r="D62" s="568"/>
      <c r="E62" s="57">
        <v>51.83</v>
      </c>
      <c r="F62" s="69">
        <v>1700</v>
      </c>
      <c r="G62" s="458">
        <f t="shared" si="35"/>
        <v>88111</v>
      </c>
      <c r="H62" s="472">
        <v>2</v>
      </c>
      <c r="I62" s="468">
        <v>20</v>
      </c>
      <c r="J62" s="58">
        <v>2000</v>
      </c>
      <c r="K62" s="59">
        <f t="shared" si="1"/>
        <v>100</v>
      </c>
      <c r="L62" s="468">
        <v>20</v>
      </c>
      <c r="M62" s="60">
        <f t="shared" si="36"/>
        <v>1924.5283018867935</v>
      </c>
      <c r="N62" s="60">
        <f t="shared" si="3"/>
        <v>96.226415094339671</v>
      </c>
      <c r="O62" s="61">
        <f t="shared" si="4"/>
        <v>0</v>
      </c>
      <c r="P62" s="62">
        <f t="shared" si="5"/>
        <v>-3.7735849056603286</v>
      </c>
      <c r="Q62" s="460">
        <f t="shared" si="6"/>
        <v>0.96226415094339668</v>
      </c>
      <c r="R62" s="566"/>
      <c r="S62" s="63">
        <v>0.79513888888888884</v>
      </c>
      <c r="T62" s="63">
        <v>0.83194444444444438</v>
      </c>
      <c r="U62" s="458">
        <f t="shared" si="38"/>
        <v>5.9999999999999787</v>
      </c>
      <c r="V62" s="469">
        <f t="shared" si="37"/>
        <v>52.999999999999972</v>
      </c>
      <c r="W62" s="64">
        <f>T62</f>
        <v>0.83194444444444438</v>
      </c>
      <c r="X62" s="64">
        <f>S63</f>
        <v>0.87083333333333324</v>
      </c>
      <c r="Y62" s="569"/>
      <c r="Z62" s="570"/>
      <c r="AA62" s="61">
        <f t="shared" si="8"/>
        <v>-75.471698113206457</v>
      </c>
      <c r="AB62" s="460">
        <f t="shared" si="9"/>
        <v>0.96226415094339679</v>
      </c>
      <c r="AC62" s="566"/>
    </row>
    <row r="63" spans="1:29" ht="15.75" customHeight="1">
      <c r="A63" s="574" t="s">
        <v>2126</v>
      </c>
      <c r="B63" s="57" t="s">
        <v>6</v>
      </c>
      <c r="C63" s="567" t="s">
        <v>2127</v>
      </c>
      <c r="D63" s="568"/>
      <c r="E63" s="57">
        <v>51.83</v>
      </c>
      <c r="F63" s="69">
        <v>3619</v>
      </c>
      <c r="G63" s="458">
        <f t="shared" si="35"/>
        <v>187572.77</v>
      </c>
      <c r="H63" s="472" t="s">
        <v>5</v>
      </c>
      <c r="I63" s="468">
        <v>20</v>
      </c>
      <c r="J63" s="58">
        <v>2000</v>
      </c>
      <c r="K63" s="59">
        <f t="shared" si="1"/>
        <v>100</v>
      </c>
      <c r="L63" s="468">
        <v>20</v>
      </c>
      <c r="M63" s="60">
        <f t="shared" si="36"/>
        <v>1921.592920353984</v>
      </c>
      <c r="N63" s="60">
        <f t="shared" si="3"/>
        <v>96.079646017699204</v>
      </c>
      <c r="O63" s="61">
        <f t="shared" si="4"/>
        <v>0</v>
      </c>
      <c r="P63" s="62">
        <f t="shared" si="5"/>
        <v>-3.9203539823007958</v>
      </c>
      <c r="Q63" s="460">
        <f t="shared" si="6"/>
        <v>0.96079646017699205</v>
      </c>
      <c r="R63" s="566"/>
      <c r="S63" s="63">
        <v>0.87083333333333324</v>
      </c>
      <c r="T63" s="63">
        <v>0.9493055555555554</v>
      </c>
      <c r="U63" s="458">
        <f t="shared" si="38"/>
        <v>55.999999999999957</v>
      </c>
      <c r="V63" s="469">
        <f t="shared" si="37"/>
        <v>112.99999999999991</v>
      </c>
      <c r="W63" s="64"/>
      <c r="X63" s="64"/>
      <c r="Y63" s="569"/>
      <c r="Z63" s="570"/>
      <c r="AA63" s="61">
        <f t="shared" si="8"/>
        <v>-78.407079646015973</v>
      </c>
      <c r="AB63" s="460">
        <f t="shared" si="9"/>
        <v>0.96079646017699205</v>
      </c>
      <c r="AC63" s="566"/>
    </row>
    <row r="64" spans="1:29">
      <c r="A64" s="575" t="s">
        <v>2126</v>
      </c>
      <c r="B64" s="57" t="s">
        <v>2121</v>
      </c>
      <c r="C64" s="571"/>
      <c r="D64" s="571"/>
      <c r="E64" s="461"/>
      <c r="F64" s="66"/>
      <c r="G64" s="59"/>
      <c r="H64" s="470"/>
      <c r="I64" s="67">
        <v>19.125</v>
      </c>
      <c r="J64" s="58">
        <v>2000</v>
      </c>
      <c r="K64" s="59">
        <f t="shared" si="1"/>
        <v>104.57516339869281</v>
      </c>
      <c r="L64" s="67">
        <v>19.125</v>
      </c>
      <c r="M64" s="60">
        <f>AVERAGE(M56:M63)</f>
        <v>1787.985232079873</v>
      </c>
      <c r="N64" s="59">
        <f t="shared" si="3"/>
        <v>93.489423899601206</v>
      </c>
      <c r="O64" s="61">
        <f t="shared" si="4"/>
        <v>0</v>
      </c>
      <c r="P64" s="62">
        <f t="shared" si="5"/>
        <v>-11.085739499091602</v>
      </c>
      <c r="Q64" s="460">
        <f t="shared" si="6"/>
        <v>0.89399261603993652</v>
      </c>
      <c r="R64" s="566"/>
      <c r="S64" s="70"/>
      <c r="T64" s="63"/>
      <c r="U64" s="59"/>
      <c r="V64" s="469"/>
      <c r="W64" s="59"/>
      <c r="X64" s="59"/>
      <c r="Y64" s="559"/>
      <c r="Z64" s="559"/>
      <c r="AA64" s="61">
        <f t="shared" si="8"/>
        <v>-212.01476792012704</v>
      </c>
      <c r="AB64" s="460">
        <f t="shared" si="9"/>
        <v>0.89399261603993652</v>
      </c>
      <c r="AC64" s="566"/>
    </row>
    <row r="65" spans="1:29" ht="15.75" customHeight="1">
      <c r="A65" s="572" t="s">
        <v>2128</v>
      </c>
      <c r="B65" s="470" t="s">
        <v>10</v>
      </c>
      <c r="C65" s="560" t="s">
        <v>42</v>
      </c>
      <c r="D65" s="560"/>
      <c r="E65" s="57">
        <v>26.97</v>
      </c>
      <c r="F65" s="69">
        <v>2834</v>
      </c>
      <c r="G65" s="458">
        <f t="shared" ref="G65:G70" si="39">E65*F65</f>
        <v>76432.98</v>
      </c>
      <c r="H65" s="472" t="s">
        <v>5</v>
      </c>
      <c r="I65" s="468">
        <v>8</v>
      </c>
      <c r="J65" s="58">
        <v>1500</v>
      </c>
      <c r="K65" s="59">
        <f t="shared" si="1"/>
        <v>187.5</v>
      </c>
      <c r="L65" s="468">
        <v>8</v>
      </c>
      <c r="M65" s="60">
        <f t="shared" ref="M65:M70" si="40">F65/V65*60</f>
        <v>1441.0169491525421</v>
      </c>
      <c r="N65" s="59">
        <f t="shared" si="3"/>
        <v>180.12711864406776</v>
      </c>
      <c r="O65" s="61">
        <f t="shared" si="4"/>
        <v>0</v>
      </c>
      <c r="P65" s="62">
        <f t="shared" si="5"/>
        <v>-7.3728813559322361</v>
      </c>
      <c r="Q65" s="460">
        <f t="shared" si="6"/>
        <v>0.96067796610169476</v>
      </c>
      <c r="R65" s="566">
        <f>Q71</f>
        <v>0.95780059398087036</v>
      </c>
      <c r="S65" s="63">
        <v>0.20833333333333334</v>
      </c>
      <c r="T65" s="63">
        <v>0.2902777777777778</v>
      </c>
      <c r="U65" s="458"/>
      <c r="V65" s="469">
        <f t="shared" ref="V65:V70" si="41">(T65-S65)*24*60</f>
        <v>118.00000000000001</v>
      </c>
      <c r="W65" s="68"/>
      <c r="X65" s="68"/>
      <c r="Y65" s="559"/>
      <c r="Z65" s="559"/>
      <c r="AA65" s="61">
        <f t="shared" si="8"/>
        <v>-58.983050847457889</v>
      </c>
      <c r="AB65" s="460">
        <f t="shared" si="9"/>
        <v>0.96067796610169476</v>
      </c>
      <c r="AC65" s="566">
        <f>AB71</f>
        <v>0.95780059398087025</v>
      </c>
    </row>
    <row r="66" spans="1:29" ht="15.75" customHeight="1">
      <c r="A66" s="572" t="s">
        <v>2128</v>
      </c>
      <c r="B66" s="470" t="s">
        <v>31</v>
      </c>
      <c r="C66" s="560" t="s">
        <v>41</v>
      </c>
      <c r="D66" s="560"/>
      <c r="E66" s="57">
        <v>26.78</v>
      </c>
      <c r="F66" s="69">
        <v>2726</v>
      </c>
      <c r="G66" s="458">
        <f t="shared" si="39"/>
        <v>73002.28</v>
      </c>
      <c r="H66" s="472" t="s">
        <v>5</v>
      </c>
      <c r="I66" s="468">
        <v>10</v>
      </c>
      <c r="J66" s="58">
        <v>3000</v>
      </c>
      <c r="K66" s="59">
        <f t="shared" si="1"/>
        <v>300</v>
      </c>
      <c r="L66" s="468">
        <v>10</v>
      </c>
      <c r="M66" s="60">
        <f t="shared" si="40"/>
        <v>2869.4736842105249</v>
      </c>
      <c r="N66" s="59">
        <f t="shared" si="3"/>
        <v>286.94736842105249</v>
      </c>
      <c r="O66" s="61">
        <f t="shared" si="4"/>
        <v>0</v>
      </c>
      <c r="P66" s="62">
        <f t="shared" si="5"/>
        <v>-13.052631578947512</v>
      </c>
      <c r="Q66" s="460">
        <f t="shared" si="6"/>
        <v>0.95649122807017495</v>
      </c>
      <c r="R66" s="566"/>
      <c r="S66" s="63">
        <v>0.2951388888888889</v>
      </c>
      <c r="T66" s="63">
        <v>0.33472222222222225</v>
      </c>
      <c r="U66" s="458">
        <f t="shared" ref="U66:U70" si="42">(S66-T65)*24*60</f>
        <v>6.9999999999999751</v>
      </c>
      <c r="V66" s="469">
        <f t="shared" si="41"/>
        <v>57.000000000000036</v>
      </c>
      <c r="W66" s="458"/>
      <c r="X66" s="458"/>
      <c r="Y66" s="559"/>
      <c r="Z66" s="559"/>
      <c r="AA66" s="61">
        <f t="shared" si="8"/>
        <v>-130.52631578947512</v>
      </c>
      <c r="AB66" s="460">
        <f t="shared" si="9"/>
        <v>0.95649122807017495</v>
      </c>
      <c r="AC66" s="566"/>
    </row>
    <row r="67" spans="1:29" ht="15.75" customHeight="1">
      <c r="A67" s="572" t="s">
        <v>2128</v>
      </c>
      <c r="B67" s="470" t="s">
        <v>31</v>
      </c>
      <c r="C67" s="560" t="s">
        <v>64</v>
      </c>
      <c r="D67" s="560"/>
      <c r="E67" s="57">
        <v>37.880000000000003</v>
      </c>
      <c r="F67" s="69">
        <v>2724</v>
      </c>
      <c r="G67" s="458">
        <f t="shared" si="39"/>
        <v>103185.12000000001</v>
      </c>
      <c r="H67" s="472" t="s">
        <v>5</v>
      </c>
      <c r="I67" s="468">
        <v>10</v>
      </c>
      <c r="J67" s="58">
        <v>3000</v>
      </c>
      <c r="K67" s="59">
        <f t="shared" si="1"/>
        <v>300</v>
      </c>
      <c r="L67" s="468">
        <v>10</v>
      </c>
      <c r="M67" s="60">
        <f t="shared" si="40"/>
        <v>2867.3684210526339</v>
      </c>
      <c r="N67" s="59">
        <f t="shared" si="3"/>
        <v>286.73684210526341</v>
      </c>
      <c r="O67" s="61">
        <f t="shared" si="4"/>
        <v>0</v>
      </c>
      <c r="P67" s="62">
        <f t="shared" si="5"/>
        <v>-13.263157894736594</v>
      </c>
      <c r="Q67" s="460">
        <f t="shared" si="6"/>
        <v>0.9557894736842113</v>
      </c>
      <c r="R67" s="566"/>
      <c r="S67" s="63">
        <v>0.33958333333333335</v>
      </c>
      <c r="T67" s="63">
        <v>0.37916666666666665</v>
      </c>
      <c r="U67" s="458">
        <f t="shared" si="42"/>
        <v>6.9999999999999751</v>
      </c>
      <c r="V67" s="469">
        <f t="shared" si="41"/>
        <v>56.999999999999957</v>
      </c>
      <c r="W67" s="458"/>
      <c r="X67" s="458"/>
      <c r="Y67" s="559"/>
      <c r="Z67" s="559"/>
      <c r="AA67" s="61">
        <f t="shared" si="8"/>
        <v>-132.63157894736605</v>
      </c>
      <c r="AB67" s="460">
        <f t="shared" si="9"/>
        <v>0.9557894736842113</v>
      </c>
      <c r="AC67" s="566"/>
    </row>
    <row r="68" spans="1:29" ht="15.75" customHeight="1">
      <c r="A68" s="572" t="s">
        <v>2128</v>
      </c>
      <c r="B68" s="470" t="s">
        <v>31</v>
      </c>
      <c r="C68" s="560" t="s">
        <v>35</v>
      </c>
      <c r="D68" s="560"/>
      <c r="E68" s="57">
        <v>35.869999999999997</v>
      </c>
      <c r="F68" s="69">
        <v>3227</v>
      </c>
      <c r="G68" s="458">
        <f t="shared" si="39"/>
        <v>115752.48999999999</v>
      </c>
      <c r="H68" s="472" t="s">
        <v>5</v>
      </c>
      <c r="I68" s="468">
        <v>9</v>
      </c>
      <c r="J68" s="58">
        <v>3000</v>
      </c>
      <c r="K68" s="59">
        <f t="shared" si="1"/>
        <v>333.33333333333331</v>
      </c>
      <c r="L68" s="468">
        <v>9</v>
      </c>
      <c r="M68" s="60">
        <f t="shared" si="40"/>
        <v>2889.8507462686566</v>
      </c>
      <c r="N68" s="59">
        <f t="shared" si="3"/>
        <v>321.09452736318406</v>
      </c>
      <c r="O68" s="61">
        <f t="shared" si="4"/>
        <v>0</v>
      </c>
      <c r="P68" s="62">
        <f t="shared" si="5"/>
        <v>-12.238805970149258</v>
      </c>
      <c r="Q68" s="460">
        <f t="shared" si="6"/>
        <v>0.96328358208955223</v>
      </c>
      <c r="R68" s="566"/>
      <c r="S68" s="63">
        <v>0.38402777777777775</v>
      </c>
      <c r="T68" s="63">
        <v>0.43055555555555552</v>
      </c>
      <c r="U68" s="458">
        <f t="shared" si="42"/>
        <v>6.9999999999999751</v>
      </c>
      <c r="V68" s="469">
        <f t="shared" si="41"/>
        <v>67</v>
      </c>
      <c r="W68" s="458"/>
      <c r="X68" s="458"/>
      <c r="Y68" s="559"/>
      <c r="Z68" s="559"/>
      <c r="AA68" s="61">
        <f t="shared" si="8"/>
        <v>-110.14925373134338</v>
      </c>
      <c r="AB68" s="460">
        <f t="shared" si="9"/>
        <v>0.96328358208955223</v>
      </c>
      <c r="AC68" s="566"/>
    </row>
    <row r="69" spans="1:29">
      <c r="A69" s="573" t="s">
        <v>2128</v>
      </c>
      <c r="B69" s="470" t="s">
        <v>31</v>
      </c>
      <c r="C69" s="560" t="s">
        <v>63</v>
      </c>
      <c r="D69" s="560"/>
      <c r="E69" s="57">
        <v>34.36</v>
      </c>
      <c r="F69" s="69">
        <v>1968</v>
      </c>
      <c r="G69" s="458">
        <f t="shared" si="39"/>
        <v>67620.479999999996</v>
      </c>
      <c r="H69" s="472" t="s">
        <v>5</v>
      </c>
      <c r="I69" s="468">
        <v>10</v>
      </c>
      <c r="J69" s="58">
        <v>3000</v>
      </c>
      <c r="K69" s="59">
        <f t="shared" ref="K69:K78" si="43">J69/I69</f>
        <v>300</v>
      </c>
      <c r="L69" s="468">
        <v>10</v>
      </c>
      <c r="M69" s="60">
        <f t="shared" si="40"/>
        <v>2879.9999999999991</v>
      </c>
      <c r="N69" s="59">
        <f t="shared" ref="N69:N78" si="44">M69/L69</f>
        <v>287.99999999999989</v>
      </c>
      <c r="O69" s="61">
        <f t="shared" ref="O69:O78" si="45">L69-I69</f>
        <v>0</v>
      </c>
      <c r="P69" s="62">
        <f t="shared" ref="P69:P78" si="46">N69-K69</f>
        <v>-12.000000000000114</v>
      </c>
      <c r="Q69" s="460">
        <f t="shared" ref="Q69:Q78" si="47">N69/K69</f>
        <v>0.95999999999999963</v>
      </c>
      <c r="R69" s="566"/>
      <c r="S69" s="63">
        <v>0.43402777777777773</v>
      </c>
      <c r="T69" s="63">
        <v>0.46249999999999997</v>
      </c>
      <c r="U69" s="458">
        <f t="shared" si="42"/>
        <v>4.9999999999999822</v>
      </c>
      <c r="V69" s="469">
        <f t="shared" si="41"/>
        <v>41.000000000000014</v>
      </c>
      <c r="W69" s="64"/>
      <c r="X69" s="64"/>
      <c r="Y69" s="559"/>
      <c r="Z69" s="559"/>
      <c r="AA69" s="61">
        <f t="shared" ref="AA69:AA78" si="48">M69-J69</f>
        <v>-120.00000000000091</v>
      </c>
      <c r="AB69" s="460">
        <f t="shared" ref="AB69:AB78" si="49">M69/J69</f>
        <v>0.95999999999999974</v>
      </c>
      <c r="AC69" s="566"/>
    </row>
    <row r="70" spans="1:29" ht="15" customHeight="1">
      <c r="A70" s="573" t="s">
        <v>2128</v>
      </c>
      <c r="B70" s="470" t="s">
        <v>31</v>
      </c>
      <c r="C70" s="567" t="s">
        <v>36</v>
      </c>
      <c r="D70" s="568"/>
      <c r="E70" s="57">
        <v>36.14</v>
      </c>
      <c r="F70" s="69">
        <v>1190</v>
      </c>
      <c r="G70" s="458">
        <f t="shared" si="39"/>
        <v>43006.6</v>
      </c>
      <c r="H70" s="472" t="s">
        <v>5</v>
      </c>
      <c r="I70" s="468">
        <v>9</v>
      </c>
      <c r="J70" s="58">
        <v>3000</v>
      </c>
      <c r="K70" s="59">
        <f t="shared" si="43"/>
        <v>333.33333333333331</v>
      </c>
      <c r="L70" s="468">
        <v>9</v>
      </c>
      <c r="M70" s="60">
        <f t="shared" si="40"/>
        <v>2856.0000000000009</v>
      </c>
      <c r="N70" s="59">
        <f t="shared" si="44"/>
        <v>317.33333333333343</v>
      </c>
      <c r="O70" s="61">
        <f t="shared" si="45"/>
        <v>0</v>
      </c>
      <c r="P70" s="62">
        <f t="shared" si="46"/>
        <v>-15.999999999999886</v>
      </c>
      <c r="Q70" s="460">
        <f t="shared" si="47"/>
        <v>0.95200000000000029</v>
      </c>
      <c r="R70" s="566"/>
      <c r="S70" s="63">
        <v>0.4680555555555555</v>
      </c>
      <c r="T70" s="63">
        <v>0.48541666666666661</v>
      </c>
      <c r="U70" s="458">
        <f t="shared" si="42"/>
        <v>7.9999999999999716</v>
      </c>
      <c r="V70" s="469">
        <f t="shared" si="41"/>
        <v>24.999999999999993</v>
      </c>
      <c r="W70" s="458"/>
      <c r="X70" s="458"/>
      <c r="Y70" s="569"/>
      <c r="Z70" s="570"/>
      <c r="AA70" s="61">
        <f t="shared" si="48"/>
        <v>-143.99999999999909</v>
      </c>
      <c r="AB70" s="460">
        <f t="shared" si="49"/>
        <v>0.95200000000000029</v>
      </c>
      <c r="AC70" s="566"/>
    </row>
    <row r="71" spans="1:29">
      <c r="A71" s="573" t="s">
        <v>2128</v>
      </c>
      <c r="B71" s="57" t="s">
        <v>2121</v>
      </c>
      <c r="C71" s="571"/>
      <c r="D71" s="571"/>
      <c r="E71" s="461"/>
      <c r="F71" s="66"/>
      <c r="G71" s="59"/>
      <c r="H71" s="470"/>
      <c r="I71" s="67">
        <v>9.3333333333333339</v>
      </c>
      <c r="J71" s="58">
        <v>2750</v>
      </c>
      <c r="K71" s="59">
        <f t="shared" si="43"/>
        <v>294.64285714285711</v>
      </c>
      <c r="L71" s="67">
        <v>9.3333333333333339</v>
      </c>
      <c r="M71" s="60">
        <f>AVERAGE(M65:M70)</f>
        <v>2633.9516334473933</v>
      </c>
      <c r="N71" s="59">
        <f t="shared" si="44"/>
        <v>282.20910358364927</v>
      </c>
      <c r="O71" s="61">
        <f t="shared" si="45"/>
        <v>0</v>
      </c>
      <c r="P71" s="62">
        <f t="shared" si="46"/>
        <v>-12.433753559207844</v>
      </c>
      <c r="Q71" s="460">
        <f t="shared" si="47"/>
        <v>0.95780059398087036</v>
      </c>
      <c r="R71" s="566"/>
      <c r="S71" s="63"/>
      <c r="T71" s="63"/>
      <c r="U71" s="59"/>
      <c r="V71" s="469"/>
      <c r="W71" s="59"/>
      <c r="X71" s="59"/>
      <c r="Y71" s="559"/>
      <c r="Z71" s="559"/>
      <c r="AA71" s="61">
        <f t="shared" si="48"/>
        <v>-116.04836655260669</v>
      </c>
      <c r="AB71" s="460">
        <f t="shared" si="49"/>
        <v>0.95780059398087025</v>
      </c>
      <c r="AC71" s="566"/>
    </row>
    <row r="72" spans="1:29" ht="15.75" customHeight="1">
      <c r="A72" s="563" t="s">
        <v>1400</v>
      </c>
      <c r="B72" s="470" t="s">
        <v>15</v>
      </c>
      <c r="C72" s="560" t="s">
        <v>43</v>
      </c>
      <c r="D72" s="560"/>
      <c r="E72" s="57">
        <v>20.2</v>
      </c>
      <c r="F72" s="470">
        <v>2251</v>
      </c>
      <c r="G72" s="458">
        <f t="shared" ref="G72:G77" si="50">E72*F72</f>
        <v>45470.2</v>
      </c>
      <c r="H72" s="472" t="s">
        <v>5</v>
      </c>
      <c r="I72" s="468">
        <v>19</v>
      </c>
      <c r="J72" s="58">
        <v>2400</v>
      </c>
      <c r="K72" s="59">
        <f t="shared" si="43"/>
        <v>126.31578947368421</v>
      </c>
      <c r="L72" s="468">
        <v>19</v>
      </c>
      <c r="M72" s="60">
        <f t="shared" ref="M72:M77" si="51">F72/V72*60</f>
        <v>2289.1525423728808</v>
      </c>
      <c r="N72" s="59">
        <f t="shared" si="44"/>
        <v>120.48171275646742</v>
      </c>
      <c r="O72" s="61">
        <f t="shared" si="45"/>
        <v>0</v>
      </c>
      <c r="P72" s="62">
        <f t="shared" si="46"/>
        <v>-5.8340767172167887</v>
      </c>
      <c r="Q72" s="460">
        <f t="shared" si="47"/>
        <v>0.95381355932203371</v>
      </c>
      <c r="R72" s="566">
        <f>Q78</f>
        <v>0.95495194719488197</v>
      </c>
      <c r="S72" s="63">
        <v>8.3333333333333329E-2</v>
      </c>
      <c r="T72" s="63">
        <v>0.12430555555555556</v>
      </c>
      <c r="U72" s="68"/>
      <c r="V72" s="469">
        <f t="shared" ref="V72:V77" si="52">(T72-S72)*24*60</f>
        <v>59.000000000000007</v>
      </c>
      <c r="W72" s="64">
        <f>T72</f>
        <v>0.12430555555555556</v>
      </c>
      <c r="X72" s="64">
        <f>S73</f>
        <v>0.14583333333333334</v>
      </c>
      <c r="Y72" s="559"/>
      <c r="Z72" s="559"/>
      <c r="AA72" s="61">
        <f t="shared" si="48"/>
        <v>-110.84745762711918</v>
      </c>
      <c r="AB72" s="460">
        <f t="shared" si="49"/>
        <v>0.95381355932203371</v>
      </c>
      <c r="AC72" s="566">
        <f>AB78</f>
        <v>0.95495194719488197</v>
      </c>
    </row>
    <row r="73" spans="1:29" ht="15.75" customHeight="1">
      <c r="A73" s="564" t="s">
        <v>1400</v>
      </c>
      <c r="B73" s="470" t="s">
        <v>15</v>
      </c>
      <c r="C73" s="560" t="s">
        <v>24</v>
      </c>
      <c r="D73" s="560"/>
      <c r="E73" s="57">
        <v>20.52</v>
      </c>
      <c r="F73" s="470">
        <v>3253</v>
      </c>
      <c r="G73" s="458">
        <f t="shared" si="50"/>
        <v>66751.56</v>
      </c>
      <c r="H73" s="472" t="s">
        <v>5</v>
      </c>
      <c r="I73" s="468">
        <v>18</v>
      </c>
      <c r="J73" s="58">
        <v>2400</v>
      </c>
      <c r="K73" s="59">
        <f t="shared" si="43"/>
        <v>133.33333333333334</v>
      </c>
      <c r="L73" s="468">
        <v>18</v>
      </c>
      <c r="M73" s="60">
        <f t="shared" si="51"/>
        <v>2296.2352941176468</v>
      </c>
      <c r="N73" s="59">
        <f t="shared" si="44"/>
        <v>127.56862745098039</v>
      </c>
      <c r="O73" s="61">
        <f t="shared" si="45"/>
        <v>0</v>
      </c>
      <c r="P73" s="62">
        <f t="shared" si="46"/>
        <v>-5.7647058823529562</v>
      </c>
      <c r="Q73" s="460">
        <f t="shared" si="47"/>
        <v>0.95676470588235285</v>
      </c>
      <c r="R73" s="566"/>
      <c r="S73" s="63">
        <v>0.14583333333333334</v>
      </c>
      <c r="T73" s="63">
        <v>0.20486111111111113</v>
      </c>
      <c r="U73" s="458">
        <f t="shared" ref="U73:U77" si="53">(S73-T72)*24*60</f>
        <v>31.000000000000011</v>
      </c>
      <c r="V73" s="469">
        <f t="shared" si="52"/>
        <v>85.000000000000014</v>
      </c>
      <c r="W73" s="64"/>
      <c r="X73" s="64"/>
      <c r="Y73" s="559"/>
      <c r="Z73" s="559"/>
      <c r="AA73" s="61">
        <f t="shared" si="48"/>
        <v>-103.76470588235316</v>
      </c>
      <c r="AB73" s="460">
        <f t="shared" si="49"/>
        <v>0.95676470588235285</v>
      </c>
      <c r="AC73" s="566"/>
    </row>
    <row r="74" spans="1:29" ht="15.75" customHeight="1">
      <c r="A74" s="564" t="s">
        <v>1400</v>
      </c>
      <c r="B74" s="470" t="s">
        <v>15</v>
      </c>
      <c r="C74" s="560" t="s">
        <v>29</v>
      </c>
      <c r="D74" s="560"/>
      <c r="E74" s="57">
        <v>24.43</v>
      </c>
      <c r="F74" s="470">
        <v>6979</v>
      </c>
      <c r="G74" s="458">
        <f t="shared" si="50"/>
        <v>170496.97</v>
      </c>
      <c r="H74" s="472" t="s">
        <v>5</v>
      </c>
      <c r="I74" s="468">
        <v>14</v>
      </c>
      <c r="J74" s="58">
        <v>2400</v>
      </c>
      <c r="K74" s="59">
        <f t="shared" si="43"/>
        <v>171.42857142857142</v>
      </c>
      <c r="L74" s="468">
        <v>14</v>
      </c>
      <c r="M74" s="60">
        <f t="shared" si="51"/>
        <v>2288.1967213114754</v>
      </c>
      <c r="N74" s="59">
        <f t="shared" si="44"/>
        <v>163.44262295081967</v>
      </c>
      <c r="O74" s="61">
        <f t="shared" si="45"/>
        <v>0</v>
      </c>
      <c r="P74" s="62">
        <f t="shared" si="46"/>
        <v>-7.985948477751748</v>
      </c>
      <c r="Q74" s="460">
        <f t="shared" si="47"/>
        <v>0.95341530054644819</v>
      </c>
      <c r="R74" s="566"/>
      <c r="S74" s="63">
        <v>0.20902777777777781</v>
      </c>
      <c r="T74" s="63">
        <v>0.33611111111111114</v>
      </c>
      <c r="U74" s="458">
        <f t="shared" si="53"/>
        <v>6.0000000000000187</v>
      </c>
      <c r="V74" s="469">
        <f t="shared" si="52"/>
        <v>183</v>
      </c>
      <c r="W74" s="64"/>
      <c r="X74" s="64"/>
      <c r="Y74" s="559"/>
      <c r="Z74" s="559"/>
      <c r="AA74" s="61">
        <f t="shared" si="48"/>
        <v>-111.80327868852464</v>
      </c>
      <c r="AB74" s="460">
        <f t="shared" si="49"/>
        <v>0.95341530054644807</v>
      </c>
      <c r="AC74" s="566"/>
    </row>
    <row r="75" spans="1:29" ht="15.75" customHeight="1">
      <c r="A75" s="564" t="s">
        <v>1400</v>
      </c>
      <c r="B75" s="470" t="s">
        <v>15</v>
      </c>
      <c r="C75" s="560" t="s">
        <v>1183</v>
      </c>
      <c r="D75" s="560"/>
      <c r="E75" s="57">
        <v>20.21</v>
      </c>
      <c r="F75" s="470">
        <v>5462</v>
      </c>
      <c r="G75" s="458">
        <f t="shared" si="50"/>
        <v>110387.02</v>
      </c>
      <c r="H75" s="472" t="s">
        <v>5</v>
      </c>
      <c r="I75" s="468">
        <v>16</v>
      </c>
      <c r="J75" s="58">
        <v>2400</v>
      </c>
      <c r="K75" s="59">
        <f t="shared" si="43"/>
        <v>150</v>
      </c>
      <c r="L75" s="468">
        <v>16</v>
      </c>
      <c r="M75" s="60">
        <f t="shared" si="51"/>
        <v>2291.7482517482522</v>
      </c>
      <c r="N75" s="59">
        <f t="shared" si="44"/>
        <v>143.23426573426576</v>
      </c>
      <c r="O75" s="61">
        <f t="shared" si="45"/>
        <v>0</v>
      </c>
      <c r="P75" s="62">
        <f t="shared" si="46"/>
        <v>-6.7657342657342383</v>
      </c>
      <c r="Q75" s="460">
        <f t="shared" si="47"/>
        <v>0.9548951048951051</v>
      </c>
      <c r="R75" s="566"/>
      <c r="S75" s="63">
        <v>0.34166666666666667</v>
      </c>
      <c r="T75" s="63">
        <v>0.44097222222222221</v>
      </c>
      <c r="U75" s="458">
        <f t="shared" si="53"/>
        <v>7.9999999999999716</v>
      </c>
      <c r="V75" s="469">
        <f t="shared" si="52"/>
        <v>142.99999999999997</v>
      </c>
      <c r="W75" s="64"/>
      <c r="X75" s="64"/>
      <c r="Y75" s="559"/>
      <c r="Z75" s="559"/>
      <c r="AA75" s="61">
        <f t="shared" si="48"/>
        <v>-108.25174825174781</v>
      </c>
      <c r="AB75" s="460">
        <f t="shared" si="49"/>
        <v>0.9548951048951051</v>
      </c>
      <c r="AC75" s="566"/>
    </row>
    <row r="76" spans="1:29" ht="15.75" customHeight="1">
      <c r="A76" s="564" t="s">
        <v>1400</v>
      </c>
      <c r="B76" s="470" t="s">
        <v>15</v>
      </c>
      <c r="C76" s="560" t="s">
        <v>44</v>
      </c>
      <c r="D76" s="560"/>
      <c r="E76" s="57">
        <v>19.02</v>
      </c>
      <c r="F76" s="470">
        <v>3700</v>
      </c>
      <c r="G76" s="458">
        <f t="shared" si="50"/>
        <v>70374</v>
      </c>
      <c r="H76" s="472">
        <v>2</v>
      </c>
      <c r="I76" s="468">
        <v>15</v>
      </c>
      <c r="J76" s="58">
        <v>2400</v>
      </c>
      <c r="K76" s="59">
        <f t="shared" si="43"/>
        <v>160</v>
      </c>
      <c r="L76" s="468">
        <v>15</v>
      </c>
      <c r="M76" s="60">
        <f t="shared" si="51"/>
        <v>2288.6597938144337</v>
      </c>
      <c r="N76" s="59">
        <f t="shared" si="44"/>
        <v>152.57731958762892</v>
      </c>
      <c r="O76" s="61">
        <f t="shared" si="45"/>
        <v>0</v>
      </c>
      <c r="P76" s="62">
        <f t="shared" si="46"/>
        <v>-7.4226804123710792</v>
      </c>
      <c r="Q76" s="460">
        <f t="shared" si="47"/>
        <v>0.9536082474226808</v>
      </c>
      <c r="R76" s="566"/>
      <c r="S76" s="63">
        <v>0.44513888888888886</v>
      </c>
      <c r="T76" s="63">
        <v>0.51249999999999996</v>
      </c>
      <c r="U76" s="458">
        <f t="shared" si="53"/>
        <v>5.9999999999999787</v>
      </c>
      <c r="V76" s="469">
        <f t="shared" si="52"/>
        <v>96.999999999999972</v>
      </c>
      <c r="W76" s="64">
        <f>T76</f>
        <v>0.51249999999999996</v>
      </c>
      <c r="X76" s="64">
        <f>S77</f>
        <v>0.55069444444444438</v>
      </c>
      <c r="Y76" s="559"/>
      <c r="Z76" s="559"/>
      <c r="AA76" s="61">
        <f t="shared" si="48"/>
        <v>-111.34020618556633</v>
      </c>
      <c r="AB76" s="460">
        <f t="shared" si="49"/>
        <v>0.95360824742268069</v>
      </c>
      <c r="AC76" s="566"/>
    </row>
    <row r="77" spans="1:29" ht="15.75" customHeight="1">
      <c r="A77" s="564" t="s">
        <v>2129</v>
      </c>
      <c r="B77" s="470" t="s">
        <v>15</v>
      </c>
      <c r="C77" s="560" t="s">
        <v>44</v>
      </c>
      <c r="D77" s="560"/>
      <c r="E77" s="57">
        <v>19.02</v>
      </c>
      <c r="F77" s="470">
        <v>5705</v>
      </c>
      <c r="G77" s="458">
        <f t="shared" si="50"/>
        <v>108509.09999999999</v>
      </c>
      <c r="H77" s="472" t="s">
        <v>5</v>
      </c>
      <c r="I77" s="468">
        <v>15</v>
      </c>
      <c r="J77" s="58">
        <v>2400</v>
      </c>
      <c r="K77" s="59">
        <f t="shared" si="43"/>
        <v>160</v>
      </c>
      <c r="L77" s="468">
        <v>15</v>
      </c>
      <c r="M77" s="60">
        <f t="shared" si="51"/>
        <v>2297.3154362416117</v>
      </c>
      <c r="N77" s="59">
        <f t="shared" si="44"/>
        <v>153.15436241610743</v>
      </c>
      <c r="O77" s="61">
        <f t="shared" si="45"/>
        <v>0</v>
      </c>
      <c r="P77" s="62">
        <f t="shared" si="46"/>
        <v>-6.845637583892568</v>
      </c>
      <c r="Q77" s="460">
        <f t="shared" si="47"/>
        <v>0.95721476510067149</v>
      </c>
      <c r="R77" s="566"/>
      <c r="S77" s="63">
        <v>0.55069444444444438</v>
      </c>
      <c r="T77" s="63">
        <v>0.65416666666666656</v>
      </c>
      <c r="U77" s="458">
        <f t="shared" si="53"/>
        <v>54.999999999999964</v>
      </c>
      <c r="V77" s="469">
        <f t="shared" si="52"/>
        <v>148.99999999999994</v>
      </c>
      <c r="W77" s="64"/>
      <c r="X77" s="64"/>
      <c r="Y77" s="559"/>
      <c r="Z77" s="559"/>
      <c r="AA77" s="61">
        <f t="shared" si="48"/>
        <v>-102.68456375838832</v>
      </c>
      <c r="AB77" s="460">
        <f t="shared" si="49"/>
        <v>0.95721476510067149</v>
      </c>
      <c r="AC77" s="566"/>
    </row>
    <row r="78" spans="1:29" ht="16.5" customHeight="1">
      <c r="A78" s="565" t="s">
        <v>2129</v>
      </c>
      <c r="B78" s="57" t="s">
        <v>2130</v>
      </c>
      <c r="C78" s="561"/>
      <c r="D78" s="562"/>
      <c r="E78" s="461"/>
      <c r="F78" s="66"/>
      <c r="G78" s="59"/>
      <c r="H78" s="470"/>
      <c r="I78" s="67">
        <v>16.166666666666668</v>
      </c>
      <c r="J78" s="58">
        <v>2400</v>
      </c>
      <c r="K78" s="59">
        <f t="shared" si="43"/>
        <v>148.45360824742266</v>
      </c>
      <c r="L78" s="67">
        <v>16.166666666666668</v>
      </c>
      <c r="M78" s="60">
        <f>AVERAGE(M72:M77)</f>
        <v>2291.8846732677166</v>
      </c>
      <c r="N78" s="59">
        <f t="shared" si="44"/>
        <v>141.76606226398246</v>
      </c>
      <c r="O78" s="61">
        <f t="shared" si="45"/>
        <v>0</v>
      </c>
      <c r="P78" s="62">
        <f t="shared" si="46"/>
        <v>-6.6875459834402022</v>
      </c>
      <c r="Q78" s="460">
        <f t="shared" si="47"/>
        <v>0.95495194719488197</v>
      </c>
      <c r="R78" s="566"/>
      <c r="S78" s="63"/>
      <c r="T78" s="63"/>
      <c r="U78" s="59"/>
      <c r="V78" s="469"/>
      <c r="W78" s="59"/>
      <c r="X78" s="59"/>
      <c r="Y78" s="559"/>
      <c r="Z78" s="559"/>
      <c r="AA78" s="61">
        <f t="shared" si="48"/>
        <v>-108.11532673228339</v>
      </c>
      <c r="AB78" s="460">
        <f t="shared" si="49"/>
        <v>0.95495194719488197</v>
      </c>
      <c r="AC78" s="566"/>
    </row>
    <row r="79" spans="1:29">
      <c r="D79" s="80"/>
      <c r="E79" s="80"/>
    </row>
  </sheetData>
  <mergeCells count="202">
    <mergeCell ref="A72:A78"/>
    <mergeCell ref="C72:D72"/>
    <mergeCell ref="R72:R78"/>
    <mergeCell ref="Y72:Z72"/>
    <mergeCell ref="AC72:AC78"/>
    <mergeCell ref="C73:D73"/>
    <mergeCell ref="Y73:Z73"/>
    <mergeCell ref="C74:D74"/>
    <mergeCell ref="Y74:Z74"/>
    <mergeCell ref="C75:D75"/>
    <mergeCell ref="Y68:Z68"/>
    <mergeCell ref="C69:D69"/>
    <mergeCell ref="Y69:Z69"/>
    <mergeCell ref="C70:D70"/>
    <mergeCell ref="Y70:Z70"/>
    <mergeCell ref="C71:D71"/>
    <mergeCell ref="Y71:Z71"/>
    <mergeCell ref="Y75:Z75"/>
    <mergeCell ref="C76:D76"/>
    <mergeCell ref="Y76:Z76"/>
    <mergeCell ref="C77:D77"/>
    <mergeCell ref="Y77:Z77"/>
    <mergeCell ref="C78:D78"/>
    <mergeCell ref="Y78:Z78"/>
    <mergeCell ref="A65:A71"/>
    <mergeCell ref="C65:D65"/>
    <mergeCell ref="R65:R71"/>
    <mergeCell ref="Y65:Z65"/>
    <mergeCell ref="AC65:AC71"/>
    <mergeCell ref="C66:D66"/>
    <mergeCell ref="Y66:Z66"/>
    <mergeCell ref="C67:D67"/>
    <mergeCell ref="Y67:Z67"/>
    <mergeCell ref="C68:D68"/>
    <mergeCell ref="Y62:Z62"/>
    <mergeCell ref="C63:D63"/>
    <mergeCell ref="Y63:Z63"/>
    <mergeCell ref="C64:D64"/>
    <mergeCell ref="Y64:Z64"/>
    <mergeCell ref="A56:A64"/>
    <mergeCell ref="C56:D56"/>
    <mergeCell ref="R56:R64"/>
    <mergeCell ref="Y56:Z56"/>
    <mergeCell ref="A49:A55"/>
    <mergeCell ref="C49:D49"/>
    <mergeCell ref="R49:R55"/>
    <mergeCell ref="Y49:Z49"/>
    <mergeCell ref="Y54:Z54"/>
    <mergeCell ref="C55:D55"/>
    <mergeCell ref="Y55:Z55"/>
    <mergeCell ref="AC56:AC64"/>
    <mergeCell ref="C57:D57"/>
    <mergeCell ref="Y57:Z57"/>
    <mergeCell ref="C58:D58"/>
    <mergeCell ref="C61:D61"/>
    <mergeCell ref="Y61:Z61"/>
    <mergeCell ref="AC49:AC55"/>
    <mergeCell ref="C50:D50"/>
    <mergeCell ref="Y50:Z50"/>
    <mergeCell ref="C51:D51"/>
    <mergeCell ref="Y51:Z51"/>
    <mergeCell ref="C52:D52"/>
    <mergeCell ref="Y52:Z52"/>
    <mergeCell ref="C53:D53"/>
    <mergeCell ref="Y53:Z53"/>
    <mergeCell ref="C54:D54"/>
    <mergeCell ref="C62:D62"/>
    <mergeCell ref="A40:A48"/>
    <mergeCell ref="C40:D40"/>
    <mergeCell ref="R40:R48"/>
    <mergeCell ref="Y40:Z40"/>
    <mergeCell ref="Y45:Z45"/>
    <mergeCell ref="C46:D46"/>
    <mergeCell ref="Y46:Z46"/>
    <mergeCell ref="C47:D47"/>
    <mergeCell ref="AC40:AC48"/>
    <mergeCell ref="C41:D41"/>
    <mergeCell ref="Y41:Z41"/>
    <mergeCell ref="C42:D42"/>
    <mergeCell ref="Y42:Z42"/>
    <mergeCell ref="C43:D43"/>
    <mergeCell ref="Y43:Z43"/>
    <mergeCell ref="C44:D44"/>
    <mergeCell ref="Y44:Z44"/>
    <mergeCell ref="C45:D45"/>
    <mergeCell ref="Y47:Z47"/>
    <mergeCell ref="C48:D48"/>
    <mergeCell ref="Y48:Z48"/>
    <mergeCell ref="C37:D37"/>
    <mergeCell ref="Y37:Z37"/>
    <mergeCell ref="C38:D38"/>
    <mergeCell ref="Y38:Z38"/>
    <mergeCell ref="A32:A39"/>
    <mergeCell ref="C32:D32"/>
    <mergeCell ref="R32:R39"/>
    <mergeCell ref="Y32:Z32"/>
    <mergeCell ref="C39:D39"/>
    <mergeCell ref="Y39:Z39"/>
    <mergeCell ref="C24:D24"/>
    <mergeCell ref="Y24:Z24"/>
    <mergeCell ref="C25:D25"/>
    <mergeCell ref="Y25:Z25"/>
    <mergeCell ref="C26:D26"/>
    <mergeCell ref="Y26:Z26"/>
    <mergeCell ref="C27:D27"/>
    <mergeCell ref="Y35:Z35"/>
    <mergeCell ref="C36:D36"/>
    <mergeCell ref="Y36:Z36"/>
    <mergeCell ref="C21:D21"/>
    <mergeCell ref="Y21:Z21"/>
    <mergeCell ref="A22:A31"/>
    <mergeCell ref="C22:D22"/>
    <mergeCell ref="R22:R31"/>
    <mergeCell ref="Y22:Z22"/>
    <mergeCell ref="Y27:Z27"/>
    <mergeCell ref="C28:D28"/>
    <mergeCell ref="AC32:AC39"/>
    <mergeCell ref="C33:D33"/>
    <mergeCell ref="Y33:Z33"/>
    <mergeCell ref="C34:D34"/>
    <mergeCell ref="Y34:Z34"/>
    <mergeCell ref="C35:D35"/>
    <mergeCell ref="Y28:Z28"/>
    <mergeCell ref="C29:D29"/>
    <mergeCell ref="Y29:Z29"/>
    <mergeCell ref="C30:D30"/>
    <mergeCell ref="Y30:Z30"/>
    <mergeCell ref="C31:D31"/>
    <mergeCell ref="Y31:Z31"/>
    <mergeCell ref="AC22:AC31"/>
    <mergeCell ref="C23:D23"/>
    <mergeCell ref="Y23:Z23"/>
    <mergeCell ref="AC9:AC11"/>
    <mergeCell ref="C10:D10"/>
    <mergeCell ref="Y10:Z10"/>
    <mergeCell ref="C11:D11"/>
    <mergeCell ref="Y11:Z11"/>
    <mergeCell ref="A12:A21"/>
    <mergeCell ref="C12:D12"/>
    <mergeCell ref="R12:R21"/>
    <mergeCell ref="Y12:Z12"/>
    <mergeCell ref="AC12:AC21"/>
    <mergeCell ref="C16:D16"/>
    <mergeCell ref="Y16:Z16"/>
    <mergeCell ref="C17:D17"/>
    <mergeCell ref="Y17:Z17"/>
    <mergeCell ref="Y18:Z18"/>
    <mergeCell ref="Y19:Z19"/>
    <mergeCell ref="C13:D13"/>
    <mergeCell ref="Y13:Z13"/>
    <mergeCell ref="C14:D14"/>
    <mergeCell ref="Y14:Z14"/>
    <mergeCell ref="C15:D15"/>
    <mergeCell ref="Y15:Z15"/>
    <mergeCell ref="C20:D20"/>
    <mergeCell ref="Y20:Z20"/>
    <mergeCell ref="C8:D8"/>
    <mergeCell ref="Y8:Z8"/>
    <mergeCell ref="A9:A11"/>
    <mergeCell ref="C9:D9"/>
    <mergeCell ref="R9:R11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</mergeCells>
  <phoneticPr fontId="3" type="noConversion"/>
  <conditionalFormatting sqref="O64:O65 O68:O78 O5:O9 O11:O13 O21:O61">
    <cfRule type="cellIs" dxfId="1930" priority="61" operator="greaterThan">
      <formula>0</formula>
    </cfRule>
  </conditionalFormatting>
  <conditionalFormatting sqref="P5:P7 P68:P70 AA68:AA70 P72:P77 P32:P38 P65 P9 P11:P13 P22:P30 P56:P61 P40:P54 AA5:AA65 AA72:AA78">
    <cfRule type="cellIs" dxfId="1929" priority="65" operator="lessThan">
      <formula>0</formula>
    </cfRule>
  </conditionalFormatting>
  <conditionalFormatting sqref="AB68:AB70 Q64:Q65 Q68:Q78 Q5:Q9 Q11:Q13 Q21:Q61 AB5:AB65 AB72:AB78">
    <cfRule type="cellIs" dxfId="1928" priority="62" operator="greaterThan">
      <formula>1</formula>
    </cfRule>
    <cfRule type="cellIs" dxfId="1927" priority="63" operator="lessThan">
      <formula>0.8</formula>
    </cfRule>
  </conditionalFormatting>
  <conditionalFormatting sqref="AC12:AC13 R12:R13 AC68 R21:R27 AC21:AC27 AC64:AC65 R64:R65 R68:R78 AC5:AC9 R5:R9 AC31:AC61 R31:R61">
    <cfRule type="cellIs" dxfId="1926" priority="67" operator="lessThan">
      <formula>0.8</formula>
    </cfRule>
  </conditionalFormatting>
  <conditionalFormatting sqref="AC49">
    <cfRule type="cellIs" dxfId="1925" priority="69" operator="lessThan">
      <formula>0.8</formula>
    </cfRule>
  </conditionalFormatting>
  <conditionalFormatting sqref="AC22:AC27">
    <cfRule type="cellIs" dxfId="1924" priority="66" operator="lessThan">
      <formula>0.8</formula>
    </cfRule>
  </conditionalFormatting>
  <conditionalFormatting sqref="AC32">
    <cfRule type="cellIs" dxfId="1923" priority="68" operator="lessThan">
      <formula>0.8</formula>
    </cfRule>
  </conditionalFormatting>
  <conditionalFormatting sqref="AC40:AC47">
    <cfRule type="cellIs" dxfId="1922" priority="64" operator="lessThan">
      <formula>0.8</formula>
    </cfRule>
  </conditionalFormatting>
  <conditionalFormatting sqref="AA71">
    <cfRule type="cellIs" dxfId="1921" priority="60" operator="lessThan">
      <formula>0</formula>
    </cfRule>
  </conditionalFormatting>
  <conditionalFormatting sqref="AB71">
    <cfRule type="cellIs" dxfId="1920" priority="58" operator="greaterThan">
      <formula>1</formula>
    </cfRule>
    <cfRule type="cellIs" dxfId="1919" priority="59" operator="lessThan">
      <formula>0.8</formula>
    </cfRule>
  </conditionalFormatting>
  <conditionalFormatting sqref="O14:O15">
    <cfRule type="cellIs" dxfId="1918" priority="53" operator="greaterThan">
      <formula>0</formula>
    </cfRule>
  </conditionalFormatting>
  <conditionalFormatting sqref="P14:P15">
    <cfRule type="cellIs" dxfId="1917" priority="56" operator="lessThan">
      <formula>0</formula>
    </cfRule>
  </conditionalFormatting>
  <conditionalFormatting sqref="Q14:Q15">
    <cfRule type="cellIs" dxfId="1916" priority="54" operator="greaterThan">
      <formula>1</formula>
    </cfRule>
    <cfRule type="cellIs" dxfId="1915" priority="55" operator="lessThan">
      <formula>0.8</formula>
    </cfRule>
  </conditionalFormatting>
  <conditionalFormatting sqref="R14:R15 AC14:AC15">
    <cfRule type="cellIs" dxfId="1914" priority="57" operator="lessThan">
      <formula>0.8</formula>
    </cfRule>
  </conditionalFormatting>
  <conditionalFormatting sqref="O10">
    <cfRule type="cellIs" dxfId="1913" priority="49" operator="greaterThan">
      <formula>0</formula>
    </cfRule>
  </conditionalFormatting>
  <conditionalFormatting sqref="P10">
    <cfRule type="cellIs" dxfId="1912" priority="52" operator="lessThan">
      <formula>0</formula>
    </cfRule>
  </conditionalFormatting>
  <conditionalFormatting sqref="Q10">
    <cfRule type="cellIs" dxfId="1911" priority="50" operator="greaterThan">
      <formula>1</formula>
    </cfRule>
    <cfRule type="cellIs" dxfId="1910" priority="51" operator="lessThan">
      <formula>0.8</formula>
    </cfRule>
  </conditionalFormatting>
  <conditionalFormatting sqref="O62">
    <cfRule type="cellIs" dxfId="1909" priority="44" operator="greaterThan">
      <formula>0</formula>
    </cfRule>
  </conditionalFormatting>
  <conditionalFormatting sqref="P62">
    <cfRule type="cellIs" dxfId="1908" priority="47" operator="lessThan">
      <formula>0</formula>
    </cfRule>
  </conditionalFormatting>
  <conditionalFormatting sqref="Q62">
    <cfRule type="cellIs" dxfId="1907" priority="45" operator="greaterThan">
      <formula>1</formula>
    </cfRule>
    <cfRule type="cellIs" dxfId="1906" priority="46" operator="lessThan">
      <formula>0.8</formula>
    </cfRule>
  </conditionalFormatting>
  <conditionalFormatting sqref="R62 AC62">
    <cfRule type="cellIs" dxfId="1905" priority="48" operator="lessThan">
      <formula>0.8</formula>
    </cfRule>
  </conditionalFormatting>
  <conditionalFormatting sqref="AC29 R29">
    <cfRule type="cellIs" dxfId="1904" priority="43" operator="lessThan">
      <formula>0.8</formula>
    </cfRule>
  </conditionalFormatting>
  <conditionalFormatting sqref="O67">
    <cfRule type="cellIs" dxfId="1903" priority="38" operator="greaterThan">
      <formula>0</formula>
    </cfRule>
  </conditionalFormatting>
  <conditionalFormatting sqref="P67 AA67">
    <cfRule type="cellIs" dxfId="1902" priority="41" operator="lessThan">
      <formula>0</formula>
    </cfRule>
  </conditionalFormatting>
  <conditionalFormatting sqref="Q67 AB67">
    <cfRule type="cellIs" dxfId="1901" priority="39" operator="greaterThan">
      <formula>1</formula>
    </cfRule>
    <cfRule type="cellIs" dxfId="1900" priority="40" operator="lessThan">
      <formula>0.8</formula>
    </cfRule>
  </conditionalFormatting>
  <conditionalFormatting sqref="R67 AC67">
    <cfRule type="cellIs" dxfId="1899" priority="42" operator="lessThan">
      <formula>0.8</formula>
    </cfRule>
  </conditionalFormatting>
  <conditionalFormatting sqref="O16:O17">
    <cfRule type="cellIs" dxfId="1898" priority="33" operator="greaterThan">
      <formula>0</formula>
    </cfRule>
  </conditionalFormatting>
  <conditionalFormatting sqref="P16:P17">
    <cfRule type="cellIs" dxfId="1897" priority="36" operator="lessThan">
      <formula>0</formula>
    </cfRule>
  </conditionalFormatting>
  <conditionalFormatting sqref="Q16:Q17">
    <cfRule type="cellIs" dxfId="1896" priority="34" operator="greaterThan">
      <formula>1</formula>
    </cfRule>
    <cfRule type="cellIs" dxfId="1895" priority="35" operator="lessThan">
      <formula>0.8</formula>
    </cfRule>
  </conditionalFormatting>
  <conditionalFormatting sqref="R16:R17 AC16:AC17">
    <cfRule type="cellIs" dxfId="1894" priority="37" operator="lessThan">
      <formula>0.8</formula>
    </cfRule>
  </conditionalFormatting>
  <conditionalFormatting sqref="O63">
    <cfRule type="cellIs" dxfId="1893" priority="28" operator="greaterThan">
      <formula>0</formula>
    </cfRule>
  </conditionalFormatting>
  <conditionalFormatting sqref="P63">
    <cfRule type="cellIs" dxfId="1892" priority="31" operator="lessThan">
      <formula>0</formula>
    </cfRule>
  </conditionalFormatting>
  <conditionalFormatting sqref="Q63">
    <cfRule type="cellIs" dxfId="1891" priority="29" operator="greaterThan">
      <formula>1</formula>
    </cfRule>
    <cfRule type="cellIs" dxfId="1890" priority="30" operator="lessThan">
      <formula>0.8</formula>
    </cfRule>
  </conditionalFormatting>
  <conditionalFormatting sqref="AC63 R63">
    <cfRule type="cellIs" dxfId="1889" priority="32" operator="lessThan">
      <formula>0.8</formula>
    </cfRule>
  </conditionalFormatting>
  <conditionalFormatting sqref="AC30 R30">
    <cfRule type="cellIs" dxfId="1888" priority="27" operator="lessThan">
      <formula>0.8</formula>
    </cfRule>
  </conditionalFormatting>
  <conditionalFormatting sqref="R28 AC28">
    <cfRule type="cellIs" dxfId="1887" priority="26" operator="lessThan">
      <formula>0.8</formula>
    </cfRule>
  </conditionalFormatting>
  <conditionalFormatting sqref="AC28">
    <cfRule type="cellIs" dxfId="1886" priority="25" operator="lessThan">
      <formula>0.8</formula>
    </cfRule>
  </conditionalFormatting>
  <conditionalFormatting sqref="O66">
    <cfRule type="cellIs" dxfId="1885" priority="20" operator="greaterThan">
      <formula>0</formula>
    </cfRule>
  </conditionalFormatting>
  <conditionalFormatting sqref="P66 AA66">
    <cfRule type="cellIs" dxfId="1884" priority="23" operator="lessThan">
      <formula>0</formula>
    </cfRule>
  </conditionalFormatting>
  <conditionalFormatting sqref="Q66 AB66">
    <cfRule type="cellIs" dxfId="1883" priority="21" operator="greaterThan">
      <formula>1</formula>
    </cfRule>
    <cfRule type="cellIs" dxfId="1882" priority="22" operator="lessThan">
      <formula>0.8</formula>
    </cfRule>
  </conditionalFormatting>
  <conditionalFormatting sqref="R66 AC66">
    <cfRule type="cellIs" dxfId="1881" priority="24" operator="lessThan">
      <formula>0.8</formula>
    </cfRule>
  </conditionalFormatting>
  <conditionalFormatting sqref="O18">
    <cfRule type="cellIs" dxfId="1880" priority="15" operator="greaterThan">
      <formula>0</formula>
    </cfRule>
  </conditionalFormatting>
  <conditionalFormatting sqref="P18">
    <cfRule type="cellIs" dxfId="1879" priority="18" operator="lessThan">
      <formula>0</formula>
    </cfRule>
  </conditionalFormatting>
  <conditionalFormatting sqref="Q18">
    <cfRule type="cellIs" dxfId="1878" priority="16" operator="greaterThan">
      <formula>1</formula>
    </cfRule>
    <cfRule type="cellIs" dxfId="1877" priority="17" operator="lessThan">
      <formula>0.8</formula>
    </cfRule>
  </conditionalFormatting>
  <conditionalFormatting sqref="AC18 R18">
    <cfRule type="cellIs" dxfId="1876" priority="19" operator="lessThan">
      <formula>0.8</formula>
    </cfRule>
  </conditionalFormatting>
  <conditionalFormatting sqref="O19:O20">
    <cfRule type="cellIs" dxfId="1875" priority="10" operator="greaterThan">
      <formula>0</formula>
    </cfRule>
  </conditionalFormatting>
  <conditionalFormatting sqref="P19:P20">
    <cfRule type="cellIs" dxfId="1874" priority="13" operator="lessThan">
      <formula>0</formula>
    </cfRule>
  </conditionalFormatting>
  <conditionalFormatting sqref="Q19:Q20">
    <cfRule type="cellIs" dxfId="1873" priority="11" operator="greaterThan">
      <formula>1</formula>
    </cfRule>
    <cfRule type="cellIs" dxfId="1872" priority="12" operator="lessThan">
      <formula>0.8</formula>
    </cfRule>
  </conditionalFormatting>
  <conditionalFormatting sqref="AC19 R19">
    <cfRule type="cellIs" dxfId="1871" priority="14" operator="lessThan">
      <formula>0.8</formula>
    </cfRule>
  </conditionalFormatting>
  <conditionalFormatting sqref="P8">
    <cfRule type="cellIs" dxfId="1870" priority="9" operator="lessThan">
      <formula>0</formula>
    </cfRule>
  </conditionalFormatting>
  <conditionalFormatting sqref="P21">
    <cfRule type="cellIs" dxfId="1869" priority="8" operator="lessThan">
      <formula>0</formula>
    </cfRule>
  </conditionalFormatting>
  <conditionalFormatting sqref="P31">
    <cfRule type="cellIs" dxfId="1868" priority="7" operator="lessThan">
      <formula>0</formula>
    </cfRule>
  </conditionalFormatting>
  <conditionalFormatting sqref="P39">
    <cfRule type="cellIs" dxfId="1867" priority="6" operator="lessThan">
      <formula>0</formula>
    </cfRule>
  </conditionalFormatting>
  <conditionalFormatting sqref="P55">
    <cfRule type="cellIs" dxfId="1866" priority="5" operator="lessThan">
      <formula>0</formula>
    </cfRule>
  </conditionalFormatting>
  <conditionalFormatting sqref="P64">
    <cfRule type="cellIs" dxfId="1865" priority="4" operator="lessThan">
      <formula>0</formula>
    </cfRule>
  </conditionalFormatting>
  <conditionalFormatting sqref="P71">
    <cfRule type="cellIs" dxfId="1864" priority="3" operator="lessThan">
      <formula>0</formula>
    </cfRule>
  </conditionalFormatting>
  <conditionalFormatting sqref="P78">
    <cfRule type="cellIs" dxfId="1863" priority="2" operator="lessThan">
      <formula>0</formula>
    </cfRule>
  </conditionalFormatting>
  <conditionalFormatting sqref="AC20 R20">
    <cfRule type="cellIs" dxfId="1862" priority="1" operator="lessThan">
      <formula>0.8</formula>
    </cfRule>
  </conditionalFormatting>
  <dataValidations count="1">
    <dataValidation type="list" allowBlank="1" showInputMessage="1" showErrorMessage="1" sqref="Z8 Z69:Z70 Y5:Z7 Y8:Y70 Z10:Z65 Y71:Z78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="85" zoomScaleNormal="85" workbookViewId="0">
      <selection activeCell="A9" sqref="A9"/>
    </sheetView>
  </sheetViews>
  <sheetFormatPr defaultColWidth="8.75" defaultRowHeight="15.75"/>
  <cols>
    <col min="1" max="1" width="8.75" style="2"/>
    <col min="2" max="2" width="17.875" style="2" customWidth="1"/>
    <col min="3" max="3" width="9.25" style="9" customWidth="1"/>
    <col min="4" max="13" width="12.625" style="2" customWidth="1"/>
    <col min="14" max="14" width="11" style="2" bestFit="1" customWidth="1"/>
    <col min="15" max="15" width="17.75" style="2" bestFit="1" customWidth="1"/>
    <col min="16" max="16" width="12.25" style="2" bestFit="1" customWidth="1"/>
    <col min="17" max="22" width="9.25" style="2" customWidth="1"/>
    <col min="23" max="23" width="10.75" style="2" customWidth="1"/>
    <col min="24" max="24" width="11" style="2" customWidth="1"/>
    <col min="25" max="16384" width="8.75" style="2"/>
  </cols>
  <sheetData>
    <row r="1" spans="2:17" ht="27.75" customHeight="1">
      <c r="B1" s="546" t="s">
        <v>1988</v>
      </c>
      <c r="C1" s="546"/>
      <c r="D1" s="546"/>
      <c r="E1" s="546"/>
      <c r="F1" s="546"/>
      <c r="G1" s="546"/>
      <c r="H1" s="546"/>
      <c r="I1" s="546"/>
      <c r="J1" s="546"/>
      <c r="K1" s="1"/>
      <c r="L1" s="1"/>
      <c r="M1" s="1"/>
      <c r="N1" s="1"/>
      <c r="O1" s="1"/>
      <c r="P1" s="1"/>
    </row>
    <row r="2" spans="2:17" ht="27.75" customHeight="1">
      <c r="B2" s="547"/>
      <c r="C2" s="547"/>
      <c r="D2" s="547"/>
      <c r="E2" s="547"/>
      <c r="F2" s="547"/>
      <c r="G2" s="547"/>
      <c r="H2" s="547"/>
      <c r="I2" s="547"/>
      <c r="J2" s="547"/>
      <c r="K2" s="3"/>
      <c r="L2" s="3"/>
      <c r="M2" s="3"/>
      <c r="N2" s="1"/>
      <c r="O2" s="1"/>
      <c r="P2" s="1"/>
    </row>
    <row r="3" spans="2:17" ht="46.5" customHeight="1">
      <c r="B3" s="4" t="s">
        <v>1989</v>
      </c>
      <c r="C3" s="548" t="str">
        <f>TEXT('1228 4度C'!A2,"yyyy.mm.ddaaaa")</f>
        <v>2025.12.28星期日</v>
      </c>
      <c r="D3" s="549"/>
      <c r="E3" s="4" t="s">
        <v>1990</v>
      </c>
      <c r="F3" s="550">
        <f>'1228 4度C'!D1</f>
        <v>185601</v>
      </c>
      <c r="G3" s="551"/>
      <c r="H3" s="4" t="s">
        <v>1991</v>
      </c>
      <c r="I3" s="552">
        <f>'1228 4度C'!F1</f>
        <v>6280461.04</v>
      </c>
      <c r="J3" s="553"/>
      <c r="K3" s="5"/>
      <c r="L3" s="6"/>
      <c r="M3" s="7"/>
      <c r="N3" s="7"/>
    </row>
    <row r="4" spans="2:17" ht="28.5" customHeight="1">
      <c r="B4" s="554" t="s">
        <v>1992</v>
      </c>
      <c r="C4" s="536" t="s">
        <v>1993</v>
      </c>
      <c r="D4" s="537"/>
      <c r="E4" s="557" t="s">
        <v>1994</v>
      </c>
      <c r="F4" s="558"/>
      <c r="G4" s="557" t="s">
        <v>1995</v>
      </c>
      <c r="H4" s="558"/>
      <c r="I4" s="557" t="s">
        <v>1996</v>
      </c>
      <c r="J4" s="558"/>
      <c r="L4" s="7"/>
      <c r="M4" s="7"/>
      <c r="N4" s="7"/>
    </row>
    <row r="5" spans="2:17" ht="28.5" customHeight="1">
      <c r="B5" s="555"/>
      <c r="C5" s="536" t="s">
        <v>1997</v>
      </c>
      <c r="D5" s="537"/>
      <c r="E5" s="536" t="s">
        <v>1998</v>
      </c>
      <c r="F5" s="537"/>
      <c r="G5" s="538" t="s">
        <v>1999</v>
      </c>
      <c r="H5" s="539"/>
      <c r="I5" s="540" t="s">
        <v>2000</v>
      </c>
      <c r="J5" s="541"/>
      <c r="K5" s="7"/>
      <c r="L5" s="7"/>
      <c r="M5" s="7"/>
      <c r="N5" s="7"/>
    </row>
    <row r="6" spans="2:17" ht="28.5" customHeight="1">
      <c r="B6" s="555"/>
      <c r="C6" s="536" t="s">
        <v>46</v>
      </c>
      <c r="D6" s="537"/>
      <c r="E6" s="542">
        <f>AVERAGE(D13:M13)</f>
        <v>148.58832851856928</v>
      </c>
      <c r="F6" s="543">
        <f>AVERAGE(D27:O27,D13:J13)</f>
        <v>152.86489452226832</v>
      </c>
      <c r="G6" s="544">
        <f>AVERAGE(D13:J13)</f>
        <v>152.86489452226832</v>
      </c>
      <c r="H6" s="545"/>
      <c r="I6" s="544">
        <f>AVERAGE(K13:M13)</f>
        <v>138.60967450993823</v>
      </c>
      <c r="J6" s="545"/>
      <c r="K6" s="7"/>
      <c r="L6" s="7"/>
      <c r="M6" s="7"/>
      <c r="N6" s="7"/>
    </row>
    <row r="7" spans="2:17" ht="28.5" customHeight="1">
      <c r="B7" s="555"/>
      <c r="C7" s="526" t="s">
        <v>47</v>
      </c>
      <c r="D7" s="527"/>
      <c r="E7" s="528">
        <f>AVERAGE(D14:M14)</f>
        <v>141.60789989456555</v>
      </c>
      <c r="F7" s="529">
        <f>AVERAGE(D28:O28,D14:J14)</f>
        <v>145.38183056718179</v>
      </c>
      <c r="G7" s="530">
        <f>AVERAGE(D14:J14)</f>
        <v>145.38183056718179</v>
      </c>
      <c r="H7" s="531"/>
      <c r="I7" s="530">
        <f>AVERAGE(K14:M14)</f>
        <v>132.80206165846096</v>
      </c>
      <c r="J7" s="531"/>
      <c r="K7" s="7"/>
      <c r="L7" s="7"/>
      <c r="M7" s="7"/>
      <c r="N7" s="7"/>
    </row>
    <row r="8" spans="2:17" ht="28.5" customHeight="1">
      <c r="B8" s="556"/>
      <c r="C8" s="526" t="s">
        <v>48</v>
      </c>
      <c r="D8" s="527"/>
      <c r="E8" s="532">
        <f>AVERAGE(D15:M15)</f>
        <v>0.95050130676287325</v>
      </c>
      <c r="F8" s="533">
        <f>AVERAGE(D15:J15,D29:O29)</f>
        <v>0.94723323763847245</v>
      </c>
      <c r="G8" s="534">
        <f>AVERAGE(D15:J15)</f>
        <v>0.94723323763847245</v>
      </c>
      <c r="H8" s="535"/>
      <c r="I8" s="534">
        <f>AVERAGE(K15:M15)</f>
        <v>0.95812680138647488</v>
      </c>
      <c r="J8" s="535"/>
      <c r="K8" s="8" t="s">
        <v>2001</v>
      </c>
      <c r="L8" s="7"/>
      <c r="M8" s="7"/>
      <c r="N8" s="7"/>
    </row>
    <row r="9" spans="2:17" ht="28.5" customHeight="1" thickBot="1">
      <c r="H9" s="10"/>
      <c r="N9" s="7"/>
      <c r="O9" s="7"/>
      <c r="P9" s="7"/>
      <c r="Q9" s="7"/>
    </row>
    <row r="10" spans="2:17" ht="30" customHeight="1">
      <c r="B10" s="509" t="s">
        <v>2002</v>
      </c>
      <c r="C10" s="510"/>
      <c r="D10" s="511" t="s">
        <v>2003</v>
      </c>
      <c r="E10" s="512"/>
      <c r="F10" s="512"/>
      <c r="G10" s="512"/>
      <c r="H10" s="512"/>
      <c r="I10" s="512"/>
      <c r="J10" s="513"/>
      <c r="K10" s="514" t="s">
        <v>2004</v>
      </c>
      <c r="L10" s="515"/>
      <c r="M10" s="516"/>
      <c r="P10" s="11"/>
      <c r="Q10" s="11"/>
    </row>
    <row r="11" spans="2:17" ht="17.25" customHeight="1">
      <c r="B11" s="517" t="s">
        <v>2005</v>
      </c>
      <c r="C11" s="518"/>
      <c r="D11" s="12">
        <v>1</v>
      </c>
      <c r="E11" s="13">
        <v>2</v>
      </c>
      <c r="F11" s="13">
        <v>3</v>
      </c>
      <c r="G11" s="13">
        <v>4</v>
      </c>
      <c r="H11" s="13">
        <v>5</v>
      </c>
      <c r="I11" s="13">
        <v>6</v>
      </c>
      <c r="J11" s="14">
        <v>7</v>
      </c>
      <c r="K11" s="12">
        <v>1</v>
      </c>
      <c r="L11" s="13">
        <v>2</v>
      </c>
      <c r="M11" s="14">
        <v>3</v>
      </c>
      <c r="P11" s="11"/>
      <c r="Q11" s="11"/>
    </row>
    <row r="12" spans="2:17" ht="34.15" customHeight="1">
      <c r="B12" s="519"/>
      <c r="C12" s="520"/>
      <c r="D12" s="15" t="s">
        <v>49</v>
      </c>
      <c r="E12" s="16" t="s">
        <v>50</v>
      </c>
      <c r="F12" s="16" t="s">
        <v>51</v>
      </c>
      <c r="G12" s="16" t="s">
        <v>52</v>
      </c>
      <c r="H12" s="16" t="s">
        <v>53</v>
      </c>
      <c r="I12" s="16" t="s">
        <v>54</v>
      </c>
      <c r="J12" s="17" t="s">
        <v>55</v>
      </c>
      <c r="K12" s="15" t="s">
        <v>56</v>
      </c>
      <c r="L12" s="16" t="s">
        <v>57</v>
      </c>
      <c r="M12" s="17" t="s">
        <v>58</v>
      </c>
    </row>
    <row r="13" spans="2:17" ht="40.15" customHeight="1">
      <c r="B13" s="521" t="s">
        <v>2006</v>
      </c>
      <c r="C13" s="18" t="s">
        <v>2007</v>
      </c>
      <c r="D13" s="19">
        <f>SUMIFS('1228 4度C'!$K:$K,'1228 4度C'!$A:$A,"新豐6線",'1228 4度C'!$B:$B,"平均")</f>
        <v>115.38461538461539</v>
      </c>
      <c r="E13" s="20">
        <f>SUMIFS('1228 4度C'!$K:$K,'1228 4度C'!$A:$A,"新豐2線",'1228 4度C'!$B:$B,"平均")</f>
        <v>83.333333333333329</v>
      </c>
      <c r="F13" s="21">
        <f>SUMIFS('1228 4度C'!$K:$K,'1228 4度C'!$A:$A,"新豐5線",'1228 4度C'!$B:$B,"平均")</f>
        <v>103.30578512396696</v>
      </c>
      <c r="G13" s="21">
        <f>SUMIFS('1228 4度C'!$K:$K,'1228 4度C'!$A:$A,"新豐7線",'1228 4度C'!$B:$B,"平均")</f>
        <v>114.58333333333333</v>
      </c>
      <c r="H13" s="21">
        <f>SUMIFS('1228 4度C'!$K:$K,'1228 4度C'!$A:$A,"新豐3線",'1228 4度C'!$B:$B,"平均")</f>
        <v>255.10204081632654</v>
      </c>
      <c r="I13" s="21">
        <f>SUMIFS('1228 4度C'!$K:$K,'1228 4度C'!$A:$A,"新豐1線",'1228 4度C'!$B:$B,"平均")</f>
        <v>111.11111111111111</v>
      </c>
      <c r="J13" s="22">
        <f>SUMIFS('1228 4度C'!$K:$K,'1228 4度C'!$A:$A,"新豐10線",'1228 4度C'!$B:$B,"平均")</f>
        <v>287.2340425531915</v>
      </c>
      <c r="K13" s="23">
        <f>SUMIFS('1228 4度C'!$K:$K,'1228 4度C'!$A:$A,"新豐8線",'1228 4度C'!$B:$B,"平均")</f>
        <v>130.23255813953489</v>
      </c>
      <c r="L13" s="24">
        <f>SUMIFS('1228 4度C'!$K:$K,'1228 4度C'!$A:$A,"新豐9線",'1228 4度C'!$B:$B,"平均")</f>
        <v>137.14285714285714</v>
      </c>
      <c r="M13" s="22">
        <f>SUMIFS('1228 4度C'!$K:$K,'1228 4度C'!$A:$A,"新豐4線",'1228 4度C'!$B:$B,"平均")</f>
        <v>148.45360824742266</v>
      </c>
    </row>
    <row r="14" spans="2:17" ht="39.6" customHeight="1">
      <c r="B14" s="522"/>
      <c r="C14" s="25" t="s">
        <v>471</v>
      </c>
      <c r="D14" s="26">
        <f>SUMIFS('1228 4度C'!$N:$N,'1228 4度C'!$A:$A,"新豐6線",'1228 4度C'!$B:$B,"平均")</f>
        <v>110.48227643184111</v>
      </c>
      <c r="E14" s="27">
        <f>SUMIFS('1228 4度C'!$N:$N,'1228 4度C'!$A:$A,"新豐2線",'1228 4度C'!$B:$B,"平均")</f>
        <v>79.383150579847481</v>
      </c>
      <c r="F14" s="27">
        <f>SUMIFS('1228 4度C'!$N:$N,'1228 4度C'!$A:$A,"新豐5線",'1228 4度C'!$B:$B,"平均")</f>
        <v>99.24198421692364</v>
      </c>
      <c r="G14" s="27">
        <f>SUMIFS('1228 4度C'!$N:$N,'1228 4度C'!$A:$A,"新豐7線",'1228 4度C'!$B:$B,"平均")</f>
        <v>109.94038153426335</v>
      </c>
      <c r="H14" s="27">
        <f>SUMIFS('1228 4度C'!$N:$N,'1228 4度C'!$A:$A,"新豐3線",'1228 4度C'!$B:$B,"平均")</f>
        <v>245.06896613931372</v>
      </c>
      <c r="I14" s="27">
        <f>SUMIFS('1228 4度C'!$N:$N,'1228 4度C'!$A:$A,"新豐1線",'1228 4度C'!$B:$B,"平均")</f>
        <v>97.703913904038345</v>
      </c>
      <c r="J14" s="28">
        <f>SUMIFS('1228 4度C'!$N:$N,'1228 4度C'!$A:$A,"新豐10線",'1228 4度C'!$B:$B,"平均")</f>
        <v>275.85214116404495</v>
      </c>
      <c r="K14" s="29">
        <f>SUMIFS('1228 4度C'!$N:$N,'1228 4度C'!$A:$A,"新豐8線",'1228 4度C'!$B:$B,"平均")</f>
        <v>124.36495919311349</v>
      </c>
      <c r="L14" s="30">
        <f>SUMIFS('1228 4度C'!$N:$N,'1228 4度C'!$A:$A,"新豐9線",'1228 4度C'!$B:$B,"平均")</f>
        <v>132.23346460070124</v>
      </c>
      <c r="M14" s="28">
        <f>SUMIFS('1228 4度C'!$N:$N,'1228 4度C'!$A:$A,"新豐4線",'1228 4度C'!$B:$B,"平均")</f>
        <v>141.80776118156811</v>
      </c>
    </row>
    <row r="15" spans="2:17" ht="40.15" customHeight="1">
      <c r="B15" s="523"/>
      <c r="C15" s="31" t="s">
        <v>2008</v>
      </c>
      <c r="D15" s="32">
        <f t="shared" ref="D15:M15" si="0">D14/D13</f>
        <v>0.95751306240928968</v>
      </c>
      <c r="E15" s="33">
        <f t="shared" si="0"/>
        <v>0.95259780695816987</v>
      </c>
      <c r="F15" s="33">
        <f t="shared" si="0"/>
        <v>0.96066240721982066</v>
      </c>
      <c r="G15" s="33">
        <f t="shared" si="0"/>
        <v>0.95947969338993477</v>
      </c>
      <c r="H15" s="33">
        <f t="shared" si="0"/>
        <v>0.96067034726610978</v>
      </c>
      <c r="I15" s="33">
        <f t="shared" si="0"/>
        <v>0.8793352251363451</v>
      </c>
      <c r="J15" s="34">
        <f t="shared" si="0"/>
        <v>0.96037412108963793</v>
      </c>
      <c r="K15" s="32">
        <f t="shared" si="0"/>
        <v>0.9549452223756929</v>
      </c>
      <c r="L15" s="33">
        <f t="shared" si="0"/>
        <v>0.9642023460467799</v>
      </c>
      <c r="M15" s="34">
        <f t="shared" si="0"/>
        <v>0.95523283573695195</v>
      </c>
    </row>
    <row r="16" spans="2:17" ht="17.25" customHeight="1">
      <c r="B16" s="524" t="s">
        <v>473</v>
      </c>
      <c r="C16" s="35" t="s">
        <v>2009</v>
      </c>
      <c r="D16" s="49">
        <f>VLOOKUP("新豐6線",'1228 4度C'!$A:$T,19,0)</f>
        <v>0.70833333333333337</v>
      </c>
      <c r="E16" s="50">
        <f>VLOOKUP("新豐2線",'1228 4度C'!$A:$T,19,0)</f>
        <v>0.16666666666666666</v>
      </c>
      <c r="F16" s="50">
        <f>VLOOKUP("新豐5線",'1228 4度C'!$A:$T,19,0)</f>
        <v>0.20833333333333334</v>
      </c>
      <c r="G16" s="50">
        <f>VLOOKUP("新豐7線",'1228 4度C'!$A:$T,19,0)</f>
        <v>0.20833333333333334</v>
      </c>
      <c r="H16" s="50">
        <f>VLOOKUP("新豐3線",'1228 4度C'!$A:$T,19,0)</f>
        <v>8.3333333333333329E-2</v>
      </c>
      <c r="I16" s="50">
        <f>VLOOKUP("新豐1線",'1228 4度C'!$A:$T,19,0)</f>
        <v>0.20833333333333334</v>
      </c>
      <c r="J16" s="51">
        <f>VLOOKUP("新豐10線",'1228 4度C'!$A:$T,19,0)</f>
        <v>0.20833333333333334</v>
      </c>
      <c r="K16" s="36">
        <f>VLOOKUP("新豐8線",'1228 4度C'!$A:$T,19,0)</f>
        <v>8.3333333333333329E-2</v>
      </c>
      <c r="L16" s="37">
        <f>VLOOKUP("新豐9線",'1228 4度C'!$A:$T,19,0)</f>
        <v>8.3333333333333329E-2</v>
      </c>
      <c r="M16" s="38">
        <f>VLOOKUP("新豐4線",'1228 4度C'!$A:$T,19,0)</f>
        <v>8.3333333333333329E-2</v>
      </c>
    </row>
    <row r="17" spans="2:13" ht="17.25" customHeight="1">
      <c r="B17" s="525"/>
      <c r="C17" s="35" t="s">
        <v>2010</v>
      </c>
      <c r="D17" s="36">
        <f>LOOKUP(2,1/(('1228 4度C'!$A:$A="新豐6線")*('1228 4度C'!$T:$T&lt;&gt;"")),'1228 4度C'!$T:$T)</f>
        <v>0.83472222222222214</v>
      </c>
      <c r="E17" s="50">
        <f>LOOKUP(2,1/(('1228 4度C'!$A:$A="新豐2線")*('1228 4度C'!$T:$T&lt;&gt;"")),'1228 4度C'!$T:$T)</f>
        <v>0.48819444444444443</v>
      </c>
      <c r="F17" s="50">
        <f>LOOKUP(2,1/(('1228 4度C'!$A:$A="新豐5線")*('1228 4度C'!$T:$T&lt;&gt;"")),'1228 4度C'!$T:$T)</f>
        <v>0.91666666666666663</v>
      </c>
      <c r="G17" s="50">
        <f>LOOKUP(2,1/(('1228 4度C'!$A:$A="新豐7線")*('1228 4度C'!$T:$T&lt;&gt;"")),'1228 4度C'!$T:$T)</f>
        <v>0.9194444444444444</v>
      </c>
      <c r="H17" s="50">
        <f>LOOKUP(2,1/(('1228 4度C'!$A:$A="新豐3線")*('1228 4度C'!$T:$T&lt;&gt;"")),'1228 4度C'!$T:$T)</f>
        <v>0.63749999999999996</v>
      </c>
      <c r="I17" s="50">
        <f>LOOKUP(2,1/(('1228 4度C'!$A:$A="新豐1線")*('1228 4度C'!$T:$T&lt;&gt;"")),'1228 4度C'!$T:$T)</f>
        <v>0.8618055555555556</v>
      </c>
      <c r="J17" s="51">
        <f>LOOKUP(2,1/(('1228 4度C'!$A:$A="新豐10線")*('1228 4度C'!$T:$T&lt;&gt;"")),'1228 4度C'!$T:$T)</f>
        <v>0.46111111111111108</v>
      </c>
      <c r="K17" s="49">
        <f>LOOKUP(2,1/(('1228 4度C'!$A:$A="新豐8線")*('1228 4度C'!$T:$T&lt;&gt;"")),'1228 4度C'!$T:$T)</f>
        <v>0.70347222222222205</v>
      </c>
      <c r="L17" s="50">
        <f>LOOKUP(2,1/(('1228 4度C'!$A:$A="新豐9線")*('1228 4度C'!$T:$T&lt;&gt;"")),'1228 4度C'!$T:$T)</f>
        <v>0.6381944444444444</v>
      </c>
      <c r="M17" s="51">
        <f>LOOKUP(2,1/(('1228 4度C'!$A:$A="新豐4線")*('1228 4度C'!$T:$T&lt;&gt;"")),'1228 4度C'!$T:$T)</f>
        <v>0.67847222222222214</v>
      </c>
    </row>
    <row r="18" spans="2:13" ht="17.25" customHeight="1">
      <c r="B18" s="503" t="s">
        <v>2011</v>
      </c>
      <c r="C18" s="504"/>
      <c r="D18" s="39">
        <f>SUMIFS('1228 4度C'!$I:$I,'1228 4度C'!$A:$A,"新豐6線",'1228 4度C'!$B:$B,"平均")</f>
        <v>17.333333333333332</v>
      </c>
      <c r="E18" s="40">
        <f>SUMIFS('1228 4度C'!$I:$I,'1228 4度C'!$A:$A,"新豐2線",'1228 4度C'!$B:$B,"平均")</f>
        <v>18</v>
      </c>
      <c r="F18" s="40">
        <f>SUMIFS('1228 4度C'!$I:$I,'1228 4度C'!$A:$A,"新豐5線",'1228 4度C'!$B:$B,"平均")</f>
        <v>17.285714285714285</v>
      </c>
      <c r="G18" s="40">
        <f>SUMIFS('1228 4度C'!$I:$I,'1228 4度C'!$A:$A,"新豐7線",'1228 4度C'!$B:$B,"平均")</f>
        <v>16</v>
      </c>
      <c r="H18" s="40">
        <f>SUMIFS('1228 4度C'!$I:$I,'1228 4度C'!$A:$A,"新豐3線",'1228 4度C'!$B:$B,"平均")</f>
        <v>10.888888888888889</v>
      </c>
      <c r="I18" s="40">
        <f>SUMIFS('1228 4度C'!$I:$I,'1228 4度C'!$A:$A,"新豐1線",'1228 4度C'!$B:$B,"平均")</f>
        <v>18</v>
      </c>
      <c r="J18" s="41">
        <f>SUMIFS('1228 4度C'!$I:$I,'1228 4度C'!$A:$A,"新豐10線",'1228 4度C'!$B:$B,"平均")</f>
        <v>9.4</v>
      </c>
      <c r="K18" s="39">
        <f>SUMIFS('1228 4度C'!$I:$I,'1228 4度C'!$A:$A,"新豐8線",'1228 4度C'!$B:$B,"平均")</f>
        <v>18.428571428571427</v>
      </c>
      <c r="L18" s="40">
        <f>SUMIFS('1228 4度C'!$I:$I,'1228 4度C'!$A:$A,"新豐9線",'1228 4度C'!$B:$B,"平均")</f>
        <v>17.5</v>
      </c>
      <c r="M18" s="41">
        <f>SUMIFS('1228 4度C'!$I:$I,'1228 4度C'!$A:$A,"新豐4線",'1228 4度C'!$B:$B,"平均")</f>
        <v>16.166666666666668</v>
      </c>
    </row>
    <row r="19" spans="2:13" ht="17.25" customHeight="1">
      <c r="B19" s="503" t="s">
        <v>2012</v>
      </c>
      <c r="C19" s="504"/>
      <c r="D19" s="42" t="s">
        <v>59</v>
      </c>
      <c r="E19" s="43" t="s">
        <v>60</v>
      </c>
      <c r="F19" s="43" t="s">
        <v>477</v>
      </c>
      <c r="G19" s="43" t="s">
        <v>2013</v>
      </c>
      <c r="H19" s="43" t="s">
        <v>61</v>
      </c>
      <c r="I19" s="43" t="s">
        <v>59</v>
      </c>
      <c r="J19" s="44" t="s">
        <v>61</v>
      </c>
      <c r="K19" s="42" t="s">
        <v>2014</v>
      </c>
      <c r="L19" s="43" t="s">
        <v>565</v>
      </c>
      <c r="M19" s="44" t="s">
        <v>2014</v>
      </c>
    </row>
    <row r="20" spans="2:13" ht="17.25" customHeight="1">
      <c r="B20" s="503" t="s">
        <v>2015</v>
      </c>
      <c r="C20" s="504"/>
      <c r="D20" s="42"/>
      <c r="E20" s="43"/>
      <c r="F20" s="43" t="s">
        <v>2016</v>
      </c>
      <c r="G20" s="43" t="s">
        <v>59</v>
      </c>
      <c r="H20" s="43"/>
      <c r="I20" s="43"/>
      <c r="J20" s="44"/>
      <c r="K20" s="42"/>
      <c r="L20" s="43"/>
      <c r="M20" s="44"/>
    </row>
    <row r="21" spans="2:13" ht="17.25" customHeight="1" thickBot="1">
      <c r="B21" s="505" t="s">
        <v>2017</v>
      </c>
      <c r="C21" s="506"/>
      <c r="D21" s="45"/>
      <c r="E21" s="46" t="s">
        <v>2018</v>
      </c>
      <c r="F21" s="507" t="s">
        <v>2019</v>
      </c>
      <c r="G21" s="508"/>
      <c r="H21" s="46" t="s">
        <v>2020</v>
      </c>
      <c r="I21" s="46" t="s">
        <v>2021</v>
      </c>
      <c r="J21" s="47" t="s">
        <v>2020</v>
      </c>
      <c r="K21" s="48"/>
      <c r="L21" s="46"/>
      <c r="M21" s="4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20:C20"/>
    <mergeCell ref="B21:C21"/>
    <mergeCell ref="F21:G21"/>
    <mergeCell ref="K10:M10"/>
    <mergeCell ref="B11:C12"/>
    <mergeCell ref="B13:B15"/>
    <mergeCell ref="B18:C18"/>
    <mergeCell ref="B19:C19"/>
  </mergeCells>
  <phoneticPr fontId="3" type="noConversion"/>
  <conditionalFormatting sqref="D15:M15">
    <cfRule type="cellIs" dxfId="1861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C78"/>
  <sheetViews>
    <sheetView zoomScale="80" zoomScaleNormal="80" workbookViewId="0">
      <pane ySplit="4" topLeftCell="A32" activePane="bottomLeft" state="frozen"/>
      <selection activeCell="A9" sqref="A9"/>
      <selection pane="bottomLeft" activeCell="J43" sqref="J43"/>
    </sheetView>
  </sheetViews>
  <sheetFormatPr defaultColWidth="8" defaultRowHeight="15.75"/>
  <cols>
    <col min="1" max="1" width="15.125" style="54" customWidth="1"/>
    <col min="2" max="2" width="19.375" style="73" customWidth="1"/>
    <col min="3" max="3" width="15.25" style="73" customWidth="1"/>
    <col min="4" max="4" width="17.5" style="73" customWidth="1"/>
    <col min="5" max="5" width="7.5" style="73" bestFit="1" customWidth="1"/>
    <col min="6" max="6" width="14.375" style="73" bestFit="1" customWidth="1"/>
    <col min="7" max="7" width="14.375" style="54" customWidth="1"/>
    <col min="8" max="8" width="8" style="54" customWidth="1"/>
    <col min="9" max="9" width="5.875" style="54" customWidth="1"/>
    <col min="10" max="10" width="10.625" style="54" customWidth="1"/>
    <col min="11" max="11" width="14.625" style="54" customWidth="1"/>
    <col min="12" max="12" width="7.25" style="54" bestFit="1" customWidth="1"/>
    <col min="13" max="13" width="8" style="54" customWidth="1"/>
    <col min="14" max="14" width="12" style="54" customWidth="1"/>
    <col min="15" max="15" width="6" style="54" customWidth="1"/>
    <col min="16" max="16" width="9.25" style="54" customWidth="1"/>
    <col min="17" max="17" width="11.5" style="54" customWidth="1"/>
    <col min="18" max="18" width="8.5" style="54" customWidth="1"/>
    <col min="19" max="19" width="10.125" style="73" bestFit="1" customWidth="1"/>
    <col min="20" max="20" width="7.625" style="73" bestFit="1" customWidth="1"/>
    <col min="21" max="21" width="10.25" style="54" bestFit="1" customWidth="1"/>
    <col min="22" max="22" width="8.75" style="71" customWidth="1"/>
    <col min="23" max="23" width="7.375" style="54" customWidth="1"/>
    <col min="24" max="24" width="6.875" style="54" bestFit="1" customWidth="1"/>
    <col min="25" max="25" width="12.75" style="54" customWidth="1"/>
    <col min="26" max="26" width="18.875" style="54" customWidth="1"/>
    <col min="27" max="27" width="13.125" style="54" bestFit="1" customWidth="1"/>
    <col min="28" max="28" width="10.375" style="54" customWidth="1"/>
    <col min="29" max="29" width="9.375" style="54" customWidth="1"/>
    <col min="30" max="30" width="8" style="54"/>
    <col min="31" max="31" width="24.625" style="54" bestFit="1" customWidth="1"/>
    <col min="32" max="16384" width="8" style="54"/>
  </cols>
  <sheetData>
    <row r="1" spans="1:29" ht="26.25" customHeight="1">
      <c r="A1" s="52" t="s">
        <v>2022</v>
      </c>
      <c r="B1" s="74"/>
      <c r="C1" s="75" t="s">
        <v>2023</v>
      </c>
      <c r="D1" s="76">
        <v>185601</v>
      </c>
      <c r="E1" s="450" t="s">
        <v>2024</v>
      </c>
      <c r="F1" s="74">
        <v>6280461.04</v>
      </c>
      <c r="G1" s="52" t="s">
        <v>2025</v>
      </c>
      <c r="H1" s="53">
        <f>L8+L11+L56+L64+L19+L70+L37+L46+L29+L77</f>
        <v>159.00317460317459</v>
      </c>
      <c r="I1" s="607" t="s">
        <v>2026</v>
      </c>
      <c r="J1" s="607"/>
      <c r="K1" s="607"/>
      <c r="L1" s="607" t="s">
        <v>2027</v>
      </c>
      <c r="M1" s="607"/>
      <c r="N1" s="607"/>
      <c r="O1" s="607" t="s">
        <v>2028</v>
      </c>
      <c r="P1" s="607"/>
      <c r="Q1" s="607"/>
      <c r="R1" s="607"/>
      <c r="S1" s="607" t="s">
        <v>2029</v>
      </c>
      <c r="T1" s="607"/>
      <c r="U1" s="607"/>
      <c r="V1" s="607"/>
      <c r="W1" s="607"/>
      <c r="X1" s="607"/>
      <c r="Y1" s="607" t="s">
        <v>2030</v>
      </c>
      <c r="Z1" s="607"/>
      <c r="AA1" s="607" t="s">
        <v>110</v>
      </c>
      <c r="AB1" s="608"/>
      <c r="AC1" s="608"/>
    </row>
    <row r="2" spans="1:29" ht="26.25" customHeight="1">
      <c r="A2" s="55">
        <v>46019</v>
      </c>
      <c r="B2" s="56" t="s">
        <v>574</v>
      </c>
      <c r="C2" s="75" t="s">
        <v>2006</v>
      </c>
      <c r="D2" s="77">
        <v>141.60789989456555</v>
      </c>
      <c r="E2" s="78" t="s">
        <v>0</v>
      </c>
      <c r="F2" s="79">
        <v>33.838508628725059</v>
      </c>
      <c r="G2" s="52" t="s">
        <v>2031</v>
      </c>
      <c r="H2" s="443">
        <f>COUNT(H5:H77)</f>
        <v>8</v>
      </c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8"/>
      <c r="AB2" s="608"/>
      <c r="AC2" s="608"/>
    </row>
    <row r="3" spans="1:29" ht="23.25" customHeight="1">
      <c r="A3" s="559" t="s">
        <v>2032</v>
      </c>
      <c r="B3" s="604" t="s">
        <v>2033</v>
      </c>
      <c r="C3" s="604" t="s">
        <v>2034</v>
      </c>
      <c r="D3" s="604"/>
      <c r="E3" s="609" t="s">
        <v>2035</v>
      </c>
      <c r="F3" s="604" t="s">
        <v>2036</v>
      </c>
      <c r="G3" s="605" t="s">
        <v>80</v>
      </c>
      <c r="H3" s="598" t="s">
        <v>2037</v>
      </c>
      <c r="I3" s="596" t="s">
        <v>2038</v>
      </c>
      <c r="J3" s="601" t="s">
        <v>2039</v>
      </c>
      <c r="K3" s="603" t="s">
        <v>2006</v>
      </c>
      <c r="L3" s="596" t="s">
        <v>2038</v>
      </c>
      <c r="M3" s="601" t="s">
        <v>83</v>
      </c>
      <c r="N3" s="603" t="s">
        <v>469</v>
      </c>
      <c r="O3" s="596" t="s">
        <v>2038</v>
      </c>
      <c r="P3" s="603" t="s">
        <v>2006</v>
      </c>
      <c r="Q3" s="602" t="s">
        <v>2040</v>
      </c>
      <c r="R3" s="574" t="s">
        <v>510</v>
      </c>
      <c r="S3" s="604" t="s">
        <v>1</v>
      </c>
      <c r="T3" s="604"/>
      <c r="U3" s="598" t="s">
        <v>2</v>
      </c>
      <c r="V3" s="598" t="s">
        <v>2041</v>
      </c>
      <c r="W3" s="559" t="s">
        <v>2042</v>
      </c>
      <c r="X3" s="559"/>
      <c r="Y3" s="599" t="s">
        <v>2043</v>
      </c>
      <c r="Z3" s="600"/>
      <c r="AA3" s="601" t="s">
        <v>2044</v>
      </c>
      <c r="AB3" s="602" t="s">
        <v>2045</v>
      </c>
      <c r="AC3" s="574" t="s">
        <v>2046</v>
      </c>
    </row>
    <row r="4" spans="1:29">
      <c r="A4" s="559"/>
      <c r="B4" s="604"/>
      <c r="C4" s="604"/>
      <c r="D4" s="604"/>
      <c r="E4" s="610"/>
      <c r="F4" s="604"/>
      <c r="G4" s="606"/>
      <c r="H4" s="598"/>
      <c r="I4" s="596"/>
      <c r="J4" s="601"/>
      <c r="K4" s="603"/>
      <c r="L4" s="596"/>
      <c r="M4" s="601"/>
      <c r="N4" s="603"/>
      <c r="O4" s="596"/>
      <c r="P4" s="603"/>
      <c r="Q4" s="602"/>
      <c r="R4" s="574"/>
      <c r="S4" s="450" t="s">
        <v>3</v>
      </c>
      <c r="T4" s="450" t="s">
        <v>4</v>
      </c>
      <c r="U4" s="598"/>
      <c r="V4" s="598"/>
      <c r="W4" s="445" t="s">
        <v>2047</v>
      </c>
      <c r="X4" s="445" t="s">
        <v>2048</v>
      </c>
      <c r="Y4" s="600"/>
      <c r="Z4" s="600"/>
      <c r="AA4" s="601"/>
      <c r="AB4" s="602"/>
      <c r="AC4" s="574"/>
    </row>
    <row r="5" spans="1:29">
      <c r="A5" s="595" t="s">
        <v>2049</v>
      </c>
      <c r="B5" s="57" t="s">
        <v>6</v>
      </c>
      <c r="C5" s="597" t="s">
        <v>9</v>
      </c>
      <c r="D5" s="597"/>
      <c r="E5" s="57">
        <v>50.67</v>
      </c>
      <c r="F5" s="450">
        <v>1653</v>
      </c>
      <c r="G5" s="445">
        <f t="shared" ref="G5:G7" si="0">E5*F5</f>
        <v>83757.510000000009</v>
      </c>
      <c r="H5" s="457" t="s">
        <v>5</v>
      </c>
      <c r="I5" s="444">
        <v>17</v>
      </c>
      <c r="J5" s="58">
        <v>2000</v>
      </c>
      <c r="K5" s="59">
        <f t="shared" ref="K5:K68" si="1">J5/I5</f>
        <v>117.64705882352941</v>
      </c>
      <c r="L5" s="444">
        <v>17</v>
      </c>
      <c r="M5" s="60">
        <f t="shared" ref="M5:M7" si="2">F5/V5*60</f>
        <v>1907.3076923076933</v>
      </c>
      <c r="N5" s="59">
        <f t="shared" ref="N5:N68" si="3">M5/L5</f>
        <v>112.19457013574666</v>
      </c>
      <c r="O5" s="61">
        <f t="shared" ref="O5:O68" si="4">L5-I5</f>
        <v>0</v>
      </c>
      <c r="P5" s="62">
        <f t="shared" ref="P5:P68" si="5">N5-K5</f>
        <v>-5.452488687782747</v>
      </c>
      <c r="Q5" s="446">
        <f t="shared" ref="Q5:Q68" si="6">N5/K5</f>
        <v>0.95365384615384663</v>
      </c>
      <c r="R5" s="566">
        <f>Q8</f>
        <v>0.95751306240928968</v>
      </c>
      <c r="S5" s="63">
        <v>0.70833333333333337</v>
      </c>
      <c r="T5" s="63">
        <v>0.74444444444444446</v>
      </c>
      <c r="U5" s="445"/>
      <c r="V5" s="449">
        <f t="shared" ref="V5:V7" si="7">(T5-S5)*24*60</f>
        <v>51.999999999999972</v>
      </c>
      <c r="W5" s="64"/>
      <c r="X5" s="65"/>
      <c r="Y5" s="559"/>
      <c r="Z5" s="559"/>
      <c r="AA5" s="61">
        <f t="shared" ref="AA5:AA68" si="8">M5-J5</f>
        <v>-92.692307692306713</v>
      </c>
      <c r="AB5" s="446">
        <f t="shared" ref="AB5:AB68" si="9">M5/J5</f>
        <v>0.95365384615384663</v>
      </c>
      <c r="AC5" s="566">
        <f>AB8</f>
        <v>0.95751306240928957</v>
      </c>
    </row>
    <row r="6" spans="1:29">
      <c r="A6" s="596" t="s">
        <v>2050</v>
      </c>
      <c r="B6" s="57" t="s">
        <v>6</v>
      </c>
      <c r="C6" s="597" t="s">
        <v>22</v>
      </c>
      <c r="D6" s="597"/>
      <c r="E6" s="57">
        <v>54.09</v>
      </c>
      <c r="F6" s="450">
        <v>1703</v>
      </c>
      <c r="G6" s="445">
        <f t="shared" si="0"/>
        <v>92115.27</v>
      </c>
      <c r="H6" s="457" t="s">
        <v>5</v>
      </c>
      <c r="I6" s="444">
        <v>19</v>
      </c>
      <c r="J6" s="58">
        <v>2000</v>
      </c>
      <c r="K6" s="59">
        <f t="shared" si="1"/>
        <v>105.26315789473684</v>
      </c>
      <c r="L6" s="444">
        <v>19</v>
      </c>
      <c r="M6" s="60">
        <f t="shared" si="2"/>
        <v>1927.9245283018877</v>
      </c>
      <c r="N6" s="59">
        <f t="shared" si="3"/>
        <v>101.46971201588883</v>
      </c>
      <c r="O6" s="61">
        <f t="shared" si="4"/>
        <v>0</v>
      </c>
      <c r="P6" s="62">
        <f t="shared" si="5"/>
        <v>-3.7934458788480043</v>
      </c>
      <c r="Q6" s="446">
        <f t="shared" si="6"/>
        <v>0.96396226415094399</v>
      </c>
      <c r="R6" s="566"/>
      <c r="S6" s="63">
        <v>0.74861111111111112</v>
      </c>
      <c r="T6" s="63">
        <v>0.78541666666666665</v>
      </c>
      <c r="U6" s="445">
        <f t="shared" ref="U6:U7" si="10">IF(S6=TIME(17,0,0),"",(S6-T5)*24*60)</f>
        <v>5.9999999999999787</v>
      </c>
      <c r="V6" s="449">
        <f t="shared" si="7"/>
        <v>52.999999999999972</v>
      </c>
      <c r="W6" s="64"/>
      <c r="X6" s="64"/>
      <c r="Y6" s="559"/>
      <c r="Z6" s="559"/>
      <c r="AA6" s="61">
        <f t="shared" si="8"/>
        <v>-72.075471698112324</v>
      </c>
      <c r="AB6" s="446">
        <f t="shared" si="9"/>
        <v>0.96396226415094388</v>
      </c>
      <c r="AC6" s="566"/>
    </row>
    <row r="7" spans="1:29">
      <c r="A7" s="596" t="s">
        <v>2050</v>
      </c>
      <c r="B7" s="57" t="s">
        <v>6</v>
      </c>
      <c r="C7" s="590" t="s">
        <v>1619</v>
      </c>
      <c r="D7" s="591"/>
      <c r="E7" s="57">
        <v>50.29</v>
      </c>
      <c r="F7" s="450">
        <v>2069</v>
      </c>
      <c r="G7" s="445">
        <f t="shared" si="0"/>
        <v>104050.01</v>
      </c>
      <c r="H7" s="457" t="s">
        <v>5</v>
      </c>
      <c r="I7" s="444">
        <v>16</v>
      </c>
      <c r="J7" s="58">
        <v>2000</v>
      </c>
      <c r="K7" s="59">
        <f t="shared" si="1"/>
        <v>125</v>
      </c>
      <c r="L7" s="444">
        <v>16</v>
      </c>
      <c r="M7" s="60">
        <f t="shared" si="2"/>
        <v>1909.8461538461561</v>
      </c>
      <c r="N7" s="59">
        <f t="shared" si="3"/>
        <v>119.36538461538476</v>
      </c>
      <c r="O7" s="61">
        <f t="shared" si="4"/>
        <v>0</v>
      </c>
      <c r="P7" s="62">
        <f t="shared" si="5"/>
        <v>-5.6346153846152447</v>
      </c>
      <c r="Q7" s="446">
        <f t="shared" si="6"/>
        <v>0.9549230769230781</v>
      </c>
      <c r="R7" s="566"/>
      <c r="S7" s="63">
        <v>0.7895833333333333</v>
      </c>
      <c r="T7" s="63">
        <v>0.83472222222222214</v>
      </c>
      <c r="U7" s="445">
        <f t="shared" si="10"/>
        <v>5.9999999999999787</v>
      </c>
      <c r="V7" s="449">
        <f t="shared" si="7"/>
        <v>64.999999999999929</v>
      </c>
      <c r="W7" s="64"/>
      <c r="X7" s="64"/>
      <c r="Y7" s="569"/>
      <c r="Z7" s="570"/>
      <c r="AA7" s="61">
        <f t="shared" si="8"/>
        <v>-90.153846153843915</v>
      </c>
      <c r="AB7" s="446">
        <f t="shared" si="9"/>
        <v>0.9549230769230781</v>
      </c>
      <c r="AC7" s="566"/>
    </row>
    <row r="8" spans="1:29">
      <c r="A8" s="596" t="s">
        <v>2050</v>
      </c>
      <c r="B8" s="57" t="s">
        <v>2051</v>
      </c>
      <c r="C8" s="571"/>
      <c r="D8" s="571"/>
      <c r="E8" s="451"/>
      <c r="F8" s="66"/>
      <c r="G8" s="59"/>
      <c r="H8" s="450"/>
      <c r="I8" s="67">
        <v>17.333333333333332</v>
      </c>
      <c r="J8" s="58">
        <v>2000</v>
      </c>
      <c r="K8" s="59">
        <f t="shared" si="1"/>
        <v>115.38461538461539</v>
      </c>
      <c r="L8" s="67">
        <v>17.333333333333332</v>
      </c>
      <c r="M8" s="60">
        <f>AVERAGE(M5:M7)</f>
        <v>1915.0261248185791</v>
      </c>
      <c r="N8" s="59">
        <f t="shared" si="3"/>
        <v>110.48227643184111</v>
      </c>
      <c r="O8" s="61">
        <f t="shared" si="4"/>
        <v>0</v>
      </c>
      <c r="P8" s="62">
        <f t="shared" si="5"/>
        <v>-4.9023389527742722</v>
      </c>
      <c r="Q8" s="446">
        <f t="shared" si="6"/>
        <v>0.95751306240928968</v>
      </c>
      <c r="R8" s="566"/>
      <c r="S8" s="63"/>
      <c r="T8" s="63"/>
      <c r="U8" s="445"/>
      <c r="V8" s="449"/>
      <c r="W8" s="59"/>
      <c r="X8" s="59"/>
      <c r="Y8" s="559"/>
      <c r="Z8" s="559"/>
      <c r="AA8" s="61">
        <f t="shared" si="8"/>
        <v>-84.973875181420908</v>
      </c>
      <c r="AB8" s="446">
        <f t="shared" si="9"/>
        <v>0.95751306240928957</v>
      </c>
      <c r="AC8" s="566"/>
    </row>
    <row r="9" spans="1:29" ht="15.75" customHeight="1">
      <c r="A9" s="594" t="s">
        <v>2052</v>
      </c>
      <c r="B9" s="57" t="s">
        <v>10</v>
      </c>
      <c r="C9" s="590" t="s">
        <v>14</v>
      </c>
      <c r="D9" s="591"/>
      <c r="E9" s="57">
        <v>39.619999999999997</v>
      </c>
      <c r="F9" s="450">
        <v>3958</v>
      </c>
      <c r="G9" s="445">
        <f t="shared" ref="G9:G10" si="11">E9*F9</f>
        <v>156815.96</v>
      </c>
      <c r="H9" s="457" t="s">
        <v>5</v>
      </c>
      <c r="I9" s="444">
        <v>19</v>
      </c>
      <c r="J9" s="58">
        <v>1500</v>
      </c>
      <c r="K9" s="59">
        <f t="shared" si="1"/>
        <v>78.94736842105263</v>
      </c>
      <c r="L9" s="444">
        <v>19</v>
      </c>
      <c r="M9" s="60">
        <f t="shared" ref="M9:M10" si="12">F9/V9*60</f>
        <v>1430.6024096385543</v>
      </c>
      <c r="N9" s="59">
        <f t="shared" si="3"/>
        <v>75.294863665187066</v>
      </c>
      <c r="O9" s="61">
        <f t="shared" si="4"/>
        <v>0</v>
      </c>
      <c r="P9" s="62">
        <f t="shared" si="5"/>
        <v>-3.6525047558655643</v>
      </c>
      <c r="Q9" s="446">
        <f t="shared" si="6"/>
        <v>0.95373493975903623</v>
      </c>
      <c r="R9" s="566">
        <f>Q11</f>
        <v>0.95259780695816987</v>
      </c>
      <c r="S9" s="63">
        <v>0.16666666666666666</v>
      </c>
      <c r="T9" s="63">
        <v>0.28194444444444444</v>
      </c>
      <c r="U9" s="445"/>
      <c r="V9" s="449">
        <f t="shared" ref="V9:V10" si="13">(T9-S9)*24*60</f>
        <v>166</v>
      </c>
      <c r="W9" s="64">
        <f>T9</f>
        <v>0.28194444444444444</v>
      </c>
      <c r="X9" s="64">
        <f>S10</f>
        <v>0.30277777777777776</v>
      </c>
      <c r="Y9" s="559"/>
      <c r="Z9" s="559"/>
      <c r="AA9" s="61">
        <f t="shared" si="8"/>
        <v>-69.397590361445737</v>
      </c>
      <c r="AB9" s="446">
        <f t="shared" si="9"/>
        <v>0.95373493975903623</v>
      </c>
      <c r="AC9" s="566">
        <f>AB11</f>
        <v>0.95259780695816976</v>
      </c>
    </row>
    <row r="10" spans="1:29" ht="15.75" customHeight="1">
      <c r="A10" s="594" t="s">
        <v>2052</v>
      </c>
      <c r="B10" s="57" t="s">
        <v>10</v>
      </c>
      <c r="C10" s="590" t="s">
        <v>11</v>
      </c>
      <c r="D10" s="591"/>
      <c r="E10" s="57">
        <v>39.799999999999997</v>
      </c>
      <c r="F10" s="450">
        <v>6351</v>
      </c>
      <c r="G10" s="445">
        <f t="shared" si="11"/>
        <v>252769.8</v>
      </c>
      <c r="H10" s="457" t="s">
        <v>5</v>
      </c>
      <c r="I10" s="444">
        <v>17</v>
      </c>
      <c r="J10" s="58">
        <v>1500</v>
      </c>
      <c r="K10" s="59">
        <f t="shared" si="1"/>
        <v>88.235294117647058</v>
      </c>
      <c r="L10" s="444">
        <v>17</v>
      </c>
      <c r="M10" s="60">
        <f t="shared" si="12"/>
        <v>1427.1910112359551</v>
      </c>
      <c r="N10" s="59">
        <f t="shared" si="3"/>
        <v>83.952412425644411</v>
      </c>
      <c r="O10" s="61">
        <f t="shared" si="4"/>
        <v>0</v>
      </c>
      <c r="P10" s="62">
        <f t="shared" si="5"/>
        <v>-4.2828816920026469</v>
      </c>
      <c r="Q10" s="446">
        <f t="shared" si="6"/>
        <v>0.95146067415730329</v>
      </c>
      <c r="R10" s="566"/>
      <c r="S10" s="63">
        <v>0.30277777777777776</v>
      </c>
      <c r="T10" s="63">
        <v>0.48819444444444443</v>
      </c>
      <c r="U10" s="445">
        <f t="shared" ref="U10" si="14">IF(S10=TIME(17,0,0),"",(S10-T9)*24*60)</f>
        <v>29.999999999999972</v>
      </c>
      <c r="V10" s="449">
        <f t="shared" si="13"/>
        <v>267</v>
      </c>
      <c r="W10" s="64"/>
      <c r="X10" s="64"/>
      <c r="Y10" s="559"/>
      <c r="Z10" s="559"/>
      <c r="AA10" s="61">
        <f t="shared" si="8"/>
        <v>-72.808988764044898</v>
      </c>
      <c r="AB10" s="446">
        <f t="shared" si="9"/>
        <v>0.9514606741573034</v>
      </c>
      <c r="AC10" s="566"/>
    </row>
    <row r="11" spans="1:29" ht="16.5" customHeight="1">
      <c r="A11" s="594" t="s">
        <v>2052</v>
      </c>
      <c r="B11" s="57" t="s">
        <v>2051</v>
      </c>
      <c r="C11" s="571"/>
      <c r="D11" s="571"/>
      <c r="E11" s="451"/>
      <c r="F11" s="58"/>
      <c r="G11" s="60"/>
      <c r="H11" s="450"/>
      <c r="I11" s="67">
        <v>18</v>
      </c>
      <c r="J11" s="58">
        <v>1500</v>
      </c>
      <c r="K11" s="59">
        <f t="shared" si="1"/>
        <v>83.333333333333329</v>
      </c>
      <c r="L11" s="67">
        <v>18</v>
      </c>
      <c r="M11" s="60">
        <f>AVERAGE(M9:M10)</f>
        <v>1428.8967104372546</v>
      </c>
      <c r="N11" s="59">
        <f t="shared" si="3"/>
        <v>79.383150579847481</v>
      </c>
      <c r="O11" s="61">
        <f t="shared" si="4"/>
        <v>0</v>
      </c>
      <c r="P11" s="62">
        <f t="shared" si="5"/>
        <v>-3.9501827534858478</v>
      </c>
      <c r="Q11" s="446">
        <f t="shared" si="6"/>
        <v>0.95259780695816987</v>
      </c>
      <c r="R11" s="566"/>
      <c r="S11" s="63"/>
      <c r="T11" s="63"/>
      <c r="U11" s="59"/>
      <c r="V11" s="449"/>
      <c r="W11" s="59"/>
      <c r="X11" s="59"/>
      <c r="Y11" s="559"/>
      <c r="Z11" s="559"/>
      <c r="AA11" s="61">
        <f t="shared" si="8"/>
        <v>-71.103289562745431</v>
      </c>
      <c r="AB11" s="446">
        <f t="shared" si="9"/>
        <v>0.95259780695816976</v>
      </c>
      <c r="AC11" s="566"/>
    </row>
    <row r="12" spans="1:29" ht="16.5" customHeight="1">
      <c r="A12" s="592" t="s">
        <v>2053</v>
      </c>
      <c r="B12" s="450" t="s">
        <v>12</v>
      </c>
      <c r="C12" s="584" t="s">
        <v>13</v>
      </c>
      <c r="D12" s="584"/>
      <c r="E12" s="57">
        <v>41</v>
      </c>
      <c r="F12" s="450">
        <v>2326</v>
      </c>
      <c r="G12" s="445">
        <f t="shared" ref="G12:G18" si="15">E12*F12</f>
        <v>95366</v>
      </c>
      <c r="H12" s="457" t="s">
        <v>5</v>
      </c>
      <c r="I12" s="444">
        <v>26</v>
      </c>
      <c r="J12" s="58">
        <v>1500</v>
      </c>
      <c r="K12" s="59">
        <f t="shared" si="1"/>
        <v>57.692307692307693</v>
      </c>
      <c r="L12" s="444">
        <v>26</v>
      </c>
      <c r="M12" s="60">
        <f t="shared" ref="M12:M18" si="16">F12/V12*60</f>
        <v>1438.7628865979379</v>
      </c>
      <c r="N12" s="59">
        <f t="shared" si="3"/>
        <v>55.337034099920693</v>
      </c>
      <c r="O12" s="61">
        <f t="shared" si="4"/>
        <v>0</v>
      </c>
      <c r="P12" s="62">
        <f t="shared" si="5"/>
        <v>-2.3552735923870003</v>
      </c>
      <c r="Q12" s="446">
        <f t="shared" si="6"/>
        <v>0.95917525773195866</v>
      </c>
      <c r="R12" s="566">
        <f>Q19</f>
        <v>0.96066240721982066</v>
      </c>
      <c r="S12" s="63">
        <v>0.20833333333333334</v>
      </c>
      <c r="T12" s="63">
        <v>0.27569444444444446</v>
      </c>
      <c r="U12" s="445"/>
      <c r="V12" s="449">
        <f t="shared" ref="V12:V18" si="17">(T12-S12)*24*60</f>
        <v>97.000000000000014</v>
      </c>
      <c r="W12" s="68"/>
      <c r="X12" s="68"/>
      <c r="Y12" s="559"/>
      <c r="Z12" s="559"/>
      <c r="AA12" s="61">
        <f t="shared" si="8"/>
        <v>-61.23711340206205</v>
      </c>
      <c r="AB12" s="446">
        <f t="shared" si="9"/>
        <v>0.95917525773195866</v>
      </c>
      <c r="AC12" s="566">
        <f>AB19</f>
        <v>0.96066240721982066</v>
      </c>
    </row>
    <row r="13" spans="1:29" ht="16.5" customHeight="1">
      <c r="A13" s="593" t="s">
        <v>2053</v>
      </c>
      <c r="B13" s="450" t="s">
        <v>657</v>
      </c>
      <c r="C13" s="584" t="s">
        <v>236</v>
      </c>
      <c r="D13" s="584"/>
      <c r="E13" s="57">
        <v>72.400000000000006</v>
      </c>
      <c r="F13" s="450">
        <v>1268</v>
      </c>
      <c r="G13" s="445">
        <f t="shared" si="15"/>
        <v>91803.200000000012</v>
      </c>
      <c r="H13" s="457" t="s">
        <v>5</v>
      </c>
      <c r="I13" s="444">
        <v>18</v>
      </c>
      <c r="J13" s="58">
        <v>1500</v>
      </c>
      <c r="K13" s="59">
        <f t="shared" si="1"/>
        <v>83.333333333333329</v>
      </c>
      <c r="L13" s="444">
        <v>18</v>
      </c>
      <c r="M13" s="60">
        <f t="shared" si="16"/>
        <v>1435.4716981132083</v>
      </c>
      <c r="N13" s="59">
        <f t="shared" si="3"/>
        <v>79.748427672956012</v>
      </c>
      <c r="O13" s="61">
        <f t="shared" si="4"/>
        <v>0</v>
      </c>
      <c r="P13" s="62">
        <f t="shared" si="5"/>
        <v>-3.5849056603773164</v>
      </c>
      <c r="Q13" s="446">
        <f t="shared" si="6"/>
        <v>0.9569811320754722</v>
      </c>
      <c r="R13" s="566"/>
      <c r="S13" s="63">
        <v>0.27916666666666667</v>
      </c>
      <c r="T13" s="63">
        <v>0.31597222222222221</v>
      </c>
      <c r="U13" s="445">
        <f t="shared" ref="U13:U18" si="18">IF(S13=TIME(17,0,0),"",(S13-T12)*24*60)</f>
        <v>4.9999999999999822</v>
      </c>
      <c r="V13" s="449">
        <f t="shared" si="17"/>
        <v>52.999999999999972</v>
      </c>
      <c r="W13" s="64"/>
      <c r="X13" s="64"/>
      <c r="Y13" s="559"/>
      <c r="Z13" s="559"/>
      <c r="AA13" s="61">
        <f t="shared" si="8"/>
        <v>-64.528301886791724</v>
      </c>
      <c r="AB13" s="446">
        <f t="shared" si="9"/>
        <v>0.9569811320754722</v>
      </c>
      <c r="AC13" s="566"/>
    </row>
    <row r="14" spans="1:29" ht="16.5" customHeight="1">
      <c r="A14" s="593" t="s">
        <v>2053</v>
      </c>
      <c r="B14" s="450" t="s">
        <v>65</v>
      </c>
      <c r="C14" s="584" t="s">
        <v>1765</v>
      </c>
      <c r="D14" s="584"/>
      <c r="E14" s="57">
        <v>50.67</v>
      </c>
      <c r="F14" s="450">
        <v>2454</v>
      </c>
      <c r="G14" s="445">
        <f t="shared" si="15"/>
        <v>124344.18000000001</v>
      </c>
      <c r="H14" s="457" t="s">
        <v>5</v>
      </c>
      <c r="I14" s="444">
        <v>16</v>
      </c>
      <c r="J14" s="58">
        <v>1500</v>
      </c>
      <c r="K14" s="59">
        <f t="shared" si="1"/>
        <v>93.75</v>
      </c>
      <c r="L14" s="444">
        <v>16</v>
      </c>
      <c r="M14" s="60">
        <f t="shared" si="16"/>
        <v>1429.5145631067969</v>
      </c>
      <c r="N14" s="59">
        <f t="shared" si="3"/>
        <v>89.344660194174807</v>
      </c>
      <c r="O14" s="61">
        <f t="shared" si="4"/>
        <v>0</v>
      </c>
      <c r="P14" s="62">
        <f t="shared" si="5"/>
        <v>-4.4053398058251929</v>
      </c>
      <c r="Q14" s="446">
        <f t="shared" si="6"/>
        <v>0.95300970873786461</v>
      </c>
      <c r="R14" s="566"/>
      <c r="S14" s="63">
        <v>0.31944444444444442</v>
      </c>
      <c r="T14" s="63">
        <v>0.39097222222222217</v>
      </c>
      <c r="U14" s="445">
        <f t="shared" si="18"/>
        <v>4.9999999999999822</v>
      </c>
      <c r="V14" s="449">
        <f t="shared" si="17"/>
        <v>102.99999999999996</v>
      </c>
      <c r="W14" s="64"/>
      <c r="X14" s="64"/>
      <c r="Y14" s="559"/>
      <c r="Z14" s="559"/>
      <c r="AA14" s="61">
        <f t="shared" si="8"/>
        <v>-70.485436893203087</v>
      </c>
      <c r="AB14" s="446">
        <f t="shared" si="9"/>
        <v>0.95300970873786461</v>
      </c>
      <c r="AC14" s="566"/>
    </row>
    <row r="15" spans="1:29" ht="16.5" customHeight="1">
      <c r="A15" s="593" t="s">
        <v>2053</v>
      </c>
      <c r="B15" s="450" t="s">
        <v>6</v>
      </c>
      <c r="C15" s="584" t="s">
        <v>95</v>
      </c>
      <c r="D15" s="584"/>
      <c r="E15" s="57">
        <v>50.98</v>
      </c>
      <c r="F15" s="450">
        <v>2750</v>
      </c>
      <c r="G15" s="445">
        <f t="shared" si="15"/>
        <v>140195</v>
      </c>
      <c r="H15" s="457" t="s">
        <v>5</v>
      </c>
      <c r="I15" s="444">
        <v>16</v>
      </c>
      <c r="J15" s="58">
        <v>2000</v>
      </c>
      <c r="K15" s="59">
        <f t="shared" si="1"/>
        <v>125</v>
      </c>
      <c r="L15" s="444">
        <v>16</v>
      </c>
      <c r="M15" s="60">
        <f t="shared" si="16"/>
        <v>1918.6046511627903</v>
      </c>
      <c r="N15" s="59">
        <f t="shared" si="3"/>
        <v>119.9127906976744</v>
      </c>
      <c r="O15" s="61">
        <f t="shared" si="4"/>
        <v>0</v>
      </c>
      <c r="P15" s="62">
        <f t="shared" si="5"/>
        <v>-5.0872093023256042</v>
      </c>
      <c r="Q15" s="446">
        <f t="shared" si="6"/>
        <v>0.95930232558139517</v>
      </c>
      <c r="R15" s="566"/>
      <c r="S15" s="63">
        <v>0.70833333333333337</v>
      </c>
      <c r="T15" s="63">
        <v>0.7680555555555556</v>
      </c>
      <c r="U15" s="445" t="str">
        <f t="shared" si="18"/>
        <v/>
      </c>
      <c r="V15" s="449">
        <f t="shared" si="17"/>
        <v>86.000000000000014</v>
      </c>
      <c r="W15" s="64"/>
      <c r="X15" s="64"/>
      <c r="Y15" s="559"/>
      <c r="Z15" s="559"/>
      <c r="AA15" s="61">
        <f t="shared" si="8"/>
        <v>-81.395348837209667</v>
      </c>
      <c r="AB15" s="446">
        <f t="shared" si="9"/>
        <v>0.95930232558139517</v>
      </c>
      <c r="AC15" s="566"/>
    </row>
    <row r="16" spans="1:29" ht="16.5" customHeight="1">
      <c r="A16" s="593" t="s">
        <v>2053</v>
      </c>
      <c r="B16" s="450" t="s">
        <v>6</v>
      </c>
      <c r="C16" s="584" t="s">
        <v>18</v>
      </c>
      <c r="D16" s="584"/>
      <c r="E16" s="57">
        <v>50.92</v>
      </c>
      <c r="F16" s="450">
        <v>1000</v>
      </c>
      <c r="G16" s="445">
        <f t="shared" si="15"/>
        <v>50920</v>
      </c>
      <c r="H16" s="457">
        <v>2</v>
      </c>
      <c r="I16" s="444">
        <v>15</v>
      </c>
      <c r="J16" s="58">
        <v>2000</v>
      </c>
      <c r="K16" s="59">
        <f t="shared" si="1"/>
        <v>133.33333333333334</v>
      </c>
      <c r="L16" s="444">
        <v>15</v>
      </c>
      <c r="M16" s="60">
        <f t="shared" si="16"/>
        <v>1935.483870967739</v>
      </c>
      <c r="N16" s="59">
        <f t="shared" si="3"/>
        <v>129.03225806451593</v>
      </c>
      <c r="O16" s="61">
        <f t="shared" si="4"/>
        <v>0</v>
      </c>
      <c r="P16" s="62">
        <f t="shared" si="5"/>
        <v>-4.3010752688174136</v>
      </c>
      <c r="Q16" s="446">
        <f t="shared" si="6"/>
        <v>0.96774193548386944</v>
      </c>
      <c r="R16" s="566"/>
      <c r="S16" s="63">
        <v>0.77222222222222225</v>
      </c>
      <c r="T16" s="63">
        <v>0.79375000000000007</v>
      </c>
      <c r="U16" s="445">
        <f t="shared" si="18"/>
        <v>5.9999999999999787</v>
      </c>
      <c r="V16" s="449">
        <f t="shared" si="17"/>
        <v>31.00000000000005</v>
      </c>
      <c r="W16" s="64"/>
      <c r="X16" s="64"/>
      <c r="Y16" s="559"/>
      <c r="Z16" s="559"/>
      <c r="AA16" s="61">
        <f t="shared" si="8"/>
        <v>-64.516129032261006</v>
      </c>
      <c r="AB16" s="446">
        <f t="shared" si="9"/>
        <v>0.96774193548386944</v>
      </c>
      <c r="AC16" s="566"/>
    </row>
    <row r="17" spans="1:29" ht="16.5" customHeight="1">
      <c r="A17" s="593" t="s">
        <v>2053</v>
      </c>
      <c r="B17" s="450" t="s">
        <v>6</v>
      </c>
      <c r="C17" s="585" t="s">
        <v>68</v>
      </c>
      <c r="D17" s="586"/>
      <c r="E17" s="57">
        <v>50.67</v>
      </c>
      <c r="F17" s="450">
        <v>1865</v>
      </c>
      <c r="G17" s="445">
        <f t="shared" si="15"/>
        <v>94499.55</v>
      </c>
      <c r="H17" s="457" t="s">
        <v>5</v>
      </c>
      <c r="I17" s="444">
        <v>15</v>
      </c>
      <c r="J17" s="58">
        <v>2000</v>
      </c>
      <c r="K17" s="59">
        <f t="shared" si="1"/>
        <v>133.33333333333334</v>
      </c>
      <c r="L17" s="444">
        <v>15</v>
      </c>
      <c r="M17" s="60">
        <f t="shared" si="16"/>
        <v>1929.3103448275874</v>
      </c>
      <c r="N17" s="59">
        <f t="shared" si="3"/>
        <v>128.6206896551725</v>
      </c>
      <c r="O17" s="61">
        <f t="shared" si="4"/>
        <v>0</v>
      </c>
      <c r="P17" s="62">
        <f t="shared" si="5"/>
        <v>-4.7126436781608447</v>
      </c>
      <c r="Q17" s="446">
        <f t="shared" si="6"/>
        <v>0.96465517241379362</v>
      </c>
      <c r="R17" s="566"/>
      <c r="S17" s="63">
        <v>0.79861111111111116</v>
      </c>
      <c r="T17" s="63">
        <v>0.83888888888888891</v>
      </c>
      <c r="U17" s="445">
        <f t="shared" si="18"/>
        <v>6.9999999999999751</v>
      </c>
      <c r="V17" s="449">
        <f t="shared" si="17"/>
        <v>57.999999999999957</v>
      </c>
      <c r="W17" s="64">
        <f>T17</f>
        <v>0.83888888888888891</v>
      </c>
      <c r="X17" s="64">
        <f>S18</f>
        <v>0.87986111111111109</v>
      </c>
      <c r="Y17" s="569"/>
      <c r="Z17" s="570"/>
      <c r="AA17" s="61">
        <f t="shared" si="8"/>
        <v>-70.689655172412586</v>
      </c>
      <c r="AB17" s="446">
        <f t="shared" si="9"/>
        <v>0.96465517241379373</v>
      </c>
      <c r="AC17" s="566"/>
    </row>
    <row r="18" spans="1:29" ht="16.5" customHeight="1">
      <c r="A18" s="593" t="s">
        <v>2053</v>
      </c>
      <c r="B18" s="450" t="s">
        <v>6</v>
      </c>
      <c r="C18" s="452" t="s">
        <v>18</v>
      </c>
      <c r="D18" s="453"/>
      <c r="E18" s="57">
        <v>50.92</v>
      </c>
      <c r="F18" s="450">
        <v>1697</v>
      </c>
      <c r="G18" s="445">
        <f t="shared" si="15"/>
        <v>86411.24</v>
      </c>
      <c r="H18" s="457" t="s">
        <v>5</v>
      </c>
      <c r="I18" s="444">
        <v>15</v>
      </c>
      <c r="J18" s="58">
        <v>2000</v>
      </c>
      <c r="K18" s="59">
        <f t="shared" si="1"/>
        <v>133.33333333333334</v>
      </c>
      <c r="L18" s="444">
        <v>15</v>
      </c>
      <c r="M18" s="60">
        <f t="shared" si="16"/>
        <v>1921.1320754716994</v>
      </c>
      <c r="N18" s="59">
        <f t="shared" si="3"/>
        <v>128.07547169811329</v>
      </c>
      <c r="O18" s="61">
        <f t="shared" si="4"/>
        <v>0</v>
      </c>
      <c r="P18" s="62">
        <f t="shared" si="5"/>
        <v>-5.2578616352200527</v>
      </c>
      <c r="Q18" s="446">
        <f t="shared" si="6"/>
        <v>0.96056603773584959</v>
      </c>
      <c r="R18" s="566"/>
      <c r="S18" s="63">
        <v>0.87986111111111109</v>
      </c>
      <c r="T18" s="63">
        <v>0.91666666666666663</v>
      </c>
      <c r="U18" s="445">
        <f t="shared" si="18"/>
        <v>58.99999999999995</v>
      </c>
      <c r="V18" s="449">
        <f t="shared" si="17"/>
        <v>52.999999999999972</v>
      </c>
      <c r="W18" s="64"/>
      <c r="X18" s="64"/>
      <c r="Y18" s="569"/>
      <c r="Z18" s="570"/>
      <c r="AA18" s="61">
        <f t="shared" si="8"/>
        <v>-78.867924528300591</v>
      </c>
      <c r="AB18" s="446">
        <f t="shared" si="9"/>
        <v>0.9605660377358497</v>
      </c>
      <c r="AC18" s="566"/>
    </row>
    <row r="19" spans="1:29" ht="16.5" customHeight="1">
      <c r="A19" s="593" t="s">
        <v>2053</v>
      </c>
      <c r="B19" s="57" t="s">
        <v>2051</v>
      </c>
      <c r="C19" s="571"/>
      <c r="D19" s="571"/>
      <c r="E19" s="451"/>
      <c r="F19" s="66"/>
      <c r="G19" s="59"/>
      <c r="H19" s="450"/>
      <c r="I19" s="67">
        <v>17.285714285714285</v>
      </c>
      <c r="J19" s="58">
        <v>1785.7142857142858</v>
      </c>
      <c r="K19" s="59">
        <f t="shared" si="1"/>
        <v>103.30578512396696</v>
      </c>
      <c r="L19" s="67">
        <v>17.285714285714285</v>
      </c>
      <c r="M19" s="60">
        <f>AVERAGE(M12:M18)</f>
        <v>1715.4685843211084</v>
      </c>
      <c r="N19" s="59">
        <f t="shared" si="3"/>
        <v>99.24198421692364</v>
      </c>
      <c r="O19" s="61">
        <f t="shared" si="4"/>
        <v>0</v>
      </c>
      <c r="P19" s="62">
        <f t="shared" si="5"/>
        <v>-4.0638009070433156</v>
      </c>
      <c r="Q19" s="446">
        <f t="shared" si="6"/>
        <v>0.96066240721982066</v>
      </c>
      <c r="R19" s="566"/>
      <c r="S19" s="63"/>
      <c r="T19" s="63"/>
      <c r="U19" s="445"/>
      <c r="V19" s="449"/>
      <c r="W19" s="59"/>
      <c r="X19" s="59"/>
      <c r="Y19" s="559"/>
      <c r="Z19" s="559"/>
      <c r="AA19" s="61">
        <f t="shared" si="8"/>
        <v>-70.245701393177342</v>
      </c>
      <c r="AB19" s="446">
        <f t="shared" si="9"/>
        <v>0.96066240721982066</v>
      </c>
      <c r="AC19" s="566"/>
    </row>
    <row r="20" spans="1:29" ht="15.75" customHeight="1">
      <c r="A20" s="588" t="s">
        <v>2054</v>
      </c>
      <c r="B20" s="57" t="s">
        <v>12</v>
      </c>
      <c r="C20" s="584" t="s">
        <v>19</v>
      </c>
      <c r="D20" s="584"/>
      <c r="E20" s="57">
        <v>43.14</v>
      </c>
      <c r="F20" s="450">
        <v>1041</v>
      </c>
      <c r="G20" s="445">
        <f t="shared" ref="G20:G28" si="19">E20*F20</f>
        <v>44908.74</v>
      </c>
      <c r="H20" s="457" t="s">
        <v>5</v>
      </c>
      <c r="I20" s="444">
        <v>17</v>
      </c>
      <c r="J20" s="58">
        <v>2000</v>
      </c>
      <c r="K20" s="59">
        <f t="shared" si="1"/>
        <v>117.64705882352941</v>
      </c>
      <c r="L20" s="444">
        <v>17</v>
      </c>
      <c r="M20" s="60">
        <f t="shared" ref="M20:M28" si="20">F20/V20*60</f>
        <v>1951.8749999999995</v>
      </c>
      <c r="N20" s="59">
        <f t="shared" si="3"/>
        <v>114.8161764705882</v>
      </c>
      <c r="O20" s="61">
        <f t="shared" si="4"/>
        <v>0</v>
      </c>
      <c r="P20" s="62">
        <f t="shared" si="5"/>
        <v>-2.8308823529412024</v>
      </c>
      <c r="Q20" s="446">
        <f t="shared" si="6"/>
        <v>0.97593749999999979</v>
      </c>
      <c r="R20" s="566">
        <f>Q29</f>
        <v>0.95947969338993477</v>
      </c>
      <c r="S20" s="63">
        <v>0.20833333333333334</v>
      </c>
      <c r="T20" s="63">
        <v>0.23055555555555557</v>
      </c>
      <c r="U20" s="445"/>
      <c r="V20" s="449">
        <f t="shared" ref="V20:V28" si="21">(T20-S20)*24*60</f>
        <v>32.000000000000007</v>
      </c>
      <c r="W20" s="68"/>
      <c r="X20" s="68"/>
      <c r="Y20" s="559"/>
      <c r="Z20" s="559"/>
      <c r="AA20" s="61">
        <f t="shared" si="8"/>
        <v>-48.125000000000455</v>
      </c>
      <c r="AB20" s="446">
        <f t="shared" si="9"/>
        <v>0.97593749999999979</v>
      </c>
      <c r="AC20" s="566">
        <f>AB29</f>
        <v>0.95947969338993477</v>
      </c>
    </row>
    <row r="21" spans="1:29" ht="15.75" customHeight="1">
      <c r="A21" s="589" t="s">
        <v>86</v>
      </c>
      <c r="B21" s="57" t="s">
        <v>65</v>
      </c>
      <c r="C21" s="584" t="s">
        <v>97</v>
      </c>
      <c r="D21" s="584"/>
      <c r="E21" s="57">
        <v>49.9</v>
      </c>
      <c r="F21" s="450">
        <v>1289</v>
      </c>
      <c r="G21" s="445">
        <f t="shared" si="19"/>
        <v>64321.1</v>
      </c>
      <c r="H21" s="457" t="s">
        <v>5</v>
      </c>
      <c r="I21" s="444">
        <v>17</v>
      </c>
      <c r="J21" s="58">
        <v>2000</v>
      </c>
      <c r="K21" s="59">
        <f t="shared" si="1"/>
        <v>117.64705882352941</v>
      </c>
      <c r="L21" s="444">
        <v>17</v>
      </c>
      <c r="M21" s="60">
        <f t="shared" si="20"/>
        <v>1933.4999999999993</v>
      </c>
      <c r="N21" s="59">
        <f t="shared" si="3"/>
        <v>113.73529411764702</v>
      </c>
      <c r="O21" s="61">
        <f t="shared" si="4"/>
        <v>0</v>
      </c>
      <c r="P21" s="62">
        <f t="shared" si="5"/>
        <v>-3.9117647058823906</v>
      </c>
      <c r="Q21" s="446">
        <f t="shared" si="6"/>
        <v>0.96674999999999967</v>
      </c>
      <c r="R21" s="566"/>
      <c r="S21" s="63">
        <v>0.23402777777777778</v>
      </c>
      <c r="T21" s="63">
        <v>0.26180555555555557</v>
      </c>
      <c r="U21" s="445">
        <f t="shared" ref="U21:U28" si="22">IF(S21=TIME(17,0,0),"",(S21-T20)*24*60)</f>
        <v>4.9999999999999822</v>
      </c>
      <c r="V21" s="449">
        <f t="shared" si="21"/>
        <v>40.000000000000014</v>
      </c>
      <c r="W21" s="64"/>
      <c r="X21" s="445"/>
      <c r="Y21" s="559"/>
      <c r="Z21" s="559"/>
      <c r="AA21" s="61">
        <f t="shared" si="8"/>
        <v>-66.500000000000682</v>
      </c>
      <c r="AB21" s="446">
        <f t="shared" si="9"/>
        <v>0.96674999999999967</v>
      </c>
      <c r="AC21" s="566"/>
    </row>
    <row r="22" spans="1:29" ht="15.75" customHeight="1">
      <c r="A22" s="589" t="s">
        <v>2054</v>
      </c>
      <c r="B22" s="57" t="s">
        <v>6</v>
      </c>
      <c r="C22" s="584" t="s">
        <v>20</v>
      </c>
      <c r="D22" s="584"/>
      <c r="E22" s="57">
        <v>57.73</v>
      </c>
      <c r="F22" s="450">
        <v>2956</v>
      </c>
      <c r="G22" s="445">
        <f t="shared" si="19"/>
        <v>170649.88</v>
      </c>
      <c r="H22" s="457" t="s">
        <v>5</v>
      </c>
      <c r="I22" s="444">
        <v>14</v>
      </c>
      <c r="J22" s="58">
        <v>2000</v>
      </c>
      <c r="K22" s="59">
        <f t="shared" si="1"/>
        <v>142.85714285714286</v>
      </c>
      <c r="L22" s="444">
        <v>14</v>
      </c>
      <c r="M22" s="60">
        <f t="shared" si="20"/>
        <v>1907.0967741935485</v>
      </c>
      <c r="N22" s="59">
        <f t="shared" si="3"/>
        <v>136.22119815668205</v>
      </c>
      <c r="O22" s="61">
        <f t="shared" si="4"/>
        <v>0</v>
      </c>
      <c r="P22" s="62">
        <f t="shared" si="5"/>
        <v>-6.6359447004608114</v>
      </c>
      <c r="Q22" s="446">
        <f t="shared" si="6"/>
        <v>0.95354838709677436</v>
      </c>
      <c r="R22" s="566"/>
      <c r="S22" s="63">
        <v>0.26527777777777778</v>
      </c>
      <c r="T22" s="63">
        <v>0.3298611111111111</v>
      </c>
      <c r="U22" s="445">
        <f t="shared" si="22"/>
        <v>4.9999999999999822</v>
      </c>
      <c r="V22" s="449">
        <f t="shared" si="21"/>
        <v>92.999999999999986</v>
      </c>
      <c r="W22" s="64"/>
      <c r="X22" s="445"/>
      <c r="Y22" s="559"/>
      <c r="Z22" s="559"/>
      <c r="AA22" s="61">
        <f t="shared" si="8"/>
        <v>-92.903225806451474</v>
      </c>
      <c r="AB22" s="446">
        <f t="shared" si="9"/>
        <v>0.95354838709677425</v>
      </c>
      <c r="AC22" s="566"/>
    </row>
    <row r="23" spans="1:29" ht="15.75" customHeight="1">
      <c r="A23" s="589" t="s">
        <v>86</v>
      </c>
      <c r="B23" s="57" t="s">
        <v>6</v>
      </c>
      <c r="C23" s="584" t="s">
        <v>21</v>
      </c>
      <c r="D23" s="584"/>
      <c r="E23" s="57">
        <v>53.68</v>
      </c>
      <c r="F23" s="450">
        <v>1777</v>
      </c>
      <c r="G23" s="445">
        <f t="shared" si="19"/>
        <v>95389.36</v>
      </c>
      <c r="H23" s="457" t="s">
        <v>5</v>
      </c>
      <c r="I23" s="444">
        <v>16</v>
      </c>
      <c r="J23" s="58">
        <v>2000</v>
      </c>
      <c r="K23" s="59">
        <f t="shared" si="1"/>
        <v>125</v>
      </c>
      <c r="L23" s="444">
        <v>16</v>
      </c>
      <c r="M23" s="60">
        <f t="shared" si="20"/>
        <v>1903.92857142857</v>
      </c>
      <c r="N23" s="59">
        <f t="shared" si="3"/>
        <v>118.99553571428562</v>
      </c>
      <c r="O23" s="61">
        <f t="shared" si="4"/>
        <v>0</v>
      </c>
      <c r="P23" s="62">
        <f t="shared" si="5"/>
        <v>-6.0044642857143771</v>
      </c>
      <c r="Q23" s="446">
        <f t="shared" si="6"/>
        <v>0.95196428571428493</v>
      </c>
      <c r="R23" s="566"/>
      <c r="S23" s="63">
        <v>0.33541666666666664</v>
      </c>
      <c r="T23" s="63">
        <v>0.37430555555555556</v>
      </c>
      <c r="U23" s="445">
        <f t="shared" si="22"/>
        <v>7.9999999999999716</v>
      </c>
      <c r="V23" s="449">
        <f t="shared" si="21"/>
        <v>56.000000000000043</v>
      </c>
      <c r="W23" s="64"/>
      <c r="X23" s="445"/>
      <c r="Y23" s="559"/>
      <c r="Z23" s="559"/>
      <c r="AA23" s="61">
        <f t="shared" si="8"/>
        <v>-96.071428571430033</v>
      </c>
      <c r="AB23" s="446">
        <f t="shared" si="9"/>
        <v>0.95196428571428493</v>
      </c>
      <c r="AC23" s="566"/>
    </row>
    <row r="24" spans="1:29" ht="15.75" customHeight="1">
      <c r="A24" s="589" t="s">
        <v>86</v>
      </c>
      <c r="B24" s="57" t="s">
        <v>6</v>
      </c>
      <c r="C24" s="584" t="s">
        <v>96</v>
      </c>
      <c r="D24" s="584"/>
      <c r="E24" s="57">
        <v>49.91</v>
      </c>
      <c r="F24" s="450">
        <v>1078</v>
      </c>
      <c r="G24" s="445">
        <f t="shared" si="19"/>
        <v>53802.979999999996</v>
      </c>
      <c r="H24" s="457" t="s">
        <v>5</v>
      </c>
      <c r="I24" s="444">
        <v>17</v>
      </c>
      <c r="J24" s="58">
        <v>2000</v>
      </c>
      <c r="K24" s="59">
        <f t="shared" si="1"/>
        <v>117.64705882352941</v>
      </c>
      <c r="L24" s="444">
        <v>17</v>
      </c>
      <c r="M24" s="60">
        <f t="shared" si="20"/>
        <v>1902.3529411764682</v>
      </c>
      <c r="N24" s="59">
        <f t="shared" si="3"/>
        <v>111.90311418685107</v>
      </c>
      <c r="O24" s="61">
        <f t="shared" si="4"/>
        <v>0</v>
      </c>
      <c r="P24" s="62">
        <f t="shared" si="5"/>
        <v>-5.7439446366783358</v>
      </c>
      <c r="Q24" s="446">
        <f t="shared" si="6"/>
        <v>0.95117647058823418</v>
      </c>
      <c r="R24" s="566"/>
      <c r="S24" s="63">
        <v>0.37916666666666665</v>
      </c>
      <c r="T24" s="63">
        <v>0.40277777777777779</v>
      </c>
      <c r="U24" s="445">
        <f t="shared" si="22"/>
        <v>6.9999999999999751</v>
      </c>
      <c r="V24" s="449">
        <f t="shared" si="21"/>
        <v>34.000000000000043</v>
      </c>
      <c r="W24" s="64"/>
      <c r="X24" s="445"/>
      <c r="Y24" s="559"/>
      <c r="Z24" s="559"/>
      <c r="AA24" s="61">
        <f t="shared" si="8"/>
        <v>-97.647058823531779</v>
      </c>
      <c r="AB24" s="446">
        <f t="shared" si="9"/>
        <v>0.95117647058823407</v>
      </c>
      <c r="AC24" s="566"/>
    </row>
    <row r="25" spans="1:29" ht="15.75" customHeight="1">
      <c r="A25" s="589" t="s">
        <v>86</v>
      </c>
      <c r="B25" s="57" t="s">
        <v>6</v>
      </c>
      <c r="C25" s="584" t="s">
        <v>8</v>
      </c>
      <c r="D25" s="584"/>
      <c r="E25" s="57">
        <v>50.49</v>
      </c>
      <c r="F25" s="450">
        <v>2246</v>
      </c>
      <c r="G25" s="445">
        <f t="shared" si="19"/>
        <v>113400.54000000001</v>
      </c>
      <c r="H25" s="457" t="s">
        <v>5</v>
      </c>
      <c r="I25" s="444">
        <v>15</v>
      </c>
      <c r="J25" s="58">
        <v>2000</v>
      </c>
      <c r="K25" s="59">
        <f t="shared" si="1"/>
        <v>133.33333333333334</v>
      </c>
      <c r="L25" s="444">
        <v>15</v>
      </c>
      <c r="M25" s="60">
        <f t="shared" si="20"/>
        <v>1925.1428571428553</v>
      </c>
      <c r="N25" s="59">
        <f t="shared" si="3"/>
        <v>128.34285714285701</v>
      </c>
      <c r="O25" s="61">
        <f t="shared" si="4"/>
        <v>0</v>
      </c>
      <c r="P25" s="62">
        <f t="shared" si="5"/>
        <v>-4.9904761904763291</v>
      </c>
      <c r="Q25" s="446">
        <f t="shared" si="6"/>
        <v>0.96257142857142752</v>
      </c>
      <c r="R25" s="566"/>
      <c r="S25" s="63">
        <v>0.70833333333333337</v>
      </c>
      <c r="T25" s="63">
        <v>0.75694444444444453</v>
      </c>
      <c r="U25" s="445" t="str">
        <f t="shared" si="22"/>
        <v/>
      </c>
      <c r="V25" s="449">
        <f t="shared" si="21"/>
        <v>70.000000000000071</v>
      </c>
      <c r="W25" s="64"/>
      <c r="X25" s="68"/>
      <c r="Y25" s="559"/>
      <c r="Z25" s="559"/>
      <c r="AA25" s="61">
        <f t="shared" si="8"/>
        <v>-74.857142857144709</v>
      </c>
      <c r="AB25" s="446">
        <f t="shared" si="9"/>
        <v>0.96257142857142763</v>
      </c>
      <c r="AC25" s="566"/>
    </row>
    <row r="26" spans="1:29" ht="15.75" customHeight="1">
      <c r="A26" s="589" t="s">
        <v>86</v>
      </c>
      <c r="B26" s="57" t="s">
        <v>6</v>
      </c>
      <c r="C26" s="584" t="s">
        <v>69</v>
      </c>
      <c r="D26" s="584"/>
      <c r="E26" s="57">
        <v>57.73</v>
      </c>
      <c r="F26" s="450">
        <v>1367</v>
      </c>
      <c r="G26" s="445">
        <f t="shared" si="19"/>
        <v>78916.909999999989</v>
      </c>
      <c r="H26" s="457" t="s">
        <v>5</v>
      </c>
      <c r="I26" s="444">
        <v>16</v>
      </c>
      <c r="J26" s="58">
        <v>1500</v>
      </c>
      <c r="K26" s="59">
        <f t="shared" si="1"/>
        <v>93.75</v>
      </c>
      <c r="L26" s="444">
        <v>16</v>
      </c>
      <c r="M26" s="60">
        <f t="shared" si="20"/>
        <v>1438.9473684210536</v>
      </c>
      <c r="N26" s="59">
        <f t="shared" si="3"/>
        <v>89.934210526315852</v>
      </c>
      <c r="O26" s="61">
        <f t="shared" si="4"/>
        <v>0</v>
      </c>
      <c r="P26" s="62">
        <f t="shared" si="5"/>
        <v>-3.8157894736841484</v>
      </c>
      <c r="Q26" s="446">
        <f t="shared" si="6"/>
        <v>0.95929824561403576</v>
      </c>
      <c r="R26" s="566"/>
      <c r="S26" s="63">
        <v>0.76041666666666674</v>
      </c>
      <c r="T26" s="63">
        <v>0.8</v>
      </c>
      <c r="U26" s="445">
        <f t="shared" si="22"/>
        <v>4.9999999999999822</v>
      </c>
      <c r="V26" s="449">
        <f t="shared" si="21"/>
        <v>56.999999999999957</v>
      </c>
      <c r="W26" s="64"/>
      <c r="X26" s="68"/>
      <c r="Y26" s="569"/>
      <c r="Z26" s="570"/>
      <c r="AA26" s="61">
        <f t="shared" si="8"/>
        <v>-61.052631578946375</v>
      </c>
      <c r="AB26" s="446">
        <f t="shared" si="9"/>
        <v>0.95929824561403576</v>
      </c>
      <c r="AC26" s="566"/>
    </row>
    <row r="27" spans="1:29" ht="15.75" customHeight="1">
      <c r="A27" s="589" t="s">
        <v>86</v>
      </c>
      <c r="B27" s="57" t="s">
        <v>6</v>
      </c>
      <c r="C27" s="585" t="s">
        <v>99</v>
      </c>
      <c r="D27" s="586"/>
      <c r="E27" s="57">
        <v>53.68</v>
      </c>
      <c r="F27" s="450">
        <v>1000</v>
      </c>
      <c r="G27" s="445">
        <f t="shared" si="19"/>
        <v>53680</v>
      </c>
      <c r="H27" s="457">
        <v>2</v>
      </c>
      <c r="I27" s="444">
        <v>16</v>
      </c>
      <c r="J27" s="58">
        <v>1500</v>
      </c>
      <c r="K27" s="59">
        <f t="shared" si="1"/>
        <v>93.75</v>
      </c>
      <c r="L27" s="444">
        <v>16</v>
      </c>
      <c r="M27" s="60">
        <f t="shared" si="20"/>
        <v>1428.5714285714282</v>
      </c>
      <c r="N27" s="59">
        <f t="shared" si="3"/>
        <v>89.285714285714263</v>
      </c>
      <c r="O27" s="61">
        <f t="shared" si="4"/>
        <v>0</v>
      </c>
      <c r="P27" s="62">
        <f t="shared" si="5"/>
        <v>-4.4642857142857366</v>
      </c>
      <c r="Q27" s="446">
        <f t="shared" si="6"/>
        <v>0.95238095238095211</v>
      </c>
      <c r="R27" s="566"/>
      <c r="S27" s="63">
        <v>0.80486111111111114</v>
      </c>
      <c r="T27" s="63">
        <v>0.83402777777777781</v>
      </c>
      <c r="U27" s="445">
        <f t="shared" si="22"/>
        <v>6.9999999999999751</v>
      </c>
      <c r="V27" s="449">
        <f t="shared" si="21"/>
        <v>42.000000000000014</v>
      </c>
      <c r="W27" s="64">
        <f>T27</f>
        <v>0.83402777777777781</v>
      </c>
      <c r="X27" s="64">
        <f>S28</f>
        <v>0.87569444444444444</v>
      </c>
      <c r="Y27" s="569"/>
      <c r="Z27" s="570"/>
      <c r="AA27" s="61">
        <f t="shared" si="8"/>
        <v>-71.428571428571786</v>
      </c>
      <c r="AB27" s="446">
        <f t="shared" si="9"/>
        <v>0.95238095238095211</v>
      </c>
      <c r="AC27" s="566"/>
    </row>
    <row r="28" spans="1:29" ht="15.75" customHeight="1">
      <c r="A28" s="589" t="s">
        <v>86</v>
      </c>
      <c r="B28" s="57" t="s">
        <v>6</v>
      </c>
      <c r="C28" s="585" t="s">
        <v>99</v>
      </c>
      <c r="D28" s="586"/>
      <c r="E28" s="57">
        <v>53.68</v>
      </c>
      <c r="F28" s="450">
        <v>1512</v>
      </c>
      <c r="G28" s="445">
        <f t="shared" si="19"/>
        <v>81164.160000000003</v>
      </c>
      <c r="H28" s="457" t="s">
        <v>5</v>
      </c>
      <c r="I28" s="444">
        <v>16</v>
      </c>
      <c r="J28" s="58">
        <v>1500</v>
      </c>
      <c r="K28" s="59">
        <f t="shared" si="1"/>
        <v>93.75</v>
      </c>
      <c r="L28" s="444">
        <v>16</v>
      </c>
      <c r="M28" s="60">
        <f t="shared" si="20"/>
        <v>1440.0000000000016</v>
      </c>
      <c r="N28" s="59">
        <f t="shared" si="3"/>
        <v>90.000000000000099</v>
      </c>
      <c r="O28" s="61">
        <f t="shared" si="4"/>
        <v>0</v>
      </c>
      <c r="P28" s="62">
        <f t="shared" si="5"/>
        <v>-3.7499999999999005</v>
      </c>
      <c r="Q28" s="446">
        <f t="shared" si="6"/>
        <v>0.96000000000000107</v>
      </c>
      <c r="R28" s="566"/>
      <c r="S28" s="63">
        <v>0.87569444444444444</v>
      </c>
      <c r="T28" s="63">
        <v>0.9194444444444444</v>
      </c>
      <c r="U28" s="445">
        <f t="shared" si="22"/>
        <v>59.999999999999943</v>
      </c>
      <c r="V28" s="449">
        <f t="shared" si="21"/>
        <v>62.999999999999936</v>
      </c>
      <c r="W28" s="64"/>
      <c r="X28" s="64"/>
      <c r="Y28" s="569"/>
      <c r="Z28" s="570"/>
      <c r="AA28" s="61">
        <f t="shared" si="8"/>
        <v>-59.999999999998408</v>
      </c>
      <c r="AB28" s="446">
        <f t="shared" si="9"/>
        <v>0.96000000000000107</v>
      </c>
      <c r="AC28" s="566"/>
    </row>
    <row r="29" spans="1:29" ht="15.75" customHeight="1">
      <c r="A29" s="589" t="s">
        <v>86</v>
      </c>
      <c r="B29" s="57" t="s">
        <v>585</v>
      </c>
      <c r="C29" s="571"/>
      <c r="D29" s="571"/>
      <c r="E29" s="451"/>
      <c r="F29" s="450"/>
      <c r="G29" s="445"/>
      <c r="H29" s="450"/>
      <c r="I29" s="67">
        <v>16</v>
      </c>
      <c r="J29" s="58">
        <v>1833.3333333333333</v>
      </c>
      <c r="K29" s="59">
        <f t="shared" si="1"/>
        <v>114.58333333333333</v>
      </c>
      <c r="L29" s="67">
        <v>16</v>
      </c>
      <c r="M29" s="60">
        <f>AVERAGE(M20:M28)</f>
        <v>1759.0461045482136</v>
      </c>
      <c r="N29" s="59">
        <f t="shared" si="3"/>
        <v>109.94038153426335</v>
      </c>
      <c r="O29" s="61">
        <f t="shared" si="4"/>
        <v>0</v>
      </c>
      <c r="P29" s="62">
        <f t="shared" si="5"/>
        <v>-4.6429517990699765</v>
      </c>
      <c r="Q29" s="446">
        <f t="shared" si="6"/>
        <v>0.95947969338993477</v>
      </c>
      <c r="R29" s="566"/>
      <c r="S29" s="63"/>
      <c r="T29" s="63"/>
      <c r="U29" s="59"/>
      <c r="V29" s="449"/>
      <c r="W29" s="59"/>
      <c r="X29" s="59"/>
      <c r="Y29" s="559"/>
      <c r="Z29" s="559"/>
      <c r="AA29" s="61">
        <f t="shared" si="8"/>
        <v>-74.287228785119623</v>
      </c>
      <c r="AB29" s="446">
        <f t="shared" si="9"/>
        <v>0.95947969338993477</v>
      </c>
      <c r="AC29" s="566"/>
    </row>
    <row r="30" spans="1:29" ht="15.75" customHeight="1">
      <c r="A30" s="587" t="s">
        <v>87</v>
      </c>
      <c r="B30" s="57" t="s">
        <v>15</v>
      </c>
      <c r="C30" s="584" t="s">
        <v>26</v>
      </c>
      <c r="D30" s="584"/>
      <c r="E30" s="57">
        <v>31.29</v>
      </c>
      <c r="F30" s="450">
        <v>4100</v>
      </c>
      <c r="G30" s="445">
        <f t="shared" ref="G30:G36" si="23">E30*F30</f>
        <v>128289</v>
      </c>
      <c r="H30" s="457">
        <v>2</v>
      </c>
      <c r="I30" s="444">
        <v>18</v>
      </c>
      <c r="J30" s="58">
        <v>2400</v>
      </c>
      <c r="K30" s="59">
        <f t="shared" si="1"/>
        <v>133.33333333333334</v>
      </c>
      <c r="L30" s="444">
        <v>18</v>
      </c>
      <c r="M30" s="60">
        <f t="shared" ref="M30:M36" si="24">F30/V30*60</f>
        <v>2299.065420560748</v>
      </c>
      <c r="N30" s="59">
        <f t="shared" si="3"/>
        <v>127.72585669781932</v>
      </c>
      <c r="O30" s="61">
        <f t="shared" si="4"/>
        <v>0</v>
      </c>
      <c r="P30" s="62">
        <f t="shared" si="5"/>
        <v>-5.6074766355140184</v>
      </c>
      <c r="Q30" s="446">
        <f t="shared" si="6"/>
        <v>0.95794392523364491</v>
      </c>
      <c r="R30" s="566">
        <f>Q37</f>
        <v>0.9549452223756929</v>
      </c>
      <c r="S30" s="63">
        <v>8.3333333333333329E-2</v>
      </c>
      <c r="T30" s="63">
        <v>0.15763888888888888</v>
      </c>
      <c r="U30" s="445"/>
      <c r="V30" s="449">
        <f t="shared" ref="V30:V36" si="25">(T30-S30)*24*60</f>
        <v>107</v>
      </c>
      <c r="W30" s="64">
        <f>T30</f>
        <v>0.15763888888888888</v>
      </c>
      <c r="X30" s="64">
        <f>S31</f>
        <v>0.17638888888888887</v>
      </c>
      <c r="Y30" s="559"/>
      <c r="Z30" s="559"/>
      <c r="AA30" s="61">
        <f t="shared" si="8"/>
        <v>-100.93457943925205</v>
      </c>
      <c r="AB30" s="446">
        <f t="shared" si="9"/>
        <v>0.95794392523364502</v>
      </c>
      <c r="AC30" s="566">
        <f>AB37</f>
        <v>0.95494522237569279</v>
      </c>
    </row>
    <row r="31" spans="1:29" ht="15.75" customHeight="1">
      <c r="A31" s="587" t="s">
        <v>2055</v>
      </c>
      <c r="B31" s="57" t="s">
        <v>15</v>
      </c>
      <c r="C31" s="584" t="s">
        <v>23</v>
      </c>
      <c r="D31" s="584"/>
      <c r="E31" s="57">
        <v>26.2</v>
      </c>
      <c r="F31" s="450">
        <v>3100</v>
      </c>
      <c r="G31" s="445">
        <f t="shared" si="23"/>
        <v>81220</v>
      </c>
      <c r="H31" s="457">
        <v>2</v>
      </c>
      <c r="I31" s="444">
        <v>20</v>
      </c>
      <c r="J31" s="58">
        <v>2400</v>
      </c>
      <c r="K31" s="59">
        <f t="shared" si="1"/>
        <v>120</v>
      </c>
      <c r="L31" s="444">
        <v>20</v>
      </c>
      <c r="M31" s="60">
        <f t="shared" si="24"/>
        <v>2296.296296296297</v>
      </c>
      <c r="N31" s="59">
        <f t="shared" si="3"/>
        <v>114.81481481481485</v>
      </c>
      <c r="O31" s="61">
        <f t="shared" si="4"/>
        <v>0</v>
      </c>
      <c r="P31" s="62">
        <f t="shared" si="5"/>
        <v>-5.1851851851851478</v>
      </c>
      <c r="Q31" s="446">
        <f t="shared" si="6"/>
        <v>0.95679012345679049</v>
      </c>
      <c r="R31" s="566"/>
      <c r="S31" s="63">
        <v>0.17638888888888887</v>
      </c>
      <c r="T31" s="63">
        <v>0.23263888888888887</v>
      </c>
      <c r="U31" s="445">
        <f t="shared" ref="U31:U36" si="26">(S31-T30)*24*60</f>
        <v>26.999999999999986</v>
      </c>
      <c r="V31" s="449">
        <f t="shared" si="25"/>
        <v>80.999999999999986</v>
      </c>
      <c r="W31" s="64"/>
      <c r="X31" s="64"/>
      <c r="Y31" s="559"/>
      <c r="Z31" s="559"/>
      <c r="AA31" s="61">
        <f t="shared" si="8"/>
        <v>-103.70370370370301</v>
      </c>
      <c r="AB31" s="446">
        <f t="shared" si="9"/>
        <v>0.95679012345679038</v>
      </c>
      <c r="AC31" s="566"/>
    </row>
    <row r="32" spans="1:29" ht="15.75" customHeight="1">
      <c r="A32" s="587" t="s">
        <v>2055</v>
      </c>
      <c r="B32" s="57" t="s">
        <v>15</v>
      </c>
      <c r="C32" s="584" t="s">
        <v>70</v>
      </c>
      <c r="D32" s="584"/>
      <c r="E32" s="57">
        <v>25.99</v>
      </c>
      <c r="F32" s="450">
        <v>5118</v>
      </c>
      <c r="G32" s="445">
        <f t="shared" si="23"/>
        <v>133016.81999999998</v>
      </c>
      <c r="H32" s="457" t="s">
        <v>5</v>
      </c>
      <c r="I32" s="444">
        <v>14</v>
      </c>
      <c r="J32" s="58">
        <v>2400</v>
      </c>
      <c r="K32" s="59">
        <f t="shared" si="1"/>
        <v>171.42857142857142</v>
      </c>
      <c r="L32" s="444">
        <v>14</v>
      </c>
      <c r="M32" s="60">
        <f t="shared" si="24"/>
        <v>2291.6417910447763</v>
      </c>
      <c r="N32" s="59">
        <f t="shared" si="3"/>
        <v>163.68869936034116</v>
      </c>
      <c r="O32" s="61">
        <f t="shared" si="4"/>
        <v>0</v>
      </c>
      <c r="P32" s="62">
        <f t="shared" si="5"/>
        <v>-7.7398720682302553</v>
      </c>
      <c r="Q32" s="446">
        <f t="shared" si="6"/>
        <v>0.95485074626865685</v>
      </c>
      <c r="R32" s="566"/>
      <c r="S32" s="63">
        <v>0.23819444444444443</v>
      </c>
      <c r="T32" s="63">
        <v>0.33124999999999999</v>
      </c>
      <c r="U32" s="445">
        <f t="shared" si="26"/>
        <v>8.0000000000000107</v>
      </c>
      <c r="V32" s="449">
        <f t="shared" si="25"/>
        <v>134</v>
      </c>
      <c r="W32" s="64"/>
      <c r="X32" s="64"/>
      <c r="Y32" s="559"/>
      <c r="Z32" s="559"/>
      <c r="AA32" s="61">
        <f t="shared" si="8"/>
        <v>-108.35820895522374</v>
      </c>
      <c r="AB32" s="446">
        <f t="shared" si="9"/>
        <v>0.95485074626865674</v>
      </c>
      <c r="AC32" s="566"/>
    </row>
    <row r="33" spans="1:29" ht="15.75" customHeight="1">
      <c r="A33" s="587" t="s">
        <v>87</v>
      </c>
      <c r="B33" s="57" t="s">
        <v>15</v>
      </c>
      <c r="C33" s="584" t="s">
        <v>45</v>
      </c>
      <c r="D33" s="584"/>
      <c r="E33" s="57">
        <v>20.52</v>
      </c>
      <c r="F33" s="450">
        <v>4949</v>
      </c>
      <c r="G33" s="445">
        <f t="shared" si="23"/>
        <v>101553.48</v>
      </c>
      <c r="H33" s="457" t="s">
        <v>5</v>
      </c>
      <c r="I33" s="444">
        <v>18</v>
      </c>
      <c r="J33" s="58">
        <v>2400</v>
      </c>
      <c r="K33" s="59">
        <f t="shared" si="1"/>
        <v>133.33333333333334</v>
      </c>
      <c r="L33" s="444">
        <v>18</v>
      </c>
      <c r="M33" s="60">
        <f t="shared" si="24"/>
        <v>2284.1538461538457</v>
      </c>
      <c r="N33" s="59">
        <f t="shared" si="3"/>
        <v>126.89743589743587</v>
      </c>
      <c r="O33" s="61">
        <f t="shared" si="4"/>
        <v>0</v>
      </c>
      <c r="P33" s="62">
        <f t="shared" si="5"/>
        <v>-6.4358974358974734</v>
      </c>
      <c r="Q33" s="446">
        <f t="shared" si="6"/>
        <v>0.95173076923076894</v>
      </c>
      <c r="R33" s="566"/>
      <c r="S33" s="63">
        <v>0.33680555555555552</v>
      </c>
      <c r="T33" s="63">
        <v>0.42708333333333331</v>
      </c>
      <c r="U33" s="445">
        <f t="shared" si="26"/>
        <v>7.9999999999999716</v>
      </c>
      <c r="V33" s="449">
        <f t="shared" si="25"/>
        <v>130.00000000000003</v>
      </c>
      <c r="W33" s="64"/>
      <c r="X33" s="64"/>
      <c r="Y33" s="559"/>
      <c r="Z33" s="559"/>
      <c r="AA33" s="61">
        <f t="shared" si="8"/>
        <v>-115.84615384615427</v>
      </c>
      <c r="AB33" s="446">
        <f t="shared" si="9"/>
        <v>0.95173076923076905</v>
      </c>
      <c r="AC33" s="566"/>
    </row>
    <row r="34" spans="1:29" ht="15.75" customHeight="1">
      <c r="A34" s="587" t="s">
        <v>87</v>
      </c>
      <c r="B34" s="57" t="s">
        <v>15</v>
      </c>
      <c r="C34" s="584" t="s">
        <v>98</v>
      </c>
      <c r="D34" s="584"/>
      <c r="E34" s="57">
        <v>25.98</v>
      </c>
      <c r="F34" s="450">
        <v>4276</v>
      </c>
      <c r="G34" s="445">
        <f t="shared" si="23"/>
        <v>111090.48</v>
      </c>
      <c r="H34" s="457" t="s">
        <v>5</v>
      </c>
      <c r="I34" s="444">
        <v>21</v>
      </c>
      <c r="J34" s="58">
        <v>2400</v>
      </c>
      <c r="K34" s="59">
        <f t="shared" si="1"/>
        <v>114.28571428571429</v>
      </c>
      <c r="L34" s="444">
        <v>21</v>
      </c>
      <c r="M34" s="60">
        <f t="shared" si="24"/>
        <v>2290.7142857142858</v>
      </c>
      <c r="N34" s="59">
        <f t="shared" si="3"/>
        <v>109.08163265306123</v>
      </c>
      <c r="O34" s="61">
        <f t="shared" si="4"/>
        <v>0</v>
      </c>
      <c r="P34" s="62">
        <f t="shared" si="5"/>
        <v>-5.2040816326530575</v>
      </c>
      <c r="Q34" s="446">
        <f t="shared" si="6"/>
        <v>0.95446428571428577</v>
      </c>
      <c r="R34" s="566"/>
      <c r="S34" s="63">
        <v>0.43194444444444441</v>
      </c>
      <c r="T34" s="63">
        <v>0.50972222222222219</v>
      </c>
      <c r="U34" s="445">
        <f t="shared" si="26"/>
        <v>6.9999999999999751</v>
      </c>
      <c r="V34" s="449">
        <f t="shared" si="25"/>
        <v>112</v>
      </c>
      <c r="W34" s="64">
        <f>T34</f>
        <v>0.50972222222222219</v>
      </c>
      <c r="X34" s="64">
        <f>S35</f>
        <v>0.54930555555555549</v>
      </c>
      <c r="Y34" s="559"/>
      <c r="Z34" s="559"/>
      <c r="AA34" s="61">
        <f t="shared" si="8"/>
        <v>-109.28571428571422</v>
      </c>
      <c r="AB34" s="446">
        <f t="shared" si="9"/>
        <v>0.95446428571428577</v>
      </c>
      <c r="AC34" s="566"/>
    </row>
    <row r="35" spans="1:29" ht="15.75" customHeight="1">
      <c r="A35" s="587" t="s">
        <v>2055</v>
      </c>
      <c r="B35" s="57" t="s">
        <v>15</v>
      </c>
      <c r="C35" s="584" t="s">
        <v>26</v>
      </c>
      <c r="D35" s="584"/>
      <c r="E35" s="57">
        <v>31.29</v>
      </c>
      <c r="F35" s="450">
        <v>5836</v>
      </c>
      <c r="G35" s="445">
        <f t="shared" si="23"/>
        <v>182608.44</v>
      </c>
      <c r="H35" s="457" t="s">
        <v>5</v>
      </c>
      <c r="I35" s="444">
        <v>18</v>
      </c>
      <c r="J35" s="58">
        <v>2400</v>
      </c>
      <c r="K35" s="59">
        <f t="shared" si="1"/>
        <v>133.33333333333334</v>
      </c>
      <c r="L35" s="444">
        <v>18</v>
      </c>
      <c r="M35" s="60">
        <f t="shared" si="24"/>
        <v>2288.627450980393</v>
      </c>
      <c r="N35" s="59">
        <f t="shared" si="3"/>
        <v>127.14596949891072</v>
      </c>
      <c r="O35" s="61">
        <f t="shared" si="4"/>
        <v>0</v>
      </c>
      <c r="P35" s="62">
        <f t="shared" si="5"/>
        <v>-6.1873638344226265</v>
      </c>
      <c r="Q35" s="446">
        <f t="shared" si="6"/>
        <v>0.95359477124183034</v>
      </c>
      <c r="R35" s="566"/>
      <c r="S35" s="63">
        <v>0.54930555555555549</v>
      </c>
      <c r="T35" s="63">
        <v>0.65555555555555545</v>
      </c>
      <c r="U35" s="445">
        <f t="shared" si="26"/>
        <v>56.999999999999957</v>
      </c>
      <c r="V35" s="449">
        <f t="shared" si="25"/>
        <v>152.99999999999994</v>
      </c>
      <c r="W35" s="64"/>
      <c r="X35" s="64"/>
      <c r="Y35" s="559"/>
      <c r="Z35" s="559"/>
      <c r="AA35" s="61">
        <f t="shared" si="8"/>
        <v>-111.37254901960705</v>
      </c>
      <c r="AB35" s="446">
        <f t="shared" si="9"/>
        <v>0.95359477124183034</v>
      </c>
      <c r="AC35" s="566"/>
    </row>
    <row r="36" spans="1:29" ht="15.75" customHeight="1">
      <c r="A36" s="587" t="s">
        <v>2055</v>
      </c>
      <c r="B36" s="57" t="s">
        <v>15</v>
      </c>
      <c r="C36" s="584" t="s">
        <v>23</v>
      </c>
      <c r="D36" s="584"/>
      <c r="E36" s="57">
        <v>26.2</v>
      </c>
      <c r="F36" s="450">
        <v>2369</v>
      </c>
      <c r="G36" s="445">
        <f t="shared" si="23"/>
        <v>62067.799999999996</v>
      </c>
      <c r="H36" s="457" t="s">
        <v>5</v>
      </c>
      <c r="I36" s="444">
        <v>20</v>
      </c>
      <c r="J36" s="58">
        <v>2400</v>
      </c>
      <c r="K36" s="59">
        <f t="shared" si="1"/>
        <v>120</v>
      </c>
      <c r="L36" s="444">
        <v>20</v>
      </c>
      <c r="M36" s="60">
        <f t="shared" si="24"/>
        <v>2292.5806451612925</v>
      </c>
      <c r="N36" s="59">
        <f t="shared" si="3"/>
        <v>114.62903225806463</v>
      </c>
      <c r="O36" s="61">
        <f t="shared" si="4"/>
        <v>0</v>
      </c>
      <c r="P36" s="62">
        <f t="shared" si="5"/>
        <v>-5.3709677419353739</v>
      </c>
      <c r="Q36" s="446">
        <f t="shared" si="6"/>
        <v>0.95524193548387193</v>
      </c>
      <c r="R36" s="566"/>
      <c r="S36" s="63">
        <v>0.66041666666666654</v>
      </c>
      <c r="T36" s="63">
        <v>0.70347222222222205</v>
      </c>
      <c r="U36" s="445">
        <f t="shared" si="26"/>
        <v>6.9999999999999751</v>
      </c>
      <c r="V36" s="449">
        <f t="shared" si="25"/>
        <v>61.999999999999943</v>
      </c>
      <c r="W36" s="64"/>
      <c r="X36" s="64"/>
      <c r="Y36" s="559"/>
      <c r="Z36" s="559"/>
      <c r="AA36" s="61">
        <f t="shared" si="8"/>
        <v>-107.41935483870748</v>
      </c>
      <c r="AB36" s="446">
        <f t="shared" si="9"/>
        <v>0.95524193548387193</v>
      </c>
      <c r="AC36" s="566"/>
    </row>
    <row r="37" spans="1:29" ht="15.75" customHeight="1">
      <c r="A37" s="587" t="s">
        <v>2055</v>
      </c>
      <c r="B37" s="57" t="s">
        <v>2051</v>
      </c>
      <c r="C37" s="571"/>
      <c r="D37" s="571"/>
      <c r="E37" s="451"/>
      <c r="F37" s="450"/>
      <c r="G37" s="445"/>
      <c r="H37" s="450"/>
      <c r="I37" s="67">
        <v>18.428571428571427</v>
      </c>
      <c r="J37" s="58">
        <v>2400</v>
      </c>
      <c r="K37" s="59">
        <f t="shared" si="1"/>
        <v>130.23255813953489</v>
      </c>
      <c r="L37" s="67">
        <v>18.428571428571427</v>
      </c>
      <c r="M37" s="60">
        <f>AVERAGE(M30:M36)</f>
        <v>2291.8685337016627</v>
      </c>
      <c r="N37" s="59">
        <f t="shared" si="3"/>
        <v>124.36495919311349</v>
      </c>
      <c r="O37" s="61">
        <f t="shared" si="4"/>
        <v>0</v>
      </c>
      <c r="P37" s="62">
        <f t="shared" si="5"/>
        <v>-5.8675989464213956</v>
      </c>
      <c r="Q37" s="446">
        <f t="shared" si="6"/>
        <v>0.9549452223756929</v>
      </c>
      <c r="R37" s="566"/>
      <c r="S37" s="63"/>
      <c r="T37" s="63"/>
      <c r="U37" s="445"/>
      <c r="V37" s="449"/>
      <c r="W37" s="445"/>
      <c r="X37" s="445"/>
      <c r="Y37" s="559"/>
      <c r="Z37" s="559"/>
      <c r="AA37" s="61">
        <f t="shared" si="8"/>
        <v>-108.13146629833727</v>
      </c>
      <c r="AB37" s="446">
        <f t="shared" si="9"/>
        <v>0.95494522237569279</v>
      </c>
      <c r="AC37" s="566"/>
    </row>
    <row r="38" spans="1:29" ht="15.75" customHeight="1">
      <c r="A38" s="582" t="s">
        <v>88</v>
      </c>
      <c r="B38" s="57" t="s">
        <v>15</v>
      </c>
      <c r="C38" s="560" t="s">
        <v>101</v>
      </c>
      <c r="D38" s="560"/>
      <c r="E38" s="57">
        <v>22.69</v>
      </c>
      <c r="F38" s="450">
        <v>1368</v>
      </c>
      <c r="G38" s="445">
        <f t="shared" ref="G38:G45" si="27">E38*F38</f>
        <v>31039.920000000002</v>
      </c>
      <c r="H38" s="457" t="s">
        <v>5</v>
      </c>
      <c r="I38" s="444">
        <v>15</v>
      </c>
      <c r="J38" s="58">
        <v>2400</v>
      </c>
      <c r="K38" s="59">
        <f t="shared" si="1"/>
        <v>160</v>
      </c>
      <c r="L38" s="444">
        <v>15</v>
      </c>
      <c r="M38" s="60">
        <f t="shared" ref="M38:M45" si="28">F38/V38*60</f>
        <v>2345.1428571428578</v>
      </c>
      <c r="N38" s="59">
        <f t="shared" si="3"/>
        <v>156.34285714285718</v>
      </c>
      <c r="O38" s="61">
        <f t="shared" si="4"/>
        <v>0</v>
      </c>
      <c r="P38" s="62">
        <f t="shared" si="5"/>
        <v>-3.6571428571428157</v>
      </c>
      <c r="Q38" s="446">
        <f t="shared" si="6"/>
        <v>0.97714285714285742</v>
      </c>
      <c r="R38" s="566">
        <f>Q46</f>
        <v>0.9642023460467799</v>
      </c>
      <c r="S38" s="63">
        <v>8.3333333333333329E-2</v>
      </c>
      <c r="T38" s="63">
        <v>0.10763888888888888</v>
      </c>
      <c r="U38" s="445"/>
      <c r="V38" s="449">
        <f t="shared" ref="V38:V45" si="29">(T38-S38)*24*60</f>
        <v>34.999999999999993</v>
      </c>
      <c r="W38" s="68">
        <f>T38</f>
        <v>0.10763888888888888</v>
      </c>
      <c r="X38" s="68">
        <f>S39</f>
        <v>0.12847222222222221</v>
      </c>
      <c r="Y38" s="559"/>
      <c r="Z38" s="559"/>
      <c r="AA38" s="61">
        <f t="shared" si="8"/>
        <v>-54.857142857142208</v>
      </c>
      <c r="AB38" s="446">
        <f t="shared" si="9"/>
        <v>0.97714285714285742</v>
      </c>
      <c r="AC38" s="566">
        <f>AB46</f>
        <v>0.96420234604677979</v>
      </c>
    </row>
    <row r="39" spans="1:29" ht="15.75" customHeight="1">
      <c r="A39" s="582" t="s">
        <v>88</v>
      </c>
      <c r="B39" s="57" t="s">
        <v>15</v>
      </c>
      <c r="C39" s="560" t="s">
        <v>27</v>
      </c>
      <c r="D39" s="560"/>
      <c r="E39" s="57">
        <v>26.2</v>
      </c>
      <c r="F39" s="450">
        <v>2700</v>
      </c>
      <c r="G39" s="445">
        <f t="shared" si="27"/>
        <v>70740</v>
      </c>
      <c r="H39" s="457">
        <v>2</v>
      </c>
      <c r="I39" s="444">
        <v>18</v>
      </c>
      <c r="J39" s="58">
        <v>2400</v>
      </c>
      <c r="K39" s="59">
        <f t="shared" si="1"/>
        <v>133.33333333333334</v>
      </c>
      <c r="L39" s="444">
        <v>18</v>
      </c>
      <c r="M39" s="60">
        <f t="shared" si="28"/>
        <v>2314.2857142857147</v>
      </c>
      <c r="N39" s="59">
        <f t="shared" si="3"/>
        <v>128.57142857142858</v>
      </c>
      <c r="O39" s="61">
        <f t="shared" si="4"/>
        <v>0</v>
      </c>
      <c r="P39" s="62">
        <f t="shared" si="5"/>
        <v>-4.7619047619047592</v>
      </c>
      <c r="Q39" s="446">
        <f t="shared" si="6"/>
        <v>0.9642857142857143</v>
      </c>
      <c r="R39" s="566"/>
      <c r="S39" s="63">
        <v>0.12847222222222221</v>
      </c>
      <c r="T39" s="63">
        <v>0.17708333333333331</v>
      </c>
      <c r="U39" s="445">
        <f t="shared" ref="U39:U45" si="30">(S39-T38)*24*60</f>
        <v>29.999999999999993</v>
      </c>
      <c r="V39" s="449">
        <f t="shared" si="29"/>
        <v>69.999999999999986</v>
      </c>
      <c r="W39" s="445"/>
      <c r="X39" s="445"/>
      <c r="Y39" s="559"/>
      <c r="Z39" s="559"/>
      <c r="AA39" s="61">
        <f t="shared" si="8"/>
        <v>-85.714285714285325</v>
      </c>
      <c r="AB39" s="446">
        <f t="shared" si="9"/>
        <v>0.96428571428571441</v>
      </c>
      <c r="AC39" s="566"/>
    </row>
    <row r="40" spans="1:29">
      <c r="A40" s="583" t="s">
        <v>88</v>
      </c>
      <c r="B40" s="57" t="s">
        <v>15</v>
      </c>
      <c r="C40" s="560" t="s">
        <v>25</v>
      </c>
      <c r="D40" s="560"/>
      <c r="E40" s="57">
        <v>26.18</v>
      </c>
      <c r="F40" s="450">
        <v>2727</v>
      </c>
      <c r="G40" s="445">
        <f t="shared" si="27"/>
        <v>71392.86</v>
      </c>
      <c r="H40" s="457" t="s">
        <v>5</v>
      </c>
      <c r="I40" s="444">
        <v>19</v>
      </c>
      <c r="J40" s="58">
        <v>2400</v>
      </c>
      <c r="K40" s="59">
        <f t="shared" si="1"/>
        <v>126.31578947368421</v>
      </c>
      <c r="L40" s="444">
        <v>19</v>
      </c>
      <c r="M40" s="60">
        <f t="shared" si="28"/>
        <v>2304.5070422535214</v>
      </c>
      <c r="N40" s="59">
        <f t="shared" si="3"/>
        <v>121.28984432913271</v>
      </c>
      <c r="O40" s="61">
        <f t="shared" si="4"/>
        <v>0</v>
      </c>
      <c r="P40" s="62">
        <f t="shared" si="5"/>
        <v>-5.0259451445514998</v>
      </c>
      <c r="Q40" s="446">
        <f t="shared" si="6"/>
        <v>0.96021126760563391</v>
      </c>
      <c r="R40" s="566"/>
      <c r="S40" s="63">
        <v>0.18124999999999999</v>
      </c>
      <c r="T40" s="63">
        <v>0.23055555555555554</v>
      </c>
      <c r="U40" s="445">
        <f t="shared" si="30"/>
        <v>6.0000000000000187</v>
      </c>
      <c r="V40" s="449">
        <f t="shared" si="29"/>
        <v>70.999999999999986</v>
      </c>
      <c r="W40" s="445"/>
      <c r="X40" s="445"/>
      <c r="Y40" s="559"/>
      <c r="Z40" s="559"/>
      <c r="AA40" s="61">
        <f t="shared" si="8"/>
        <v>-95.492957746478623</v>
      </c>
      <c r="AB40" s="446">
        <f t="shared" si="9"/>
        <v>0.96021126760563391</v>
      </c>
      <c r="AC40" s="566"/>
    </row>
    <row r="41" spans="1:29">
      <c r="A41" s="583" t="s">
        <v>88</v>
      </c>
      <c r="B41" s="57" t="s">
        <v>15</v>
      </c>
      <c r="C41" s="560" t="s">
        <v>28</v>
      </c>
      <c r="D41" s="560"/>
      <c r="E41" s="57">
        <v>26.39</v>
      </c>
      <c r="F41" s="450">
        <v>7154</v>
      </c>
      <c r="G41" s="445">
        <f t="shared" si="27"/>
        <v>188794.06</v>
      </c>
      <c r="H41" s="457" t="s">
        <v>5</v>
      </c>
      <c r="I41" s="444">
        <v>19</v>
      </c>
      <c r="J41" s="58">
        <v>2400</v>
      </c>
      <c r="K41" s="59">
        <f t="shared" si="1"/>
        <v>126.31578947368421</v>
      </c>
      <c r="L41" s="444">
        <v>19</v>
      </c>
      <c r="M41" s="60">
        <f t="shared" si="28"/>
        <v>2283.1914893617013</v>
      </c>
      <c r="N41" s="59">
        <f t="shared" si="3"/>
        <v>120.16797312430008</v>
      </c>
      <c r="O41" s="61">
        <f t="shared" si="4"/>
        <v>0</v>
      </c>
      <c r="P41" s="62">
        <f t="shared" si="5"/>
        <v>-6.1478163493841294</v>
      </c>
      <c r="Q41" s="446">
        <f t="shared" si="6"/>
        <v>0.95132978723404227</v>
      </c>
      <c r="R41" s="566"/>
      <c r="S41" s="63">
        <v>0.23472222222222222</v>
      </c>
      <c r="T41" s="63">
        <v>0.36527777777777781</v>
      </c>
      <c r="U41" s="445">
        <f t="shared" si="30"/>
        <v>6.0000000000000187</v>
      </c>
      <c r="V41" s="449">
        <f t="shared" si="29"/>
        <v>188.00000000000006</v>
      </c>
      <c r="W41" s="64"/>
      <c r="X41" s="64"/>
      <c r="Y41" s="559"/>
      <c r="Z41" s="559"/>
      <c r="AA41" s="61">
        <f t="shared" si="8"/>
        <v>-116.80851063829869</v>
      </c>
      <c r="AB41" s="446">
        <f t="shared" si="9"/>
        <v>0.95132978723404227</v>
      </c>
      <c r="AC41" s="566"/>
    </row>
    <row r="42" spans="1:29">
      <c r="A42" s="583" t="s">
        <v>88</v>
      </c>
      <c r="B42" s="57" t="s">
        <v>15</v>
      </c>
      <c r="C42" s="560" t="s">
        <v>658</v>
      </c>
      <c r="D42" s="560"/>
      <c r="E42" s="57">
        <v>22.69</v>
      </c>
      <c r="F42" s="450">
        <v>3766</v>
      </c>
      <c r="G42" s="445">
        <f t="shared" si="27"/>
        <v>85450.540000000008</v>
      </c>
      <c r="H42" s="457" t="s">
        <v>5</v>
      </c>
      <c r="I42" s="444">
        <v>15</v>
      </c>
      <c r="J42" s="58">
        <v>2400</v>
      </c>
      <c r="K42" s="59">
        <f t="shared" si="1"/>
        <v>160</v>
      </c>
      <c r="L42" s="444">
        <v>15</v>
      </c>
      <c r="M42" s="60">
        <f t="shared" si="28"/>
        <v>2282.4242424242429</v>
      </c>
      <c r="N42" s="59">
        <f t="shared" si="3"/>
        <v>152.16161616161619</v>
      </c>
      <c r="O42" s="61">
        <f t="shared" si="4"/>
        <v>0</v>
      </c>
      <c r="P42" s="62">
        <f t="shared" si="5"/>
        <v>-7.8383838383838054</v>
      </c>
      <c r="Q42" s="446">
        <f t="shared" si="6"/>
        <v>0.95101010101010119</v>
      </c>
      <c r="R42" s="566"/>
      <c r="S42" s="63">
        <v>0.37013888888888891</v>
      </c>
      <c r="T42" s="63">
        <v>0.43888888888888888</v>
      </c>
      <c r="U42" s="445">
        <f t="shared" si="30"/>
        <v>6.9999999999999751</v>
      </c>
      <c r="V42" s="449">
        <f t="shared" si="29"/>
        <v>98.999999999999972</v>
      </c>
      <c r="W42" s="64"/>
      <c r="X42" s="64"/>
      <c r="Y42" s="559"/>
      <c r="Z42" s="559"/>
      <c r="AA42" s="61">
        <f t="shared" si="8"/>
        <v>-117.57575757575705</v>
      </c>
      <c r="AB42" s="446">
        <f t="shared" si="9"/>
        <v>0.95101010101010119</v>
      </c>
      <c r="AC42" s="566"/>
    </row>
    <row r="43" spans="1:29">
      <c r="A43" s="583" t="s">
        <v>2056</v>
      </c>
      <c r="B43" s="57" t="s">
        <v>15</v>
      </c>
      <c r="C43" s="560" t="s">
        <v>16</v>
      </c>
      <c r="D43" s="560"/>
      <c r="E43" s="57">
        <v>24.45</v>
      </c>
      <c r="F43" s="450">
        <v>2802</v>
      </c>
      <c r="G43" s="445">
        <f t="shared" si="27"/>
        <v>68508.899999999994</v>
      </c>
      <c r="H43" s="457" t="s">
        <v>5</v>
      </c>
      <c r="I43" s="444">
        <v>20</v>
      </c>
      <c r="J43" s="58">
        <v>2400</v>
      </c>
      <c r="K43" s="59">
        <f t="shared" si="1"/>
        <v>120</v>
      </c>
      <c r="L43" s="444">
        <v>20</v>
      </c>
      <c r="M43" s="60">
        <f t="shared" si="28"/>
        <v>2303.0136986301377</v>
      </c>
      <c r="N43" s="59">
        <f t="shared" si="3"/>
        <v>115.15068493150689</v>
      </c>
      <c r="O43" s="61">
        <f t="shared" si="4"/>
        <v>0</v>
      </c>
      <c r="P43" s="62">
        <f t="shared" si="5"/>
        <v>-4.8493150684931123</v>
      </c>
      <c r="Q43" s="446">
        <f t="shared" si="6"/>
        <v>0.95958904109589072</v>
      </c>
      <c r="R43" s="566"/>
      <c r="S43" s="63">
        <v>0.44305555555555554</v>
      </c>
      <c r="T43" s="63">
        <v>0.49374999999999997</v>
      </c>
      <c r="U43" s="445">
        <f t="shared" si="30"/>
        <v>5.9999999999999787</v>
      </c>
      <c r="V43" s="449">
        <f t="shared" si="29"/>
        <v>72.999999999999986</v>
      </c>
      <c r="W43" s="64"/>
      <c r="X43" s="64"/>
      <c r="Y43" s="559"/>
      <c r="Z43" s="559"/>
      <c r="AA43" s="61">
        <f t="shared" si="8"/>
        <v>-96.986301369862304</v>
      </c>
      <c r="AB43" s="446">
        <f t="shared" si="9"/>
        <v>0.95958904109589072</v>
      </c>
      <c r="AC43" s="566"/>
    </row>
    <row r="44" spans="1:29">
      <c r="A44" s="583" t="s">
        <v>88</v>
      </c>
      <c r="B44" s="57" t="s">
        <v>15</v>
      </c>
      <c r="C44" s="560" t="s">
        <v>100</v>
      </c>
      <c r="D44" s="560"/>
      <c r="E44" s="57">
        <v>28.51</v>
      </c>
      <c r="F44" s="450">
        <v>793</v>
      </c>
      <c r="G44" s="445">
        <f t="shared" si="27"/>
        <v>22608.43</v>
      </c>
      <c r="H44" s="457" t="s">
        <v>5</v>
      </c>
      <c r="I44" s="444">
        <v>16</v>
      </c>
      <c r="J44" s="58">
        <v>2400</v>
      </c>
      <c r="K44" s="59">
        <f t="shared" si="1"/>
        <v>150</v>
      </c>
      <c r="L44" s="444">
        <v>16</v>
      </c>
      <c r="M44" s="60">
        <f t="shared" si="28"/>
        <v>2378.9999999999991</v>
      </c>
      <c r="N44" s="59">
        <f t="shared" si="3"/>
        <v>148.68749999999994</v>
      </c>
      <c r="O44" s="61">
        <f t="shared" si="4"/>
        <v>0</v>
      </c>
      <c r="P44" s="62">
        <f t="shared" si="5"/>
        <v>-1.3125000000000568</v>
      </c>
      <c r="Q44" s="446">
        <f t="shared" si="6"/>
        <v>0.99124999999999963</v>
      </c>
      <c r="R44" s="566"/>
      <c r="S44" s="63">
        <v>0.49722222222222218</v>
      </c>
      <c r="T44" s="63">
        <v>0.51111111111111107</v>
      </c>
      <c r="U44" s="445">
        <f t="shared" si="30"/>
        <v>4.9999999999999822</v>
      </c>
      <c r="V44" s="449">
        <f t="shared" si="29"/>
        <v>20.000000000000007</v>
      </c>
      <c r="W44" s="64">
        <f>T44</f>
        <v>0.51111111111111107</v>
      </c>
      <c r="X44" s="64">
        <f>S45</f>
        <v>0.55138888888888882</v>
      </c>
      <c r="Y44" s="569"/>
      <c r="Z44" s="570"/>
      <c r="AA44" s="61">
        <f t="shared" si="8"/>
        <v>-21.000000000000909</v>
      </c>
      <c r="AB44" s="446">
        <f t="shared" si="9"/>
        <v>0.99124999999999963</v>
      </c>
      <c r="AC44" s="566"/>
    </row>
    <row r="45" spans="1:29">
      <c r="A45" s="583" t="s">
        <v>88</v>
      </c>
      <c r="B45" s="57" t="s">
        <v>15</v>
      </c>
      <c r="C45" s="560" t="s">
        <v>27</v>
      </c>
      <c r="D45" s="560"/>
      <c r="E45" s="57">
        <v>26.2</v>
      </c>
      <c r="F45" s="450">
        <v>4794</v>
      </c>
      <c r="G45" s="445">
        <f t="shared" si="27"/>
        <v>125602.8</v>
      </c>
      <c r="H45" s="457" t="s">
        <v>5</v>
      </c>
      <c r="I45" s="444">
        <v>18</v>
      </c>
      <c r="J45" s="58">
        <v>2400</v>
      </c>
      <c r="K45" s="59">
        <f t="shared" si="1"/>
        <v>133.33333333333334</v>
      </c>
      <c r="L45" s="444">
        <v>18</v>
      </c>
      <c r="M45" s="60">
        <f t="shared" si="28"/>
        <v>2301.1199999999994</v>
      </c>
      <c r="N45" s="59">
        <f t="shared" si="3"/>
        <v>127.83999999999997</v>
      </c>
      <c r="O45" s="61">
        <f t="shared" si="4"/>
        <v>0</v>
      </c>
      <c r="P45" s="62">
        <f t="shared" si="5"/>
        <v>-5.4933333333333678</v>
      </c>
      <c r="Q45" s="446">
        <f t="shared" si="6"/>
        <v>0.95879999999999976</v>
      </c>
      <c r="R45" s="566"/>
      <c r="S45" s="63">
        <v>0.55138888888888882</v>
      </c>
      <c r="T45" s="63">
        <v>0.6381944444444444</v>
      </c>
      <c r="U45" s="445">
        <f t="shared" si="30"/>
        <v>57.999999999999957</v>
      </c>
      <c r="V45" s="449">
        <f t="shared" si="29"/>
        <v>125.00000000000003</v>
      </c>
      <c r="W45" s="64"/>
      <c r="X45" s="64"/>
      <c r="Y45" s="569"/>
      <c r="Z45" s="570"/>
      <c r="AA45" s="61">
        <f t="shared" si="8"/>
        <v>-98.880000000000564</v>
      </c>
      <c r="AB45" s="446">
        <f t="shared" si="9"/>
        <v>0.95879999999999976</v>
      </c>
      <c r="AC45" s="566"/>
    </row>
    <row r="46" spans="1:29">
      <c r="A46" s="583" t="s">
        <v>88</v>
      </c>
      <c r="B46" s="66" t="s">
        <v>585</v>
      </c>
      <c r="C46" s="571"/>
      <c r="D46" s="571"/>
      <c r="E46" s="451"/>
      <c r="F46" s="66"/>
      <c r="G46" s="59"/>
      <c r="H46" s="450"/>
      <c r="I46" s="67">
        <v>17.5</v>
      </c>
      <c r="J46" s="58">
        <v>2400</v>
      </c>
      <c r="K46" s="59">
        <f t="shared" si="1"/>
        <v>137.14285714285714</v>
      </c>
      <c r="L46" s="67">
        <v>17.5</v>
      </c>
      <c r="M46" s="60">
        <f>AVERAGE(M38:M45)</f>
        <v>2314.0856305122716</v>
      </c>
      <c r="N46" s="59">
        <f t="shared" si="3"/>
        <v>132.23346460070124</v>
      </c>
      <c r="O46" s="61">
        <f t="shared" si="4"/>
        <v>0</v>
      </c>
      <c r="P46" s="62">
        <f t="shared" si="5"/>
        <v>-4.9093925421558993</v>
      </c>
      <c r="Q46" s="446">
        <f t="shared" si="6"/>
        <v>0.9642023460467799</v>
      </c>
      <c r="R46" s="566"/>
      <c r="S46" s="63"/>
      <c r="T46" s="63"/>
      <c r="U46" s="59"/>
      <c r="V46" s="449"/>
      <c r="W46" s="59"/>
      <c r="X46" s="59"/>
      <c r="Y46" s="559"/>
      <c r="Z46" s="559"/>
      <c r="AA46" s="61">
        <f t="shared" si="8"/>
        <v>-85.914369487728436</v>
      </c>
      <c r="AB46" s="446">
        <f t="shared" si="9"/>
        <v>0.96420234604677979</v>
      </c>
      <c r="AC46" s="566"/>
    </row>
    <row r="47" spans="1:29" ht="15.75" customHeight="1">
      <c r="A47" s="576" t="s">
        <v>1011</v>
      </c>
      <c r="B47" s="57" t="s">
        <v>31</v>
      </c>
      <c r="C47" s="567" t="s">
        <v>32</v>
      </c>
      <c r="D47" s="568"/>
      <c r="E47" s="57">
        <v>21.13</v>
      </c>
      <c r="F47" s="450">
        <v>5942</v>
      </c>
      <c r="G47" s="445">
        <f t="shared" ref="G47:G55" si="31">E47*F47</f>
        <v>125554.45999999999</v>
      </c>
      <c r="H47" s="457" t="s">
        <v>5</v>
      </c>
      <c r="I47" s="444">
        <v>10</v>
      </c>
      <c r="J47" s="58">
        <v>3000</v>
      </c>
      <c r="K47" s="59">
        <f t="shared" si="1"/>
        <v>300</v>
      </c>
      <c r="L47" s="444">
        <v>10</v>
      </c>
      <c r="M47" s="60">
        <f t="shared" ref="M47:M55" si="32">F47/V47*60</f>
        <v>2852.16</v>
      </c>
      <c r="N47" s="60">
        <f t="shared" si="3"/>
        <v>285.21600000000001</v>
      </c>
      <c r="O47" s="61">
        <f t="shared" si="4"/>
        <v>0</v>
      </c>
      <c r="P47" s="62">
        <f t="shared" si="5"/>
        <v>-14.783999999999992</v>
      </c>
      <c r="Q47" s="446">
        <f t="shared" si="6"/>
        <v>0.95072000000000001</v>
      </c>
      <c r="R47" s="579">
        <f>Q56</f>
        <v>0.96067034726610978</v>
      </c>
      <c r="S47" s="63">
        <v>8.3333333333333329E-2</v>
      </c>
      <c r="T47" s="63">
        <v>0.1701388888888889</v>
      </c>
      <c r="U47" s="68"/>
      <c r="V47" s="449">
        <f t="shared" ref="V47:V55" si="33">(T47-S47)*24*60</f>
        <v>125.00000000000001</v>
      </c>
      <c r="W47" s="64">
        <f>T47</f>
        <v>0.1701388888888889</v>
      </c>
      <c r="X47" s="64">
        <f>S48</f>
        <v>0.18888888888888891</v>
      </c>
      <c r="Y47" s="569"/>
      <c r="Z47" s="570"/>
      <c r="AA47" s="61">
        <f t="shared" si="8"/>
        <v>-147.84000000000015</v>
      </c>
      <c r="AB47" s="446">
        <f t="shared" si="9"/>
        <v>0.9507199999999999</v>
      </c>
      <c r="AC47" s="579">
        <f>AB56</f>
        <v>0.96067034726610978</v>
      </c>
    </row>
    <row r="48" spans="1:29" ht="15.75" customHeight="1">
      <c r="A48" s="577" t="s">
        <v>2057</v>
      </c>
      <c r="B48" s="57" t="s">
        <v>31</v>
      </c>
      <c r="C48" s="567" t="s">
        <v>33</v>
      </c>
      <c r="D48" s="568"/>
      <c r="E48" s="57">
        <v>27.17</v>
      </c>
      <c r="F48" s="450">
        <v>3200</v>
      </c>
      <c r="G48" s="445">
        <f t="shared" si="31"/>
        <v>86944</v>
      </c>
      <c r="H48" s="457">
        <v>2</v>
      </c>
      <c r="I48" s="444">
        <v>10</v>
      </c>
      <c r="J48" s="58">
        <v>3000</v>
      </c>
      <c r="K48" s="59">
        <f t="shared" si="1"/>
        <v>300</v>
      </c>
      <c r="L48" s="444">
        <v>10</v>
      </c>
      <c r="M48" s="60">
        <f t="shared" si="32"/>
        <v>2865.6716417910447</v>
      </c>
      <c r="N48" s="60">
        <f t="shared" si="3"/>
        <v>286.56716417910445</v>
      </c>
      <c r="O48" s="61">
        <f t="shared" si="4"/>
        <v>0</v>
      </c>
      <c r="P48" s="62">
        <f t="shared" si="5"/>
        <v>-13.432835820895548</v>
      </c>
      <c r="Q48" s="446">
        <f t="shared" si="6"/>
        <v>0.9552238805970148</v>
      </c>
      <c r="R48" s="580"/>
      <c r="S48" s="63">
        <v>0.18888888888888891</v>
      </c>
      <c r="T48" s="63">
        <v>0.23541666666666669</v>
      </c>
      <c r="U48" s="445">
        <f t="shared" ref="U48:U55" si="34">(S48-T47)*24*60</f>
        <v>27.000000000000025</v>
      </c>
      <c r="V48" s="449">
        <f t="shared" si="33"/>
        <v>67</v>
      </c>
      <c r="W48" s="64"/>
      <c r="X48" s="64"/>
      <c r="Y48" s="569"/>
      <c r="Z48" s="570"/>
      <c r="AA48" s="61">
        <f t="shared" si="8"/>
        <v>-134.32835820895525</v>
      </c>
      <c r="AB48" s="446">
        <f t="shared" si="9"/>
        <v>0.95522388059701491</v>
      </c>
      <c r="AC48" s="580"/>
    </row>
    <row r="49" spans="1:29" ht="15.75" customHeight="1">
      <c r="A49" s="577" t="s">
        <v>2057</v>
      </c>
      <c r="B49" s="57" t="s">
        <v>31</v>
      </c>
      <c r="C49" s="567" t="s">
        <v>36</v>
      </c>
      <c r="D49" s="568"/>
      <c r="E49" s="57">
        <v>36.14</v>
      </c>
      <c r="F49" s="450">
        <v>1091</v>
      </c>
      <c r="G49" s="445">
        <f t="shared" si="31"/>
        <v>39428.74</v>
      </c>
      <c r="H49" s="457" t="s">
        <v>5</v>
      </c>
      <c r="I49" s="444">
        <v>9</v>
      </c>
      <c r="J49" s="58">
        <v>3000</v>
      </c>
      <c r="K49" s="59">
        <f t="shared" si="1"/>
        <v>333.33333333333331</v>
      </c>
      <c r="L49" s="444">
        <v>9</v>
      </c>
      <c r="M49" s="60">
        <f t="shared" si="32"/>
        <v>2975.4545454545455</v>
      </c>
      <c r="N49" s="60">
        <f t="shared" si="3"/>
        <v>330.60606060606062</v>
      </c>
      <c r="O49" s="61">
        <f t="shared" si="4"/>
        <v>0</v>
      </c>
      <c r="P49" s="62">
        <f t="shared" si="5"/>
        <v>-2.7272727272726911</v>
      </c>
      <c r="Q49" s="446">
        <f t="shared" si="6"/>
        <v>0.99181818181818193</v>
      </c>
      <c r="R49" s="580"/>
      <c r="S49" s="63">
        <v>0.24097222222222225</v>
      </c>
      <c r="T49" s="63">
        <v>0.25625000000000003</v>
      </c>
      <c r="U49" s="445">
        <f t="shared" si="34"/>
        <v>8.0000000000000107</v>
      </c>
      <c r="V49" s="449">
        <f t="shared" si="33"/>
        <v>22</v>
      </c>
      <c r="W49" s="64"/>
      <c r="X49" s="64"/>
      <c r="Y49" s="569"/>
      <c r="Z49" s="570"/>
      <c r="AA49" s="61">
        <f t="shared" si="8"/>
        <v>-24.545454545454504</v>
      </c>
      <c r="AB49" s="446">
        <f t="shared" si="9"/>
        <v>0.99181818181818182</v>
      </c>
      <c r="AC49" s="580"/>
    </row>
    <row r="50" spans="1:29" ht="15.75" customHeight="1">
      <c r="A50" s="577" t="s">
        <v>2057</v>
      </c>
      <c r="B50" s="57" t="s">
        <v>31</v>
      </c>
      <c r="C50" s="567" t="s">
        <v>34</v>
      </c>
      <c r="D50" s="568"/>
      <c r="E50" s="57">
        <v>35.119999999999997</v>
      </c>
      <c r="F50" s="450">
        <v>4881</v>
      </c>
      <c r="G50" s="445">
        <f t="shared" si="31"/>
        <v>171420.72</v>
      </c>
      <c r="H50" s="457" t="s">
        <v>5</v>
      </c>
      <c r="I50" s="444">
        <v>10</v>
      </c>
      <c r="J50" s="58">
        <v>3000</v>
      </c>
      <c r="K50" s="59">
        <f t="shared" si="1"/>
        <v>300</v>
      </c>
      <c r="L50" s="444">
        <v>10</v>
      </c>
      <c r="M50" s="60">
        <f t="shared" si="32"/>
        <v>2871.1764705882338</v>
      </c>
      <c r="N50" s="60">
        <f t="shared" si="3"/>
        <v>287.11764705882337</v>
      </c>
      <c r="O50" s="61">
        <f t="shared" si="4"/>
        <v>0</v>
      </c>
      <c r="P50" s="62">
        <f t="shared" si="5"/>
        <v>-12.882352941176634</v>
      </c>
      <c r="Q50" s="446">
        <f t="shared" si="6"/>
        <v>0.95705882352941118</v>
      </c>
      <c r="R50" s="580"/>
      <c r="S50" s="63">
        <v>0.26180555555555557</v>
      </c>
      <c r="T50" s="63">
        <v>0.33263888888888893</v>
      </c>
      <c r="U50" s="445">
        <f t="shared" si="34"/>
        <v>7.9999999999999716</v>
      </c>
      <c r="V50" s="449">
        <f t="shared" si="33"/>
        <v>102.00000000000004</v>
      </c>
      <c r="W50" s="64"/>
      <c r="X50" s="64"/>
      <c r="Y50" s="569"/>
      <c r="Z50" s="570"/>
      <c r="AA50" s="61">
        <f t="shared" si="8"/>
        <v>-128.82352941176623</v>
      </c>
      <c r="AB50" s="446">
        <f t="shared" si="9"/>
        <v>0.9570588235294113</v>
      </c>
      <c r="AC50" s="580"/>
    </row>
    <row r="51" spans="1:29" ht="15.75" customHeight="1">
      <c r="A51" s="577" t="s">
        <v>1011</v>
      </c>
      <c r="B51" s="57" t="s">
        <v>31</v>
      </c>
      <c r="C51" s="567" t="s">
        <v>71</v>
      </c>
      <c r="D51" s="568"/>
      <c r="E51" s="57">
        <v>31</v>
      </c>
      <c r="F51" s="450">
        <v>1653</v>
      </c>
      <c r="G51" s="445">
        <f t="shared" si="31"/>
        <v>51243</v>
      </c>
      <c r="H51" s="457" t="s">
        <v>5</v>
      </c>
      <c r="I51" s="444">
        <v>13</v>
      </c>
      <c r="J51" s="58">
        <v>2000</v>
      </c>
      <c r="K51" s="59">
        <f t="shared" si="1"/>
        <v>153.84615384615384</v>
      </c>
      <c r="L51" s="444">
        <v>13</v>
      </c>
      <c r="M51" s="60">
        <f t="shared" si="32"/>
        <v>1907.3076923076933</v>
      </c>
      <c r="N51" s="60">
        <f t="shared" si="3"/>
        <v>146.71597633136102</v>
      </c>
      <c r="O51" s="61">
        <f t="shared" si="4"/>
        <v>0</v>
      </c>
      <c r="P51" s="62">
        <f t="shared" si="5"/>
        <v>-7.1301775147928197</v>
      </c>
      <c r="Q51" s="446">
        <f t="shared" si="6"/>
        <v>0.95365384615384663</v>
      </c>
      <c r="R51" s="580"/>
      <c r="S51" s="63">
        <v>0.33819444444444446</v>
      </c>
      <c r="T51" s="63">
        <v>0.37430555555555556</v>
      </c>
      <c r="U51" s="445">
        <f t="shared" si="34"/>
        <v>7.9999999999999716</v>
      </c>
      <c r="V51" s="449">
        <f t="shared" si="33"/>
        <v>51.999999999999972</v>
      </c>
      <c r="W51" s="64"/>
      <c r="X51" s="64"/>
      <c r="Y51" s="569"/>
      <c r="Z51" s="570"/>
      <c r="AA51" s="61">
        <f t="shared" si="8"/>
        <v>-92.692307692306713</v>
      </c>
      <c r="AB51" s="446">
        <f t="shared" si="9"/>
        <v>0.95365384615384663</v>
      </c>
      <c r="AC51" s="580"/>
    </row>
    <row r="52" spans="1:29" ht="15.75" customHeight="1">
      <c r="A52" s="577" t="s">
        <v>1011</v>
      </c>
      <c r="B52" s="57" t="s">
        <v>31</v>
      </c>
      <c r="C52" s="567" t="s">
        <v>659</v>
      </c>
      <c r="D52" s="568"/>
      <c r="E52" s="57">
        <v>37.880000000000003</v>
      </c>
      <c r="F52" s="450">
        <v>3054</v>
      </c>
      <c r="G52" s="445">
        <f t="shared" si="31"/>
        <v>115685.52</v>
      </c>
      <c r="H52" s="457" t="s">
        <v>5</v>
      </c>
      <c r="I52" s="444">
        <v>14</v>
      </c>
      <c r="J52" s="58">
        <v>2000</v>
      </c>
      <c r="K52" s="59">
        <f t="shared" si="1"/>
        <v>142.85714285714286</v>
      </c>
      <c r="L52" s="444">
        <v>14</v>
      </c>
      <c r="M52" s="60">
        <f t="shared" si="32"/>
        <v>1908.7500000000007</v>
      </c>
      <c r="N52" s="60">
        <f t="shared" si="3"/>
        <v>136.33928571428575</v>
      </c>
      <c r="O52" s="61">
        <f t="shared" si="4"/>
        <v>0</v>
      </c>
      <c r="P52" s="62">
        <f t="shared" si="5"/>
        <v>-6.5178571428571104</v>
      </c>
      <c r="Q52" s="446">
        <f t="shared" si="6"/>
        <v>0.9543750000000002</v>
      </c>
      <c r="R52" s="580"/>
      <c r="S52" s="63">
        <v>0.37777777777777777</v>
      </c>
      <c r="T52" s="63">
        <v>0.44444444444444442</v>
      </c>
      <c r="U52" s="445">
        <f t="shared" si="34"/>
        <v>4.9999999999999822</v>
      </c>
      <c r="V52" s="449">
        <f t="shared" si="33"/>
        <v>95.999999999999972</v>
      </c>
      <c r="W52" s="64"/>
      <c r="X52" s="64"/>
      <c r="Y52" s="569"/>
      <c r="Z52" s="570"/>
      <c r="AA52" s="61">
        <f t="shared" si="8"/>
        <v>-91.249999999999318</v>
      </c>
      <c r="AB52" s="446">
        <f t="shared" si="9"/>
        <v>0.95437500000000031</v>
      </c>
      <c r="AC52" s="580"/>
    </row>
    <row r="53" spans="1:29" ht="15.75" customHeight="1">
      <c r="A53" s="577" t="s">
        <v>2057</v>
      </c>
      <c r="B53" s="57" t="s">
        <v>31</v>
      </c>
      <c r="C53" s="567" t="s">
        <v>1778</v>
      </c>
      <c r="D53" s="568"/>
      <c r="E53" s="57">
        <v>32.020000000000003</v>
      </c>
      <c r="F53" s="450">
        <v>3300</v>
      </c>
      <c r="G53" s="445">
        <f t="shared" si="31"/>
        <v>105666.00000000001</v>
      </c>
      <c r="H53" s="457">
        <v>2</v>
      </c>
      <c r="I53" s="444">
        <v>11</v>
      </c>
      <c r="J53" s="58">
        <v>3000</v>
      </c>
      <c r="K53" s="59">
        <f t="shared" si="1"/>
        <v>272.72727272727275</v>
      </c>
      <c r="L53" s="444">
        <v>11</v>
      </c>
      <c r="M53" s="60">
        <f t="shared" si="32"/>
        <v>2869.5652173913045</v>
      </c>
      <c r="N53" s="60">
        <f t="shared" si="3"/>
        <v>260.86956521739131</v>
      </c>
      <c r="O53" s="61">
        <f t="shared" si="4"/>
        <v>0</v>
      </c>
      <c r="P53" s="62">
        <f t="shared" si="5"/>
        <v>-11.857707509881436</v>
      </c>
      <c r="Q53" s="446">
        <f t="shared" si="6"/>
        <v>0.9565217391304347</v>
      </c>
      <c r="R53" s="580"/>
      <c r="S53" s="63">
        <v>0.44861111111111107</v>
      </c>
      <c r="T53" s="63">
        <v>0.49652777777777773</v>
      </c>
      <c r="U53" s="445">
        <f t="shared" si="34"/>
        <v>5.9999999999999787</v>
      </c>
      <c r="V53" s="449">
        <f t="shared" si="33"/>
        <v>69</v>
      </c>
      <c r="W53" s="64">
        <f>T53</f>
        <v>0.49652777777777773</v>
      </c>
      <c r="X53" s="64">
        <f>S54</f>
        <v>0.53819444444444442</v>
      </c>
      <c r="Y53" s="569"/>
      <c r="Z53" s="570"/>
      <c r="AA53" s="61">
        <f t="shared" si="8"/>
        <v>-130.43478260869551</v>
      </c>
      <c r="AB53" s="446">
        <f t="shared" si="9"/>
        <v>0.95652173913043481</v>
      </c>
      <c r="AC53" s="580"/>
    </row>
    <row r="54" spans="1:29" ht="15.75" customHeight="1">
      <c r="A54" s="577" t="s">
        <v>2057</v>
      </c>
      <c r="B54" s="57" t="s">
        <v>31</v>
      </c>
      <c r="C54" s="567" t="s">
        <v>33</v>
      </c>
      <c r="D54" s="568"/>
      <c r="E54" s="57">
        <v>27.17</v>
      </c>
      <c r="F54" s="450">
        <v>4484</v>
      </c>
      <c r="G54" s="445">
        <f t="shared" si="31"/>
        <v>121830.28000000001</v>
      </c>
      <c r="H54" s="457" t="s">
        <v>5</v>
      </c>
      <c r="I54" s="444">
        <v>10</v>
      </c>
      <c r="J54" s="58">
        <v>3000</v>
      </c>
      <c r="K54" s="59">
        <f t="shared" si="1"/>
        <v>300</v>
      </c>
      <c r="L54" s="444">
        <v>10</v>
      </c>
      <c r="M54" s="60">
        <f t="shared" si="32"/>
        <v>2862.1276595744685</v>
      </c>
      <c r="N54" s="60">
        <f t="shared" si="3"/>
        <v>286.21276595744683</v>
      </c>
      <c r="O54" s="61">
        <f t="shared" si="4"/>
        <v>0</v>
      </c>
      <c r="P54" s="62">
        <f t="shared" si="5"/>
        <v>-13.787234042553166</v>
      </c>
      <c r="Q54" s="446">
        <f t="shared" si="6"/>
        <v>0.95404255319148945</v>
      </c>
      <c r="R54" s="580"/>
      <c r="S54" s="63">
        <v>0.53819444444444442</v>
      </c>
      <c r="T54" s="63">
        <v>0.60347222222222219</v>
      </c>
      <c r="U54" s="445">
        <f t="shared" si="34"/>
        <v>60.000000000000028</v>
      </c>
      <c r="V54" s="449">
        <f t="shared" si="33"/>
        <v>93.999999999999986</v>
      </c>
      <c r="W54" s="64"/>
      <c r="X54" s="64"/>
      <c r="Y54" s="569"/>
      <c r="Z54" s="570"/>
      <c r="AA54" s="61">
        <f t="shared" si="8"/>
        <v>-137.87234042553155</v>
      </c>
      <c r="AB54" s="446">
        <f t="shared" si="9"/>
        <v>0.95404255319148945</v>
      </c>
      <c r="AC54" s="580"/>
    </row>
    <row r="55" spans="1:29" ht="15.75" customHeight="1">
      <c r="A55" s="577" t="s">
        <v>2057</v>
      </c>
      <c r="B55" s="57" t="s">
        <v>31</v>
      </c>
      <c r="C55" s="567" t="s">
        <v>1778</v>
      </c>
      <c r="D55" s="568"/>
      <c r="E55" s="57">
        <v>32.020000000000003</v>
      </c>
      <c r="F55" s="450">
        <v>2130</v>
      </c>
      <c r="G55" s="445">
        <f t="shared" si="31"/>
        <v>68202.600000000006</v>
      </c>
      <c r="H55" s="457" t="s">
        <v>5</v>
      </c>
      <c r="I55" s="444">
        <v>11</v>
      </c>
      <c r="J55" s="58">
        <v>3000</v>
      </c>
      <c r="K55" s="59">
        <f t="shared" si="1"/>
        <v>272.72727272727275</v>
      </c>
      <c r="L55" s="444">
        <v>11</v>
      </c>
      <c r="M55" s="60">
        <f t="shared" si="32"/>
        <v>2904.5454545454545</v>
      </c>
      <c r="N55" s="60">
        <f t="shared" si="3"/>
        <v>264.04958677685948</v>
      </c>
      <c r="O55" s="61">
        <f t="shared" si="4"/>
        <v>0</v>
      </c>
      <c r="P55" s="62">
        <f t="shared" si="5"/>
        <v>-8.6776859504132631</v>
      </c>
      <c r="Q55" s="446">
        <f t="shared" si="6"/>
        <v>0.96818181818181803</v>
      </c>
      <c r="R55" s="580"/>
      <c r="S55" s="63">
        <v>0.6069444444444444</v>
      </c>
      <c r="T55" s="63">
        <v>0.63749999999999996</v>
      </c>
      <c r="U55" s="445">
        <f t="shared" si="34"/>
        <v>4.9999999999999822</v>
      </c>
      <c r="V55" s="449">
        <f t="shared" si="33"/>
        <v>44</v>
      </c>
      <c r="W55" s="64"/>
      <c r="X55" s="64"/>
      <c r="Y55" s="569"/>
      <c r="Z55" s="570"/>
      <c r="AA55" s="61">
        <f t="shared" si="8"/>
        <v>-95.454545454545496</v>
      </c>
      <c r="AB55" s="446">
        <f t="shared" si="9"/>
        <v>0.96818181818181814</v>
      </c>
      <c r="AC55" s="580"/>
    </row>
    <row r="56" spans="1:29" ht="15.75" customHeight="1">
      <c r="A56" s="578" t="s">
        <v>1011</v>
      </c>
      <c r="B56" s="57" t="s">
        <v>585</v>
      </c>
      <c r="C56" s="561"/>
      <c r="D56" s="562"/>
      <c r="E56" s="456"/>
      <c r="F56" s="450"/>
      <c r="G56" s="445"/>
      <c r="H56" s="450"/>
      <c r="I56" s="67">
        <v>10.888888888888889</v>
      </c>
      <c r="J56" s="58">
        <v>2777.7777777777778</v>
      </c>
      <c r="K56" s="59">
        <f t="shared" si="1"/>
        <v>255.10204081632654</v>
      </c>
      <c r="L56" s="67">
        <v>10.888888888888889</v>
      </c>
      <c r="M56" s="60">
        <f>AVERAGE(M47:M55)</f>
        <v>2668.5287424058606</v>
      </c>
      <c r="N56" s="59">
        <f t="shared" si="3"/>
        <v>245.06896613931372</v>
      </c>
      <c r="O56" s="61">
        <f t="shared" si="4"/>
        <v>0</v>
      </c>
      <c r="P56" s="62">
        <f t="shared" si="5"/>
        <v>-10.03307467701282</v>
      </c>
      <c r="Q56" s="446">
        <f t="shared" si="6"/>
        <v>0.96067034726610978</v>
      </c>
      <c r="R56" s="581"/>
      <c r="S56" s="63"/>
      <c r="T56" s="63"/>
      <c r="U56" s="445"/>
      <c r="V56" s="449"/>
      <c r="W56" s="64"/>
      <c r="X56" s="64"/>
      <c r="Y56" s="569"/>
      <c r="Z56" s="570"/>
      <c r="AA56" s="61">
        <f t="shared" si="8"/>
        <v>-109.24903537191722</v>
      </c>
      <c r="AB56" s="446">
        <f t="shared" si="9"/>
        <v>0.96067034726610978</v>
      </c>
      <c r="AC56" s="581"/>
    </row>
    <row r="57" spans="1:29" ht="15.75" customHeight="1">
      <c r="A57" s="574" t="s">
        <v>117</v>
      </c>
      <c r="B57" s="57" t="s">
        <v>10</v>
      </c>
      <c r="C57" s="560" t="s">
        <v>37</v>
      </c>
      <c r="D57" s="560"/>
      <c r="E57" s="57">
        <v>46</v>
      </c>
      <c r="F57" s="69">
        <v>1989</v>
      </c>
      <c r="G57" s="445">
        <f t="shared" ref="G57:G63" si="35">E57*F57</f>
        <v>91494</v>
      </c>
      <c r="H57" s="457" t="s">
        <v>5</v>
      </c>
      <c r="I57" s="444">
        <v>17</v>
      </c>
      <c r="J57" s="58">
        <v>2000</v>
      </c>
      <c r="K57" s="59">
        <f t="shared" si="1"/>
        <v>117.64705882352941</v>
      </c>
      <c r="L57" s="444">
        <v>17</v>
      </c>
      <c r="M57" s="60">
        <f t="shared" ref="M57:M63" si="36">F57/V57*60</f>
        <v>1924.83870967742</v>
      </c>
      <c r="N57" s="60">
        <f t="shared" si="3"/>
        <v>113.22580645161294</v>
      </c>
      <c r="O57" s="61">
        <f t="shared" si="4"/>
        <v>0</v>
      </c>
      <c r="P57" s="62">
        <f t="shared" si="5"/>
        <v>-4.4212523719164665</v>
      </c>
      <c r="Q57" s="446">
        <f t="shared" si="6"/>
        <v>0.96241935483871</v>
      </c>
      <c r="R57" s="566">
        <f>Q64</f>
        <v>0.8793352251363451</v>
      </c>
      <c r="S57" s="63">
        <v>0.20833333333333334</v>
      </c>
      <c r="T57" s="63">
        <v>0.25138888888888888</v>
      </c>
      <c r="U57" s="68"/>
      <c r="V57" s="449">
        <f t="shared" ref="V57:V63" si="37">(T57-S57)*24*60</f>
        <v>61.999999999999979</v>
      </c>
      <c r="W57" s="68"/>
      <c r="X57" s="68"/>
      <c r="Y57" s="559"/>
      <c r="Z57" s="559"/>
      <c r="AA57" s="61">
        <f t="shared" si="8"/>
        <v>-75.161290322580044</v>
      </c>
      <c r="AB57" s="446">
        <f t="shared" si="9"/>
        <v>0.96241935483871</v>
      </c>
      <c r="AC57" s="566">
        <f>AB64</f>
        <v>0.8793352251363451</v>
      </c>
    </row>
    <row r="58" spans="1:29" ht="15.75" customHeight="1">
      <c r="A58" s="574" t="s">
        <v>117</v>
      </c>
      <c r="B58" s="57" t="s">
        <v>10</v>
      </c>
      <c r="C58" s="560" t="s">
        <v>38</v>
      </c>
      <c r="D58" s="560"/>
      <c r="E58" s="57">
        <v>46</v>
      </c>
      <c r="F58" s="69">
        <v>2144</v>
      </c>
      <c r="G58" s="445">
        <f t="shared" si="35"/>
        <v>98624</v>
      </c>
      <c r="H58" s="457" t="s">
        <v>5</v>
      </c>
      <c r="I58" s="444">
        <v>17</v>
      </c>
      <c r="J58" s="58">
        <v>2000</v>
      </c>
      <c r="K58" s="59">
        <f t="shared" si="1"/>
        <v>117.64705882352941</v>
      </c>
      <c r="L58" s="444">
        <v>17</v>
      </c>
      <c r="M58" s="60">
        <f t="shared" si="36"/>
        <v>1920</v>
      </c>
      <c r="N58" s="60">
        <f t="shared" si="3"/>
        <v>112.94117647058823</v>
      </c>
      <c r="O58" s="61">
        <f t="shared" si="4"/>
        <v>0</v>
      </c>
      <c r="P58" s="62">
        <f t="shared" si="5"/>
        <v>-4.705882352941174</v>
      </c>
      <c r="Q58" s="446">
        <f t="shared" si="6"/>
        <v>0.96</v>
      </c>
      <c r="R58" s="566"/>
      <c r="S58" s="63">
        <v>0.25555555555555554</v>
      </c>
      <c r="T58" s="63">
        <v>0.30208333333333331</v>
      </c>
      <c r="U58" s="445">
        <f t="shared" ref="U58:U63" si="38">IF(S58=TIME(17,0,0),"",(S58-T57)*24*60)</f>
        <v>5.9999999999999787</v>
      </c>
      <c r="V58" s="449">
        <f t="shared" si="37"/>
        <v>67</v>
      </c>
      <c r="W58" s="64"/>
      <c r="X58" s="64"/>
      <c r="Y58" s="559"/>
      <c r="Z58" s="559"/>
      <c r="AA58" s="61">
        <f t="shared" si="8"/>
        <v>-80</v>
      </c>
      <c r="AB58" s="446">
        <f t="shared" si="9"/>
        <v>0.96</v>
      </c>
      <c r="AC58" s="566"/>
    </row>
    <row r="59" spans="1:29" ht="15.75" customHeight="1">
      <c r="A59" s="574" t="s">
        <v>117</v>
      </c>
      <c r="B59" s="57" t="s">
        <v>6</v>
      </c>
      <c r="C59" s="567" t="s">
        <v>1181</v>
      </c>
      <c r="D59" s="568"/>
      <c r="E59" s="57">
        <v>51.86</v>
      </c>
      <c r="F59" s="69">
        <v>1306</v>
      </c>
      <c r="G59" s="445">
        <f t="shared" si="35"/>
        <v>67729.16</v>
      </c>
      <c r="H59" s="457" t="s">
        <v>5</v>
      </c>
      <c r="I59" s="444">
        <v>25</v>
      </c>
      <c r="J59" s="58">
        <v>2000</v>
      </c>
      <c r="K59" s="59">
        <f t="shared" si="1"/>
        <v>80</v>
      </c>
      <c r="L59" s="444">
        <v>25</v>
      </c>
      <c r="M59" s="60">
        <f t="shared" si="36"/>
        <v>1284.5901639344258</v>
      </c>
      <c r="N59" s="60">
        <f t="shared" si="3"/>
        <v>51.383606557377036</v>
      </c>
      <c r="O59" s="61">
        <f t="shared" si="4"/>
        <v>0</v>
      </c>
      <c r="P59" s="62">
        <f t="shared" si="5"/>
        <v>-28.616393442622964</v>
      </c>
      <c r="Q59" s="446">
        <f t="shared" si="6"/>
        <v>0.64229508196721297</v>
      </c>
      <c r="R59" s="566"/>
      <c r="S59" s="63">
        <v>0.30624999999999997</v>
      </c>
      <c r="T59" s="63">
        <v>0.34861111111111109</v>
      </c>
      <c r="U59" s="445">
        <f t="shared" si="38"/>
        <v>5.9999999999999787</v>
      </c>
      <c r="V59" s="449">
        <f t="shared" si="37"/>
        <v>61.000000000000021</v>
      </c>
      <c r="W59" s="64"/>
      <c r="X59" s="64"/>
      <c r="Y59" s="447"/>
      <c r="Z59" s="448"/>
      <c r="AA59" s="61">
        <f t="shared" si="8"/>
        <v>-715.40983606557415</v>
      </c>
      <c r="AB59" s="446">
        <f t="shared" si="9"/>
        <v>0.64229508196721297</v>
      </c>
      <c r="AC59" s="566"/>
    </row>
    <row r="60" spans="1:29" ht="15.75" customHeight="1">
      <c r="A60" s="574" t="s">
        <v>2058</v>
      </c>
      <c r="B60" s="57" t="s">
        <v>6</v>
      </c>
      <c r="C60" s="454" t="s">
        <v>1182</v>
      </c>
      <c r="D60" s="455"/>
      <c r="E60" s="57">
        <v>56.43</v>
      </c>
      <c r="F60" s="69">
        <v>2544</v>
      </c>
      <c r="G60" s="445">
        <f t="shared" si="35"/>
        <v>143557.92000000001</v>
      </c>
      <c r="H60" s="457" t="s">
        <v>5</v>
      </c>
      <c r="I60" s="444">
        <v>22</v>
      </c>
      <c r="J60" s="58">
        <v>2000</v>
      </c>
      <c r="K60" s="59">
        <f t="shared" si="1"/>
        <v>90.909090909090907</v>
      </c>
      <c r="L60" s="444">
        <v>22</v>
      </c>
      <c r="M60" s="60">
        <f t="shared" si="36"/>
        <v>1426.5420560747662</v>
      </c>
      <c r="N60" s="60">
        <f t="shared" si="3"/>
        <v>64.842820730671193</v>
      </c>
      <c r="O60" s="61">
        <f t="shared" si="4"/>
        <v>0</v>
      </c>
      <c r="P60" s="62">
        <f t="shared" si="5"/>
        <v>-26.066270178419714</v>
      </c>
      <c r="Q60" s="446">
        <f t="shared" si="6"/>
        <v>0.71327102803738318</v>
      </c>
      <c r="R60" s="566"/>
      <c r="S60" s="63">
        <v>0.3520833333333333</v>
      </c>
      <c r="T60" s="63">
        <v>0.42638888888888887</v>
      </c>
      <c r="U60" s="445">
        <f t="shared" si="38"/>
        <v>4.9999999999999822</v>
      </c>
      <c r="V60" s="449">
        <f t="shared" si="37"/>
        <v>107.00000000000001</v>
      </c>
      <c r="W60" s="64"/>
      <c r="X60" s="64"/>
      <c r="Y60" s="447"/>
      <c r="Z60" s="448"/>
      <c r="AA60" s="61">
        <f t="shared" si="8"/>
        <v>-573.45794392523385</v>
      </c>
      <c r="AB60" s="446">
        <f t="shared" si="9"/>
        <v>0.71327102803738307</v>
      </c>
      <c r="AC60" s="566"/>
    </row>
    <row r="61" spans="1:29" ht="15.75" customHeight="1">
      <c r="A61" s="574" t="s">
        <v>117</v>
      </c>
      <c r="B61" s="57" t="s">
        <v>6</v>
      </c>
      <c r="C61" s="454" t="s">
        <v>39</v>
      </c>
      <c r="D61" s="455"/>
      <c r="E61" s="57">
        <v>55.56</v>
      </c>
      <c r="F61" s="69">
        <v>2307</v>
      </c>
      <c r="G61" s="445">
        <f t="shared" si="35"/>
        <v>128176.92</v>
      </c>
      <c r="H61" s="457" t="s">
        <v>5</v>
      </c>
      <c r="I61" s="444">
        <v>17</v>
      </c>
      <c r="J61" s="58">
        <v>2000</v>
      </c>
      <c r="K61" s="59">
        <f t="shared" si="1"/>
        <v>117.64705882352941</v>
      </c>
      <c r="L61" s="444">
        <v>17</v>
      </c>
      <c r="M61" s="60">
        <f t="shared" si="36"/>
        <v>1922.4999999999986</v>
      </c>
      <c r="N61" s="60">
        <f t="shared" si="3"/>
        <v>113.08823529411757</v>
      </c>
      <c r="O61" s="61">
        <f t="shared" si="4"/>
        <v>0</v>
      </c>
      <c r="P61" s="62">
        <f t="shared" si="5"/>
        <v>-4.5588235294118391</v>
      </c>
      <c r="Q61" s="446">
        <f t="shared" si="6"/>
        <v>0.96124999999999938</v>
      </c>
      <c r="R61" s="566"/>
      <c r="S61" s="63">
        <v>0.70833333333333337</v>
      </c>
      <c r="T61" s="63">
        <v>0.75833333333333341</v>
      </c>
      <c r="U61" s="445" t="str">
        <f t="shared" si="38"/>
        <v/>
      </c>
      <c r="V61" s="449">
        <f t="shared" si="37"/>
        <v>72.000000000000057</v>
      </c>
      <c r="W61" s="64"/>
      <c r="X61" s="64"/>
      <c r="Y61" s="447"/>
      <c r="Z61" s="448"/>
      <c r="AA61" s="61">
        <f t="shared" si="8"/>
        <v>-77.500000000001364</v>
      </c>
      <c r="AB61" s="446">
        <f t="shared" si="9"/>
        <v>0.96124999999999927</v>
      </c>
      <c r="AC61" s="566"/>
    </row>
    <row r="62" spans="1:29" ht="15.75" customHeight="1">
      <c r="A62" s="574" t="s">
        <v>117</v>
      </c>
      <c r="B62" s="57" t="s">
        <v>6</v>
      </c>
      <c r="C62" s="567" t="s">
        <v>40</v>
      </c>
      <c r="D62" s="568"/>
      <c r="E62" s="57">
        <v>55.32</v>
      </c>
      <c r="F62" s="69">
        <v>1721</v>
      </c>
      <c r="G62" s="445">
        <f t="shared" si="35"/>
        <v>95205.72</v>
      </c>
      <c r="H62" s="457" t="s">
        <v>5</v>
      </c>
      <c r="I62" s="444">
        <v>15</v>
      </c>
      <c r="J62" s="58">
        <v>2000</v>
      </c>
      <c r="K62" s="59">
        <f t="shared" si="1"/>
        <v>133.33333333333334</v>
      </c>
      <c r="L62" s="444">
        <v>15</v>
      </c>
      <c r="M62" s="60">
        <f t="shared" si="36"/>
        <v>1912.2222222222233</v>
      </c>
      <c r="N62" s="60">
        <f t="shared" si="3"/>
        <v>127.48148148148155</v>
      </c>
      <c r="O62" s="61">
        <f t="shared" si="4"/>
        <v>0</v>
      </c>
      <c r="P62" s="62">
        <f t="shared" si="5"/>
        <v>-5.8518518518517908</v>
      </c>
      <c r="Q62" s="446">
        <f t="shared" si="6"/>
        <v>0.95611111111111158</v>
      </c>
      <c r="R62" s="566"/>
      <c r="S62" s="63">
        <v>0.76388888888888895</v>
      </c>
      <c r="T62" s="63">
        <v>0.80138888888888893</v>
      </c>
      <c r="U62" s="445">
        <f t="shared" si="38"/>
        <v>7.9999999999999716</v>
      </c>
      <c r="V62" s="449">
        <f t="shared" si="37"/>
        <v>53.999999999999972</v>
      </c>
      <c r="W62" s="64"/>
      <c r="X62" s="64"/>
      <c r="Y62" s="569"/>
      <c r="Z62" s="570"/>
      <c r="AA62" s="61">
        <f t="shared" si="8"/>
        <v>-87.777777777776691</v>
      </c>
      <c r="AB62" s="446">
        <f t="shared" si="9"/>
        <v>0.95611111111111169</v>
      </c>
      <c r="AC62" s="566"/>
    </row>
    <row r="63" spans="1:29" ht="15.75" customHeight="1">
      <c r="A63" s="574" t="s">
        <v>2058</v>
      </c>
      <c r="B63" s="57" t="s">
        <v>6</v>
      </c>
      <c r="C63" s="567" t="s">
        <v>94</v>
      </c>
      <c r="D63" s="568"/>
      <c r="E63" s="57">
        <v>57.3</v>
      </c>
      <c r="F63" s="69">
        <v>2528</v>
      </c>
      <c r="G63" s="445">
        <f t="shared" si="35"/>
        <v>144854.39999999999</v>
      </c>
      <c r="H63" s="457" t="s">
        <v>5</v>
      </c>
      <c r="I63" s="444">
        <v>13</v>
      </c>
      <c r="J63" s="58">
        <v>2000</v>
      </c>
      <c r="K63" s="59">
        <f t="shared" si="1"/>
        <v>153.84615384615384</v>
      </c>
      <c r="L63" s="444">
        <v>13</v>
      </c>
      <c r="M63" s="60">
        <f t="shared" si="36"/>
        <v>1919.9999999999989</v>
      </c>
      <c r="N63" s="60">
        <f t="shared" si="3"/>
        <v>147.69230769230759</v>
      </c>
      <c r="O63" s="61">
        <f t="shared" si="4"/>
        <v>0</v>
      </c>
      <c r="P63" s="62">
        <f t="shared" si="5"/>
        <v>-6.1538461538462457</v>
      </c>
      <c r="Q63" s="446">
        <f t="shared" si="6"/>
        <v>0.95999999999999941</v>
      </c>
      <c r="R63" s="566"/>
      <c r="S63" s="63">
        <v>0.80694444444444446</v>
      </c>
      <c r="T63" s="63">
        <v>0.8618055555555556</v>
      </c>
      <c r="U63" s="445">
        <f t="shared" si="38"/>
        <v>7.9999999999999716</v>
      </c>
      <c r="V63" s="449">
        <f t="shared" si="37"/>
        <v>79.000000000000043</v>
      </c>
      <c r="W63" s="64"/>
      <c r="X63" s="64"/>
      <c r="Y63" s="569"/>
      <c r="Z63" s="570"/>
      <c r="AA63" s="61">
        <f t="shared" si="8"/>
        <v>-80.000000000001137</v>
      </c>
      <c r="AB63" s="446">
        <f t="shared" si="9"/>
        <v>0.95999999999999941</v>
      </c>
      <c r="AC63" s="566"/>
    </row>
    <row r="64" spans="1:29">
      <c r="A64" s="575" t="s">
        <v>2058</v>
      </c>
      <c r="B64" s="57" t="s">
        <v>2051</v>
      </c>
      <c r="C64" s="571"/>
      <c r="D64" s="571"/>
      <c r="E64" s="451"/>
      <c r="F64" s="66"/>
      <c r="G64" s="59"/>
      <c r="H64" s="450"/>
      <c r="I64" s="67">
        <v>18</v>
      </c>
      <c r="J64" s="58">
        <v>2000</v>
      </c>
      <c r="K64" s="59">
        <f t="shared" si="1"/>
        <v>111.11111111111111</v>
      </c>
      <c r="L64" s="67">
        <v>18</v>
      </c>
      <c r="M64" s="60">
        <f>AVERAGE(M57:M63)</f>
        <v>1758.6704502726902</v>
      </c>
      <c r="N64" s="59">
        <f t="shared" si="3"/>
        <v>97.703913904038345</v>
      </c>
      <c r="O64" s="61">
        <f t="shared" si="4"/>
        <v>0</v>
      </c>
      <c r="P64" s="62">
        <f t="shared" si="5"/>
        <v>-13.40719720707277</v>
      </c>
      <c r="Q64" s="446">
        <f t="shared" si="6"/>
        <v>0.8793352251363451</v>
      </c>
      <c r="R64" s="566"/>
      <c r="S64" s="70"/>
      <c r="T64" s="63"/>
      <c r="U64" s="59"/>
      <c r="V64" s="449"/>
      <c r="W64" s="59"/>
      <c r="X64" s="59"/>
      <c r="Y64" s="559"/>
      <c r="Z64" s="559"/>
      <c r="AA64" s="61">
        <f t="shared" si="8"/>
        <v>-241.32954972730977</v>
      </c>
      <c r="AB64" s="446">
        <f t="shared" si="9"/>
        <v>0.8793352251363451</v>
      </c>
      <c r="AC64" s="566"/>
    </row>
    <row r="65" spans="1:29" ht="15.75" customHeight="1">
      <c r="A65" s="572" t="s">
        <v>93</v>
      </c>
      <c r="B65" s="450" t="s">
        <v>10</v>
      </c>
      <c r="C65" s="560" t="s">
        <v>42</v>
      </c>
      <c r="D65" s="560"/>
      <c r="E65" s="57">
        <v>26.97</v>
      </c>
      <c r="F65" s="69">
        <v>2790</v>
      </c>
      <c r="G65" s="445">
        <f t="shared" ref="G65:G69" si="39">E65*F65</f>
        <v>75246.3</v>
      </c>
      <c r="H65" s="457" t="s">
        <v>5</v>
      </c>
      <c r="I65" s="444">
        <v>8</v>
      </c>
      <c r="J65" s="58">
        <v>1500</v>
      </c>
      <c r="K65" s="59">
        <f t="shared" si="1"/>
        <v>187.5</v>
      </c>
      <c r="L65" s="444">
        <v>8</v>
      </c>
      <c r="M65" s="60">
        <f t="shared" ref="M65:M69" si="40">F65/V65*60</f>
        <v>1430.7692307692305</v>
      </c>
      <c r="N65" s="59">
        <f t="shared" si="3"/>
        <v>178.84615384615381</v>
      </c>
      <c r="O65" s="61">
        <f t="shared" si="4"/>
        <v>0</v>
      </c>
      <c r="P65" s="62">
        <f t="shared" si="5"/>
        <v>-8.6538461538461888</v>
      </c>
      <c r="Q65" s="446">
        <f t="shared" si="6"/>
        <v>0.95384615384615368</v>
      </c>
      <c r="R65" s="566">
        <f>Q70</f>
        <v>0.96037412108963793</v>
      </c>
      <c r="S65" s="63">
        <v>0.20833333333333334</v>
      </c>
      <c r="T65" s="63">
        <v>0.28958333333333336</v>
      </c>
      <c r="U65" s="445"/>
      <c r="V65" s="449">
        <f t="shared" ref="V65:V69" si="41">(T65-S65)*24*60</f>
        <v>117.00000000000003</v>
      </c>
      <c r="W65" s="68"/>
      <c r="X65" s="68"/>
      <c r="Y65" s="559"/>
      <c r="Z65" s="559"/>
      <c r="AA65" s="61">
        <f t="shared" si="8"/>
        <v>-69.230769230769511</v>
      </c>
      <c r="AB65" s="446">
        <f t="shared" si="9"/>
        <v>0.95384615384615368</v>
      </c>
      <c r="AC65" s="566">
        <f>AB70</f>
        <v>0.96037412108963816</v>
      </c>
    </row>
    <row r="66" spans="1:29" ht="15.75" customHeight="1">
      <c r="A66" s="572" t="s">
        <v>93</v>
      </c>
      <c r="B66" s="450" t="s">
        <v>31</v>
      </c>
      <c r="C66" s="560" t="s">
        <v>41</v>
      </c>
      <c r="D66" s="560"/>
      <c r="E66" s="57">
        <v>26.78</v>
      </c>
      <c r="F66" s="69">
        <v>2802</v>
      </c>
      <c r="G66" s="445">
        <f t="shared" si="39"/>
        <v>75037.56</v>
      </c>
      <c r="H66" s="457" t="s">
        <v>5</v>
      </c>
      <c r="I66" s="444">
        <v>10</v>
      </c>
      <c r="J66" s="58">
        <v>3000</v>
      </c>
      <c r="K66" s="59">
        <f t="shared" si="1"/>
        <v>300</v>
      </c>
      <c r="L66" s="444">
        <v>10</v>
      </c>
      <c r="M66" s="60">
        <f t="shared" si="40"/>
        <v>2898.6206896551707</v>
      </c>
      <c r="N66" s="59">
        <f t="shared" si="3"/>
        <v>289.8620689655171</v>
      </c>
      <c r="O66" s="61">
        <f t="shared" si="4"/>
        <v>0</v>
      </c>
      <c r="P66" s="62">
        <f t="shared" si="5"/>
        <v>-10.137931034482904</v>
      </c>
      <c r="Q66" s="446">
        <f t="shared" si="6"/>
        <v>0.96620689655172365</v>
      </c>
      <c r="R66" s="566"/>
      <c r="S66" s="63">
        <v>0.2951388888888889</v>
      </c>
      <c r="T66" s="63">
        <v>0.3354166666666667</v>
      </c>
      <c r="U66" s="445">
        <f t="shared" ref="U66:U69" si="42">(S66-T65)*24*60</f>
        <v>7.9999999999999716</v>
      </c>
      <c r="V66" s="449">
        <f t="shared" si="41"/>
        <v>58.000000000000036</v>
      </c>
      <c r="W66" s="445"/>
      <c r="X66" s="445"/>
      <c r="Y66" s="559"/>
      <c r="Z66" s="559"/>
      <c r="AA66" s="61">
        <f t="shared" si="8"/>
        <v>-101.37931034482926</v>
      </c>
      <c r="AB66" s="446">
        <f t="shared" si="9"/>
        <v>0.96620689655172354</v>
      </c>
      <c r="AC66" s="566"/>
    </row>
    <row r="67" spans="1:29" ht="15.75" customHeight="1">
      <c r="A67" s="572" t="s">
        <v>93</v>
      </c>
      <c r="B67" s="450" t="s">
        <v>31</v>
      </c>
      <c r="C67" s="560" t="s">
        <v>64</v>
      </c>
      <c r="D67" s="560"/>
      <c r="E67" s="57">
        <v>37.880000000000003</v>
      </c>
      <c r="F67" s="69">
        <v>2664</v>
      </c>
      <c r="G67" s="445">
        <f t="shared" si="39"/>
        <v>100912.32000000001</v>
      </c>
      <c r="H67" s="457" t="s">
        <v>5</v>
      </c>
      <c r="I67" s="444">
        <v>10</v>
      </c>
      <c r="J67" s="58">
        <v>3000</v>
      </c>
      <c r="K67" s="59">
        <f t="shared" si="1"/>
        <v>300</v>
      </c>
      <c r="L67" s="444">
        <v>10</v>
      </c>
      <c r="M67" s="60">
        <f t="shared" si="40"/>
        <v>2854.2857142857165</v>
      </c>
      <c r="N67" s="59">
        <f t="shared" si="3"/>
        <v>285.42857142857167</v>
      </c>
      <c r="O67" s="61">
        <f t="shared" si="4"/>
        <v>0</v>
      </c>
      <c r="P67" s="62">
        <f t="shared" si="5"/>
        <v>-14.571428571428328</v>
      </c>
      <c r="Q67" s="446">
        <f t="shared" si="6"/>
        <v>0.95142857142857229</v>
      </c>
      <c r="R67" s="566"/>
      <c r="S67" s="63">
        <v>0.34097222222222223</v>
      </c>
      <c r="T67" s="63">
        <v>0.37986111111111109</v>
      </c>
      <c r="U67" s="445">
        <f t="shared" si="42"/>
        <v>7.9999999999999716</v>
      </c>
      <c r="V67" s="449">
        <f t="shared" si="41"/>
        <v>55.999999999999957</v>
      </c>
      <c r="W67" s="445"/>
      <c r="X67" s="445"/>
      <c r="Y67" s="559"/>
      <c r="Z67" s="559"/>
      <c r="AA67" s="61">
        <f t="shared" si="8"/>
        <v>-145.71428571428351</v>
      </c>
      <c r="AB67" s="446">
        <f t="shared" si="9"/>
        <v>0.95142857142857218</v>
      </c>
      <c r="AC67" s="566"/>
    </row>
    <row r="68" spans="1:29" ht="15.75" customHeight="1">
      <c r="A68" s="572" t="s">
        <v>2059</v>
      </c>
      <c r="B68" s="450" t="s">
        <v>31</v>
      </c>
      <c r="C68" s="560" t="s">
        <v>35</v>
      </c>
      <c r="D68" s="560"/>
      <c r="E68" s="57">
        <v>35.869999999999997</v>
      </c>
      <c r="F68" s="69">
        <v>3066</v>
      </c>
      <c r="G68" s="445">
        <f t="shared" si="39"/>
        <v>109977.42</v>
      </c>
      <c r="H68" s="457" t="s">
        <v>5</v>
      </c>
      <c r="I68" s="444">
        <v>9</v>
      </c>
      <c r="J68" s="58">
        <v>3000</v>
      </c>
      <c r="K68" s="59">
        <f t="shared" si="1"/>
        <v>333.33333333333331</v>
      </c>
      <c r="L68" s="444">
        <v>9</v>
      </c>
      <c r="M68" s="60">
        <f t="shared" si="40"/>
        <v>2874.3749999999995</v>
      </c>
      <c r="N68" s="59">
        <f t="shared" si="3"/>
        <v>319.37499999999994</v>
      </c>
      <c r="O68" s="61">
        <f t="shared" si="4"/>
        <v>0</v>
      </c>
      <c r="P68" s="62">
        <f t="shared" si="5"/>
        <v>-13.958333333333371</v>
      </c>
      <c r="Q68" s="446">
        <f t="shared" si="6"/>
        <v>0.95812499999999989</v>
      </c>
      <c r="R68" s="566"/>
      <c r="S68" s="63">
        <v>0.38402777777777775</v>
      </c>
      <c r="T68" s="63">
        <v>0.4284722222222222</v>
      </c>
      <c r="U68" s="445">
        <f t="shared" si="42"/>
        <v>5.9999999999999787</v>
      </c>
      <c r="V68" s="449">
        <f t="shared" si="41"/>
        <v>64.000000000000014</v>
      </c>
      <c r="W68" s="445"/>
      <c r="X68" s="445"/>
      <c r="Y68" s="559"/>
      <c r="Z68" s="559"/>
      <c r="AA68" s="61">
        <f t="shared" si="8"/>
        <v>-125.62500000000045</v>
      </c>
      <c r="AB68" s="446">
        <f t="shared" si="9"/>
        <v>0.95812499999999989</v>
      </c>
      <c r="AC68" s="566"/>
    </row>
    <row r="69" spans="1:29">
      <c r="A69" s="573" t="s">
        <v>93</v>
      </c>
      <c r="B69" s="450" t="s">
        <v>31</v>
      </c>
      <c r="C69" s="560" t="s">
        <v>63</v>
      </c>
      <c r="D69" s="560"/>
      <c r="E69" s="57">
        <v>34.36</v>
      </c>
      <c r="F69" s="69">
        <v>1938</v>
      </c>
      <c r="G69" s="445">
        <f t="shared" si="39"/>
        <v>66589.679999999993</v>
      </c>
      <c r="H69" s="457" t="s">
        <v>5</v>
      </c>
      <c r="I69" s="444">
        <v>10</v>
      </c>
      <c r="J69" s="58">
        <v>3000</v>
      </c>
      <c r="K69" s="59">
        <f t="shared" ref="K69:K77" si="43">J69/I69</f>
        <v>300</v>
      </c>
      <c r="L69" s="444">
        <v>10</v>
      </c>
      <c r="M69" s="60">
        <f t="shared" si="40"/>
        <v>2906.9999999999991</v>
      </c>
      <c r="N69" s="59">
        <f t="shared" ref="N69:N77" si="44">M69/L69</f>
        <v>290.69999999999993</v>
      </c>
      <c r="O69" s="61">
        <f t="shared" ref="O69:O77" si="45">L69-I69</f>
        <v>0</v>
      </c>
      <c r="P69" s="62">
        <f t="shared" ref="P69:P77" si="46">N69-K69</f>
        <v>-9.3000000000000682</v>
      </c>
      <c r="Q69" s="446">
        <f t="shared" ref="Q69:Q77" si="47">N69/K69</f>
        <v>0.96899999999999975</v>
      </c>
      <c r="R69" s="566"/>
      <c r="S69" s="63">
        <v>0.43333333333333329</v>
      </c>
      <c r="T69" s="63">
        <v>0.46111111111111108</v>
      </c>
      <c r="U69" s="445">
        <f t="shared" si="42"/>
        <v>6.9999999999999751</v>
      </c>
      <c r="V69" s="449">
        <f t="shared" si="41"/>
        <v>40.000000000000014</v>
      </c>
      <c r="W69" s="64"/>
      <c r="X69" s="64"/>
      <c r="Y69" s="559"/>
      <c r="Z69" s="559"/>
      <c r="AA69" s="61">
        <f t="shared" ref="AA69:AA77" si="48">M69-J69</f>
        <v>-93.000000000000909</v>
      </c>
      <c r="AB69" s="446">
        <f t="shared" ref="AB69:AB77" si="49">M69/J69</f>
        <v>0.96899999999999975</v>
      </c>
      <c r="AC69" s="566"/>
    </row>
    <row r="70" spans="1:29">
      <c r="A70" s="573" t="s">
        <v>2060</v>
      </c>
      <c r="B70" s="57" t="s">
        <v>2061</v>
      </c>
      <c r="C70" s="571"/>
      <c r="D70" s="571"/>
      <c r="E70" s="451"/>
      <c r="F70" s="66"/>
      <c r="G70" s="59"/>
      <c r="H70" s="450"/>
      <c r="I70" s="67">
        <v>9.4</v>
      </c>
      <c r="J70" s="58">
        <v>2700</v>
      </c>
      <c r="K70" s="59">
        <f t="shared" si="43"/>
        <v>287.2340425531915</v>
      </c>
      <c r="L70" s="67">
        <v>9.4</v>
      </c>
      <c r="M70" s="60">
        <f>AVERAGE(M65:M69)</f>
        <v>2593.0101269420229</v>
      </c>
      <c r="N70" s="59">
        <f t="shared" si="44"/>
        <v>275.85214116404495</v>
      </c>
      <c r="O70" s="61">
        <f t="shared" si="45"/>
        <v>0</v>
      </c>
      <c r="P70" s="62">
        <f t="shared" si="46"/>
        <v>-11.381901389146549</v>
      </c>
      <c r="Q70" s="446">
        <f t="shared" si="47"/>
        <v>0.96037412108963793</v>
      </c>
      <c r="R70" s="566"/>
      <c r="S70" s="63"/>
      <c r="T70" s="63"/>
      <c r="U70" s="59"/>
      <c r="V70" s="449"/>
      <c r="W70" s="59"/>
      <c r="X70" s="59"/>
      <c r="Y70" s="559"/>
      <c r="Z70" s="559"/>
      <c r="AA70" s="61">
        <f t="shared" si="48"/>
        <v>-106.98987305797709</v>
      </c>
      <c r="AB70" s="446">
        <f t="shared" si="49"/>
        <v>0.96037412108963816</v>
      </c>
      <c r="AC70" s="566"/>
    </row>
    <row r="71" spans="1:29" ht="15.75" customHeight="1">
      <c r="A71" s="563" t="s">
        <v>2062</v>
      </c>
      <c r="B71" s="450" t="s">
        <v>15</v>
      </c>
      <c r="C71" s="560" t="s">
        <v>43</v>
      </c>
      <c r="D71" s="560"/>
      <c r="E71" s="57">
        <v>20.2</v>
      </c>
      <c r="F71" s="450">
        <v>2636</v>
      </c>
      <c r="G71" s="445">
        <f t="shared" ref="G71:G76" si="50">E71*F71</f>
        <v>53247.199999999997</v>
      </c>
      <c r="H71" s="457" t="s">
        <v>5</v>
      </c>
      <c r="I71" s="444">
        <v>19</v>
      </c>
      <c r="J71" s="58">
        <v>2400</v>
      </c>
      <c r="K71" s="59">
        <f t="shared" si="43"/>
        <v>126.31578947368421</v>
      </c>
      <c r="L71" s="444">
        <v>19</v>
      </c>
      <c r="M71" s="60">
        <f t="shared" ref="M71:M76" si="51">F71/V71*60</f>
        <v>2292.1739130434794</v>
      </c>
      <c r="N71" s="59">
        <f t="shared" si="44"/>
        <v>120.64073226544629</v>
      </c>
      <c r="O71" s="61">
        <f t="shared" si="45"/>
        <v>0</v>
      </c>
      <c r="P71" s="62">
        <f t="shared" si="46"/>
        <v>-5.6750572082379165</v>
      </c>
      <c r="Q71" s="446">
        <f t="shared" si="47"/>
        <v>0.9550724637681165</v>
      </c>
      <c r="R71" s="566">
        <f>Q77</f>
        <v>0.95523283573695195</v>
      </c>
      <c r="S71" s="63">
        <v>8.3333333333333329E-2</v>
      </c>
      <c r="T71" s="63">
        <v>0.13124999999999998</v>
      </c>
      <c r="U71" s="68"/>
      <c r="V71" s="449">
        <f t="shared" ref="V71:V76" si="52">(T71-S71)*24*60</f>
        <v>68.999999999999972</v>
      </c>
      <c r="W71" s="64">
        <f>T71</f>
        <v>0.13124999999999998</v>
      </c>
      <c r="X71" s="64">
        <f>S72</f>
        <v>0.14999999999999997</v>
      </c>
      <c r="Y71" s="559"/>
      <c r="Z71" s="559"/>
      <c r="AA71" s="61">
        <f t="shared" si="48"/>
        <v>-107.82608695652061</v>
      </c>
      <c r="AB71" s="446">
        <f t="shared" si="49"/>
        <v>0.95507246376811639</v>
      </c>
      <c r="AC71" s="566">
        <f>AB77</f>
        <v>0.95523283573695195</v>
      </c>
    </row>
    <row r="72" spans="1:29" ht="15.75" customHeight="1">
      <c r="A72" s="564" t="s">
        <v>2062</v>
      </c>
      <c r="B72" s="450" t="s">
        <v>15</v>
      </c>
      <c r="C72" s="560" t="s">
        <v>24</v>
      </c>
      <c r="D72" s="560"/>
      <c r="E72" s="57">
        <v>20.52</v>
      </c>
      <c r="F72" s="450">
        <v>3663</v>
      </c>
      <c r="G72" s="445">
        <f t="shared" si="50"/>
        <v>75164.759999999995</v>
      </c>
      <c r="H72" s="457" t="s">
        <v>5</v>
      </c>
      <c r="I72" s="444">
        <v>18</v>
      </c>
      <c r="J72" s="58">
        <v>2400</v>
      </c>
      <c r="K72" s="59">
        <f t="shared" si="43"/>
        <v>133.33333333333334</v>
      </c>
      <c r="L72" s="444">
        <v>18</v>
      </c>
      <c r="M72" s="60">
        <f t="shared" si="51"/>
        <v>2289.3750000000009</v>
      </c>
      <c r="N72" s="59">
        <f t="shared" si="44"/>
        <v>127.18750000000006</v>
      </c>
      <c r="O72" s="61">
        <f t="shared" si="45"/>
        <v>0</v>
      </c>
      <c r="P72" s="62">
        <f t="shared" si="46"/>
        <v>-6.145833333333286</v>
      </c>
      <c r="Q72" s="446">
        <f t="shared" si="47"/>
        <v>0.9539062500000004</v>
      </c>
      <c r="R72" s="566"/>
      <c r="S72" s="63">
        <v>0.14999999999999997</v>
      </c>
      <c r="T72" s="63">
        <v>0.21666666666666662</v>
      </c>
      <c r="U72" s="445">
        <f t="shared" ref="U72:U76" si="53">(S72-T71)*24*60</f>
        <v>26.999999999999986</v>
      </c>
      <c r="V72" s="449">
        <f t="shared" si="52"/>
        <v>95.999999999999972</v>
      </c>
      <c r="W72" s="64"/>
      <c r="X72" s="64"/>
      <c r="Y72" s="559"/>
      <c r="Z72" s="559"/>
      <c r="AA72" s="61">
        <f t="shared" si="48"/>
        <v>-110.62499999999909</v>
      </c>
      <c r="AB72" s="446">
        <f t="shared" si="49"/>
        <v>0.9539062500000004</v>
      </c>
      <c r="AC72" s="566"/>
    </row>
    <row r="73" spans="1:29" ht="15.75" customHeight="1">
      <c r="A73" s="564" t="s">
        <v>2062</v>
      </c>
      <c r="B73" s="450" t="s">
        <v>15</v>
      </c>
      <c r="C73" s="560" t="s">
        <v>29</v>
      </c>
      <c r="D73" s="560"/>
      <c r="E73" s="57">
        <v>24.43</v>
      </c>
      <c r="F73" s="450">
        <v>7568</v>
      </c>
      <c r="G73" s="445">
        <f t="shared" si="50"/>
        <v>184886.24</v>
      </c>
      <c r="H73" s="457" t="s">
        <v>5</v>
      </c>
      <c r="I73" s="444">
        <v>14</v>
      </c>
      <c r="J73" s="58">
        <v>2400</v>
      </c>
      <c r="K73" s="59">
        <f t="shared" si="43"/>
        <v>171.42857142857142</v>
      </c>
      <c r="L73" s="444">
        <v>14</v>
      </c>
      <c r="M73" s="60">
        <f t="shared" si="51"/>
        <v>2293.333333333333</v>
      </c>
      <c r="N73" s="59">
        <f t="shared" si="44"/>
        <v>163.8095238095238</v>
      </c>
      <c r="O73" s="61">
        <f t="shared" si="45"/>
        <v>0</v>
      </c>
      <c r="P73" s="62">
        <f t="shared" si="46"/>
        <v>-7.6190476190476204</v>
      </c>
      <c r="Q73" s="446">
        <f t="shared" si="47"/>
        <v>0.95555555555555549</v>
      </c>
      <c r="R73" s="566"/>
      <c r="S73" s="63">
        <v>0.22013888888888883</v>
      </c>
      <c r="T73" s="63">
        <v>0.35763888888888884</v>
      </c>
      <c r="U73" s="445">
        <f t="shared" si="53"/>
        <v>4.9999999999999822</v>
      </c>
      <c r="V73" s="449">
        <f t="shared" si="52"/>
        <v>198.00000000000003</v>
      </c>
      <c r="W73" s="64"/>
      <c r="X73" s="64"/>
      <c r="Y73" s="559"/>
      <c r="Z73" s="559"/>
      <c r="AA73" s="61">
        <f t="shared" si="48"/>
        <v>-106.66666666666697</v>
      </c>
      <c r="AB73" s="446">
        <f t="shared" si="49"/>
        <v>0.95555555555555538</v>
      </c>
      <c r="AC73" s="566"/>
    </row>
    <row r="74" spans="1:29" ht="15.75" customHeight="1">
      <c r="A74" s="564" t="s">
        <v>2062</v>
      </c>
      <c r="B74" s="450" t="s">
        <v>15</v>
      </c>
      <c r="C74" s="560" t="s">
        <v>1183</v>
      </c>
      <c r="D74" s="560"/>
      <c r="E74" s="57">
        <v>20.21</v>
      </c>
      <c r="F74" s="450">
        <v>4576</v>
      </c>
      <c r="G74" s="445">
        <f t="shared" si="50"/>
        <v>92480.960000000006</v>
      </c>
      <c r="H74" s="457" t="s">
        <v>5</v>
      </c>
      <c r="I74" s="444">
        <v>16</v>
      </c>
      <c r="J74" s="58">
        <v>2400</v>
      </c>
      <c r="K74" s="59">
        <f t="shared" si="43"/>
        <v>150</v>
      </c>
      <c r="L74" s="444">
        <v>16</v>
      </c>
      <c r="M74" s="60">
        <f t="shared" si="51"/>
        <v>2288.0000000000005</v>
      </c>
      <c r="N74" s="59">
        <f t="shared" si="44"/>
        <v>143.00000000000003</v>
      </c>
      <c r="O74" s="61">
        <f t="shared" si="45"/>
        <v>0</v>
      </c>
      <c r="P74" s="62">
        <f t="shared" si="46"/>
        <v>-6.9999999999999716</v>
      </c>
      <c r="Q74" s="446">
        <f t="shared" si="47"/>
        <v>0.95333333333333348</v>
      </c>
      <c r="R74" s="566"/>
      <c r="S74" s="63">
        <v>0.36180555555555549</v>
      </c>
      <c r="T74" s="63">
        <v>0.44513888888888881</v>
      </c>
      <c r="U74" s="445">
        <f t="shared" si="53"/>
        <v>5.9999999999999787</v>
      </c>
      <c r="V74" s="449">
        <f t="shared" si="52"/>
        <v>119.99999999999997</v>
      </c>
      <c r="W74" s="64"/>
      <c r="X74" s="64"/>
      <c r="Y74" s="559"/>
      <c r="Z74" s="559"/>
      <c r="AA74" s="61">
        <f t="shared" si="48"/>
        <v>-111.99999999999955</v>
      </c>
      <c r="AB74" s="446">
        <f t="shared" si="49"/>
        <v>0.95333333333333348</v>
      </c>
      <c r="AC74" s="566"/>
    </row>
    <row r="75" spans="1:29" ht="15.75" customHeight="1">
      <c r="A75" s="564" t="s">
        <v>2063</v>
      </c>
      <c r="B75" s="450" t="s">
        <v>15</v>
      </c>
      <c r="C75" s="560" t="s">
        <v>44</v>
      </c>
      <c r="D75" s="560"/>
      <c r="E75" s="57">
        <v>19.02</v>
      </c>
      <c r="F75" s="450">
        <v>3900</v>
      </c>
      <c r="G75" s="445">
        <f t="shared" si="50"/>
        <v>74178</v>
      </c>
      <c r="H75" s="457">
        <v>2</v>
      </c>
      <c r="I75" s="444">
        <v>15</v>
      </c>
      <c r="J75" s="58">
        <v>2400</v>
      </c>
      <c r="K75" s="59">
        <f t="shared" si="43"/>
        <v>160</v>
      </c>
      <c r="L75" s="444">
        <v>15</v>
      </c>
      <c r="M75" s="60">
        <f t="shared" si="51"/>
        <v>2294.1176470588225</v>
      </c>
      <c r="N75" s="59">
        <f t="shared" si="44"/>
        <v>152.94117647058818</v>
      </c>
      <c r="O75" s="61">
        <f t="shared" si="45"/>
        <v>0</v>
      </c>
      <c r="P75" s="62">
        <f t="shared" si="46"/>
        <v>-7.0588235294118249</v>
      </c>
      <c r="Q75" s="446">
        <f t="shared" si="47"/>
        <v>0.95588235294117607</v>
      </c>
      <c r="R75" s="566"/>
      <c r="S75" s="63">
        <v>0.44930555555555546</v>
      </c>
      <c r="T75" s="63">
        <v>0.52013888888888882</v>
      </c>
      <c r="U75" s="445">
        <f t="shared" si="53"/>
        <v>5.9999999999999787</v>
      </c>
      <c r="V75" s="449">
        <f t="shared" si="52"/>
        <v>102.00000000000004</v>
      </c>
      <c r="W75" s="64">
        <f>T75</f>
        <v>0.52013888888888882</v>
      </c>
      <c r="X75" s="64">
        <f>S76</f>
        <v>0.56041666666666656</v>
      </c>
      <c r="Y75" s="559"/>
      <c r="Z75" s="559"/>
      <c r="AA75" s="61">
        <f t="shared" si="48"/>
        <v>-105.88235294117749</v>
      </c>
      <c r="AB75" s="446">
        <f t="shared" si="49"/>
        <v>0.95588235294117607</v>
      </c>
      <c r="AC75" s="566"/>
    </row>
    <row r="76" spans="1:29" ht="15.75" customHeight="1">
      <c r="A76" s="564" t="s">
        <v>2062</v>
      </c>
      <c r="B76" s="450" t="s">
        <v>15</v>
      </c>
      <c r="C76" s="560" t="s">
        <v>44</v>
      </c>
      <c r="D76" s="560"/>
      <c r="E76" s="57">
        <v>19.02</v>
      </c>
      <c r="F76" s="450">
        <v>6512</v>
      </c>
      <c r="G76" s="445">
        <f t="shared" si="50"/>
        <v>123858.23999999999</v>
      </c>
      <c r="H76" s="457" t="s">
        <v>5</v>
      </c>
      <c r="I76" s="444">
        <v>15</v>
      </c>
      <c r="J76" s="58">
        <v>2400</v>
      </c>
      <c r="K76" s="59">
        <f t="shared" si="43"/>
        <v>160</v>
      </c>
      <c r="L76" s="444">
        <v>15</v>
      </c>
      <c r="M76" s="60">
        <f t="shared" si="51"/>
        <v>2298.3529411764703</v>
      </c>
      <c r="N76" s="59">
        <f t="shared" si="44"/>
        <v>153.22352941176467</v>
      </c>
      <c r="O76" s="61">
        <f t="shared" si="45"/>
        <v>0</v>
      </c>
      <c r="P76" s="62">
        <f t="shared" si="46"/>
        <v>-6.7764705882353269</v>
      </c>
      <c r="Q76" s="446">
        <f t="shared" si="47"/>
        <v>0.95764705882352918</v>
      </c>
      <c r="R76" s="566"/>
      <c r="S76" s="63">
        <v>0.56041666666666656</v>
      </c>
      <c r="T76" s="63">
        <v>0.67847222222222214</v>
      </c>
      <c r="U76" s="445">
        <f t="shared" si="53"/>
        <v>57.999999999999957</v>
      </c>
      <c r="V76" s="449">
        <f t="shared" si="52"/>
        <v>170.00000000000003</v>
      </c>
      <c r="W76" s="64"/>
      <c r="X76" s="64"/>
      <c r="Y76" s="559"/>
      <c r="Z76" s="559"/>
      <c r="AA76" s="61">
        <f t="shared" si="48"/>
        <v>-101.64705882352973</v>
      </c>
      <c r="AB76" s="446">
        <f t="shared" si="49"/>
        <v>0.9576470588235293</v>
      </c>
      <c r="AC76" s="566"/>
    </row>
    <row r="77" spans="1:29" ht="16.5" customHeight="1">
      <c r="A77" s="565" t="s">
        <v>2062</v>
      </c>
      <c r="B77" s="57" t="s">
        <v>2061</v>
      </c>
      <c r="C77" s="561"/>
      <c r="D77" s="562"/>
      <c r="E77" s="451"/>
      <c r="F77" s="66"/>
      <c r="G77" s="59"/>
      <c r="H77" s="450"/>
      <c r="I77" s="67">
        <v>16.166666666666668</v>
      </c>
      <c r="J77" s="58">
        <v>2400</v>
      </c>
      <c r="K77" s="59">
        <f t="shared" si="43"/>
        <v>148.45360824742266</v>
      </c>
      <c r="L77" s="67">
        <v>16.166666666666668</v>
      </c>
      <c r="M77" s="60">
        <f>AVERAGE(M71:M76)</f>
        <v>2292.5588057686846</v>
      </c>
      <c r="N77" s="59">
        <f t="shared" si="44"/>
        <v>141.80776118156811</v>
      </c>
      <c r="O77" s="61">
        <f t="shared" si="45"/>
        <v>0</v>
      </c>
      <c r="P77" s="62">
        <f t="shared" si="46"/>
        <v>-6.6458470658545536</v>
      </c>
      <c r="Q77" s="446">
        <f t="shared" si="47"/>
        <v>0.95523283573695195</v>
      </c>
      <c r="R77" s="566"/>
      <c r="S77" s="63"/>
      <c r="T77" s="63"/>
      <c r="U77" s="59"/>
      <c r="V77" s="449"/>
      <c r="W77" s="59"/>
      <c r="X77" s="59"/>
      <c r="Y77" s="559"/>
      <c r="Z77" s="559"/>
      <c r="AA77" s="61">
        <f t="shared" si="48"/>
        <v>-107.44119423131542</v>
      </c>
      <c r="AB77" s="446">
        <f t="shared" si="49"/>
        <v>0.95523283573695195</v>
      </c>
      <c r="AC77" s="566"/>
    </row>
    <row r="78" spans="1:29">
      <c r="D78" s="80"/>
      <c r="E78" s="80"/>
    </row>
  </sheetData>
  <mergeCells count="201"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C8:D8"/>
    <mergeCell ref="Y8:Z8"/>
    <mergeCell ref="A9:A11"/>
    <mergeCell ref="C9:D9"/>
    <mergeCell ref="R9:R11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AC9:AC11"/>
    <mergeCell ref="C10:D10"/>
    <mergeCell ref="Y10:Z10"/>
    <mergeCell ref="C11:D11"/>
    <mergeCell ref="Y11:Z11"/>
    <mergeCell ref="A12:A19"/>
    <mergeCell ref="C12:D12"/>
    <mergeCell ref="R12:R19"/>
    <mergeCell ref="Y12:Z12"/>
    <mergeCell ref="AC12:AC19"/>
    <mergeCell ref="C16:D16"/>
    <mergeCell ref="Y16:Z16"/>
    <mergeCell ref="C17:D17"/>
    <mergeCell ref="Y17:Z17"/>
    <mergeCell ref="Y18:Z18"/>
    <mergeCell ref="C19:D19"/>
    <mergeCell ref="Y19:Z19"/>
    <mergeCell ref="C13:D13"/>
    <mergeCell ref="Y13:Z13"/>
    <mergeCell ref="C14:D14"/>
    <mergeCell ref="Y14:Z14"/>
    <mergeCell ref="C15:D15"/>
    <mergeCell ref="Y15:Z15"/>
    <mergeCell ref="Y25:Z25"/>
    <mergeCell ref="C26:D26"/>
    <mergeCell ref="Y26:Z26"/>
    <mergeCell ref="A20:A29"/>
    <mergeCell ref="C20:D20"/>
    <mergeCell ref="R20:R29"/>
    <mergeCell ref="Y20:Z20"/>
    <mergeCell ref="C21:D21"/>
    <mergeCell ref="Y21:Z21"/>
    <mergeCell ref="C22:D22"/>
    <mergeCell ref="Y22:Z22"/>
    <mergeCell ref="C23:D23"/>
    <mergeCell ref="AC30:AC37"/>
    <mergeCell ref="C31:D31"/>
    <mergeCell ref="Y31:Z31"/>
    <mergeCell ref="C32:D32"/>
    <mergeCell ref="Y32:Z32"/>
    <mergeCell ref="C33:D33"/>
    <mergeCell ref="C27:D27"/>
    <mergeCell ref="Y27:Z27"/>
    <mergeCell ref="C28:D28"/>
    <mergeCell ref="Y28:Z28"/>
    <mergeCell ref="C29:D29"/>
    <mergeCell ref="Y29:Z29"/>
    <mergeCell ref="AC20:AC29"/>
    <mergeCell ref="Y33:Z33"/>
    <mergeCell ref="C34:D34"/>
    <mergeCell ref="Y34:Z34"/>
    <mergeCell ref="C35:D35"/>
    <mergeCell ref="Y35:Z35"/>
    <mergeCell ref="C36:D36"/>
    <mergeCell ref="Y36:Z36"/>
    <mergeCell ref="Y23:Z23"/>
    <mergeCell ref="C24:D24"/>
    <mergeCell ref="Y24:Z24"/>
    <mergeCell ref="C25:D25"/>
    <mergeCell ref="A30:A37"/>
    <mergeCell ref="C30:D30"/>
    <mergeCell ref="R30:R37"/>
    <mergeCell ref="Y30:Z30"/>
    <mergeCell ref="C37:D37"/>
    <mergeCell ref="Y37:Z37"/>
    <mergeCell ref="A38:A46"/>
    <mergeCell ref="C38:D38"/>
    <mergeCell ref="R38:R46"/>
    <mergeCell ref="Y38:Z38"/>
    <mergeCell ref="Y43:Z43"/>
    <mergeCell ref="C44:D44"/>
    <mergeCell ref="Y44:Z44"/>
    <mergeCell ref="C45:D45"/>
    <mergeCell ref="AC38:AC46"/>
    <mergeCell ref="C39:D39"/>
    <mergeCell ref="Y39:Z39"/>
    <mergeCell ref="C40:D40"/>
    <mergeCell ref="Y40:Z40"/>
    <mergeCell ref="C41:D41"/>
    <mergeCell ref="Y41:Z41"/>
    <mergeCell ref="C42:D42"/>
    <mergeCell ref="Y42:Z42"/>
    <mergeCell ref="C43:D43"/>
    <mergeCell ref="Y45:Z45"/>
    <mergeCell ref="C46:D46"/>
    <mergeCell ref="Y46:Z46"/>
    <mergeCell ref="A47:A56"/>
    <mergeCell ref="C47:D47"/>
    <mergeCell ref="R47:R56"/>
    <mergeCell ref="Y47:Z47"/>
    <mergeCell ref="Y52:Z52"/>
    <mergeCell ref="C53:D53"/>
    <mergeCell ref="Y53:Z53"/>
    <mergeCell ref="AC57:AC64"/>
    <mergeCell ref="C58:D58"/>
    <mergeCell ref="Y58:Z58"/>
    <mergeCell ref="C59:D59"/>
    <mergeCell ref="C62:D62"/>
    <mergeCell ref="Y62:Z62"/>
    <mergeCell ref="C54:D54"/>
    <mergeCell ref="Y54:Z54"/>
    <mergeCell ref="C55:D55"/>
    <mergeCell ref="Y55:Z55"/>
    <mergeCell ref="C56:D56"/>
    <mergeCell ref="Y56:Z56"/>
    <mergeCell ref="AC47:AC56"/>
    <mergeCell ref="C48:D48"/>
    <mergeCell ref="Y48:Z48"/>
    <mergeCell ref="C49:D49"/>
    <mergeCell ref="Y49:Z49"/>
    <mergeCell ref="C50:D50"/>
    <mergeCell ref="Y50:Z50"/>
    <mergeCell ref="C51:D51"/>
    <mergeCell ref="Y51:Z51"/>
    <mergeCell ref="C52:D52"/>
    <mergeCell ref="C63:D63"/>
    <mergeCell ref="Y63:Z63"/>
    <mergeCell ref="C64:D64"/>
    <mergeCell ref="Y64:Z64"/>
    <mergeCell ref="A65:A70"/>
    <mergeCell ref="C65:D65"/>
    <mergeCell ref="R65:R70"/>
    <mergeCell ref="Y65:Z65"/>
    <mergeCell ref="Y70:Z70"/>
    <mergeCell ref="A57:A64"/>
    <mergeCell ref="C57:D57"/>
    <mergeCell ref="R57:R64"/>
    <mergeCell ref="Y57:Z57"/>
    <mergeCell ref="AC65:AC70"/>
    <mergeCell ref="C66:D66"/>
    <mergeCell ref="Y66:Z66"/>
    <mergeCell ref="C67:D67"/>
    <mergeCell ref="Y67:Z67"/>
    <mergeCell ref="C68:D68"/>
    <mergeCell ref="Y68:Z68"/>
    <mergeCell ref="C69:D69"/>
    <mergeCell ref="Y69:Z69"/>
    <mergeCell ref="C70:D70"/>
    <mergeCell ref="A71:A77"/>
    <mergeCell ref="C71:D71"/>
    <mergeCell ref="R71:R77"/>
    <mergeCell ref="Y71:Z71"/>
    <mergeCell ref="AC71:AC77"/>
    <mergeCell ref="C72:D72"/>
    <mergeCell ref="Y72:Z72"/>
    <mergeCell ref="C73:D73"/>
    <mergeCell ref="Y73:Z73"/>
    <mergeCell ref="C74:D74"/>
    <mergeCell ref="Y74:Z74"/>
    <mergeCell ref="C75:D75"/>
    <mergeCell ref="Y75:Z75"/>
    <mergeCell ref="C76:D76"/>
    <mergeCell ref="Y76:Z76"/>
    <mergeCell ref="C77:D77"/>
    <mergeCell ref="Y77:Z77"/>
  </mergeCells>
  <phoneticPr fontId="3" type="noConversion"/>
  <conditionalFormatting sqref="O64:O65 O68:O77 O5:O9 O11:O13 O56:O62 O19:O52">
    <cfRule type="cellIs" dxfId="1860" priority="68" operator="greaterThan">
      <formula>0</formula>
    </cfRule>
  </conditionalFormatting>
  <conditionalFormatting sqref="P5:P7 P68:P69 AA68:AA69 P71:P76 P30:P36 P65 P9 P11:P13 P20:P28 P57:P62 P38:P52 AA5:AA65 AA71:AA77">
    <cfRule type="cellIs" dxfId="1859" priority="72" operator="lessThan">
      <formula>0</formula>
    </cfRule>
  </conditionalFormatting>
  <conditionalFormatting sqref="AB68:AB69 Q64:Q65 Q68:Q77 Q5:Q9 Q11:Q13 Q56:Q62 Q19:Q52 AB5:AB65 AB71:AB77">
    <cfRule type="cellIs" dxfId="1858" priority="69" operator="greaterThan">
      <formula>1</formula>
    </cfRule>
    <cfRule type="cellIs" dxfId="1857" priority="70" operator="lessThan">
      <formula>0.8</formula>
    </cfRule>
  </conditionalFormatting>
  <conditionalFormatting sqref="AC12:AC13 R12:R13 AC68 R19:R25 AC19:AC25 AC64:AC65 R64:R65 R68:R77 AC5:AC9 R5:R9 R29:R52 AC29:AC52 AC56:AC62 R56:R62">
    <cfRule type="cellIs" dxfId="1856" priority="74" operator="lessThan">
      <formula>0.8</formula>
    </cfRule>
  </conditionalFormatting>
  <conditionalFormatting sqref="AC47">
    <cfRule type="cellIs" dxfId="1855" priority="76" operator="lessThan">
      <formula>0.8</formula>
    </cfRule>
  </conditionalFormatting>
  <conditionalFormatting sqref="AC20:AC25">
    <cfRule type="cellIs" dxfId="1854" priority="73" operator="lessThan">
      <formula>0.8</formula>
    </cfRule>
  </conditionalFormatting>
  <conditionalFormatting sqref="AC30">
    <cfRule type="cellIs" dxfId="1853" priority="75" operator="lessThan">
      <formula>0.8</formula>
    </cfRule>
  </conditionalFormatting>
  <conditionalFormatting sqref="AC38:AC45">
    <cfRule type="cellIs" dxfId="1852" priority="71" operator="lessThan">
      <formula>0.8</formula>
    </cfRule>
  </conditionalFormatting>
  <conditionalFormatting sqref="AA70">
    <cfRule type="cellIs" dxfId="1851" priority="67" operator="lessThan">
      <formula>0</formula>
    </cfRule>
  </conditionalFormatting>
  <conditionalFormatting sqref="AB70">
    <cfRule type="cellIs" dxfId="1850" priority="65" operator="greaterThan">
      <formula>1</formula>
    </cfRule>
    <cfRule type="cellIs" dxfId="1849" priority="66" operator="lessThan">
      <formula>0.8</formula>
    </cfRule>
  </conditionalFormatting>
  <conditionalFormatting sqref="O14:O15">
    <cfRule type="cellIs" dxfId="1848" priority="60" operator="greaterThan">
      <formula>0</formula>
    </cfRule>
  </conditionalFormatting>
  <conditionalFormatting sqref="P14:P15">
    <cfRule type="cellIs" dxfId="1847" priority="63" operator="lessThan">
      <formula>0</formula>
    </cfRule>
  </conditionalFormatting>
  <conditionalFormatting sqref="Q14:Q15">
    <cfRule type="cellIs" dxfId="1846" priority="61" operator="greaterThan">
      <formula>1</formula>
    </cfRule>
    <cfRule type="cellIs" dxfId="1845" priority="62" operator="lessThan">
      <formula>0.8</formula>
    </cfRule>
  </conditionalFormatting>
  <conditionalFormatting sqref="R14:R15 AC14:AC15">
    <cfRule type="cellIs" dxfId="1844" priority="64" operator="lessThan">
      <formula>0.8</formula>
    </cfRule>
  </conditionalFormatting>
  <conditionalFormatting sqref="O10">
    <cfRule type="cellIs" dxfId="1843" priority="56" operator="greaterThan">
      <formula>0</formula>
    </cfRule>
  </conditionalFormatting>
  <conditionalFormatting sqref="P10">
    <cfRule type="cellIs" dxfId="1842" priority="59" operator="lessThan">
      <formula>0</formula>
    </cfRule>
  </conditionalFormatting>
  <conditionalFormatting sqref="Q10">
    <cfRule type="cellIs" dxfId="1841" priority="57" operator="greaterThan">
      <formula>1</formula>
    </cfRule>
    <cfRule type="cellIs" dxfId="1840" priority="58" operator="lessThan">
      <formula>0.8</formula>
    </cfRule>
  </conditionalFormatting>
  <conditionalFormatting sqref="O63">
    <cfRule type="cellIs" dxfId="1839" priority="51" operator="greaterThan">
      <formula>0</formula>
    </cfRule>
  </conditionalFormatting>
  <conditionalFormatting sqref="P63">
    <cfRule type="cellIs" dxfId="1838" priority="54" operator="lessThan">
      <formula>0</formula>
    </cfRule>
  </conditionalFormatting>
  <conditionalFormatting sqref="Q63">
    <cfRule type="cellIs" dxfId="1837" priority="52" operator="greaterThan">
      <formula>1</formula>
    </cfRule>
    <cfRule type="cellIs" dxfId="1836" priority="53" operator="lessThan">
      <formula>0.8</formula>
    </cfRule>
  </conditionalFormatting>
  <conditionalFormatting sqref="R63 AC63">
    <cfRule type="cellIs" dxfId="1835" priority="55" operator="lessThan">
      <formula>0.8</formula>
    </cfRule>
  </conditionalFormatting>
  <conditionalFormatting sqref="AC27 R27">
    <cfRule type="cellIs" dxfId="1834" priority="50" operator="lessThan">
      <formula>0.8</formula>
    </cfRule>
  </conditionalFormatting>
  <conditionalFormatting sqref="O67">
    <cfRule type="cellIs" dxfId="1833" priority="45" operator="greaterThan">
      <formula>0</formula>
    </cfRule>
  </conditionalFormatting>
  <conditionalFormatting sqref="P67 AA67">
    <cfRule type="cellIs" dxfId="1832" priority="48" operator="lessThan">
      <formula>0</formula>
    </cfRule>
  </conditionalFormatting>
  <conditionalFormatting sqref="Q67 AB67">
    <cfRule type="cellIs" dxfId="1831" priority="46" operator="greaterThan">
      <formula>1</formula>
    </cfRule>
    <cfRule type="cellIs" dxfId="1830" priority="47" operator="lessThan">
      <formula>0.8</formula>
    </cfRule>
  </conditionalFormatting>
  <conditionalFormatting sqref="R67 AC67">
    <cfRule type="cellIs" dxfId="1829" priority="49" operator="lessThan">
      <formula>0.8</formula>
    </cfRule>
  </conditionalFormatting>
  <conditionalFormatting sqref="O16:O17">
    <cfRule type="cellIs" dxfId="1828" priority="40" operator="greaterThan">
      <formula>0</formula>
    </cfRule>
  </conditionalFormatting>
  <conditionalFormatting sqref="P16:P17">
    <cfRule type="cellIs" dxfId="1827" priority="43" operator="lessThan">
      <formula>0</formula>
    </cfRule>
  </conditionalFormatting>
  <conditionalFormatting sqref="Q16:Q17">
    <cfRule type="cellIs" dxfId="1826" priority="41" operator="greaterThan">
      <formula>1</formula>
    </cfRule>
    <cfRule type="cellIs" dxfId="1825" priority="42" operator="lessThan">
      <formula>0.8</formula>
    </cfRule>
  </conditionalFormatting>
  <conditionalFormatting sqref="R16:R17 AC16:AC17">
    <cfRule type="cellIs" dxfId="1824" priority="44" operator="lessThan">
      <formula>0.8</formula>
    </cfRule>
  </conditionalFormatting>
  <conditionalFormatting sqref="O53">
    <cfRule type="cellIs" dxfId="1823" priority="34" operator="greaterThan">
      <formula>0</formula>
    </cfRule>
  </conditionalFormatting>
  <conditionalFormatting sqref="P53">
    <cfRule type="cellIs" dxfId="1822" priority="38" operator="lessThan">
      <formula>0</formula>
    </cfRule>
  </conditionalFormatting>
  <conditionalFormatting sqref="Q53">
    <cfRule type="cellIs" dxfId="1821" priority="35" operator="greaterThan">
      <formula>1</formula>
    </cfRule>
    <cfRule type="cellIs" dxfId="1820" priority="36" operator="lessThan">
      <formula>0.8</formula>
    </cfRule>
  </conditionalFormatting>
  <conditionalFormatting sqref="R53 AC53">
    <cfRule type="cellIs" dxfId="1819" priority="39" operator="lessThan">
      <formula>0.8</formula>
    </cfRule>
  </conditionalFormatting>
  <conditionalFormatting sqref="AC53">
    <cfRule type="cellIs" dxfId="1818" priority="37" operator="lessThan">
      <formula>0.8</formula>
    </cfRule>
  </conditionalFormatting>
  <conditionalFormatting sqref="O54">
    <cfRule type="cellIs" dxfId="1817" priority="28" operator="greaterThan">
      <formula>0</formula>
    </cfRule>
  </conditionalFormatting>
  <conditionalFormatting sqref="P54">
    <cfRule type="cellIs" dxfId="1816" priority="32" operator="lessThan">
      <formula>0</formula>
    </cfRule>
  </conditionalFormatting>
  <conditionalFormatting sqref="Q54">
    <cfRule type="cellIs" dxfId="1815" priority="29" operator="greaterThan">
      <formula>1</formula>
    </cfRule>
    <cfRule type="cellIs" dxfId="1814" priority="30" operator="lessThan">
      <formula>0.8</formula>
    </cfRule>
  </conditionalFormatting>
  <conditionalFormatting sqref="R54 AC54">
    <cfRule type="cellIs" dxfId="1813" priority="33" operator="lessThan">
      <formula>0.8</formula>
    </cfRule>
  </conditionalFormatting>
  <conditionalFormatting sqref="AC54">
    <cfRule type="cellIs" dxfId="1812" priority="31" operator="lessThan">
      <formula>0.8</formula>
    </cfRule>
  </conditionalFormatting>
  <conditionalFormatting sqref="AC28 R28">
    <cfRule type="cellIs" dxfId="1811" priority="27" operator="lessThan">
      <formula>0.8</formula>
    </cfRule>
  </conditionalFormatting>
  <conditionalFormatting sqref="R26 AC26">
    <cfRule type="cellIs" dxfId="1810" priority="26" operator="lessThan">
      <formula>0.8</formula>
    </cfRule>
  </conditionalFormatting>
  <conditionalFormatting sqref="AC26">
    <cfRule type="cellIs" dxfId="1809" priority="25" operator="lessThan">
      <formula>0.8</formula>
    </cfRule>
  </conditionalFormatting>
  <conditionalFormatting sqref="O55">
    <cfRule type="cellIs" dxfId="1808" priority="19" operator="greaterThan">
      <formula>0</formula>
    </cfRule>
  </conditionalFormatting>
  <conditionalFormatting sqref="P55">
    <cfRule type="cellIs" dxfId="1807" priority="23" operator="lessThan">
      <formula>0</formula>
    </cfRule>
  </conditionalFormatting>
  <conditionalFormatting sqref="Q55">
    <cfRule type="cellIs" dxfId="1806" priority="20" operator="greaterThan">
      <formula>1</formula>
    </cfRule>
    <cfRule type="cellIs" dxfId="1805" priority="21" operator="lessThan">
      <formula>0.8</formula>
    </cfRule>
  </conditionalFormatting>
  <conditionalFormatting sqref="R55 AC55">
    <cfRule type="cellIs" dxfId="1804" priority="24" operator="lessThan">
      <formula>0.8</formula>
    </cfRule>
  </conditionalFormatting>
  <conditionalFormatting sqref="AC55">
    <cfRule type="cellIs" dxfId="1803" priority="22" operator="lessThan">
      <formula>0.8</formula>
    </cfRule>
  </conditionalFormatting>
  <conditionalFormatting sqref="O66">
    <cfRule type="cellIs" dxfId="1802" priority="14" operator="greaterThan">
      <formula>0</formula>
    </cfRule>
  </conditionalFormatting>
  <conditionalFormatting sqref="P66 AA66">
    <cfRule type="cellIs" dxfId="1801" priority="17" operator="lessThan">
      <formula>0</formula>
    </cfRule>
  </conditionalFormatting>
  <conditionalFormatting sqref="Q66 AB66">
    <cfRule type="cellIs" dxfId="1800" priority="15" operator="greaterThan">
      <formula>1</formula>
    </cfRule>
    <cfRule type="cellIs" dxfId="1799" priority="16" operator="lessThan">
      <formula>0.8</formula>
    </cfRule>
  </conditionalFormatting>
  <conditionalFormatting sqref="R66 AC66">
    <cfRule type="cellIs" dxfId="1798" priority="18" operator="lessThan">
      <formula>0.8</formula>
    </cfRule>
  </conditionalFormatting>
  <conditionalFormatting sqref="O18">
    <cfRule type="cellIs" dxfId="1797" priority="9" operator="greaterThan">
      <formula>0</formula>
    </cfRule>
  </conditionalFormatting>
  <conditionalFormatting sqref="P18">
    <cfRule type="cellIs" dxfId="1796" priority="12" operator="lessThan">
      <formula>0</formula>
    </cfRule>
  </conditionalFormatting>
  <conditionalFormatting sqref="Q18">
    <cfRule type="cellIs" dxfId="1795" priority="10" operator="greaterThan">
      <formula>1</formula>
    </cfRule>
    <cfRule type="cellIs" dxfId="1794" priority="11" operator="lessThan">
      <formula>0.8</formula>
    </cfRule>
  </conditionalFormatting>
  <conditionalFormatting sqref="AC18 R18">
    <cfRule type="cellIs" dxfId="1793" priority="13" operator="lessThan">
      <formula>0.8</formula>
    </cfRule>
  </conditionalFormatting>
  <conditionalFormatting sqref="P8">
    <cfRule type="cellIs" dxfId="1792" priority="8" operator="lessThan">
      <formula>0</formula>
    </cfRule>
  </conditionalFormatting>
  <conditionalFormatting sqref="P19">
    <cfRule type="cellIs" dxfId="1791" priority="7" operator="lessThan">
      <formula>0</formula>
    </cfRule>
  </conditionalFormatting>
  <conditionalFormatting sqref="P29">
    <cfRule type="cellIs" dxfId="1790" priority="6" operator="lessThan">
      <formula>0</formula>
    </cfRule>
  </conditionalFormatting>
  <conditionalFormatting sqref="P37">
    <cfRule type="cellIs" dxfId="1789" priority="5" operator="lessThan">
      <formula>0</formula>
    </cfRule>
  </conditionalFormatting>
  <conditionalFormatting sqref="P56">
    <cfRule type="cellIs" dxfId="1788" priority="4" operator="lessThan">
      <formula>0</formula>
    </cfRule>
  </conditionalFormatting>
  <conditionalFormatting sqref="P64">
    <cfRule type="cellIs" dxfId="1787" priority="3" operator="lessThan">
      <formula>0</formula>
    </cfRule>
  </conditionalFormatting>
  <conditionalFormatting sqref="P70">
    <cfRule type="cellIs" dxfId="1786" priority="2" operator="lessThan">
      <formula>0</formula>
    </cfRule>
  </conditionalFormatting>
  <conditionalFormatting sqref="P77">
    <cfRule type="cellIs" dxfId="1785" priority="1" operator="lessThan">
      <formula>0</formula>
    </cfRule>
  </conditionalFormatting>
  <dataValidations count="1">
    <dataValidation type="list" allowBlank="1" showInputMessage="1" showErrorMessage="1" sqref="Z8 Z69 Y5:Z7 Y8:Y69 Z10:Z65 Y70:Z77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="85" zoomScaleNormal="85" workbookViewId="0">
      <selection activeCell="B23" sqref="B23"/>
    </sheetView>
  </sheetViews>
  <sheetFormatPr defaultColWidth="8.75" defaultRowHeight="15.75"/>
  <cols>
    <col min="1" max="1" width="8.75" style="2"/>
    <col min="2" max="2" width="17.875" style="2" customWidth="1"/>
    <col min="3" max="3" width="9.25" style="9" customWidth="1"/>
    <col min="4" max="13" width="12.625" style="2" customWidth="1"/>
    <col min="14" max="14" width="11" style="2" bestFit="1" customWidth="1"/>
    <col min="15" max="15" width="17.75" style="2" bestFit="1" customWidth="1"/>
    <col min="16" max="16" width="12.25" style="2" bestFit="1" customWidth="1"/>
    <col min="17" max="22" width="9.25" style="2" customWidth="1"/>
    <col min="23" max="23" width="10.75" style="2" customWidth="1"/>
    <col min="24" max="24" width="11" style="2" customWidth="1"/>
    <col min="25" max="16384" width="8.75" style="2"/>
  </cols>
  <sheetData>
    <row r="1" spans="2:17" ht="27.75" customHeight="1">
      <c r="B1" s="546" t="s">
        <v>1913</v>
      </c>
      <c r="C1" s="546"/>
      <c r="D1" s="546"/>
      <c r="E1" s="546"/>
      <c r="F1" s="546"/>
      <c r="G1" s="546"/>
      <c r="H1" s="546"/>
      <c r="I1" s="546"/>
      <c r="J1" s="546"/>
      <c r="K1" s="1"/>
      <c r="L1" s="1"/>
      <c r="M1" s="1"/>
      <c r="N1" s="1"/>
      <c r="O1" s="1"/>
      <c r="P1" s="1"/>
    </row>
    <row r="2" spans="2:17" ht="27.75" customHeight="1">
      <c r="B2" s="547"/>
      <c r="C2" s="547"/>
      <c r="D2" s="547"/>
      <c r="E2" s="547"/>
      <c r="F2" s="547"/>
      <c r="G2" s="547"/>
      <c r="H2" s="547"/>
      <c r="I2" s="547"/>
      <c r="J2" s="547"/>
      <c r="K2" s="3"/>
      <c r="L2" s="3"/>
      <c r="M2" s="3"/>
      <c r="N2" s="1"/>
      <c r="O2" s="1"/>
      <c r="P2" s="1"/>
    </row>
    <row r="3" spans="2:17" ht="46.5" customHeight="1">
      <c r="B3" s="4" t="s">
        <v>1914</v>
      </c>
      <c r="C3" s="548" t="str">
        <f>TEXT('1227 4度C'!A2,"yyyy.mm.ddaaaa")</f>
        <v>2025.12.27星期六</v>
      </c>
      <c r="D3" s="549"/>
      <c r="E3" s="4" t="s">
        <v>1915</v>
      </c>
      <c r="F3" s="550">
        <f>'1227 4度C'!D1</f>
        <v>140026</v>
      </c>
      <c r="G3" s="551"/>
      <c r="H3" s="4" t="s">
        <v>1916</v>
      </c>
      <c r="I3" s="552">
        <f>'1227 4度C'!F1</f>
        <v>4812040.2700000014</v>
      </c>
      <c r="J3" s="553"/>
      <c r="K3" s="5"/>
      <c r="L3" s="6"/>
      <c r="M3" s="7"/>
      <c r="N3" s="7"/>
    </row>
    <row r="4" spans="2:17" ht="28.5" customHeight="1">
      <c r="B4" s="554" t="s">
        <v>1917</v>
      </c>
      <c r="C4" s="536" t="s">
        <v>1918</v>
      </c>
      <c r="D4" s="537"/>
      <c r="E4" s="557" t="s">
        <v>1919</v>
      </c>
      <c r="F4" s="558"/>
      <c r="G4" s="557" t="s">
        <v>1920</v>
      </c>
      <c r="H4" s="558"/>
      <c r="I4" s="557" t="s">
        <v>1921</v>
      </c>
      <c r="J4" s="558"/>
      <c r="L4" s="7"/>
      <c r="M4" s="7"/>
      <c r="N4" s="7"/>
    </row>
    <row r="5" spans="2:17" ht="28.5" customHeight="1">
      <c r="B5" s="555"/>
      <c r="C5" s="536" t="s">
        <v>1922</v>
      </c>
      <c r="D5" s="537"/>
      <c r="E5" s="536" t="s">
        <v>1923</v>
      </c>
      <c r="F5" s="537"/>
      <c r="G5" s="538" t="s">
        <v>1924</v>
      </c>
      <c r="H5" s="539"/>
      <c r="I5" s="540" t="s">
        <v>184</v>
      </c>
      <c r="J5" s="541"/>
      <c r="K5" s="7"/>
      <c r="L5" s="7"/>
      <c r="M5" s="7"/>
      <c r="N5" s="7"/>
    </row>
    <row r="6" spans="2:17" ht="28.5" customHeight="1">
      <c r="B6" s="555"/>
      <c r="C6" s="536" t="s">
        <v>46</v>
      </c>
      <c r="D6" s="537"/>
      <c r="E6" s="542">
        <f>AVERAGE(D13:M13)</f>
        <v>147.59749662246361</v>
      </c>
      <c r="F6" s="543">
        <f>AVERAGE(D27:O27,D13:J13)</f>
        <v>151.43720755844043</v>
      </c>
      <c r="G6" s="544">
        <f>AVERAGE(D13:J13)</f>
        <v>151.43720755844043</v>
      </c>
      <c r="H6" s="545"/>
      <c r="I6" s="544">
        <f>AVERAGE(K13:M13)</f>
        <v>138.63817110518434</v>
      </c>
      <c r="J6" s="545"/>
      <c r="K6" s="7"/>
      <c r="L6" s="7"/>
      <c r="M6" s="7"/>
      <c r="N6" s="7"/>
    </row>
    <row r="7" spans="2:17" ht="28.5" customHeight="1">
      <c r="B7" s="555"/>
      <c r="C7" s="526" t="s">
        <v>47</v>
      </c>
      <c r="D7" s="527"/>
      <c r="E7" s="528">
        <f>AVERAGE(D14:M14)</f>
        <v>140.74930144089524</v>
      </c>
      <c r="F7" s="529">
        <f>AVERAGE(D28:O28,D14:J14)</f>
        <v>144.16064848722121</v>
      </c>
      <c r="G7" s="530">
        <f>AVERAGE(D14:J14)</f>
        <v>144.16064848722121</v>
      </c>
      <c r="H7" s="531"/>
      <c r="I7" s="530">
        <f>AVERAGE(K14:M14)</f>
        <v>132.78949166613458</v>
      </c>
      <c r="J7" s="531"/>
      <c r="K7" s="7"/>
      <c r="L7" s="7"/>
      <c r="M7" s="7"/>
      <c r="N7" s="7"/>
    </row>
    <row r="8" spans="2:17" ht="28.5" customHeight="1">
      <c r="B8" s="556"/>
      <c r="C8" s="526" t="s">
        <v>48</v>
      </c>
      <c r="D8" s="527"/>
      <c r="E8" s="532">
        <f>AVERAGE(D15:M15)</f>
        <v>0.9516691894361905</v>
      </c>
      <c r="F8" s="533">
        <f>AVERAGE(D15:J15,D29:O29)</f>
        <v>0.94903413772905321</v>
      </c>
      <c r="G8" s="534">
        <f>AVERAGE(D15:J15)</f>
        <v>0.94903413772905321</v>
      </c>
      <c r="H8" s="535"/>
      <c r="I8" s="534">
        <f>AVERAGE(K15:M15)</f>
        <v>0.95781764341951103</v>
      </c>
      <c r="J8" s="535"/>
      <c r="K8" s="8" t="s">
        <v>1925</v>
      </c>
      <c r="L8" s="7"/>
      <c r="M8" s="7"/>
      <c r="N8" s="7"/>
    </row>
    <row r="9" spans="2:17" ht="28.5" customHeight="1" thickBot="1">
      <c r="H9" s="10"/>
      <c r="N9" s="7"/>
      <c r="O9" s="7"/>
      <c r="P9" s="7"/>
      <c r="Q9" s="7"/>
    </row>
    <row r="10" spans="2:17" ht="30" customHeight="1">
      <c r="B10" s="509" t="s">
        <v>1926</v>
      </c>
      <c r="C10" s="510"/>
      <c r="D10" s="511" t="s">
        <v>1927</v>
      </c>
      <c r="E10" s="512"/>
      <c r="F10" s="512"/>
      <c r="G10" s="512"/>
      <c r="H10" s="512"/>
      <c r="I10" s="512"/>
      <c r="J10" s="513"/>
      <c r="K10" s="514" t="s">
        <v>1928</v>
      </c>
      <c r="L10" s="515"/>
      <c r="M10" s="516"/>
      <c r="P10" s="11"/>
      <c r="Q10" s="11"/>
    </row>
    <row r="11" spans="2:17" ht="17.25" customHeight="1">
      <c r="B11" s="517" t="s">
        <v>1929</v>
      </c>
      <c r="C11" s="518"/>
      <c r="D11" s="12">
        <v>1</v>
      </c>
      <c r="E11" s="13">
        <v>2</v>
      </c>
      <c r="F11" s="13">
        <v>3</v>
      </c>
      <c r="G11" s="13">
        <v>4</v>
      </c>
      <c r="H11" s="13">
        <v>5</v>
      </c>
      <c r="I11" s="13">
        <v>6</v>
      </c>
      <c r="J11" s="14">
        <v>7</v>
      </c>
      <c r="K11" s="12">
        <v>1</v>
      </c>
      <c r="L11" s="13">
        <v>2</v>
      </c>
      <c r="M11" s="14">
        <v>3</v>
      </c>
      <c r="P11" s="11"/>
      <c r="Q11" s="11"/>
    </row>
    <row r="12" spans="2:17" ht="34.15" customHeight="1">
      <c r="B12" s="519"/>
      <c r="C12" s="520"/>
      <c r="D12" s="15" t="s">
        <v>49</v>
      </c>
      <c r="E12" s="16" t="s">
        <v>50</v>
      </c>
      <c r="F12" s="16" t="s">
        <v>51</v>
      </c>
      <c r="G12" s="16" t="s">
        <v>52</v>
      </c>
      <c r="H12" s="16" t="s">
        <v>53</v>
      </c>
      <c r="I12" s="16" t="s">
        <v>54</v>
      </c>
      <c r="J12" s="17" t="s">
        <v>55</v>
      </c>
      <c r="K12" s="15" t="s">
        <v>56</v>
      </c>
      <c r="L12" s="16" t="s">
        <v>57</v>
      </c>
      <c r="M12" s="17" t="s">
        <v>58</v>
      </c>
    </row>
    <row r="13" spans="2:17" ht="40.15" customHeight="1">
      <c r="B13" s="521" t="s">
        <v>1930</v>
      </c>
      <c r="C13" s="18" t="s">
        <v>1931</v>
      </c>
      <c r="D13" s="19">
        <f>SUMIFS('1227 4度C'!$K:$K,'1227 4度C'!$A:$A,"新豐6線",'1227 4度C'!$B:$B,"平均")</f>
        <v>115.38461538461539</v>
      </c>
      <c r="E13" s="20">
        <f>SUMIFS('1227 4度C'!$K:$K,'1227 4度C'!$A:$A,"新豐2線",'1227 4度C'!$B:$B,"平均")</f>
        <v>83.333333333333329</v>
      </c>
      <c r="F13" s="21">
        <f>SUMIFS('1227 4度C'!$K:$K,'1227 4度C'!$A:$A,"新豐5線",'1227 4度C'!$B:$B,"平均")</f>
        <v>99.056603773584897</v>
      </c>
      <c r="G13" s="21">
        <f>SUMIFS('1227 4度C'!$K:$K,'1227 4度C'!$A:$A,"新豐7線",'1227 4度C'!$B:$B,"平均")</f>
        <v>117.1875</v>
      </c>
      <c r="H13" s="21">
        <f>SUMIFS('1227 4度C'!$K:$K,'1227 4度C'!$A:$A,"新豐3線",'1227 4度C'!$B:$B,"平均")</f>
        <v>246.75324675324674</v>
      </c>
      <c r="I13" s="21">
        <f>SUMIFS('1227 4度C'!$K:$K,'1227 4度C'!$A:$A,"新豐1線",'1227 4度C'!$B:$B,"平均")</f>
        <v>111.11111111111111</v>
      </c>
      <c r="J13" s="22">
        <f>SUMIFS('1227 4度C'!$K:$K,'1227 4度C'!$A:$A,"新豐10線",'1227 4度C'!$B:$B,"平均")</f>
        <v>287.2340425531915</v>
      </c>
      <c r="K13" s="23">
        <f>SUMIFS('1227 4度C'!$K:$K,'1227 4度C'!$A:$A,"新豐8線",'1227 4度C'!$B:$B,"平均")</f>
        <v>131.86813186813188</v>
      </c>
      <c r="L13" s="24">
        <f>SUMIFS('1227 4度C'!$K:$K,'1227 4度C'!$A:$A,"新豐9線",'1227 4度C'!$B:$B,"平均")</f>
        <v>137.70491803278691</v>
      </c>
      <c r="M13" s="22">
        <f>SUMIFS('1227 4度C'!$K:$K,'1227 4度C'!$A:$A,"新豐4線",'1227 4度C'!$B:$B,"平均")</f>
        <v>146.34146341463415</v>
      </c>
    </row>
    <row r="14" spans="2:17" ht="39.6" customHeight="1">
      <c r="B14" s="522"/>
      <c r="C14" s="25" t="s">
        <v>1932</v>
      </c>
      <c r="D14" s="26">
        <f>SUMIFS('1227 4度C'!$N:$N,'1227 4度C'!$A:$A,"新豐6線",'1227 4度C'!$B:$B,"平均")</f>
        <v>111.54795747730529</v>
      </c>
      <c r="E14" s="27">
        <f>SUMIFS('1227 4度C'!$N:$N,'1227 4度C'!$A:$A,"新豐2線",'1227 4度C'!$B:$B,"平均")</f>
        <v>79.566666666666663</v>
      </c>
      <c r="F14" s="27">
        <f>SUMIFS('1227 4度C'!$N:$N,'1227 4度C'!$A:$A,"新豐5線",'1227 4度C'!$B:$B,"平均")</f>
        <v>95.038367829947788</v>
      </c>
      <c r="G14" s="27">
        <f>SUMIFS('1227 4度C'!$N:$N,'1227 4度C'!$A:$A,"新豐7線",'1227 4度C'!$B:$B,"平均")</f>
        <v>112.88215663993712</v>
      </c>
      <c r="H14" s="27">
        <f>SUMIFS('1227 4度C'!$N:$N,'1227 4度C'!$A:$A,"新豐3線",'1227 4度C'!$B:$B,"平均")</f>
        <v>236.30885980049982</v>
      </c>
      <c r="I14" s="27">
        <f>SUMIFS('1227 4度C'!$N:$N,'1227 4度C'!$A:$A,"新豐1線",'1227 4度C'!$B:$B,"平均")</f>
        <v>97.854384587740867</v>
      </c>
      <c r="J14" s="28">
        <f>SUMIFS('1227 4度C'!$N:$N,'1227 4度C'!$A:$A,"新豐10線",'1227 4度C'!$B:$B,"平均")</f>
        <v>275.92614640845085</v>
      </c>
      <c r="K14" s="29">
        <f>SUMIFS('1227 4度C'!$N:$N,'1227 4度C'!$A:$A,"新豐8線",'1227 4度C'!$B:$B,"平均")</f>
        <v>126.04141701059119</v>
      </c>
      <c r="L14" s="30">
        <f>SUMIFS('1227 4度C'!$N:$N,'1227 4度C'!$A:$A,"新豐9線",'1227 4度C'!$B:$B,"平均")</f>
        <v>132.38700613793927</v>
      </c>
      <c r="M14" s="28">
        <f>SUMIFS('1227 4度C'!$N:$N,'1227 4度C'!$A:$A,"新豐4線",'1227 4度C'!$B:$B,"平均")</f>
        <v>139.9400518498733</v>
      </c>
    </row>
    <row r="15" spans="2:17" ht="40.15" customHeight="1">
      <c r="B15" s="523"/>
      <c r="C15" s="31" t="s">
        <v>1933</v>
      </c>
      <c r="D15" s="32">
        <f t="shared" ref="D15:M15" si="0">D14/D13</f>
        <v>0.96674896480331252</v>
      </c>
      <c r="E15" s="33">
        <f t="shared" si="0"/>
        <v>0.95479999999999998</v>
      </c>
      <c r="F15" s="33">
        <f t="shared" si="0"/>
        <v>0.95943495142613966</v>
      </c>
      <c r="G15" s="33">
        <f t="shared" si="0"/>
        <v>0.96326106999413008</v>
      </c>
      <c r="H15" s="33">
        <f t="shared" si="0"/>
        <v>0.95767274761255194</v>
      </c>
      <c r="I15" s="33">
        <f t="shared" si="0"/>
        <v>0.88068946128966774</v>
      </c>
      <c r="J15" s="34">
        <f t="shared" si="0"/>
        <v>0.96063176897756963</v>
      </c>
      <c r="K15" s="32">
        <f t="shared" si="0"/>
        <v>0.95581407899698312</v>
      </c>
      <c r="L15" s="33">
        <f t="shared" si="0"/>
        <v>0.96138183028741597</v>
      </c>
      <c r="M15" s="34">
        <f t="shared" si="0"/>
        <v>0.95625702097413423</v>
      </c>
    </row>
    <row r="16" spans="2:17" ht="17.25" customHeight="1">
      <c r="B16" s="524" t="s">
        <v>1934</v>
      </c>
      <c r="C16" s="35" t="s">
        <v>1935</v>
      </c>
      <c r="D16" s="49">
        <f>VLOOKUP("新豐6線",'1227 4度C'!$A:$T,19,0)</f>
        <v>0.70833333333333337</v>
      </c>
      <c r="E16" s="50">
        <f>VLOOKUP("新豐2線",'1227 4度C'!$A:$T,19,0)</f>
        <v>0.16666666666666666</v>
      </c>
      <c r="F16" s="50">
        <f>VLOOKUP("新豐5線",'1227 4度C'!$A:$T,19,0)</f>
        <v>0.20833333333333334</v>
      </c>
      <c r="G16" s="50">
        <f>VLOOKUP("新豐7線",'1227 4度C'!$A:$T,19,0)</f>
        <v>0.20833333333333334</v>
      </c>
      <c r="H16" s="50">
        <f>VLOOKUP("新豐3線",'1227 4度C'!$A:$T,19,0)</f>
        <v>8.3333333333333329E-2</v>
      </c>
      <c r="I16" s="50">
        <f>VLOOKUP("新豐1線",'1227 4度C'!$A:$T,19,0)</f>
        <v>0.20833333333333334</v>
      </c>
      <c r="J16" s="51">
        <f>VLOOKUP("新豐10線",'1227 4度C'!$A:$T,19,0)</f>
        <v>0.20833333333333334</v>
      </c>
      <c r="K16" s="36">
        <f>VLOOKUP("新豐8線",'1227 4度C'!$A:$T,19,0)</f>
        <v>8.3333333333333329E-2</v>
      </c>
      <c r="L16" s="37">
        <f>VLOOKUP("新豐9線",'1227 4度C'!$A:$T,19,0)</f>
        <v>8.3333333333333329E-2</v>
      </c>
      <c r="M16" s="38">
        <f>VLOOKUP("新豐4線",'1227 4度C'!$A:$T,19,0)</f>
        <v>8.3333333333333329E-2</v>
      </c>
    </row>
    <row r="17" spans="2:13" ht="17.25" customHeight="1">
      <c r="B17" s="525"/>
      <c r="C17" s="35" t="s">
        <v>1936</v>
      </c>
      <c r="D17" s="36">
        <f>LOOKUP(2,1/(('1227 4度C'!$A:$A="新豐6線")*('1227 4度C'!$T:$T&lt;&gt;"")),'1227 4度C'!$T:$T)</f>
        <v>0.80555555555555558</v>
      </c>
      <c r="E17" s="50">
        <f>LOOKUP(2,1/(('1227 4度C'!$A:$A="新豐2線")*('1227 4度C'!$T:$T&lt;&gt;"")),'1227 4度C'!$T:$T)</f>
        <v>0.41041666666666665</v>
      </c>
      <c r="F17" s="50">
        <f>LOOKUP(2,1/(('1227 4度C'!$A:$A="新豐5線")*('1227 4度C'!$T:$T&lt;&gt;"")),'1227 4度C'!$T:$T)</f>
        <v>0.85763888888888895</v>
      </c>
      <c r="G17" s="50">
        <f>LOOKUP(2,1/(('1227 4度C'!$A:$A="新豐7線")*('1227 4度C'!$T:$T&lt;&gt;"")),'1227 4度C'!$T:$T)</f>
        <v>0.8569444444444444</v>
      </c>
      <c r="H17" s="50">
        <f>LOOKUP(2,1/(('1227 4度C'!$A:$A="新豐3線")*('1227 4度C'!$T:$T&lt;&gt;"")),'1227 4度C'!$T:$T)</f>
        <v>0.4729166666666666</v>
      </c>
      <c r="I17" s="50">
        <f>LOOKUP(2,1/(('1227 4度C'!$A:$A="新豐1線")*('1227 4度C'!$T:$T&lt;&gt;"")),'1227 4度C'!$T:$T)</f>
        <v>0.83611111111111114</v>
      </c>
      <c r="J17" s="51">
        <f>LOOKUP(2,1/(('1227 4度C'!$A:$A="新豐10線")*('1227 4度C'!$T:$T&lt;&gt;"")),'1227 4度C'!$T:$T)</f>
        <v>0.42222222222222217</v>
      </c>
      <c r="K17" s="49">
        <f>LOOKUP(2,1/(('1227 4度C'!$A:$A="新豐8線")*('1227 4度C'!$T:$T&lt;&gt;"")),'1227 4度C'!$T:$T)</f>
        <v>0.50486111111111109</v>
      </c>
      <c r="L17" s="50">
        <f>LOOKUP(2,1/(('1227 4度C'!$A:$A="新豐9線")*('1227 4度C'!$T:$T&lt;&gt;"")),'1227 4度C'!$T:$T)</f>
        <v>0.44930555555555551</v>
      </c>
      <c r="M17" s="51">
        <f>LOOKUP(2,1/(('1227 4度C'!$A:$A="新豐4線")*('1227 4度C'!$T:$T&lt;&gt;"")),'1227 4度C'!$T:$T)</f>
        <v>0.50625000000000009</v>
      </c>
    </row>
    <row r="18" spans="2:13" ht="17.25" customHeight="1">
      <c r="B18" s="503" t="s">
        <v>1937</v>
      </c>
      <c r="C18" s="504"/>
      <c r="D18" s="39">
        <f>SUMIFS('1227 4度C'!$I:$I,'1227 4度C'!$A:$A,"新豐6線",'1227 4度C'!$B:$B,"平均")</f>
        <v>17.333333333333332</v>
      </c>
      <c r="E18" s="40">
        <f>SUMIFS('1227 4度C'!$I:$I,'1227 4度C'!$A:$A,"新豐2線",'1227 4度C'!$B:$B,"平均")</f>
        <v>18</v>
      </c>
      <c r="F18" s="40">
        <f>SUMIFS('1227 4度C'!$I:$I,'1227 4度C'!$A:$A,"新豐5線",'1227 4度C'!$B:$B,"平均")</f>
        <v>17.666666666666668</v>
      </c>
      <c r="G18" s="40">
        <f>SUMIFS('1227 4度C'!$I:$I,'1227 4度C'!$A:$A,"新豐7線",'1227 4度C'!$B:$B,"平均")</f>
        <v>16</v>
      </c>
      <c r="H18" s="40">
        <f>SUMIFS('1227 4度C'!$I:$I,'1227 4度C'!$A:$A,"新豐3線",'1227 4度C'!$B:$B,"平均")</f>
        <v>11</v>
      </c>
      <c r="I18" s="40">
        <f>SUMIFS('1227 4度C'!$I:$I,'1227 4度C'!$A:$A,"新豐1線",'1227 4度C'!$B:$B,"平均")</f>
        <v>18</v>
      </c>
      <c r="J18" s="41">
        <f>SUMIFS('1227 4度C'!$I:$I,'1227 4度C'!$A:$A,"新豐10線",'1227 4度C'!$B:$B,"平均")</f>
        <v>9.4</v>
      </c>
      <c r="K18" s="39">
        <f>SUMIFS('1227 4度C'!$I:$I,'1227 4度C'!$A:$A,"新豐8線",'1227 4度C'!$B:$B,"平均")</f>
        <v>18.2</v>
      </c>
      <c r="L18" s="40">
        <f>SUMIFS('1227 4度C'!$I:$I,'1227 4度C'!$A:$A,"新豐9線",'1227 4度C'!$B:$B,"平均")</f>
        <v>17.428571428571427</v>
      </c>
      <c r="M18" s="41">
        <f>SUMIFS('1227 4度C'!$I:$I,'1227 4度C'!$A:$A,"新豐4線",'1227 4度C'!$B:$B,"平均")</f>
        <v>16.399999999999999</v>
      </c>
    </row>
    <row r="19" spans="2:13" ht="17.25" customHeight="1">
      <c r="B19" s="503" t="s">
        <v>1938</v>
      </c>
      <c r="C19" s="504"/>
      <c r="D19" s="42" t="s">
        <v>59</v>
      </c>
      <c r="E19" s="43" t="s">
        <v>60</v>
      </c>
      <c r="F19" s="43" t="s">
        <v>1939</v>
      </c>
      <c r="G19" s="43" t="s">
        <v>1940</v>
      </c>
      <c r="H19" s="43" t="s">
        <v>61</v>
      </c>
      <c r="I19" s="43" t="s">
        <v>59</v>
      </c>
      <c r="J19" s="44" t="s">
        <v>61</v>
      </c>
      <c r="K19" s="42" t="s">
        <v>195</v>
      </c>
      <c r="L19" s="43" t="s">
        <v>195</v>
      </c>
      <c r="M19" s="44" t="s">
        <v>1941</v>
      </c>
    </row>
    <row r="20" spans="2:13" ht="17.25" customHeight="1">
      <c r="B20" s="503" t="s">
        <v>1942</v>
      </c>
      <c r="C20" s="504"/>
      <c r="D20" s="42"/>
      <c r="E20" s="43"/>
      <c r="F20" s="43" t="s">
        <v>1943</v>
      </c>
      <c r="G20" s="43" t="s">
        <v>59</v>
      </c>
      <c r="H20" s="43"/>
      <c r="I20" s="43"/>
      <c r="J20" s="44"/>
      <c r="K20" s="42"/>
      <c r="L20" s="43"/>
      <c r="M20" s="44"/>
    </row>
    <row r="21" spans="2:13" ht="17.25" customHeight="1" thickBot="1">
      <c r="B21" s="505" t="s">
        <v>199</v>
      </c>
      <c r="C21" s="506"/>
      <c r="D21" s="45"/>
      <c r="E21" s="46" t="s">
        <v>281</v>
      </c>
      <c r="F21" s="507" t="s">
        <v>1944</v>
      </c>
      <c r="G21" s="508"/>
      <c r="H21" s="46" t="s">
        <v>1945</v>
      </c>
      <c r="I21" s="46" t="s">
        <v>1946</v>
      </c>
      <c r="J21" s="47" t="s">
        <v>1945</v>
      </c>
      <c r="K21" s="48"/>
      <c r="L21" s="46"/>
      <c r="M21" s="4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20:C20"/>
    <mergeCell ref="B21:C21"/>
    <mergeCell ref="F21:G21"/>
    <mergeCell ref="K10:M10"/>
    <mergeCell ref="B11:C12"/>
    <mergeCell ref="B13:B15"/>
    <mergeCell ref="B18:C18"/>
    <mergeCell ref="B19:C19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1784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C70"/>
  <sheetViews>
    <sheetView zoomScale="80" zoomScaleNormal="80" workbookViewId="0">
      <pane ySplit="4" topLeftCell="A23" activePane="bottomLeft" state="frozen"/>
      <selection activeCell="B23" sqref="B23"/>
      <selection pane="bottomLeft" activeCell="B23" sqref="B23"/>
    </sheetView>
  </sheetViews>
  <sheetFormatPr defaultColWidth="8" defaultRowHeight="15.75"/>
  <cols>
    <col min="1" max="1" width="15.125" style="54" customWidth="1"/>
    <col min="2" max="2" width="19.375" style="73" customWidth="1"/>
    <col min="3" max="3" width="15.25" style="73" customWidth="1"/>
    <col min="4" max="4" width="17.5" style="73" customWidth="1"/>
    <col min="5" max="5" width="7.5" style="73" bestFit="1" customWidth="1"/>
    <col min="6" max="6" width="14.375" style="73" bestFit="1" customWidth="1"/>
    <col min="7" max="7" width="14.375" style="54" customWidth="1"/>
    <col min="8" max="8" width="8" style="54" customWidth="1"/>
    <col min="9" max="9" width="5.875" style="54" customWidth="1"/>
    <col min="10" max="10" width="10.625" style="54" customWidth="1"/>
    <col min="11" max="11" width="14.625" style="54" customWidth="1"/>
    <col min="12" max="12" width="7.25" style="54" bestFit="1" customWidth="1"/>
    <col min="13" max="13" width="8" style="54" customWidth="1"/>
    <col min="14" max="14" width="12" style="54" customWidth="1"/>
    <col min="15" max="15" width="6" style="54" customWidth="1"/>
    <col min="16" max="16" width="9.25" style="54" customWidth="1"/>
    <col min="17" max="17" width="11.5" style="54" customWidth="1"/>
    <col min="18" max="18" width="8.5" style="54" customWidth="1"/>
    <col min="19" max="19" width="10.125" style="73" bestFit="1" customWidth="1"/>
    <col min="20" max="20" width="7.625" style="73" bestFit="1" customWidth="1"/>
    <col min="21" max="21" width="10.25" style="54" bestFit="1" customWidth="1"/>
    <col min="22" max="22" width="8.75" style="71" customWidth="1"/>
    <col min="23" max="23" width="7.375" style="54" customWidth="1"/>
    <col min="24" max="24" width="6.875" style="54" bestFit="1" customWidth="1"/>
    <col min="25" max="25" width="12.75" style="54" customWidth="1"/>
    <col min="26" max="26" width="18.875" style="54" customWidth="1"/>
    <col min="27" max="27" width="13.125" style="54" bestFit="1" customWidth="1"/>
    <col min="28" max="28" width="10.375" style="54" customWidth="1"/>
    <col min="29" max="29" width="9.375" style="54" customWidth="1"/>
    <col min="30" max="30" width="8" style="54"/>
    <col min="31" max="31" width="24.625" style="54" bestFit="1" customWidth="1"/>
    <col min="32" max="16384" width="8" style="54"/>
  </cols>
  <sheetData>
    <row r="1" spans="1:29" ht="26.25" customHeight="1">
      <c r="A1" s="52" t="s">
        <v>1947</v>
      </c>
      <c r="B1" s="74"/>
      <c r="C1" s="75" t="s">
        <v>1948</v>
      </c>
      <c r="D1" s="76">
        <v>140026</v>
      </c>
      <c r="E1" s="440" t="s">
        <v>1949</v>
      </c>
      <c r="F1" s="74">
        <v>4812040.2700000014</v>
      </c>
      <c r="G1" s="52" t="s">
        <v>1950</v>
      </c>
      <c r="H1" s="53">
        <f>L8+L11+L49+L57+L18+L63+L33+L41+L27+L69</f>
        <v>159.42857142857144</v>
      </c>
      <c r="I1" s="607" t="s">
        <v>1951</v>
      </c>
      <c r="J1" s="607"/>
      <c r="K1" s="607"/>
      <c r="L1" s="607" t="s">
        <v>1952</v>
      </c>
      <c r="M1" s="607"/>
      <c r="N1" s="607"/>
      <c r="O1" s="607" t="s">
        <v>1953</v>
      </c>
      <c r="P1" s="607"/>
      <c r="Q1" s="607"/>
      <c r="R1" s="607"/>
      <c r="S1" s="607" t="s">
        <v>1954</v>
      </c>
      <c r="T1" s="607"/>
      <c r="U1" s="607"/>
      <c r="V1" s="607"/>
      <c r="W1" s="607"/>
      <c r="X1" s="607"/>
      <c r="Y1" s="607" t="s">
        <v>1955</v>
      </c>
      <c r="Z1" s="607"/>
      <c r="AA1" s="607" t="s">
        <v>1956</v>
      </c>
      <c r="AB1" s="608"/>
      <c r="AC1" s="608"/>
    </row>
    <row r="2" spans="1:29" ht="26.25" customHeight="1">
      <c r="A2" s="55">
        <v>46018</v>
      </c>
      <c r="B2" s="56" t="s">
        <v>497</v>
      </c>
      <c r="C2" s="75" t="s">
        <v>1930</v>
      </c>
      <c r="D2" s="77">
        <v>140.74930144089518</v>
      </c>
      <c r="E2" s="78" t="s">
        <v>0</v>
      </c>
      <c r="F2" s="79">
        <v>34.365334080813575</v>
      </c>
      <c r="G2" s="52" t="s">
        <v>1957</v>
      </c>
      <c r="H2" s="441">
        <f>COUNT(H5:H69)</f>
        <v>0</v>
      </c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8"/>
      <c r="AB2" s="608"/>
      <c r="AC2" s="608"/>
    </row>
    <row r="3" spans="1:29" ht="23.25" customHeight="1">
      <c r="A3" s="559" t="s">
        <v>1958</v>
      </c>
      <c r="B3" s="604" t="s">
        <v>1959</v>
      </c>
      <c r="C3" s="604" t="s">
        <v>1960</v>
      </c>
      <c r="D3" s="604"/>
      <c r="E3" s="609" t="s">
        <v>1961</v>
      </c>
      <c r="F3" s="604" t="s">
        <v>1962</v>
      </c>
      <c r="G3" s="605" t="s">
        <v>1963</v>
      </c>
      <c r="H3" s="598" t="s">
        <v>1964</v>
      </c>
      <c r="I3" s="596" t="s">
        <v>1965</v>
      </c>
      <c r="J3" s="601" t="s">
        <v>1966</v>
      </c>
      <c r="K3" s="603" t="s">
        <v>1930</v>
      </c>
      <c r="L3" s="596" t="s">
        <v>1965</v>
      </c>
      <c r="M3" s="601" t="s">
        <v>1966</v>
      </c>
      <c r="N3" s="603" t="s">
        <v>1930</v>
      </c>
      <c r="O3" s="596" t="s">
        <v>1965</v>
      </c>
      <c r="P3" s="603" t="s">
        <v>1930</v>
      </c>
      <c r="Q3" s="602" t="s">
        <v>1967</v>
      </c>
      <c r="R3" s="574" t="s">
        <v>1968</v>
      </c>
      <c r="S3" s="604" t="s">
        <v>1</v>
      </c>
      <c r="T3" s="604"/>
      <c r="U3" s="598" t="s">
        <v>2</v>
      </c>
      <c r="V3" s="598" t="s">
        <v>1969</v>
      </c>
      <c r="W3" s="559" t="s">
        <v>1970</v>
      </c>
      <c r="X3" s="559"/>
      <c r="Y3" s="599" t="s">
        <v>1971</v>
      </c>
      <c r="Z3" s="600"/>
      <c r="AA3" s="601" t="s">
        <v>1972</v>
      </c>
      <c r="AB3" s="602" t="s">
        <v>1967</v>
      </c>
      <c r="AC3" s="574" t="s">
        <v>1973</v>
      </c>
    </row>
    <row r="4" spans="1:29">
      <c r="A4" s="559"/>
      <c r="B4" s="604"/>
      <c r="C4" s="604"/>
      <c r="D4" s="604"/>
      <c r="E4" s="610"/>
      <c r="F4" s="604"/>
      <c r="G4" s="606"/>
      <c r="H4" s="598"/>
      <c r="I4" s="596"/>
      <c r="J4" s="601"/>
      <c r="K4" s="603"/>
      <c r="L4" s="596"/>
      <c r="M4" s="601"/>
      <c r="N4" s="603"/>
      <c r="O4" s="596"/>
      <c r="P4" s="603"/>
      <c r="Q4" s="602"/>
      <c r="R4" s="574"/>
      <c r="S4" s="440" t="s">
        <v>3</v>
      </c>
      <c r="T4" s="440" t="s">
        <v>4</v>
      </c>
      <c r="U4" s="598"/>
      <c r="V4" s="598"/>
      <c r="W4" s="431" t="s">
        <v>1974</v>
      </c>
      <c r="X4" s="431" t="s">
        <v>1975</v>
      </c>
      <c r="Y4" s="600"/>
      <c r="Z4" s="600"/>
      <c r="AA4" s="601"/>
      <c r="AB4" s="602"/>
      <c r="AC4" s="574"/>
    </row>
    <row r="5" spans="1:29">
      <c r="A5" s="595" t="s">
        <v>1976</v>
      </c>
      <c r="B5" s="57" t="s">
        <v>6</v>
      </c>
      <c r="C5" s="597" t="s">
        <v>9</v>
      </c>
      <c r="D5" s="597"/>
      <c r="E5" s="57">
        <v>50.67</v>
      </c>
      <c r="F5" s="440">
        <v>1293</v>
      </c>
      <c r="G5" s="431">
        <f t="shared" ref="G5:G7" si="0">E5*F5</f>
        <v>65516.310000000005</v>
      </c>
      <c r="H5" s="442" t="s">
        <v>5</v>
      </c>
      <c r="I5" s="438">
        <v>17</v>
      </c>
      <c r="J5" s="58">
        <v>2000</v>
      </c>
      <c r="K5" s="59">
        <f t="shared" ref="K5:K68" si="1">J5/I5</f>
        <v>117.64705882352941</v>
      </c>
      <c r="L5" s="438">
        <v>17</v>
      </c>
      <c r="M5" s="60">
        <f t="shared" ref="M5:M7" si="2">F5/V5*60</f>
        <v>1939.4999999999993</v>
      </c>
      <c r="N5" s="59">
        <f t="shared" ref="N5:N68" si="3">M5/L5</f>
        <v>114.08823529411761</v>
      </c>
      <c r="O5" s="61">
        <f t="shared" ref="O5:O68" si="4">L5-I5</f>
        <v>0</v>
      </c>
      <c r="P5" s="62">
        <f t="shared" ref="P5:P68" si="5">N5-K5</f>
        <v>-3.5588235294117965</v>
      </c>
      <c r="Q5" s="430">
        <f t="shared" ref="Q5:Q68" si="6">N5/K5</f>
        <v>0.96974999999999978</v>
      </c>
      <c r="R5" s="566">
        <f>Q8</f>
        <v>0.96674896480331252</v>
      </c>
      <c r="S5" s="63">
        <v>0.70833333333333337</v>
      </c>
      <c r="T5" s="63">
        <v>0.73611111111111116</v>
      </c>
      <c r="U5" s="431"/>
      <c r="V5" s="439">
        <f t="shared" ref="V5:V7" si="7">(T5-S5)*24*60</f>
        <v>40.000000000000014</v>
      </c>
      <c r="W5" s="64"/>
      <c r="X5" s="65"/>
      <c r="Y5" s="559"/>
      <c r="Z5" s="559"/>
      <c r="AA5" s="61">
        <f t="shared" ref="AA5:AA68" si="8">M5-J5</f>
        <v>-60.500000000000682</v>
      </c>
      <c r="AB5" s="430">
        <f t="shared" ref="AB5:AB68" si="9">M5/J5</f>
        <v>0.96974999999999967</v>
      </c>
      <c r="AC5" s="566">
        <f>AB8</f>
        <v>0.96674896480331241</v>
      </c>
    </row>
    <row r="6" spans="1:29">
      <c r="A6" s="596" t="s">
        <v>1977</v>
      </c>
      <c r="B6" s="57" t="s">
        <v>6</v>
      </c>
      <c r="C6" s="597" t="s">
        <v>22</v>
      </c>
      <c r="D6" s="597"/>
      <c r="E6" s="57">
        <v>54.09</v>
      </c>
      <c r="F6" s="440">
        <v>1345</v>
      </c>
      <c r="G6" s="431">
        <f t="shared" si="0"/>
        <v>72751.05</v>
      </c>
      <c r="H6" s="442" t="s">
        <v>5</v>
      </c>
      <c r="I6" s="438">
        <v>19</v>
      </c>
      <c r="J6" s="58">
        <v>2000</v>
      </c>
      <c r="K6" s="59">
        <f t="shared" si="1"/>
        <v>105.26315789473684</v>
      </c>
      <c r="L6" s="438">
        <v>19</v>
      </c>
      <c r="M6" s="60">
        <f t="shared" si="2"/>
        <v>1921.4285714285706</v>
      </c>
      <c r="N6" s="59">
        <f t="shared" si="3"/>
        <v>101.12781954887214</v>
      </c>
      <c r="O6" s="61">
        <f t="shared" si="4"/>
        <v>0</v>
      </c>
      <c r="P6" s="62">
        <f t="shared" si="5"/>
        <v>-4.135338345864696</v>
      </c>
      <c r="Q6" s="430">
        <f t="shared" si="6"/>
        <v>0.96071428571428541</v>
      </c>
      <c r="R6" s="566"/>
      <c r="S6" s="63">
        <v>0.73958333333333337</v>
      </c>
      <c r="T6" s="63">
        <v>0.76875000000000004</v>
      </c>
      <c r="U6" s="431">
        <f t="shared" ref="U6:U7" si="10">IF(S6=TIME(17,0,0),"",(S6-T5)*24*60)</f>
        <v>4.9999999999999822</v>
      </c>
      <c r="V6" s="439">
        <f t="shared" si="7"/>
        <v>42.000000000000014</v>
      </c>
      <c r="W6" s="64"/>
      <c r="X6" s="64"/>
      <c r="Y6" s="559"/>
      <c r="Z6" s="559"/>
      <c r="AA6" s="61">
        <f t="shared" si="8"/>
        <v>-78.571428571429351</v>
      </c>
      <c r="AB6" s="430">
        <f t="shared" si="9"/>
        <v>0.9607142857142853</v>
      </c>
      <c r="AC6" s="566"/>
    </row>
    <row r="7" spans="1:29">
      <c r="A7" s="596" t="s">
        <v>1977</v>
      </c>
      <c r="B7" s="57" t="s">
        <v>6</v>
      </c>
      <c r="C7" s="590" t="s">
        <v>1619</v>
      </c>
      <c r="D7" s="591"/>
      <c r="E7" s="57">
        <v>50.29</v>
      </c>
      <c r="F7" s="440">
        <v>1487</v>
      </c>
      <c r="G7" s="431">
        <f t="shared" si="0"/>
        <v>74781.23</v>
      </c>
      <c r="H7" s="442" t="s">
        <v>5</v>
      </c>
      <c r="I7" s="438">
        <v>16</v>
      </c>
      <c r="J7" s="58">
        <v>2000</v>
      </c>
      <c r="K7" s="59">
        <f t="shared" si="1"/>
        <v>125</v>
      </c>
      <c r="L7" s="438">
        <v>16</v>
      </c>
      <c r="M7" s="60">
        <f t="shared" si="2"/>
        <v>1939.5652173913045</v>
      </c>
      <c r="N7" s="59">
        <f t="shared" si="3"/>
        <v>121.22282608695653</v>
      </c>
      <c r="O7" s="61">
        <f t="shared" si="4"/>
        <v>0</v>
      </c>
      <c r="P7" s="62">
        <f t="shared" si="5"/>
        <v>-3.7771739130434696</v>
      </c>
      <c r="Q7" s="430">
        <f t="shared" si="6"/>
        <v>0.96978260869565225</v>
      </c>
      <c r="R7" s="566"/>
      <c r="S7" s="63">
        <v>0.77361111111111114</v>
      </c>
      <c r="T7" s="63">
        <v>0.80555555555555558</v>
      </c>
      <c r="U7" s="431">
        <f t="shared" si="10"/>
        <v>6.9999999999999751</v>
      </c>
      <c r="V7" s="439">
        <f t="shared" si="7"/>
        <v>46</v>
      </c>
      <c r="W7" s="64"/>
      <c r="X7" s="64"/>
      <c r="Y7" s="569"/>
      <c r="Z7" s="570"/>
      <c r="AA7" s="61">
        <f t="shared" si="8"/>
        <v>-60.434782608695514</v>
      </c>
      <c r="AB7" s="430">
        <f t="shared" si="9"/>
        <v>0.96978260869565225</v>
      </c>
      <c r="AC7" s="566"/>
    </row>
    <row r="8" spans="1:29">
      <c r="A8" s="596" t="s">
        <v>1977</v>
      </c>
      <c r="B8" s="57" t="s">
        <v>1978</v>
      </c>
      <c r="C8" s="571"/>
      <c r="D8" s="571"/>
      <c r="E8" s="433"/>
      <c r="F8" s="66"/>
      <c r="G8" s="59"/>
      <c r="H8" s="440"/>
      <c r="I8" s="67">
        <v>17.333333333333332</v>
      </c>
      <c r="J8" s="58">
        <v>2000</v>
      </c>
      <c r="K8" s="59">
        <f t="shared" si="1"/>
        <v>115.38461538461539</v>
      </c>
      <c r="L8" s="67">
        <v>17.333333333333332</v>
      </c>
      <c r="M8" s="60">
        <f>AVERAGE(M5:M7)</f>
        <v>1933.4979296066249</v>
      </c>
      <c r="N8" s="59">
        <f t="shared" si="3"/>
        <v>111.54795747730529</v>
      </c>
      <c r="O8" s="61">
        <f t="shared" si="4"/>
        <v>0</v>
      </c>
      <c r="P8" s="62">
        <f t="shared" si="5"/>
        <v>-3.8366579073100979</v>
      </c>
      <c r="Q8" s="430">
        <f t="shared" si="6"/>
        <v>0.96674896480331252</v>
      </c>
      <c r="R8" s="566"/>
      <c r="S8" s="63"/>
      <c r="T8" s="63"/>
      <c r="U8" s="431"/>
      <c r="V8" s="439"/>
      <c r="W8" s="59"/>
      <c r="X8" s="59"/>
      <c r="Y8" s="559"/>
      <c r="Z8" s="559"/>
      <c r="AA8" s="61">
        <f t="shared" si="8"/>
        <v>-66.502070393375107</v>
      </c>
      <c r="AB8" s="430">
        <f t="shared" si="9"/>
        <v>0.96674896480331241</v>
      </c>
      <c r="AC8" s="566"/>
    </row>
    <row r="9" spans="1:29" ht="15.75" customHeight="1">
      <c r="A9" s="594" t="s">
        <v>1979</v>
      </c>
      <c r="B9" s="57" t="s">
        <v>10</v>
      </c>
      <c r="C9" s="590" t="s">
        <v>14</v>
      </c>
      <c r="D9" s="591"/>
      <c r="E9" s="57">
        <v>39.619999999999997</v>
      </c>
      <c r="F9" s="440">
        <v>2990</v>
      </c>
      <c r="G9" s="431">
        <f t="shared" ref="G9:G10" si="11">E9*F9</f>
        <v>118463.79999999999</v>
      </c>
      <c r="H9" s="442" t="s">
        <v>5</v>
      </c>
      <c r="I9" s="438">
        <v>19</v>
      </c>
      <c r="J9" s="58">
        <v>1500</v>
      </c>
      <c r="K9" s="59">
        <f t="shared" si="1"/>
        <v>78.94736842105263</v>
      </c>
      <c r="L9" s="438">
        <v>19</v>
      </c>
      <c r="M9" s="60">
        <f t="shared" ref="M9:M10" si="12">F9/V9*60</f>
        <v>1435.2</v>
      </c>
      <c r="N9" s="59">
        <f t="shared" si="3"/>
        <v>75.536842105263162</v>
      </c>
      <c r="O9" s="61">
        <f t="shared" si="4"/>
        <v>0</v>
      </c>
      <c r="P9" s="62">
        <f t="shared" si="5"/>
        <v>-3.4105263157894683</v>
      </c>
      <c r="Q9" s="430">
        <f t="shared" si="6"/>
        <v>0.95680000000000009</v>
      </c>
      <c r="R9" s="566">
        <f>Q11</f>
        <v>0.95479999999999998</v>
      </c>
      <c r="S9" s="63">
        <v>0.16666666666666666</v>
      </c>
      <c r="T9" s="63">
        <v>0.25347222222222221</v>
      </c>
      <c r="U9" s="431"/>
      <c r="V9" s="439">
        <f t="shared" ref="V9:V10" si="13">(T9-S9)*24*60</f>
        <v>124.99999999999999</v>
      </c>
      <c r="W9" s="64">
        <f>T9</f>
        <v>0.25347222222222221</v>
      </c>
      <c r="X9" s="64">
        <f>S10</f>
        <v>0.27152777777777776</v>
      </c>
      <c r="Y9" s="559"/>
      <c r="Z9" s="559"/>
      <c r="AA9" s="61">
        <f t="shared" si="8"/>
        <v>-64.799999999999955</v>
      </c>
      <c r="AB9" s="430">
        <f t="shared" si="9"/>
        <v>0.95679999999999998</v>
      </c>
      <c r="AC9" s="566">
        <f>AB11</f>
        <v>0.95479999999999998</v>
      </c>
    </row>
    <row r="10" spans="1:29" ht="15.75" customHeight="1">
      <c r="A10" s="594" t="s">
        <v>1979</v>
      </c>
      <c r="B10" s="57" t="s">
        <v>10</v>
      </c>
      <c r="C10" s="590" t="s">
        <v>11</v>
      </c>
      <c r="D10" s="591"/>
      <c r="E10" s="57">
        <v>39.799999999999997</v>
      </c>
      <c r="F10" s="440">
        <v>4764</v>
      </c>
      <c r="G10" s="431">
        <f t="shared" si="11"/>
        <v>189607.19999999998</v>
      </c>
      <c r="H10" s="442" t="s">
        <v>5</v>
      </c>
      <c r="I10" s="438">
        <v>17</v>
      </c>
      <c r="J10" s="58">
        <v>1500</v>
      </c>
      <c r="K10" s="59">
        <f t="shared" si="1"/>
        <v>88.235294117647058</v>
      </c>
      <c r="L10" s="438">
        <v>17</v>
      </c>
      <c r="M10" s="60">
        <f t="shared" si="12"/>
        <v>1429.2</v>
      </c>
      <c r="N10" s="59">
        <f t="shared" si="3"/>
        <v>84.070588235294125</v>
      </c>
      <c r="O10" s="61">
        <f t="shared" si="4"/>
        <v>0</v>
      </c>
      <c r="P10" s="62">
        <f t="shared" si="5"/>
        <v>-4.1647058823529335</v>
      </c>
      <c r="Q10" s="430">
        <f t="shared" si="6"/>
        <v>0.95280000000000009</v>
      </c>
      <c r="R10" s="566"/>
      <c r="S10" s="63">
        <v>0.27152777777777776</v>
      </c>
      <c r="T10" s="63">
        <v>0.41041666666666665</v>
      </c>
      <c r="U10" s="431">
        <f t="shared" ref="U10" si="14">IF(S10=TIME(17,0,0),"",(S10-T9)*24*60)</f>
        <v>25.999999999999986</v>
      </c>
      <c r="V10" s="439">
        <f t="shared" si="13"/>
        <v>200</v>
      </c>
      <c r="W10" s="64"/>
      <c r="X10" s="64"/>
      <c r="Y10" s="559"/>
      <c r="Z10" s="559"/>
      <c r="AA10" s="61">
        <f t="shared" si="8"/>
        <v>-70.799999999999955</v>
      </c>
      <c r="AB10" s="430">
        <f t="shared" si="9"/>
        <v>0.95279999999999998</v>
      </c>
      <c r="AC10" s="566"/>
    </row>
    <row r="11" spans="1:29" ht="16.5" customHeight="1">
      <c r="A11" s="594" t="s">
        <v>1979</v>
      </c>
      <c r="B11" s="57" t="s">
        <v>1978</v>
      </c>
      <c r="C11" s="571"/>
      <c r="D11" s="571"/>
      <c r="E11" s="433"/>
      <c r="F11" s="58"/>
      <c r="G11" s="60"/>
      <c r="H11" s="440"/>
      <c r="I11" s="67">
        <v>18</v>
      </c>
      <c r="J11" s="58">
        <v>1500</v>
      </c>
      <c r="K11" s="59">
        <f t="shared" si="1"/>
        <v>83.333333333333329</v>
      </c>
      <c r="L11" s="67">
        <v>18</v>
      </c>
      <c r="M11" s="60">
        <f>AVERAGE(M9:M10)</f>
        <v>1432.2</v>
      </c>
      <c r="N11" s="59">
        <f t="shared" si="3"/>
        <v>79.566666666666663</v>
      </c>
      <c r="O11" s="61">
        <f t="shared" si="4"/>
        <v>0</v>
      </c>
      <c r="P11" s="62">
        <f t="shared" si="5"/>
        <v>-3.7666666666666657</v>
      </c>
      <c r="Q11" s="430">
        <f t="shared" si="6"/>
        <v>0.95479999999999998</v>
      </c>
      <c r="R11" s="566"/>
      <c r="S11" s="63"/>
      <c r="T11" s="63"/>
      <c r="U11" s="59"/>
      <c r="V11" s="439"/>
      <c r="W11" s="59"/>
      <c r="X11" s="59"/>
      <c r="Y11" s="559"/>
      <c r="Z11" s="559"/>
      <c r="AA11" s="61">
        <f t="shared" si="8"/>
        <v>-67.799999999999955</v>
      </c>
      <c r="AB11" s="430">
        <f t="shared" si="9"/>
        <v>0.95479999999999998</v>
      </c>
      <c r="AC11" s="566"/>
    </row>
    <row r="12" spans="1:29" ht="16.5" customHeight="1">
      <c r="A12" s="592" t="s">
        <v>1980</v>
      </c>
      <c r="B12" s="440" t="s">
        <v>12</v>
      </c>
      <c r="C12" s="584" t="s">
        <v>13</v>
      </c>
      <c r="D12" s="584"/>
      <c r="E12" s="57">
        <v>41</v>
      </c>
      <c r="F12" s="440">
        <v>2343</v>
      </c>
      <c r="G12" s="431">
        <f t="shared" ref="G12:G17" si="15">E12*F12</f>
        <v>96063</v>
      </c>
      <c r="H12" s="442" t="s">
        <v>5</v>
      </c>
      <c r="I12" s="438">
        <v>26</v>
      </c>
      <c r="J12" s="58">
        <v>1500</v>
      </c>
      <c r="K12" s="59">
        <f t="shared" si="1"/>
        <v>57.692307692307693</v>
      </c>
      <c r="L12" s="438">
        <v>26</v>
      </c>
      <c r="M12" s="60">
        <f t="shared" ref="M12:M17" si="16">F12/V12*60</f>
        <v>1434.489795918367</v>
      </c>
      <c r="N12" s="59">
        <f t="shared" si="3"/>
        <v>55.172684458398734</v>
      </c>
      <c r="O12" s="61">
        <f t="shared" si="4"/>
        <v>0</v>
      </c>
      <c r="P12" s="62">
        <f t="shared" si="5"/>
        <v>-2.519623233908959</v>
      </c>
      <c r="Q12" s="430">
        <f t="shared" si="6"/>
        <v>0.95632653061224471</v>
      </c>
      <c r="R12" s="566">
        <f>Q18</f>
        <v>0.95943495142613966</v>
      </c>
      <c r="S12" s="63">
        <v>0.20833333333333334</v>
      </c>
      <c r="T12" s="63">
        <v>0.27638888888888891</v>
      </c>
      <c r="U12" s="431"/>
      <c r="V12" s="439">
        <f t="shared" ref="V12:V17" si="17">(T12-S12)*24*60</f>
        <v>98.000000000000014</v>
      </c>
      <c r="W12" s="68"/>
      <c r="X12" s="68"/>
      <c r="Y12" s="559"/>
      <c r="Z12" s="559"/>
      <c r="AA12" s="61">
        <f t="shared" si="8"/>
        <v>-65.510204081632992</v>
      </c>
      <c r="AB12" s="430">
        <f t="shared" si="9"/>
        <v>0.95632653061224471</v>
      </c>
      <c r="AC12" s="566">
        <f>AB18</f>
        <v>0.95943495142613966</v>
      </c>
    </row>
    <row r="13" spans="1:29" ht="16.5" customHeight="1">
      <c r="A13" s="593" t="s">
        <v>1980</v>
      </c>
      <c r="B13" s="440" t="s">
        <v>657</v>
      </c>
      <c r="C13" s="584" t="s">
        <v>236</v>
      </c>
      <c r="D13" s="584"/>
      <c r="E13" s="57">
        <v>72.400000000000006</v>
      </c>
      <c r="F13" s="440">
        <v>947</v>
      </c>
      <c r="G13" s="431">
        <f t="shared" si="15"/>
        <v>68562.8</v>
      </c>
      <c r="H13" s="442" t="s">
        <v>5</v>
      </c>
      <c r="I13" s="438">
        <v>18</v>
      </c>
      <c r="J13" s="58">
        <v>1500</v>
      </c>
      <c r="K13" s="59">
        <f t="shared" si="1"/>
        <v>83.333333333333329</v>
      </c>
      <c r="L13" s="438">
        <v>18</v>
      </c>
      <c r="M13" s="60">
        <f t="shared" si="16"/>
        <v>1456.9230769230762</v>
      </c>
      <c r="N13" s="59">
        <f t="shared" si="3"/>
        <v>80.940170940170901</v>
      </c>
      <c r="O13" s="61">
        <f t="shared" si="4"/>
        <v>0</v>
      </c>
      <c r="P13" s="62">
        <f t="shared" si="5"/>
        <v>-2.3931623931624273</v>
      </c>
      <c r="Q13" s="430">
        <f t="shared" si="6"/>
        <v>0.97128205128205092</v>
      </c>
      <c r="R13" s="566"/>
      <c r="S13" s="63">
        <v>0.28125</v>
      </c>
      <c r="T13" s="63">
        <v>0.30833333333333335</v>
      </c>
      <c r="U13" s="431">
        <f t="shared" ref="U13:U17" si="18">IF(S13=TIME(17,0,0),"",(S13-T12)*24*60)</f>
        <v>6.9999999999999751</v>
      </c>
      <c r="V13" s="439">
        <f t="shared" si="17"/>
        <v>39.000000000000021</v>
      </c>
      <c r="W13" s="64"/>
      <c r="X13" s="64"/>
      <c r="Y13" s="559"/>
      <c r="Z13" s="559"/>
      <c r="AA13" s="61">
        <f t="shared" si="8"/>
        <v>-43.076923076923777</v>
      </c>
      <c r="AB13" s="430">
        <f t="shared" si="9"/>
        <v>0.97128205128205081</v>
      </c>
      <c r="AC13" s="566"/>
    </row>
    <row r="14" spans="1:29" ht="16.5" customHeight="1">
      <c r="A14" s="593" t="s">
        <v>1980</v>
      </c>
      <c r="B14" s="440" t="s">
        <v>65</v>
      </c>
      <c r="C14" s="584" t="s">
        <v>1765</v>
      </c>
      <c r="D14" s="584"/>
      <c r="E14" s="57">
        <v>50.67</v>
      </c>
      <c r="F14" s="440">
        <v>1407</v>
      </c>
      <c r="G14" s="431">
        <f t="shared" si="15"/>
        <v>71292.69</v>
      </c>
      <c r="H14" s="442" t="s">
        <v>5</v>
      </c>
      <c r="I14" s="438">
        <v>16</v>
      </c>
      <c r="J14" s="58">
        <v>1500</v>
      </c>
      <c r="K14" s="59">
        <f t="shared" si="1"/>
        <v>93.75</v>
      </c>
      <c r="L14" s="438">
        <v>16</v>
      </c>
      <c r="M14" s="60">
        <f t="shared" si="16"/>
        <v>1430.847457627118</v>
      </c>
      <c r="N14" s="59">
        <f t="shared" si="3"/>
        <v>89.427966101694878</v>
      </c>
      <c r="O14" s="61">
        <f t="shared" si="4"/>
        <v>0</v>
      </c>
      <c r="P14" s="62">
        <f t="shared" si="5"/>
        <v>-4.3220338983051221</v>
      </c>
      <c r="Q14" s="430">
        <f t="shared" si="6"/>
        <v>0.95389830508474538</v>
      </c>
      <c r="R14" s="566"/>
      <c r="S14" s="63">
        <v>0.31180555555555556</v>
      </c>
      <c r="T14" s="63">
        <v>0.3527777777777778</v>
      </c>
      <c r="U14" s="431">
        <f t="shared" si="18"/>
        <v>4.9999999999999822</v>
      </c>
      <c r="V14" s="439">
        <f t="shared" si="17"/>
        <v>59.000000000000028</v>
      </c>
      <c r="W14" s="64"/>
      <c r="X14" s="64"/>
      <c r="Y14" s="559"/>
      <c r="Z14" s="559"/>
      <c r="AA14" s="61">
        <f t="shared" si="8"/>
        <v>-69.152542372881953</v>
      </c>
      <c r="AB14" s="430">
        <f t="shared" si="9"/>
        <v>0.95389830508474538</v>
      </c>
      <c r="AC14" s="566"/>
    </row>
    <row r="15" spans="1:29" ht="16.5" customHeight="1">
      <c r="A15" s="593" t="s">
        <v>1980</v>
      </c>
      <c r="B15" s="440" t="s">
        <v>6</v>
      </c>
      <c r="C15" s="584" t="s">
        <v>95</v>
      </c>
      <c r="D15" s="584"/>
      <c r="E15" s="57">
        <v>50.98</v>
      </c>
      <c r="F15" s="440">
        <v>2390</v>
      </c>
      <c r="G15" s="431">
        <f t="shared" si="15"/>
        <v>121842.2</v>
      </c>
      <c r="H15" s="442" t="s">
        <v>5</v>
      </c>
      <c r="I15" s="438">
        <v>16</v>
      </c>
      <c r="J15" s="58">
        <v>2000</v>
      </c>
      <c r="K15" s="59">
        <f t="shared" si="1"/>
        <v>125</v>
      </c>
      <c r="L15" s="438">
        <v>16</v>
      </c>
      <c r="M15" s="60">
        <f t="shared" si="16"/>
        <v>1911.9999999999986</v>
      </c>
      <c r="N15" s="59">
        <f t="shared" si="3"/>
        <v>119.49999999999991</v>
      </c>
      <c r="O15" s="61">
        <f t="shared" si="4"/>
        <v>0</v>
      </c>
      <c r="P15" s="62">
        <f t="shared" si="5"/>
        <v>-5.5000000000000853</v>
      </c>
      <c r="Q15" s="430">
        <f t="shared" si="6"/>
        <v>0.95599999999999929</v>
      </c>
      <c r="R15" s="566"/>
      <c r="S15" s="63">
        <v>0.70833333333333337</v>
      </c>
      <c r="T15" s="63">
        <v>0.76041666666666674</v>
      </c>
      <c r="U15" s="431" t="str">
        <f t="shared" si="18"/>
        <v/>
      </c>
      <c r="V15" s="439">
        <f t="shared" si="17"/>
        <v>75.000000000000057</v>
      </c>
      <c r="W15" s="64"/>
      <c r="X15" s="64"/>
      <c r="Y15" s="559"/>
      <c r="Z15" s="559"/>
      <c r="AA15" s="61">
        <f t="shared" si="8"/>
        <v>-88.000000000001364</v>
      </c>
      <c r="AB15" s="430">
        <f t="shared" si="9"/>
        <v>0.95599999999999929</v>
      </c>
      <c r="AC15" s="566"/>
    </row>
    <row r="16" spans="1:29" ht="16.5" customHeight="1">
      <c r="A16" s="593" t="s">
        <v>1980</v>
      </c>
      <c r="B16" s="440" t="s">
        <v>6</v>
      </c>
      <c r="C16" s="584" t="s">
        <v>18</v>
      </c>
      <c r="D16" s="584"/>
      <c r="E16" s="57">
        <v>50.92</v>
      </c>
      <c r="F16" s="440">
        <v>2424</v>
      </c>
      <c r="G16" s="431">
        <f t="shared" si="15"/>
        <v>123430.08</v>
      </c>
      <c r="H16" s="442" t="s">
        <v>5</v>
      </c>
      <c r="I16" s="438">
        <v>15</v>
      </c>
      <c r="J16" s="58">
        <v>2000</v>
      </c>
      <c r="K16" s="59">
        <f t="shared" si="1"/>
        <v>133.33333333333334</v>
      </c>
      <c r="L16" s="438">
        <v>15</v>
      </c>
      <c r="M16" s="60">
        <f t="shared" si="16"/>
        <v>1913.6842105263142</v>
      </c>
      <c r="N16" s="59">
        <f t="shared" si="3"/>
        <v>127.57894736842096</v>
      </c>
      <c r="O16" s="61">
        <f t="shared" si="4"/>
        <v>0</v>
      </c>
      <c r="P16" s="62">
        <f t="shared" si="5"/>
        <v>-5.7543859649123874</v>
      </c>
      <c r="Q16" s="430">
        <f t="shared" si="6"/>
        <v>0.95684210526315705</v>
      </c>
      <c r="R16" s="566"/>
      <c r="S16" s="63">
        <v>0.76597222222222228</v>
      </c>
      <c r="T16" s="63">
        <v>0.81875000000000009</v>
      </c>
      <c r="U16" s="431">
        <f t="shared" si="18"/>
        <v>7.9999999999999716</v>
      </c>
      <c r="V16" s="439">
        <f t="shared" si="17"/>
        <v>76.000000000000057</v>
      </c>
      <c r="W16" s="64"/>
      <c r="X16" s="64"/>
      <c r="Y16" s="559"/>
      <c r="Z16" s="559"/>
      <c r="AA16" s="61">
        <f t="shared" si="8"/>
        <v>-86.315789473685754</v>
      </c>
      <c r="AB16" s="430">
        <f t="shared" si="9"/>
        <v>0.95684210526315716</v>
      </c>
      <c r="AC16" s="566"/>
    </row>
    <row r="17" spans="1:29" ht="16.5" customHeight="1">
      <c r="A17" s="593" t="s">
        <v>1980</v>
      </c>
      <c r="B17" s="440" t="s">
        <v>6</v>
      </c>
      <c r="C17" s="585" t="s">
        <v>68</v>
      </c>
      <c r="D17" s="586"/>
      <c r="E17" s="57">
        <v>50.67</v>
      </c>
      <c r="F17" s="440">
        <v>1573</v>
      </c>
      <c r="G17" s="431">
        <f t="shared" si="15"/>
        <v>79703.91</v>
      </c>
      <c r="H17" s="442" t="s">
        <v>5</v>
      </c>
      <c r="I17" s="438">
        <v>15</v>
      </c>
      <c r="J17" s="58">
        <v>2000</v>
      </c>
      <c r="K17" s="59">
        <f t="shared" si="1"/>
        <v>133.33333333333334</v>
      </c>
      <c r="L17" s="438">
        <v>15</v>
      </c>
      <c r="M17" s="60">
        <f t="shared" si="16"/>
        <v>1926.1224489795925</v>
      </c>
      <c r="N17" s="59">
        <f t="shared" si="3"/>
        <v>128.40816326530617</v>
      </c>
      <c r="O17" s="61">
        <f t="shared" si="4"/>
        <v>0</v>
      </c>
      <c r="P17" s="62">
        <f t="shared" si="5"/>
        <v>-4.9251700680271711</v>
      </c>
      <c r="Q17" s="430">
        <f t="shared" si="6"/>
        <v>0.96306122448979625</v>
      </c>
      <c r="R17" s="566"/>
      <c r="S17" s="63">
        <v>0.82361111111111118</v>
      </c>
      <c r="T17" s="63">
        <v>0.85763888888888895</v>
      </c>
      <c r="U17" s="431">
        <f t="shared" si="18"/>
        <v>6.9999999999999751</v>
      </c>
      <c r="V17" s="439">
        <f t="shared" si="17"/>
        <v>48.999999999999986</v>
      </c>
      <c r="W17" s="64"/>
      <c r="X17" s="64"/>
      <c r="Y17" s="569"/>
      <c r="Z17" s="570"/>
      <c r="AA17" s="61">
        <f t="shared" si="8"/>
        <v>-73.877551020407509</v>
      </c>
      <c r="AB17" s="430">
        <f t="shared" si="9"/>
        <v>0.96306122448979625</v>
      </c>
      <c r="AC17" s="566"/>
    </row>
    <row r="18" spans="1:29" ht="16.5" customHeight="1">
      <c r="A18" s="593" t="s">
        <v>1980</v>
      </c>
      <c r="B18" s="57" t="s">
        <v>1978</v>
      </c>
      <c r="C18" s="571"/>
      <c r="D18" s="571"/>
      <c r="E18" s="433"/>
      <c r="F18" s="66"/>
      <c r="G18" s="59"/>
      <c r="H18" s="440"/>
      <c r="I18" s="67">
        <v>17.666666666666668</v>
      </c>
      <c r="J18" s="58">
        <v>1750</v>
      </c>
      <c r="K18" s="59">
        <f t="shared" si="1"/>
        <v>99.056603773584897</v>
      </c>
      <c r="L18" s="67">
        <v>17.666666666666668</v>
      </c>
      <c r="M18" s="60">
        <f>AVERAGE(M12:M17)</f>
        <v>1679.0111649957444</v>
      </c>
      <c r="N18" s="59">
        <f t="shared" si="3"/>
        <v>95.038367829947788</v>
      </c>
      <c r="O18" s="61">
        <f t="shared" si="4"/>
        <v>0</v>
      </c>
      <c r="P18" s="62">
        <f t="shared" si="5"/>
        <v>-4.0182359436371087</v>
      </c>
      <c r="Q18" s="430">
        <f t="shared" si="6"/>
        <v>0.95943495142613966</v>
      </c>
      <c r="R18" s="566"/>
      <c r="S18" s="63"/>
      <c r="T18" s="63"/>
      <c r="U18" s="431"/>
      <c r="V18" s="439"/>
      <c r="W18" s="59"/>
      <c r="X18" s="59"/>
      <c r="Y18" s="559"/>
      <c r="Z18" s="559"/>
      <c r="AA18" s="61">
        <f t="shared" si="8"/>
        <v>-70.988835004255634</v>
      </c>
      <c r="AB18" s="430">
        <f t="shared" si="9"/>
        <v>0.95943495142613966</v>
      </c>
      <c r="AC18" s="566"/>
    </row>
    <row r="19" spans="1:29" ht="15.75" customHeight="1">
      <c r="A19" s="588" t="s">
        <v>1981</v>
      </c>
      <c r="B19" s="57" t="s">
        <v>12</v>
      </c>
      <c r="C19" s="584" t="s">
        <v>19</v>
      </c>
      <c r="D19" s="584"/>
      <c r="E19" s="57">
        <v>43.14</v>
      </c>
      <c r="F19" s="440">
        <v>936</v>
      </c>
      <c r="G19" s="431">
        <f t="shared" ref="G19:G26" si="19">E19*F19</f>
        <v>40379.040000000001</v>
      </c>
      <c r="H19" s="442" t="s">
        <v>5</v>
      </c>
      <c r="I19" s="438">
        <v>17</v>
      </c>
      <c r="J19" s="58">
        <v>2000</v>
      </c>
      <c r="K19" s="59">
        <f t="shared" si="1"/>
        <v>117.64705882352941</v>
      </c>
      <c r="L19" s="438">
        <v>17</v>
      </c>
      <c r="M19" s="60">
        <f t="shared" ref="M19:M26" si="20">F19/V19*60</f>
        <v>1936.5517241379298</v>
      </c>
      <c r="N19" s="59">
        <f t="shared" si="3"/>
        <v>113.91480730223117</v>
      </c>
      <c r="O19" s="61">
        <f t="shared" si="4"/>
        <v>0</v>
      </c>
      <c r="P19" s="62">
        <f t="shared" si="5"/>
        <v>-3.7322515212982381</v>
      </c>
      <c r="Q19" s="430">
        <f t="shared" si="6"/>
        <v>0.96827586206896499</v>
      </c>
      <c r="R19" s="566">
        <f>Q27</f>
        <v>0.96326106999413008</v>
      </c>
      <c r="S19" s="63">
        <v>0.20833333333333334</v>
      </c>
      <c r="T19" s="63">
        <v>0.22847222222222224</v>
      </c>
      <c r="U19" s="431"/>
      <c r="V19" s="439">
        <f t="shared" ref="V19:V26" si="21">(T19-S19)*24*60</f>
        <v>29.000000000000018</v>
      </c>
      <c r="W19" s="68"/>
      <c r="X19" s="68"/>
      <c r="Y19" s="559"/>
      <c r="Z19" s="559"/>
      <c r="AA19" s="61">
        <f t="shared" si="8"/>
        <v>-63.448275862070204</v>
      </c>
      <c r="AB19" s="430">
        <f t="shared" si="9"/>
        <v>0.96827586206896488</v>
      </c>
      <c r="AC19" s="566">
        <f>AB27</f>
        <v>0.96326106999413008</v>
      </c>
    </row>
    <row r="20" spans="1:29" ht="15.75" customHeight="1">
      <c r="A20" s="589" t="s">
        <v>86</v>
      </c>
      <c r="B20" s="57" t="s">
        <v>65</v>
      </c>
      <c r="C20" s="584" t="s">
        <v>97</v>
      </c>
      <c r="D20" s="584"/>
      <c r="E20" s="57">
        <v>49.9</v>
      </c>
      <c r="F20" s="440">
        <v>963</v>
      </c>
      <c r="G20" s="431">
        <f t="shared" si="19"/>
        <v>48053.7</v>
      </c>
      <c r="H20" s="442" t="s">
        <v>5</v>
      </c>
      <c r="I20" s="438">
        <v>17</v>
      </c>
      <c r="J20" s="58">
        <v>2000</v>
      </c>
      <c r="K20" s="59">
        <f t="shared" si="1"/>
        <v>117.64705882352941</v>
      </c>
      <c r="L20" s="438">
        <v>17</v>
      </c>
      <c r="M20" s="60">
        <f t="shared" si="20"/>
        <v>1925.9999999999993</v>
      </c>
      <c r="N20" s="59">
        <f t="shared" si="3"/>
        <v>113.29411764705878</v>
      </c>
      <c r="O20" s="61">
        <f t="shared" si="4"/>
        <v>0</v>
      </c>
      <c r="P20" s="62">
        <f t="shared" si="5"/>
        <v>-4.3529411764706225</v>
      </c>
      <c r="Q20" s="430">
        <f t="shared" si="6"/>
        <v>0.96299999999999975</v>
      </c>
      <c r="R20" s="566"/>
      <c r="S20" s="63">
        <v>0.23333333333333336</v>
      </c>
      <c r="T20" s="63">
        <v>0.25416666666666671</v>
      </c>
      <c r="U20" s="431">
        <f t="shared" ref="U20:U26" si="22">IF(S20=TIME(17,0,0),"",(S20-T19)*24*60)</f>
        <v>7.0000000000000151</v>
      </c>
      <c r="V20" s="439">
        <f t="shared" si="21"/>
        <v>30.000000000000014</v>
      </c>
      <c r="W20" s="64"/>
      <c r="X20" s="431"/>
      <c r="Y20" s="559"/>
      <c r="Z20" s="559"/>
      <c r="AA20" s="61">
        <f t="shared" si="8"/>
        <v>-74.000000000000682</v>
      </c>
      <c r="AB20" s="430">
        <f t="shared" si="9"/>
        <v>0.96299999999999963</v>
      </c>
      <c r="AC20" s="566"/>
    </row>
    <row r="21" spans="1:29" ht="15.75" customHeight="1">
      <c r="A21" s="589" t="s">
        <v>1981</v>
      </c>
      <c r="B21" s="57" t="s">
        <v>6</v>
      </c>
      <c r="C21" s="584" t="s">
        <v>20</v>
      </c>
      <c r="D21" s="584"/>
      <c r="E21" s="57">
        <v>57.73</v>
      </c>
      <c r="F21" s="440">
        <v>2234</v>
      </c>
      <c r="G21" s="431">
        <f t="shared" si="19"/>
        <v>128968.81999999999</v>
      </c>
      <c r="H21" s="442" t="s">
        <v>5</v>
      </c>
      <c r="I21" s="438">
        <v>14</v>
      </c>
      <c r="J21" s="58">
        <v>2000</v>
      </c>
      <c r="K21" s="59">
        <f t="shared" si="1"/>
        <v>142.85714285714286</v>
      </c>
      <c r="L21" s="438">
        <v>14</v>
      </c>
      <c r="M21" s="60">
        <f t="shared" si="20"/>
        <v>1914.8571428571433</v>
      </c>
      <c r="N21" s="59">
        <f t="shared" si="3"/>
        <v>136.77551020408166</v>
      </c>
      <c r="O21" s="61">
        <f t="shared" si="4"/>
        <v>0</v>
      </c>
      <c r="P21" s="62">
        <f t="shared" si="5"/>
        <v>-6.0816326530612059</v>
      </c>
      <c r="Q21" s="430">
        <f t="shared" si="6"/>
        <v>0.95742857142857152</v>
      </c>
      <c r="R21" s="566"/>
      <c r="S21" s="63">
        <v>0.2590277777777778</v>
      </c>
      <c r="T21" s="63">
        <v>0.30763888888888891</v>
      </c>
      <c r="U21" s="431">
        <f t="shared" si="22"/>
        <v>6.9999999999999751</v>
      </c>
      <c r="V21" s="439">
        <f t="shared" si="21"/>
        <v>69.999999999999986</v>
      </c>
      <c r="W21" s="64"/>
      <c r="X21" s="431"/>
      <c r="Y21" s="559"/>
      <c r="Z21" s="559"/>
      <c r="AA21" s="61">
        <f t="shared" si="8"/>
        <v>-85.142857142856656</v>
      </c>
      <c r="AB21" s="430">
        <f t="shared" si="9"/>
        <v>0.95742857142857163</v>
      </c>
      <c r="AC21" s="566"/>
    </row>
    <row r="22" spans="1:29" ht="15.75" customHeight="1">
      <c r="A22" s="589" t="s">
        <v>1981</v>
      </c>
      <c r="B22" s="57" t="s">
        <v>6</v>
      </c>
      <c r="C22" s="584" t="s">
        <v>21</v>
      </c>
      <c r="D22" s="584"/>
      <c r="E22" s="57">
        <v>53.68</v>
      </c>
      <c r="F22" s="440">
        <v>1310</v>
      </c>
      <c r="G22" s="431">
        <f t="shared" si="19"/>
        <v>70320.800000000003</v>
      </c>
      <c r="H22" s="442" t="s">
        <v>5</v>
      </c>
      <c r="I22" s="438">
        <v>16</v>
      </c>
      <c r="J22" s="58">
        <v>2000</v>
      </c>
      <c r="K22" s="59">
        <f t="shared" si="1"/>
        <v>125</v>
      </c>
      <c r="L22" s="438">
        <v>16</v>
      </c>
      <c r="M22" s="60">
        <f t="shared" si="20"/>
        <v>1917.0731707317066</v>
      </c>
      <c r="N22" s="59">
        <f t="shared" si="3"/>
        <v>119.81707317073166</v>
      </c>
      <c r="O22" s="61">
        <f t="shared" si="4"/>
        <v>0</v>
      </c>
      <c r="P22" s="62">
        <f t="shared" si="5"/>
        <v>-5.1829268292683395</v>
      </c>
      <c r="Q22" s="430">
        <f t="shared" si="6"/>
        <v>0.95853658536585329</v>
      </c>
      <c r="R22" s="566"/>
      <c r="S22" s="63">
        <v>0.31319444444444444</v>
      </c>
      <c r="T22" s="63">
        <v>0.34166666666666667</v>
      </c>
      <c r="U22" s="431">
        <f t="shared" si="22"/>
        <v>7.9999999999999716</v>
      </c>
      <c r="V22" s="439">
        <f t="shared" si="21"/>
        <v>41.000000000000014</v>
      </c>
      <c r="W22" s="64"/>
      <c r="X22" s="431"/>
      <c r="Y22" s="559"/>
      <c r="Z22" s="559"/>
      <c r="AA22" s="61">
        <f t="shared" si="8"/>
        <v>-82.926829268293432</v>
      </c>
      <c r="AB22" s="430">
        <f t="shared" si="9"/>
        <v>0.95853658536585329</v>
      </c>
      <c r="AC22" s="566"/>
    </row>
    <row r="23" spans="1:29" ht="15.75" customHeight="1">
      <c r="A23" s="589" t="s">
        <v>1981</v>
      </c>
      <c r="B23" s="57" t="s">
        <v>6</v>
      </c>
      <c r="C23" s="584" t="s">
        <v>96</v>
      </c>
      <c r="D23" s="584"/>
      <c r="E23" s="57">
        <v>49.91</v>
      </c>
      <c r="F23" s="440">
        <v>821</v>
      </c>
      <c r="G23" s="431">
        <f t="shared" si="19"/>
        <v>40976.11</v>
      </c>
      <c r="H23" s="442" t="s">
        <v>5</v>
      </c>
      <c r="I23" s="438">
        <v>17</v>
      </c>
      <c r="J23" s="58">
        <v>2000</v>
      </c>
      <c r="K23" s="59">
        <f t="shared" si="1"/>
        <v>117.64705882352941</v>
      </c>
      <c r="L23" s="438">
        <v>17</v>
      </c>
      <c r="M23" s="60">
        <f t="shared" si="20"/>
        <v>1970.4000000000005</v>
      </c>
      <c r="N23" s="59">
        <f t="shared" si="3"/>
        <v>115.90588235294121</v>
      </c>
      <c r="O23" s="61">
        <f t="shared" si="4"/>
        <v>0</v>
      </c>
      <c r="P23" s="62">
        <f t="shared" si="5"/>
        <v>-1.7411764705882007</v>
      </c>
      <c r="Q23" s="430">
        <f t="shared" si="6"/>
        <v>0.9852000000000003</v>
      </c>
      <c r="R23" s="566"/>
      <c r="S23" s="63">
        <v>0.34513888888888888</v>
      </c>
      <c r="T23" s="63">
        <v>0.36249999999999999</v>
      </c>
      <c r="U23" s="431">
        <f t="shared" si="22"/>
        <v>4.9999999999999822</v>
      </c>
      <c r="V23" s="439">
        <f t="shared" si="21"/>
        <v>24.999999999999993</v>
      </c>
      <c r="W23" s="64"/>
      <c r="X23" s="431"/>
      <c r="Y23" s="559"/>
      <c r="Z23" s="559"/>
      <c r="AA23" s="61">
        <f t="shared" si="8"/>
        <v>-29.599999999999454</v>
      </c>
      <c r="AB23" s="430">
        <f t="shared" si="9"/>
        <v>0.9852000000000003</v>
      </c>
      <c r="AC23" s="566"/>
    </row>
    <row r="24" spans="1:29" ht="15.75" customHeight="1">
      <c r="A24" s="589" t="s">
        <v>1981</v>
      </c>
      <c r="B24" s="57" t="s">
        <v>6</v>
      </c>
      <c r="C24" s="584" t="s">
        <v>8</v>
      </c>
      <c r="D24" s="584"/>
      <c r="E24" s="57">
        <v>50.49</v>
      </c>
      <c r="F24" s="440">
        <v>1876</v>
      </c>
      <c r="G24" s="431">
        <f t="shared" si="19"/>
        <v>94719.24</v>
      </c>
      <c r="H24" s="442" t="s">
        <v>5</v>
      </c>
      <c r="I24" s="438">
        <v>15</v>
      </c>
      <c r="J24" s="58">
        <v>2000</v>
      </c>
      <c r="K24" s="59">
        <f t="shared" si="1"/>
        <v>133.33333333333334</v>
      </c>
      <c r="L24" s="438">
        <v>15</v>
      </c>
      <c r="M24" s="60">
        <f t="shared" si="20"/>
        <v>1907.7966101694931</v>
      </c>
      <c r="N24" s="59">
        <f t="shared" si="3"/>
        <v>127.1864406779662</v>
      </c>
      <c r="O24" s="61">
        <f t="shared" si="4"/>
        <v>0</v>
      </c>
      <c r="P24" s="62">
        <f t="shared" si="5"/>
        <v>-6.1468926553671395</v>
      </c>
      <c r="Q24" s="430">
        <f t="shared" si="6"/>
        <v>0.95389830508474649</v>
      </c>
      <c r="R24" s="566"/>
      <c r="S24" s="63">
        <v>0.70833333333333337</v>
      </c>
      <c r="T24" s="63">
        <v>0.74930555555555556</v>
      </c>
      <c r="U24" s="431" t="str">
        <f t="shared" si="22"/>
        <v/>
      </c>
      <c r="V24" s="439">
        <f t="shared" si="21"/>
        <v>58.99999999999995</v>
      </c>
      <c r="W24" s="64"/>
      <c r="X24" s="68"/>
      <c r="Y24" s="559"/>
      <c r="Z24" s="559"/>
      <c r="AA24" s="61">
        <f t="shared" si="8"/>
        <v>-92.203389830506921</v>
      </c>
      <c r="AB24" s="430">
        <f t="shared" si="9"/>
        <v>0.95389830508474649</v>
      </c>
      <c r="AC24" s="566"/>
    </row>
    <row r="25" spans="1:29" ht="15.75" customHeight="1">
      <c r="A25" s="589" t="s">
        <v>1981</v>
      </c>
      <c r="B25" s="57" t="s">
        <v>6</v>
      </c>
      <c r="C25" s="584" t="s">
        <v>69</v>
      </c>
      <c r="D25" s="584"/>
      <c r="E25" s="57">
        <v>57.73</v>
      </c>
      <c r="F25" s="440">
        <v>1130</v>
      </c>
      <c r="G25" s="431">
        <f t="shared" si="19"/>
        <v>65234.899999999994</v>
      </c>
      <c r="H25" s="442" t="s">
        <v>5</v>
      </c>
      <c r="I25" s="438">
        <v>16</v>
      </c>
      <c r="J25" s="58">
        <v>1500</v>
      </c>
      <c r="K25" s="59">
        <f t="shared" si="1"/>
        <v>93.75</v>
      </c>
      <c r="L25" s="438">
        <v>16</v>
      </c>
      <c r="M25" s="60">
        <f t="shared" si="20"/>
        <v>1442.5531914893618</v>
      </c>
      <c r="N25" s="59">
        <f t="shared" si="3"/>
        <v>90.159574468085111</v>
      </c>
      <c r="O25" s="61">
        <f t="shared" si="4"/>
        <v>0</v>
      </c>
      <c r="P25" s="62">
        <f t="shared" si="5"/>
        <v>-3.5904255319148888</v>
      </c>
      <c r="Q25" s="430">
        <f t="shared" si="6"/>
        <v>0.96170212765957452</v>
      </c>
      <c r="R25" s="566"/>
      <c r="S25" s="63">
        <v>0.75486111111111109</v>
      </c>
      <c r="T25" s="63">
        <v>0.78749999999999998</v>
      </c>
      <c r="U25" s="431">
        <f t="shared" si="22"/>
        <v>7.9999999999999716</v>
      </c>
      <c r="V25" s="439">
        <f t="shared" si="21"/>
        <v>46.999999999999993</v>
      </c>
      <c r="W25" s="64"/>
      <c r="X25" s="68"/>
      <c r="Y25" s="569"/>
      <c r="Z25" s="570"/>
      <c r="AA25" s="61">
        <f t="shared" si="8"/>
        <v>-57.44680851063822</v>
      </c>
      <c r="AB25" s="430">
        <f t="shared" si="9"/>
        <v>0.96170212765957452</v>
      </c>
      <c r="AC25" s="566"/>
    </row>
    <row r="26" spans="1:29" ht="15.75" customHeight="1">
      <c r="A26" s="589" t="s">
        <v>1981</v>
      </c>
      <c r="B26" s="57" t="s">
        <v>6</v>
      </c>
      <c r="C26" s="585" t="s">
        <v>99</v>
      </c>
      <c r="D26" s="586"/>
      <c r="E26" s="57">
        <v>53.68</v>
      </c>
      <c r="F26" s="440">
        <v>2270</v>
      </c>
      <c r="G26" s="431">
        <f t="shared" si="19"/>
        <v>121853.6</v>
      </c>
      <c r="H26" s="442" t="s">
        <v>5</v>
      </c>
      <c r="I26" s="438">
        <v>16</v>
      </c>
      <c r="J26" s="58">
        <v>1500</v>
      </c>
      <c r="K26" s="59">
        <f t="shared" si="1"/>
        <v>93.75</v>
      </c>
      <c r="L26" s="438">
        <v>16</v>
      </c>
      <c r="M26" s="60">
        <f t="shared" si="20"/>
        <v>1433.6842105263161</v>
      </c>
      <c r="N26" s="59">
        <f t="shared" si="3"/>
        <v>89.605263157894754</v>
      </c>
      <c r="O26" s="61">
        <f t="shared" si="4"/>
        <v>0</v>
      </c>
      <c r="P26" s="62">
        <f t="shared" si="5"/>
        <v>-4.144736842105246</v>
      </c>
      <c r="Q26" s="430">
        <f t="shared" si="6"/>
        <v>0.95578947368421074</v>
      </c>
      <c r="R26" s="566"/>
      <c r="S26" s="63">
        <v>0.79097222222222219</v>
      </c>
      <c r="T26" s="63">
        <v>0.8569444444444444</v>
      </c>
      <c r="U26" s="431">
        <f t="shared" si="22"/>
        <v>4.9999999999999822</v>
      </c>
      <c r="V26" s="439">
        <f t="shared" si="21"/>
        <v>94.999999999999986</v>
      </c>
      <c r="W26" s="64"/>
      <c r="X26" s="64"/>
      <c r="Y26" s="569"/>
      <c r="Z26" s="570"/>
      <c r="AA26" s="61">
        <f t="shared" si="8"/>
        <v>-66.315789473683935</v>
      </c>
      <c r="AB26" s="430">
        <f t="shared" si="9"/>
        <v>0.95578947368421074</v>
      </c>
      <c r="AC26" s="566"/>
    </row>
    <row r="27" spans="1:29" ht="15.75" customHeight="1">
      <c r="A27" s="589" t="s">
        <v>1981</v>
      </c>
      <c r="B27" s="57" t="s">
        <v>1978</v>
      </c>
      <c r="C27" s="571"/>
      <c r="D27" s="571"/>
      <c r="E27" s="433"/>
      <c r="F27" s="440"/>
      <c r="G27" s="431"/>
      <c r="H27" s="440"/>
      <c r="I27" s="67">
        <v>16</v>
      </c>
      <c r="J27" s="58">
        <v>1875</v>
      </c>
      <c r="K27" s="59">
        <f t="shared" si="1"/>
        <v>117.1875</v>
      </c>
      <c r="L27" s="67">
        <v>16</v>
      </c>
      <c r="M27" s="60">
        <f>AVERAGE(M19:M26)</f>
        <v>1806.114506238994</v>
      </c>
      <c r="N27" s="59">
        <f t="shared" si="3"/>
        <v>112.88215663993712</v>
      </c>
      <c r="O27" s="61">
        <f t="shared" si="4"/>
        <v>0</v>
      </c>
      <c r="P27" s="62">
        <f t="shared" si="5"/>
        <v>-4.3053433600628779</v>
      </c>
      <c r="Q27" s="430">
        <f t="shared" si="6"/>
        <v>0.96326106999413008</v>
      </c>
      <c r="R27" s="566"/>
      <c r="S27" s="63"/>
      <c r="T27" s="63"/>
      <c r="U27" s="59"/>
      <c r="V27" s="439"/>
      <c r="W27" s="59"/>
      <c r="X27" s="59"/>
      <c r="Y27" s="559"/>
      <c r="Z27" s="559"/>
      <c r="AA27" s="61">
        <f t="shared" si="8"/>
        <v>-68.885493761006046</v>
      </c>
      <c r="AB27" s="430">
        <f t="shared" si="9"/>
        <v>0.96326106999413008</v>
      </c>
      <c r="AC27" s="566"/>
    </row>
    <row r="28" spans="1:29" ht="15.75" customHeight="1">
      <c r="A28" s="587" t="s">
        <v>1982</v>
      </c>
      <c r="B28" s="57" t="s">
        <v>15</v>
      </c>
      <c r="C28" s="584" t="s">
        <v>26</v>
      </c>
      <c r="D28" s="584"/>
      <c r="E28" s="57">
        <v>31.29</v>
      </c>
      <c r="F28" s="440">
        <v>7311</v>
      </c>
      <c r="G28" s="431">
        <f t="shared" ref="G28:G32" si="23">E28*F28</f>
        <v>228761.19</v>
      </c>
      <c r="H28" s="442" t="s">
        <v>5</v>
      </c>
      <c r="I28" s="438">
        <v>18</v>
      </c>
      <c r="J28" s="58">
        <v>2400</v>
      </c>
      <c r="K28" s="59">
        <f t="shared" si="1"/>
        <v>133.33333333333334</v>
      </c>
      <c r="L28" s="438">
        <v>18</v>
      </c>
      <c r="M28" s="60">
        <f t="shared" ref="M28:M32" si="24">F28/V28*60</f>
        <v>2284.6874999999995</v>
      </c>
      <c r="N28" s="59">
        <f t="shared" si="3"/>
        <v>126.92708333333331</v>
      </c>
      <c r="O28" s="61">
        <f t="shared" si="4"/>
        <v>0</v>
      </c>
      <c r="P28" s="62">
        <f t="shared" si="5"/>
        <v>-6.4062500000000284</v>
      </c>
      <c r="Q28" s="430">
        <f t="shared" si="6"/>
        <v>0.95195312499999984</v>
      </c>
      <c r="R28" s="566">
        <f>Q33</f>
        <v>0.95581407899698312</v>
      </c>
      <c r="S28" s="63">
        <v>8.3333333333333329E-2</v>
      </c>
      <c r="T28" s="63">
        <v>0.21666666666666667</v>
      </c>
      <c r="U28" s="431"/>
      <c r="V28" s="439">
        <f t="shared" ref="V28:V32" si="25">(T28-S28)*24*60</f>
        <v>192.00000000000003</v>
      </c>
      <c r="W28" s="64">
        <f>T28</f>
        <v>0.21666666666666667</v>
      </c>
      <c r="X28" s="64">
        <f>S29</f>
        <v>0.23541666666666669</v>
      </c>
      <c r="Y28" s="559"/>
      <c r="Z28" s="559"/>
      <c r="AA28" s="61">
        <f t="shared" si="8"/>
        <v>-115.31250000000045</v>
      </c>
      <c r="AB28" s="430">
        <f t="shared" si="9"/>
        <v>0.95195312499999984</v>
      </c>
      <c r="AC28" s="566">
        <f>AB33</f>
        <v>0.95581407899698323</v>
      </c>
    </row>
    <row r="29" spans="1:29" ht="15.75" customHeight="1">
      <c r="A29" s="587" t="s">
        <v>1982</v>
      </c>
      <c r="B29" s="57" t="s">
        <v>15</v>
      </c>
      <c r="C29" s="584" t="s">
        <v>23</v>
      </c>
      <c r="D29" s="584"/>
      <c r="E29" s="57">
        <v>26.2</v>
      </c>
      <c r="F29" s="440">
        <v>3976</v>
      </c>
      <c r="G29" s="431">
        <f t="shared" si="23"/>
        <v>104171.2</v>
      </c>
      <c r="H29" s="442" t="s">
        <v>5</v>
      </c>
      <c r="I29" s="438">
        <v>20</v>
      </c>
      <c r="J29" s="58">
        <v>2400</v>
      </c>
      <c r="K29" s="59">
        <f t="shared" si="1"/>
        <v>120</v>
      </c>
      <c r="L29" s="438">
        <v>20</v>
      </c>
      <c r="M29" s="60">
        <f t="shared" si="24"/>
        <v>2293.8461538461538</v>
      </c>
      <c r="N29" s="59">
        <f t="shared" si="3"/>
        <v>114.69230769230769</v>
      </c>
      <c r="O29" s="61">
        <f t="shared" si="4"/>
        <v>0</v>
      </c>
      <c r="P29" s="62">
        <f t="shared" si="5"/>
        <v>-5.3076923076923066</v>
      </c>
      <c r="Q29" s="430">
        <f t="shared" si="6"/>
        <v>0.95576923076923082</v>
      </c>
      <c r="R29" s="566"/>
      <c r="S29" s="63">
        <v>0.23541666666666669</v>
      </c>
      <c r="T29" s="63">
        <v>0.30763888888888891</v>
      </c>
      <c r="U29" s="431">
        <f t="shared" ref="U29:U32" si="26">(S29-T28)*24*60</f>
        <v>27.000000000000025</v>
      </c>
      <c r="V29" s="439">
        <f t="shared" si="25"/>
        <v>103.99999999999999</v>
      </c>
      <c r="W29" s="64"/>
      <c r="X29" s="64"/>
      <c r="Y29" s="559"/>
      <c r="Z29" s="559"/>
      <c r="AA29" s="61">
        <f t="shared" si="8"/>
        <v>-106.15384615384619</v>
      </c>
      <c r="AB29" s="430">
        <f t="shared" si="9"/>
        <v>0.9557692307692307</v>
      </c>
      <c r="AC29" s="566"/>
    </row>
    <row r="30" spans="1:29" ht="15.75" customHeight="1">
      <c r="A30" s="587" t="s">
        <v>1982</v>
      </c>
      <c r="B30" s="57" t="s">
        <v>15</v>
      </c>
      <c r="C30" s="584" t="s">
        <v>70</v>
      </c>
      <c r="D30" s="584"/>
      <c r="E30" s="57">
        <v>25.99</v>
      </c>
      <c r="F30" s="440">
        <v>3674</v>
      </c>
      <c r="G30" s="431">
        <f t="shared" si="23"/>
        <v>95487.26</v>
      </c>
      <c r="H30" s="442" t="s">
        <v>5</v>
      </c>
      <c r="I30" s="438">
        <v>14</v>
      </c>
      <c r="J30" s="58">
        <v>2400</v>
      </c>
      <c r="K30" s="59">
        <f t="shared" si="1"/>
        <v>171.42857142857142</v>
      </c>
      <c r="L30" s="438">
        <v>14</v>
      </c>
      <c r="M30" s="60">
        <f t="shared" si="24"/>
        <v>2296.2500000000005</v>
      </c>
      <c r="N30" s="59">
        <f t="shared" si="3"/>
        <v>164.01785714285717</v>
      </c>
      <c r="O30" s="61">
        <f t="shared" si="4"/>
        <v>0</v>
      </c>
      <c r="P30" s="62">
        <f t="shared" si="5"/>
        <v>-7.4107142857142492</v>
      </c>
      <c r="Q30" s="430">
        <f t="shared" si="6"/>
        <v>0.95677083333333357</v>
      </c>
      <c r="R30" s="566"/>
      <c r="S30" s="63">
        <v>0.3125</v>
      </c>
      <c r="T30" s="63">
        <v>0.37916666666666665</v>
      </c>
      <c r="U30" s="431">
        <f t="shared" si="26"/>
        <v>6.9999999999999751</v>
      </c>
      <c r="V30" s="439">
        <f t="shared" si="25"/>
        <v>95.999999999999972</v>
      </c>
      <c r="W30" s="64"/>
      <c r="X30" s="64"/>
      <c r="Y30" s="559"/>
      <c r="Z30" s="559"/>
      <c r="AA30" s="61">
        <f t="shared" si="8"/>
        <v>-103.74999999999955</v>
      </c>
      <c r="AB30" s="430">
        <f t="shared" si="9"/>
        <v>0.95677083333333357</v>
      </c>
      <c r="AC30" s="566"/>
    </row>
    <row r="31" spans="1:29" ht="15.75" customHeight="1">
      <c r="A31" s="587" t="s">
        <v>1982</v>
      </c>
      <c r="B31" s="57" t="s">
        <v>15</v>
      </c>
      <c r="C31" s="584" t="s">
        <v>45</v>
      </c>
      <c r="D31" s="584"/>
      <c r="E31" s="57">
        <v>20.52</v>
      </c>
      <c r="F31" s="440">
        <v>3270</v>
      </c>
      <c r="G31" s="431">
        <f t="shared" si="23"/>
        <v>67100.399999999994</v>
      </c>
      <c r="H31" s="442" t="s">
        <v>5</v>
      </c>
      <c r="I31" s="438">
        <v>18</v>
      </c>
      <c r="J31" s="58">
        <v>2400</v>
      </c>
      <c r="K31" s="59">
        <f t="shared" si="1"/>
        <v>133.33333333333334</v>
      </c>
      <c r="L31" s="438">
        <v>18</v>
      </c>
      <c r="M31" s="60">
        <f t="shared" si="24"/>
        <v>2308.2352941176464</v>
      </c>
      <c r="N31" s="59">
        <f t="shared" si="3"/>
        <v>128.23529411764702</v>
      </c>
      <c r="O31" s="61">
        <f t="shared" si="4"/>
        <v>0</v>
      </c>
      <c r="P31" s="62">
        <f t="shared" si="5"/>
        <v>-5.0980392156863275</v>
      </c>
      <c r="Q31" s="430">
        <f t="shared" si="6"/>
        <v>0.96176470588235252</v>
      </c>
      <c r="R31" s="566"/>
      <c r="S31" s="63">
        <v>0.38472222222222219</v>
      </c>
      <c r="T31" s="63">
        <v>0.44374999999999998</v>
      </c>
      <c r="U31" s="431">
        <f t="shared" si="26"/>
        <v>7.9999999999999716</v>
      </c>
      <c r="V31" s="439">
        <f t="shared" si="25"/>
        <v>85.000000000000014</v>
      </c>
      <c r="W31" s="64"/>
      <c r="X31" s="64"/>
      <c r="Y31" s="559"/>
      <c r="Z31" s="559"/>
      <c r="AA31" s="61">
        <f t="shared" si="8"/>
        <v>-91.76470588235361</v>
      </c>
      <c r="AB31" s="430">
        <f t="shared" si="9"/>
        <v>0.96176470588235263</v>
      </c>
      <c r="AC31" s="566"/>
    </row>
    <row r="32" spans="1:29" ht="15.75" customHeight="1">
      <c r="A32" s="587" t="s">
        <v>1982</v>
      </c>
      <c r="B32" s="57" t="s">
        <v>15</v>
      </c>
      <c r="C32" s="584" t="s">
        <v>98</v>
      </c>
      <c r="D32" s="584"/>
      <c r="E32" s="57">
        <v>25.98</v>
      </c>
      <c r="F32" s="440">
        <v>3049</v>
      </c>
      <c r="G32" s="431">
        <f t="shared" si="23"/>
        <v>79213.02</v>
      </c>
      <c r="H32" s="442" t="s">
        <v>5</v>
      </c>
      <c r="I32" s="438">
        <v>21</v>
      </c>
      <c r="J32" s="58">
        <v>2400</v>
      </c>
      <c r="K32" s="59">
        <f t="shared" si="1"/>
        <v>114.28571428571429</v>
      </c>
      <c r="L32" s="438">
        <v>21</v>
      </c>
      <c r="M32" s="60">
        <f t="shared" si="24"/>
        <v>2286.7499999999991</v>
      </c>
      <c r="N32" s="59">
        <f t="shared" si="3"/>
        <v>108.8928571428571</v>
      </c>
      <c r="O32" s="61">
        <f t="shared" si="4"/>
        <v>0</v>
      </c>
      <c r="P32" s="62">
        <f t="shared" si="5"/>
        <v>-5.3928571428571956</v>
      </c>
      <c r="Q32" s="430">
        <f t="shared" si="6"/>
        <v>0.95281249999999951</v>
      </c>
      <c r="R32" s="566"/>
      <c r="S32" s="63">
        <v>0.44930555555555551</v>
      </c>
      <c r="T32" s="63">
        <v>0.50486111111111109</v>
      </c>
      <c r="U32" s="431">
        <f t="shared" si="26"/>
        <v>7.9999999999999716</v>
      </c>
      <c r="V32" s="439">
        <f t="shared" si="25"/>
        <v>80.000000000000028</v>
      </c>
      <c r="W32" s="64"/>
      <c r="X32" s="64"/>
      <c r="Y32" s="559"/>
      <c r="Z32" s="559"/>
      <c r="AA32" s="61">
        <f t="shared" si="8"/>
        <v>-113.25000000000091</v>
      </c>
      <c r="AB32" s="430">
        <f t="shared" si="9"/>
        <v>0.95281249999999962</v>
      </c>
      <c r="AC32" s="566"/>
    </row>
    <row r="33" spans="1:29" ht="15.75" customHeight="1">
      <c r="A33" s="587" t="s">
        <v>1982</v>
      </c>
      <c r="B33" s="57" t="s">
        <v>1978</v>
      </c>
      <c r="C33" s="571"/>
      <c r="D33" s="571"/>
      <c r="E33" s="433"/>
      <c r="F33" s="440"/>
      <c r="G33" s="431"/>
      <c r="H33" s="440"/>
      <c r="I33" s="67">
        <v>18.2</v>
      </c>
      <c r="J33" s="58">
        <v>2400</v>
      </c>
      <c r="K33" s="59">
        <f t="shared" si="1"/>
        <v>131.86813186813188</v>
      </c>
      <c r="L33" s="67">
        <v>18.2</v>
      </c>
      <c r="M33" s="60">
        <f>AVERAGE(M28:M32)</f>
        <v>2293.9537895927597</v>
      </c>
      <c r="N33" s="59">
        <f t="shared" si="3"/>
        <v>126.04141701059119</v>
      </c>
      <c r="O33" s="61">
        <f t="shared" si="4"/>
        <v>0</v>
      </c>
      <c r="P33" s="62">
        <f t="shared" si="5"/>
        <v>-5.8267148575406935</v>
      </c>
      <c r="Q33" s="430">
        <f t="shared" si="6"/>
        <v>0.95581407899698312</v>
      </c>
      <c r="R33" s="566"/>
      <c r="S33" s="63"/>
      <c r="T33" s="63"/>
      <c r="U33" s="431"/>
      <c r="V33" s="439"/>
      <c r="W33" s="431"/>
      <c r="X33" s="431"/>
      <c r="Y33" s="559"/>
      <c r="Z33" s="559"/>
      <c r="AA33" s="61">
        <f t="shared" si="8"/>
        <v>-106.04621040724032</v>
      </c>
      <c r="AB33" s="430">
        <f t="shared" si="9"/>
        <v>0.95581407899698323</v>
      </c>
      <c r="AC33" s="566"/>
    </row>
    <row r="34" spans="1:29" ht="15.75" customHeight="1">
      <c r="A34" s="582" t="s">
        <v>1983</v>
      </c>
      <c r="B34" s="57" t="s">
        <v>15</v>
      </c>
      <c r="C34" s="560" t="s">
        <v>101</v>
      </c>
      <c r="D34" s="560"/>
      <c r="E34" s="57">
        <v>22.69</v>
      </c>
      <c r="F34" s="440">
        <v>909</v>
      </c>
      <c r="G34" s="431">
        <f t="shared" ref="G34:G40" si="27">E34*F34</f>
        <v>20625.210000000003</v>
      </c>
      <c r="H34" s="442" t="s">
        <v>5</v>
      </c>
      <c r="I34" s="438">
        <v>15</v>
      </c>
      <c r="J34" s="58">
        <v>2400</v>
      </c>
      <c r="K34" s="59">
        <f t="shared" si="1"/>
        <v>160</v>
      </c>
      <c r="L34" s="438">
        <v>15</v>
      </c>
      <c r="M34" s="60">
        <f t="shared" ref="M34:M40" si="28">F34/V34*60</f>
        <v>2371.304347826087</v>
      </c>
      <c r="N34" s="59">
        <f t="shared" si="3"/>
        <v>158.08695652173913</v>
      </c>
      <c r="O34" s="61">
        <f t="shared" si="4"/>
        <v>0</v>
      </c>
      <c r="P34" s="62">
        <f t="shared" si="5"/>
        <v>-1.9130434782608745</v>
      </c>
      <c r="Q34" s="430">
        <f t="shared" si="6"/>
        <v>0.98804347826086958</v>
      </c>
      <c r="R34" s="566">
        <f>Q41</f>
        <v>0.96138183028741597</v>
      </c>
      <c r="S34" s="63">
        <v>8.3333333333333329E-2</v>
      </c>
      <c r="T34" s="63">
        <v>9.930555555555555E-2</v>
      </c>
      <c r="U34" s="431"/>
      <c r="V34" s="439">
        <f t="shared" ref="V34:V40" si="29">(T34-S34)*24*60</f>
        <v>23</v>
      </c>
      <c r="W34" s="68">
        <f>T34</f>
        <v>9.930555555555555E-2</v>
      </c>
      <c r="X34" s="68">
        <f>S35</f>
        <v>0.11736111111111111</v>
      </c>
      <c r="Y34" s="559"/>
      <c r="Z34" s="559"/>
      <c r="AA34" s="61">
        <f t="shared" si="8"/>
        <v>-28.695652173913004</v>
      </c>
      <c r="AB34" s="430">
        <f t="shared" si="9"/>
        <v>0.98804347826086958</v>
      </c>
      <c r="AC34" s="566">
        <f>AB41</f>
        <v>0.96138183028741597</v>
      </c>
    </row>
    <row r="35" spans="1:29" ht="15.75" customHeight="1">
      <c r="A35" s="582" t="s">
        <v>1983</v>
      </c>
      <c r="B35" s="57" t="s">
        <v>15</v>
      </c>
      <c r="C35" s="560" t="s">
        <v>27</v>
      </c>
      <c r="D35" s="560"/>
      <c r="E35" s="57">
        <v>26.2</v>
      </c>
      <c r="F35" s="440">
        <v>5060</v>
      </c>
      <c r="G35" s="431">
        <f t="shared" si="27"/>
        <v>132572</v>
      </c>
      <c r="H35" s="442" t="s">
        <v>5</v>
      </c>
      <c r="I35" s="438">
        <v>18</v>
      </c>
      <c r="J35" s="58">
        <v>2400</v>
      </c>
      <c r="K35" s="59">
        <f t="shared" si="1"/>
        <v>133.33333333333334</v>
      </c>
      <c r="L35" s="438">
        <v>18</v>
      </c>
      <c r="M35" s="60">
        <f t="shared" si="28"/>
        <v>2300</v>
      </c>
      <c r="N35" s="59">
        <f t="shared" si="3"/>
        <v>127.77777777777777</v>
      </c>
      <c r="O35" s="61">
        <f t="shared" si="4"/>
        <v>0</v>
      </c>
      <c r="P35" s="62">
        <f t="shared" si="5"/>
        <v>-5.5555555555555713</v>
      </c>
      <c r="Q35" s="430">
        <f t="shared" si="6"/>
        <v>0.95833333333333326</v>
      </c>
      <c r="R35" s="566"/>
      <c r="S35" s="63">
        <v>0.11736111111111111</v>
      </c>
      <c r="T35" s="63">
        <v>0.20902777777777778</v>
      </c>
      <c r="U35" s="431">
        <f t="shared" ref="U35:U40" si="30">(S35-T34)*24*60</f>
        <v>26.000000000000007</v>
      </c>
      <c r="V35" s="439">
        <f t="shared" si="29"/>
        <v>132</v>
      </c>
      <c r="W35" s="431"/>
      <c r="X35" s="431"/>
      <c r="Y35" s="559"/>
      <c r="Z35" s="559"/>
      <c r="AA35" s="61">
        <f t="shared" si="8"/>
        <v>-100</v>
      </c>
      <c r="AB35" s="430">
        <f t="shared" si="9"/>
        <v>0.95833333333333337</v>
      </c>
      <c r="AC35" s="566"/>
    </row>
    <row r="36" spans="1:29">
      <c r="A36" s="583" t="s">
        <v>1983</v>
      </c>
      <c r="B36" s="57" t="s">
        <v>15</v>
      </c>
      <c r="C36" s="560" t="s">
        <v>25</v>
      </c>
      <c r="D36" s="560"/>
      <c r="E36" s="57">
        <v>26.18</v>
      </c>
      <c r="F36" s="440">
        <v>1847</v>
      </c>
      <c r="G36" s="431">
        <f t="shared" si="27"/>
        <v>48354.46</v>
      </c>
      <c r="H36" s="442" t="s">
        <v>5</v>
      </c>
      <c r="I36" s="438">
        <v>19</v>
      </c>
      <c r="J36" s="58">
        <v>2400</v>
      </c>
      <c r="K36" s="59">
        <f t="shared" si="1"/>
        <v>126.31578947368421</v>
      </c>
      <c r="L36" s="438">
        <v>19</v>
      </c>
      <c r="M36" s="60">
        <f t="shared" si="28"/>
        <v>2308.7500000000009</v>
      </c>
      <c r="N36" s="59">
        <f t="shared" si="3"/>
        <v>121.51315789473689</v>
      </c>
      <c r="O36" s="61">
        <f t="shared" si="4"/>
        <v>0</v>
      </c>
      <c r="P36" s="62">
        <f t="shared" si="5"/>
        <v>-4.8026315789473131</v>
      </c>
      <c r="Q36" s="430">
        <f t="shared" si="6"/>
        <v>0.96197916666666705</v>
      </c>
      <c r="R36" s="566"/>
      <c r="S36" s="63">
        <v>0.21388888888888891</v>
      </c>
      <c r="T36" s="63">
        <v>0.24722222222222223</v>
      </c>
      <c r="U36" s="431">
        <f t="shared" si="30"/>
        <v>7.0000000000000151</v>
      </c>
      <c r="V36" s="439">
        <f t="shared" si="29"/>
        <v>47.999999999999986</v>
      </c>
      <c r="W36" s="431"/>
      <c r="X36" s="431"/>
      <c r="Y36" s="559"/>
      <c r="Z36" s="559"/>
      <c r="AA36" s="61">
        <f t="shared" si="8"/>
        <v>-91.249999999999091</v>
      </c>
      <c r="AB36" s="430">
        <f t="shared" si="9"/>
        <v>0.96197916666666705</v>
      </c>
      <c r="AC36" s="566"/>
    </row>
    <row r="37" spans="1:29">
      <c r="A37" s="583" t="s">
        <v>1983</v>
      </c>
      <c r="B37" s="57" t="s">
        <v>15</v>
      </c>
      <c r="C37" s="560" t="s">
        <v>28</v>
      </c>
      <c r="D37" s="560"/>
      <c r="E37" s="57">
        <v>26.39</v>
      </c>
      <c r="F37" s="440">
        <v>5078</v>
      </c>
      <c r="G37" s="431">
        <f t="shared" si="27"/>
        <v>134008.42000000001</v>
      </c>
      <c r="H37" s="442" t="s">
        <v>5</v>
      </c>
      <c r="I37" s="438">
        <v>19</v>
      </c>
      <c r="J37" s="58">
        <v>2400</v>
      </c>
      <c r="K37" s="59">
        <f t="shared" si="1"/>
        <v>126.31578947368421</v>
      </c>
      <c r="L37" s="438">
        <v>19</v>
      </c>
      <c r="M37" s="60">
        <f t="shared" si="28"/>
        <v>2290.8270676691732</v>
      </c>
      <c r="N37" s="59">
        <f t="shared" si="3"/>
        <v>120.56984566679859</v>
      </c>
      <c r="O37" s="61">
        <f t="shared" si="4"/>
        <v>0</v>
      </c>
      <c r="P37" s="62">
        <f t="shared" si="5"/>
        <v>-5.7459438068856201</v>
      </c>
      <c r="Q37" s="430">
        <f t="shared" si="6"/>
        <v>0.95451127819548887</v>
      </c>
      <c r="R37" s="566"/>
      <c r="S37" s="63">
        <v>0.25069444444444444</v>
      </c>
      <c r="T37" s="63">
        <v>0.34305555555555556</v>
      </c>
      <c r="U37" s="431">
        <f t="shared" si="30"/>
        <v>4.9999999999999822</v>
      </c>
      <c r="V37" s="439">
        <f t="shared" si="29"/>
        <v>133</v>
      </c>
      <c r="W37" s="64"/>
      <c r="X37" s="64"/>
      <c r="Y37" s="559"/>
      <c r="Z37" s="559"/>
      <c r="AA37" s="61">
        <f t="shared" si="8"/>
        <v>-109.17293233082682</v>
      </c>
      <c r="AB37" s="430">
        <f t="shared" si="9"/>
        <v>0.95451127819548887</v>
      </c>
      <c r="AC37" s="566"/>
    </row>
    <row r="38" spans="1:29">
      <c r="A38" s="583" t="s">
        <v>1983</v>
      </c>
      <c r="B38" s="57" t="s">
        <v>15</v>
      </c>
      <c r="C38" s="560" t="s">
        <v>658</v>
      </c>
      <c r="D38" s="560"/>
      <c r="E38" s="57">
        <v>22.69</v>
      </c>
      <c r="F38" s="440">
        <v>2770</v>
      </c>
      <c r="G38" s="431">
        <f t="shared" si="27"/>
        <v>62851.3</v>
      </c>
      <c r="H38" s="442" t="s">
        <v>5</v>
      </c>
      <c r="I38" s="438">
        <v>15</v>
      </c>
      <c r="J38" s="58">
        <v>2400</v>
      </c>
      <c r="K38" s="59">
        <f t="shared" si="1"/>
        <v>160</v>
      </c>
      <c r="L38" s="438">
        <v>15</v>
      </c>
      <c r="M38" s="60">
        <f t="shared" si="28"/>
        <v>2308.3333333333339</v>
      </c>
      <c r="N38" s="59">
        <f t="shared" si="3"/>
        <v>153.88888888888894</v>
      </c>
      <c r="O38" s="61">
        <f t="shared" si="4"/>
        <v>0</v>
      </c>
      <c r="P38" s="62">
        <f t="shared" si="5"/>
        <v>-6.1111111111110574</v>
      </c>
      <c r="Q38" s="430">
        <f t="shared" si="6"/>
        <v>0.96180555555555591</v>
      </c>
      <c r="R38" s="566"/>
      <c r="S38" s="63">
        <v>0.34791666666666665</v>
      </c>
      <c r="T38" s="63">
        <v>0.39791666666666664</v>
      </c>
      <c r="U38" s="431">
        <f t="shared" si="30"/>
        <v>6.9999999999999751</v>
      </c>
      <c r="V38" s="439">
        <f t="shared" si="29"/>
        <v>71.999999999999986</v>
      </c>
      <c r="W38" s="64"/>
      <c r="X38" s="64"/>
      <c r="Y38" s="559"/>
      <c r="Z38" s="559"/>
      <c r="AA38" s="61">
        <f t="shared" si="8"/>
        <v>-91.66666666666606</v>
      </c>
      <c r="AB38" s="430">
        <f t="shared" si="9"/>
        <v>0.9618055555555558</v>
      </c>
      <c r="AC38" s="566"/>
    </row>
    <row r="39" spans="1:29">
      <c r="A39" s="583" t="s">
        <v>1983</v>
      </c>
      <c r="B39" s="57" t="s">
        <v>15</v>
      </c>
      <c r="C39" s="560" t="s">
        <v>16</v>
      </c>
      <c r="D39" s="560"/>
      <c r="E39" s="57">
        <v>24.45</v>
      </c>
      <c r="F39" s="440">
        <v>1910</v>
      </c>
      <c r="G39" s="431">
        <f t="shared" si="27"/>
        <v>46699.5</v>
      </c>
      <c r="H39" s="442" t="s">
        <v>5</v>
      </c>
      <c r="I39" s="438">
        <v>20</v>
      </c>
      <c r="J39" s="58">
        <v>2400</v>
      </c>
      <c r="K39" s="59">
        <f t="shared" si="1"/>
        <v>120</v>
      </c>
      <c r="L39" s="438">
        <v>20</v>
      </c>
      <c r="M39" s="60">
        <f t="shared" si="28"/>
        <v>2292.0000000000005</v>
      </c>
      <c r="N39" s="59">
        <f t="shared" si="3"/>
        <v>114.60000000000002</v>
      </c>
      <c r="O39" s="61">
        <f t="shared" si="4"/>
        <v>0</v>
      </c>
      <c r="P39" s="62">
        <f t="shared" si="5"/>
        <v>-5.3999999999999773</v>
      </c>
      <c r="Q39" s="430">
        <f t="shared" si="6"/>
        <v>0.95500000000000018</v>
      </c>
      <c r="R39" s="566"/>
      <c r="S39" s="63">
        <v>0.40208333333333329</v>
      </c>
      <c r="T39" s="63">
        <v>0.4368055555555555</v>
      </c>
      <c r="U39" s="431">
        <f t="shared" si="30"/>
        <v>5.9999999999999787</v>
      </c>
      <c r="V39" s="439">
        <f t="shared" si="29"/>
        <v>49.999999999999986</v>
      </c>
      <c r="W39" s="64"/>
      <c r="X39" s="64"/>
      <c r="Y39" s="559"/>
      <c r="Z39" s="559"/>
      <c r="AA39" s="61">
        <f t="shared" si="8"/>
        <v>-107.99999999999955</v>
      </c>
      <c r="AB39" s="430">
        <f t="shared" si="9"/>
        <v>0.95500000000000018</v>
      </c>
      <c r="AC39" s="566"/>
    </row>
    <row r="40" spans="1:29">
      <c r="A40" s="583" t="s">
        <v>1983</v>
      </c>
      <c r="B40" s="57" t="s">
        <v>15</v>
      </c>
      <c r="C40" s="560" t="s">
        <v>100</v>
      </c>
      <c r="D40" s="560"/>
      <c r="E40" s="57">
        <v>28.51</v>
      </c>
      <c r="F40" s="440">
        <v>456</v>
      </c>
      <c r="G40" s="431">
        <f t="shared" si="27"/>
        <v>13000.560000000001</v>
      </c>
      <c r="H40" s="442" t="s">
        <v>5</v>
      </c>
      <c r="I40" s="438">
        <v>16</v>
      </c>
      <c r="J40" s="58">
        <v>2400</v>
      </c>
      <c r="K40" s="59">
        <f t="shared" si="1"/>
        <v>150</v>
      </c>
      <c r="L40" s="438">
        <v>16</v>
      </c>
      <c r="M40" s="60">
        <f t="shared" si="28"/>
        <v>2279.9999999999927</v>
      </c>
      <c r="N40" s="59">
        <f t="shared" si="3"/>
        <v>142.49999999999955</v>
      </c>
      <c r="O40" s="61">
        <f t="shared" si="4"/>
        <v>0</v>
      </c>
      <c r="P40" s="62">
        <f t="shared" si="5"/>
        <v>-7.5000000000004547</v>
      </c>
      <c r="Q40" s="430">
        <f t="shared" si="6"/>
        <v>0.94999999999999696</v>
      </c>
      <c r="R40" s="566"/>
      <c r="S40" s="63">
        <v>0.44097222222222215</v>
      </c>
      <c r="T40" s="63">
        <v>0.44930555555555551</v>
      </c>
      <c r="U40" s="431">
        <f t="shared" si="30"/>
        <v>5.9999999999999787</v>
      </c>
      <c r="V40" s="439">
        <f t="shared" si="29"/>
        <v>12.000000000000037</v>
      </c>
      <c r="W40" s="64"/>
      <c r="X40" s="64"/>
      <c r="Y40" s="569"/>
      <c r="Z40" s="570"/>
      <c r="AA40" s="61">
        <f t="shared" si="8"/>
        <v>-120.00000000000728</v>
      </c>
      <c r="AB40" s="430">
        <f t="shared" si="9"/>
        <v>0.94999999999999696</v>
      </c>
      <c r="AC40" s="566"/>
    </row>
    <row r="41" spans="1:29">
      <c r="A41" s="583" t="s">
        <v>1983</v>
      </c>
      <c r="B41" s="66" t="s">
        <v>1978</v>
      </c>
      <c r="C41" s="571"/>
      <c r="D41" s="571"/>
      <c r="E41" s="433"/>
      <c r="F41" s="66"/>
      <c r="G41" s="59"/>
      <c r="H41" s="440"/>
      <c r="I41" s="67">
        <v>17.428571428571427</v>
      </c>
      <c r="J41" s="58">
        <v>2400</v>
      </c>
      <c r="K41" s="59">
        <f t="shared" si="1"/>
        <v>137.70491803278691</v>
      </c>
      <c r="L41" s="67">
        <v>17.428571428571427</v>
      </c>
      <c r="M41" s="60">
        <f>AVERAGE(M34:M40)</f>
        <v>2307.3163926897982</v>
      </c>
      <c r="N41" s="59">
        <f t="shared" si="3"/>
        <v>132.38700613793927</v>
      </c>
      <c r="O41" s="61">
        <f t="shared" si="4"/>
        <v>0</v>
      </c>
      <c r="P41" s="62">
        <f t="shared" si="5"/>
        <v>-5.31791189484764</v>
      </c>
      <c r="Q41" s="430">
        <f t="shared" si="6"/>
        <v>0.96138183028741597</v>
      </c>
      <c r="R41" s="566"/>
      <c r="S41" s="63"/>
      <c r="T41" s="63"/>
      <c r="U41" s="59"/>
      <c r="V41" s="439"/>
      <c r="W41" s="59"/>
      <c r="X41" s="59"/>
      <c r="Y41" s="559"/>
      <c r="Z41" s="559"/>
      <c r="AA41" s="61">
        <f t="shared" si="8"/>
        <v>-92.683607310201751</v>
      </c>
      <c r="AB41" s="430">
        <f t="shared" si="9"/>
        <v>0.96138183028741597</v>
      </c>
      <c r="AC41" s="566"/>
    </row>
    <row r="42" spans="1:29" ht="15.75" customHeight="1">
      <c r="A42" s="576" t="s">
        <v>1984</v>
      </c>
      <c r="B42" s="57" t="s">
        <v>31</v>
      </c>
      <c r="C42" s="567" t="s">
        <v>32</v>
      </c>
      <c r="D42" s="568"/>
      <c r="E42" s="57">
        <v>21.13</v>
      </c>
      <c r="F42" s="440">
        <v>4428</v>
      </c>
      <c r="G42" s="431">
        <f t="shared" ref="G42:G48" si="31">E42*F42</f>
        <v>93563.64</v>
      </c>
      <c r="H42" s="442" t="s">
        <v>5</v>
      </c>
      <c r="I42" s="438">
        <v>10</v>
      </c>
      <c r="J42" s="58">
        <v>3000</v>
      </c>
      <c r="K42" s="59">
        <f t="shared" si="1"/>
        <v>300</v>
      </c>
      <c r="L42" s="438">
        <v>10</v>
      </c>
      <c r="M42" s="60">
        <f t="shared" ref="M42:M48" si="32">F42/V42*60</f>
        <v>2856.7741935483864</v>
      </c>
      <c r="N42" s="60">
        <f t="shared" si="3"/>
        <v>285.67741935483866</v>
      </c>
      <c r="O42" s="61">
        <f t="shared" si="4"/>
        <v>0</v>
      </c>
      <c r="P42" s="62">
        <f t="shared" si="5"/>
        <v>-14.322580645161338</v>
      </c>
      <c r="Q42" s="430">
        <f t="shared" si="6"/>
        <v>0.95225806451612882</v>
      </c>
      <c r="R42" s="579">
        <f>Q49</f>
        <v>0.95767274761255194</v>
      </c>
      <c r="S42" s="63">
        <v>8.3333333333333329E-2</v>
      </c>
      <c r="T42" s="63">
        <v>0.14791666666666667</v>
      </c>
      <c r="U42" s="68"/>
      <c r="V42" s="439">
        <f t="shared" ref="V42:V48" si="33">(T42-S42)*24*60</f>
        <v>93.000000000000014</v>
      </c>
      <c r="W42" s="64">
        <f>T42</f>
        <v>0.14791666666666667</v>
      </c>
      <c r="X42" s="64">
        <f>S43</f>
        <v>0.1673611111111111</v>
      </c>
      <c r="Y42" s="569"/>
      <c r="Z42" s="570"/>
      <c r="AA42" s="61">
        <f t="shared" si="8"/>
        <v>-143.22580645161361</v>
      </c>
      <c r="AB42" s="430">
        <f t="shared" si="9"/>
        <v>0.95225806451612882</v>
      </c>
      <c r="AC42" s="579">
        <f>AB49</f>
        <v>0.95767274761255194</v>
      </c>
    </row>
    <row r="43" spans="1:29" ht="15.75" customHeight="1">
      <c r="A43" s="577" t="s">
        <v>1984</v>
      </c>
      <c r="B43" s="57" t="s">
        <v>31</v>
      </c>
      <c r="C43" s="567" t="s">
        <v>33</v>
      </c>
      <c r="D43" s="568"/>
      <c r="E43" s="57">
        <v>27.17</v>
      </c>
      <c r="F43" s="440">
        <v>5561</v>
      </c>
      <c r="G43" s="431">
        <f t="shared" si="31"/>
        <v>151092.37</v>
      </c>
      <c r="H43" s="442" t="s">
        <v>5</v>
      </c>
      <c r="I43" s="438">
        <v>10</v>
      </c>
      <c r="J43" s="58">
        <v>3000</v>
      </c>
      <c r="K43" s="59">
        <f t="shared" si="1"/>
        <v>300</v>
      </c>
      <c r="L43" s="438">
        <v>10</v>
      </c>
      <c r="M43" s="60">
        <f t="shared" si="32"/>
        <v>2876.379310344827</v>
      </c>
      <c r="N43" s="60">
        <f t="shared" si="3"/>
        <v>287.63793103448268</v>
      </c>
      <c r="O43" s="61">
        <f t="shared" si="4"/>
        <v>0</v>
      </c>
      <c r="P43" s="62">
        <f t="shared" si="5"/>
        <v>-12.362068965517324</v>
      </c>
      <c r="Q43" s="430">
        <f t="shared" si="6"/>
        <v>0.95879310344827562</v>
      </c>
      <c r="R43" s="580"/>
      <c r="S43" s="63">
        <v>0.1673611111111111</v>
      </c>
      <c r="T43" s="63">
        <v>0.24791666666666667</v>
      </c>
      <c r="U43" s="431">
        <f t="shared" ref="U43:U48" si="34">(S43-T42)*24*60</f>
        <v>27.999999999999979</v>
      </c>
      <c r="V43" s="439">
        <f t="shared" si="33"/>
        <v>116.00000000000003</v>
      </c>
      <c r="W43" s="64"/>
      <c r="X43" s="64"/>
      <c r="Y43" s="569"/>
      <c r="Z43" s="570"/>
      <c r="AA43" s="61">
        <f t="shared" si="8"/>
        <v>-123.62068965517301</v>
      </c>
      <c r="AB43" s="430">
        <f t="shared" si="9"/>
        <v>0.95879310344827562</v>
      </c>
      <c r="AC43" s="580"/>
    </row>
    <row r="44" spans="1:29" ht="15.75" customHeight="1">
      <c r="A44" s="577" t="s">
        <v>1984</v>
      </c>
      <c r="B44" s="57" t="s">
        <v>31</v>
      </c>
      <c r="C44" s="567" t="s">
        <v>36</v>
      </c>
      <c r="D44" s="568"/>
      <c r="E44" s="57">
        <v>36.14</v>
      </c>
      <c r="F44" s="440">
        <v>1112</v>
      </c>
      <c r="G44" s="431">
        <f t="shared" si="31"/>
        <v>40187.68</v>
      </c>
      <c r="H44" s="442" t="s">
        <v>5</v>
      </c>
      <c r="I44" s="438">
        <v>9</v>
      </c>
      <c r="J44" s="58">
        <v>3000</v>
      </c>
      <c r="K44" s="59">
        <f t="shared" si="1"/>
        <v>333.33333333333331</v>
      </c>
      <c r="L44" s="438">
        <v>9</v>
      </c>
      <c r="M44" s="60">
        <f t="shared" si="32"/>
        <v>2900.8695652173915</v>
      </c>
      <c r="N44" s="60">
        <f t="shared" si="3"/>
        <v>322.31884057971018</v>
      </c>
      <c r="O44" s="61">
        <f t="shared" si="4"/>
        <v>0</v>
      </c>
      <c r="P44" s="62">
        <f t="shared" si="5"/>
        <v>-11.014492753623131</v>
      </c>
      <c r="Q44" s="430">
        <f t="shared" si="6"/>
        <v>0.9669565217391306</v>
      </c>
      <c r="R44" s="580"/>
      <c r="S44" s="63">
        <v>0.25208333333333333</v>
      </c>
      <c r="T44" s="63">
        <v>0.26805555555555555</v>
      </c>
      <c r="U44" s="431">
        <f t="shared" si="34"/>
        <v>5.9999999999999787</v>
      </c>
      <c r="V44" s="439">
        <f t="shared" si="33"/>
        <v>23</v>
      </c>
      <c r="W44" s="64"/>
      <c r="X44" s="64"/>
      <c r="Y44" s="569"/>
      <c r="Z44" s="570"/>
      <c r="AA44" s="61">
        <f t="shared" si="8"/>
        <v>-99.130434782608518</v>
      </c>
      <c r="AB44" s="430">
        <f t="shared" si="9"/>
        <v>0.96695652173913049</v>
      </c>
      <c r="AC44" s="580"/>
    </row>
    <row r="45" spans="1:29" ht="15.75" customHeight="1">
      <c r="A45" s="577" t="s">
        <v>1984</v>
      </c>
      <c r="B45" s="57" t="s">
        <v>31</v>
      </c>
      <c r="C45" s="567" t="s">
        <v>34</v>
      </c>
      <c r="D45" s="568"/>
      <c r="E45" s="57">
        <v>35.119999999999997</v>
      </c>
      <c r="F45" s="440">
        <v>4005</v>
      </c>
      <c r="G45" s="431">
        <f t="shared" si="31"/>
        <v>140655.59999999998</v>
      </c>
      <c r="H45" s="442" t="s">
        <v>5</v>
      </c>
      <c r="I45" s="438">
        <v>10</v>
      </c>
      <c r="J45" s="58">
        <v>3000</v>
      </c>
      <c r="K45" s="59">
        <f t="shared" si="1"/>
        <v>300</v>
      </c>
      <c r="L45" s="438">
        <v>10</v>
      </c>
      <c r="M45" s="60">
        <f t="shared" si="32"/>
        <v>2860.7142857142844</v>
      </c>
      <c r="N45" s="60">
        <f t="shared" si="3"/>
        <v>286.07142857142844</v>
      </c>
      <c r="O45" s="61">
        <f t="shared" si="4"/>
        <v>0</v>
      </c>
      <c r="P45" s="62">
        <f t="shared" si="5"/>
        <v>-13.928571428571558</v>
      </c>
      <c r="Q45" s="430">
        <f t="shared" si="6"/>
        <v>0.95357142857142818</v>
      </c>
      <c r="R45" s="580"/>
      <c r="S45" s="63">
        <v>0.27291666666666664</v>
      </c>
      <c r="T45" s="63">
        <v>0.33124999999999999</v>
      </c>
      <c r="U45" s="431">
        <f t="shared" si="34"/>
        <v>6.9999999999999751</v>
      </c>
      <c r="V45" s="439">
        <f t="shared" si="33"/>
        <v>84.000000000000028</v>
      </c>
      <c r="W45" s="64"/>
      <c r="X45" s="64"/>
      <c r="Y45" s="569"/>
      <c r="Z45" s="570"/>
      <c r="AA45" s="61">
        <f t="shared" si="8"/>
        <v>-139.28571428571558</v>
      </c>
      <c r="AB45" s="430">
        <f t="shared" si="9"/>
        <v>0.95357142857142818</v>
      </c>
      <c r="AC45" s="580"/>
    </row>
    <row r="46" spans="1:29" ht="15.75" customHeight="1">
      <c r="A46" s="577" t="s">
        <v>1984</v>
      </c>
      <c r="B46" s="57" t="s">
        <v>31</v>
      </c>
      <c r="C46" s="567" t="s">
        <v>71</v>
      </c>
      <c r="D46" s="568"/>
      <c r="E46" s="57">
        <v>31</v>
      </c>
      <c r="F46" s="440">
        <v>1502</v>
      </c>
      <c r="G46" s="431">
        <f t="shared" si="31"/>
        <v>46562</v>
      </c>
      <c r="H46" s="442" t="s">
        <v>5</v>
      </c>
      <c r="I46" s="438">
        <v>13</v>
      </c>
      <c r="J46" s="58">
        <v>2000</v>
      </c>
      <c r="K46" s="59">
        <f t="shared" si="1"/>
        <v>153.84615384615384</v>
      </c>
      <c r="L46" s="438">
        <v>13</v>
      </c>
      <c r="M46" s="60">
        <f t="shared" si="32"/>
        <v>1917.4468085106384</v>
      </c>
      <c r="N46" s="60">
        <f t="shared" si="3"/>
        <v>147.49590834697219</v>
      </c>
      <c r="O46" s="61">
        <f t="shared" si="4"/>
        <v>0</v>
      </c>
      <c r="P46" s="62">
        <f t="shared" si="5"/>
        <v>-6.3502454991816535</v>
      </c>
      <c r="Q46" s="430">
        <f t="shared" si="6"/>
        <v>0.95872340425531921</v>
      </c>
      <c r="R46" s="580"/>
      <c r="S46" s="63">
        <v>0.33611111111111108</v>
      </c>
      <c r="T46" s="63">
        <v>0.36874999999999997</v>
      </c>
      <c r="U46" s="431">
        <f t="shared" si="34"/>
        <v>6.9999999999999751</v>
      </c>
      <c r="V46" s="439">
        <f t="shared" si="33"/>
        <v>46.999999999999993</v>
      </c>
      <c r="W46" s="64"/>
      <c r="X46" s="64"/>
      <c r="Y46" s="569"/>
      <c r="Z46" s="570"/>
      <c r="AA46" s="61">
        <f t="shared" si="8"/>
        <v>-82.553191489361552</v>
      </c>
      <c r="AB46" s="430">
        <f t="shared" si="9"/>
        <v>0.95872340425531921</v>
      </c>
      <c r="AC46" s="580"/>
    </row>
    <row r="47" spans="1:29" ht="15.75" customHeight="1">
      <c r="A47" s="577" t="s">
        <v>1984</v>
      </c>
      <c r="B47" s="57" t="s">
        <v>31</v>
      </c>
      <c r="C47" s="567" t="s">
        <v>659</v>
      </c>
      <c r="D47" s="568"/>
      <c r="E47" s="57">
        <v>37.880000000000003</v>
      </c>
      <c r="F47" s="440">
        <v>2448</v>
      </c>
      <c r="G47" s="431">
        <f t="shared" si="31"/>
        <v>92730.240000000005</v>
      </c>
      <c r="H47" s="442" t="s">
        <v>5</v>
      </c>
      <c r="I47" s="438">
        <v>14</v>
      </c>
      <c r="J47" s="58">
        <v>2000</v>
      </c>
      <c r="K47" s="59">
        <f t="shared" si="1"/>
        <v>142.85714285714286</v>
      </c>
      <c r="L47" s="438">
        <v>14</v>
      </c>
      <c r="M47" s="60">
        <f t="shared" si="32"/>
        <v>1907.5324675324682</v>
      </c>
      <c r="N47" s="60">
        <f t="shared" si="3"/>
        <v>136.25231910946201</v>
      </c>
      <c r="O47" s="61">
        <f t="shared" si="4"/>
        <v>0</v>
      </c>
      <c r="P47" s="62">
        <f t="shared" si="5"/>
        <v>-6.6048237476808538</v>
      </c>
      <c r="Q47" s="430">
        <f t="shared" si="6"/>
        <v>0.95376623376623404</v>
      </c>
      <c r="R47" s="580"/>
      <c r="S47" s="63">
        <v>0.37291666666666662</v>
      </c>
      <c r="T47" s="63">
        <v>0.42638888888888882</v>
      </c>
      <c r="U47" s="431">
        <f t="shared" si="34"/>
        <v>5.9999999999999787</v>
      </c>
      <c r="V47" s="439">
        <f t="shared" si="33"/>
        <v>76.999999999999972</v>
      </c>
      <c r="W47" s="64"/>
      <c r="X47" s="64"/>
      <c r="Y47" s="569"/>
      <c r="Z47" s="570"/>
      <c r="AA47" s="61">
        <f t="shared" si="8"/>
        <v>-92.467532467531782</v>
      </c>
      <c r="AB47" s="430">
        <f t="shared" si="9"/>
        <v>0.95376623376623415</v>
      </c>
      <c r="AC47" s="580"/>
    </row>
    <row r="48" spans="1:29" ht="15.75" customHeight="1">
      <c r="A48" s="577" t="s">
        <v>1984</v>
      </c>
      <c r="B48" s="57" t="s">
        <v>31</v>
      </c>
      <c r="C48" s="567" t="s">
        <v>1778</v>
      </c>
      <c r="D48" s="568"/>
      <c r="E48" s="57">
        <v>32.020000000000003</v>
      </c>
      <c r="F48" s="440">
        <v>2924</v>
      </c>
      <c r="G48" s="431">
        <f t="shared" si="31"/>
        <v>93626.48000000001</v>
      </c>
      <c r="H48" s="442" t="s">
        <v>5</v>
      </c>
      <c r="I48" s="438">
        <v>11</v>
      </c>
      <c r="J48" s="58">
        <v>3000</v>
      </c>
      <c r="K48" s="59">
        <f t="shared" si="1"/>
        <v>272.72727272727275</v>
      </c>
      <c r="L48" s="438">
        <v>11</v>
      </c>
      <c r="M48" s="60">
        <f t="shared" si="32"/>
        <v>2876.065573770491</v>
      </c>
      <c r="N48" s="60">
        <f t="shared" si="3"/>
        <v>261.4605067064083</v>
      </c>
      <c r="O48" s="61">
        <f t="shared" si="4"/>
        <v>0</v>
      </c>
      <c r="P48" s="62">
        <f t="shared" si="5"/>
        <v>-11.266766020864452</v>
      </c>
      <c r="Q48" s="430">
        <f t="shared" si="6"/>
        <v>0.95868852459016363</v>
      </c>
      <c r="R48" s="580"/>
      <c r="S48" s="63">
        <v>0.43055555555555547</v>
      </c>
      <c r="T48" s="63">
        <v>0.4729166666666666</v>
      </c>
      <c r="U48" s="431">
        <f t="shared" si="34"/>
        <v>5.9999999999999787</v>
      </c>
      <c r="V48" s="439">
        <f t="shared" si="33"/>
        <v>61.000000000000021</v>
      </c>
      <c r="W48" s="64"/>
      <c r="X48" s="64"/>
      <c r="Y48" s="569"/>
      <c r="Z48" s="570"/>
      <c r="AA48" s="61">
        <f t="shared" si="8"/>
        <v>-123.93442622950897</v>
      </c>
      <c r="AB48" s="430">
        <f t="shared" si="9"/>
        <v>0.95868852459016363</v>
      </c>
      <c r="AC48" s="580"/>
    </row>
    <row r="49" spans="1:29" ht="15.75" customHeight="1">
      <c r="A49" s="578" t="s">
        <v>1984</v>
      </c>
      <c r="B49" s="57" t="s">
        <v>1978</v>
      </c>
      <c r="C49" s="561"/>
      <c r="D49" s="562"/>
      <c r="E49" s="432"/>
      <c r="F49" s="440"/>
      <c r="G49" s="431"/>
      <c r="H49" s="440"/>
      <c r="I49" s="67">
        <v>11</v>
      </c>
      <c r="J49" s="58">
        <v>2714.2857142857142</v>
      </c>
      <c r="K49" s="59">
        <f t="shared" si="1"/>
        <v>246.75324675324674</v>
      </c>
      <c r="L49" s="67">
        <v>11</v>
      </c>
      <c r="M49" s="60">
        <f>AVERAGE(M42:M48)</f>
        <v>2599.3974578054981</v>
      </c>
      <c r="N49" s="59">
        <f t="shared" si="3"/>
        <v>236.30885980049982</v>
      </c>
      <c r="O49" s="61">
        <f t="shared" si="4"/>
        <v>0</v>
      </c>
      <c r="P49" s="62">
        <f t="shared" si="5"/>
        <v>-10.444386952746925</v>
      </c>
      <c r="Q49" s="430">
        <f t="shared" si="6"/>
        <v>0.95767274761255194</v>
      </c>
      <c r="R49" s="581"/>
      <c r="S49" s="63"/>
      <c r="T49" s="63"/>
      <c r="U49" s="431"/>
      <c r="V49" s="439"/>
      <c r="W49" s="64"/>
      <c r="X49" s="64"/>
      <c r="Y49" s="569"/>
      <c r="Z49" s="570"/>
      <c r="AA49" s="61">
        <f t="shared" si="8"/>
        <v>-114.88825648021611</v>
      </c>
      <c r="AB49" s="430">
        <f t="shared" si="9"/>
        <v>0.95767274761255194</v>
      </c>
      <c r="AC49" s="581"/>
    </row>
    <row r="50" spans="1:29" ht="15.75" customHeight="1">
      <c r="A50" s="574" t="s">
        <v>1985</v>
      </c>
      <c r="B50" s="57" t="s">
        <v>10</v>
      </c>
      <c r="C50" s="560" t="s">
        <v>37</v>
      </c>
      <c r="D50" s="560"/>
      <c r="E50" s="57">
        <v>46</v>
      </c>
      <c r="F50" s="69">
        <v>1522</v>
      </c>
      <c r="G50" s="431">
        <f t="shared" ref="G50:G56" si="35">E50*F50</f>
        <v>70012</v>
      </c>
      <c r="H50" s="442" t="s">
        <v>5</v>
      </c>
      <c r="I50" s="438">
        <v>17</v>
      </c>
      <c r="J50" s="58">
        <v>2000</v>
      </c>
      <c r="K50" s="59">
        <f t="shared" si="1"/>
        <v>117.64705882352941</v>
      </c>
      <c r="L50" s="438">
        <v>17</v>
      </c>
      <c r="M50" s="60">
        <f t="shared" ref="M50:M56" si="36">F50/V50*60</f>
        <v>1942.9787234042553</v>
      </c>
      <c r="N50" s="60">
        <f t="shared" si="3"/>
        <v>114.29286608260325</v>
      </c>
      <c r="O50" s="61">
        <f t="shared" si="4"/>
        <v>0</v>
      </c>
      <c r="P50" s="62">
        <f t="shared" si="5"/>
        <v>-3.3541927409261518</v>
      </c>
      <c r="Q50" s="430">
        <f t="shared" si="6"/>
        <v>0.97148936170212774</v>
      </c>
      <c r="R50" s="566">
        <f>Q57</f>
        <v>0.88068946128966774</v>
      </c>
      <c r="S50" s="63">
        <v>0.20833333333333334</v>
      </c>
      <c r="T50" s="63">
        <v>0.24097222222222223</v>
      </c>
      <c r="U50" s="68"/>
      <c r="V50" s="439">
        <f t="shared" ref="V50:V56" si="37">(T50-S50)*24*60</f>
        <v>46.999999999999993</v>
      </c>
      <c r="W50" s="68"/>
      <c r="X50" s="68"/>
      <c r="Y50" s="559"/>
      <c r="Z50" s="559"/>
      <c r="AA50" s="61">
        <f t="shared" si="8"/>
        <v>-57.021276595744666</v>
      </c>
      <c r="AB50" s="430">
        <f t="shared" si="9"/>
        <v>0.97148936170212763</v>
      </c>
      <c r="AC50" s="566">
        <f>AB57</f>
        <v>0.88068946128966785</v>
      </c>
    </row>
    <row r="51" spans="1:29" ht="15.75" customHeight="1">
      <c r="A51" s="574" t="s">
        <v>1985</v>
      </c>
      <c r="B51" s="57" t="s">
        <v>10</v>
      </c>
      <c r="C51" s="560" t="s">
        <v>38</v>
      </c>
      <c r="D51" s="560"/>
      <c r="E51" s="57">
        <v>46</v>
      </c>
      <c r="F51" s="69">
        <v>1703</v>
      </c>
      <c r="G51" s="431">
        <f t="shared" si="35"/>
        <v>78338</v>
      </c>
      <c r="H51" s="442" t="s">
        <v>5</v>
      </c>
      <c r="I51" s="438">
        <v>17</v>
      </c>
      <c r="J51" s="58">
        <v>2000</v>
      </c>
      <c r="K51" s="59">
        <f t="shared" si="1"/>
        <v>117.64705882352941</v>
      </c>
      <c r="L51" s="438">
        <v>17</v>
      </c>
      <c r="M51" s="60">
        <f t="shared" si="36"/>
        <v>1927.9245283018877</v>
      </c>
      <c r="N51" s="60">
        <f t="shared" si="3"/>
        <v>113.40732519422869</v>
      </c>
      <c r="O51" s="61">
        <f t="shared" si="4"/>
        <v>0</v>
      </c>
      <c r="P51" s="62">
        <f t="shared" si="5"/>
        <v>-4.2397336293007157</v>
      </c>
      <c r="Q51" s="430">
        <f t="shared" si="6"/>
        <v>0.96396226415094388</v>
      </c>
      <c r="R51" s="566"/>
      <c r="S51" s="63">
        <v>0.24513888888888891</v>
      </c>
      <c r="T51" s="63">
        <v>0.28194444444444444</v>
      </c>
      <c r="U51" s="431">
        <f t="shared" ref="U51:U56" si="38">IF(S51=TIME(17,0,0),"",(S51-T50)*24*60)</f>
        <v>6.0000000000000187</v>
      </c>
      <c r="V51" s="439">
        <f t="shared" si="37"/>
        <v>52.999999999999972</v>
      </c>
      <c r="W51" s="64"/>
      <c r="X51" s="64"/>
      <c r="Y51" s="559"/>
      <c r="Z51" s="559"/>
      <c r="AA51" s="61">
        <f t="shared" si="8"/>
        <v>-72.075471698112324</v>
      </c>
      <c r="AB51" s="430">
        <f t="shared" si="9"/>
        <v>0.96396226415094388</v>
      </c>
      <c r="AC51" s="566"/>
    </row>
    <row r="52" spans="1:29" ht="15.75" customHeight="1">
      <c r="A52" s="574" t="s">
        <v>1985</v>
      </c>
      <c r="B52" s="57" t="s">
        <v>6</v>
      </c>
      <c r="C52" s="567" t="s">
        <v>1181</v>
      </c>
      <c r="D52" s="568"/>
      <c r="E52" s="57">
        <v>51.86</v>
      </c>
      <c r="F52" s="69">
        <v>1096</v>
      </c>
      <c r="G52" s="431">
        <f t="shared" si="35"/>
        <v>56838.559999999998</v>
      </c>
      <c r="H52" s="442" t="s">
        <v>5</v>
      </c>
      <c r="I52" s="438">
        <v>25</v>
      </c>
      <c r="J52" s="58">
        <v>2000</v>
      </c>
      <c r="K52" s="59">
        <f t="shared" si="1"/>
        <v>80</v>
      </c>
      <c r="L52" s="438">
        <v>25</v>
      </c>
      <c r="M52" s="60">
        <f t="shared" si="36"/>
        <v>1217.7777777777785</v>
      </c>
      <c r="N52" s="60">
        <f t="shared" si="3"/>
        <v>48.711111111111137</v>
      </c>
      <c r="O52" s="61">
        <f t="shared" si="4"/>
        <v>0</v>
      </c>
      <c r="P52" s="62">
        <f t="shared" si="5"/>
        <v>-31.288888888888863</v>
      </c>
      <c r="Q52" s="430">
        <f t="shared" si="6"/>
        <v>0.60888888888888926</v>
      </c>
      <c r="R52" s="566"/>
      <c r="S52" s="63">
        <v>0.28749999999999998</v>
      </c>
      <c r="T52" s="63">
        <v>0.32499999999999996</v>
      </c>
      <c r="U52" s="431">
        <f t="shared" si="38"/>
        <v>7.9999999999999716</v>
      </c>
      <c r="V52" s="439">
        <f t="shared" si="37"/>
        <v>53.999999999999972</v>
      </c>
      <c r="W52" s="64"/>
      <c r="X52" s="64"/>
      <c r="Y52" s="436"/>
      <c r="Z52" s="437"/>
      <c r="AA52" s="61">
        <f t="shared" si="8"/>
        <v>-782.22222222222149</v>
      </c>
      <c r="AB52" s="430">
        <f t="shared" si="9"/>
        <v>0.60888888888888926</v>
      </c>
      <c r="AC52" s="566"/>
    </row>
    <row r="53" spans="1:29" ht="15.75" customHeight="1">
      <c r="A53" s="574" t="s">
        <v>1985</v>
      </c>
      <c r="B53" s="57" t="s">
        <v>6</v>
      </c>
      <c r="C53" s="434" t="s">
        <v>1182</v>
      </c>
      <c r="D53" s="435"/>
      <c r="E53" s="57">
        <v>56.43</v>
      </c>
      <c r="F53" s="69">
        <v>1828</v>
      </c>
      <c r="G53" s="431">
        <f t="shared" si="35"/>
        <v>103154.04</v>
      </c>
      <c r="H53" s="442" t="s">
        <v>5</v>
      </c>
      <c r="I53" s="438">
        <v>22</v>
      </c>
      <c r="J53" s="58">
        <v>2000</v>
      </c>
      <c r="K53" s="59">
        <f t="shared" si="1"/>
        <v>90.909090909090907</v>
      </c>
      <c r="L53" s="438">
        <v>22</v>
      </c>
      <c r="M53" s="60">
        <f t="shared" si="36"/>
        <v>1462.4000000000005</v>
      </c>
      <c r="N53" s="60">
        <f t="shared" si="3"/>
        <v>66.472727272727298</v>
      </c>
      <c r="O53" s="61">
        <f t="shared" si="4"/>
        <v>0</v>
      </c>
      <c r="P53" s="62">
        <f t="shared" si="5"/>
        <v>-24.436363636363609</v>
      </c>
      <c r="Q53" s="430">
        <f t="shared" si="6"/>
        <v>0.73120000000000029</v>
      </c>
      <c r="R53" s="566"/>
      <c r="S53" s="63">
        <v>0.32916666666666661</v>
      </c>
      <c r="T53" s="63">
        <v>0.38124999999999992</v>
      </c>
      <c r="U53" s="431">
        <f t="shared" si="38"/>
        <v>5.9999999999999787</v>
      </c>
      <c r="V53" s="439">
        <f t="shared" si="37"/>
        <v>74.999999999999972</v>
      </c>
      <c r="W53" s="64"/>
      <c r="X53" s="64"/>
      <c r="Y53" s="436"/>
      <c r="Z53" s="437"/>
      <c r="AA53" s="61">
        <f t="shared" si="8"/>
        <v>-537.59999999999945</v>
      </c>
      <c r="AB53" s="430">
        <f t="shared" si="9"/>
        <v>0.73120000000000029</v>
      </c>
      <c r="AC53" s="566"/>
    </row>
    <row r="54" spans="1:29" ht="15.75" customHeight="1">
      <c r="A54" s="574" t="s">
        <v>1985</v>
      </c>
      <c r="B54" s="57" t="s">
        <v>6</v>
      </c>
      <c r="C54" s="434" t="s">
        <v>39</v>
      </c>
      <c r="D54" s="435"/>
      <c r="E54" s="57">
        <v>55.56</v>
      </c>
      <c r="F54" s="69">
        <v>1916</v>
      </c>
      <c r="G54" s="431">
        <f t="shared" si="35"/>
        <v>106452.96</v>
      </c>
      <c r="H54" s="442" t="s">
        <v>5</v>
      </c>
      <c r="I54" s="438">
        <v>17</v>
      </c>
      <c r="J54" s="58">
        <v>2000</v>
      </c>
      <c r="K54" s="59">
        <f t="shared" si="1"/>
        <v>117.64705882352941</v>
      </c>
      <c r="L54" s="438">
        <v>17</v>
      </c>
      <c r="M54" s="60">
        <f t="shared" si="36"/>
        <v>1916.0000000000018</v>
      </c>
      <c r="N54" s="60">
        <f t="shared" si="3"/>
        <v>112.70588235294129</v>
      </c>
      <c r="O54" s="61">
        <f t="shared" si="4"/>
        <v>0</v>
      </c>
      <c r="P54" s="62">
        <f t="shared" si="5"/>
        <v>-4.9411764705881183</v>
      </c>
      <c r="Q54" s="430">
        <f t="shared" si="6"/>
        <v>0.95800000000000096</v>
      </c>
      <c r="R54" s="566"/>
      <c r="S54" s="63">
        <v>0.70833333333333337</v>
      </c>
      <c r="T54" s="63">
        <v>0.75</v>
      </c>
      <c r="U54" s="431" t="str">
        <f t="shared" si="38"/>
        <v/>
      </c>
      <c r="V54" s="439">
        <f t="shared" si="37"/>
        <v>59.999999999999943</v>
      </c>
      <c r="W54" s="64"/>
      <c r="X54" s="64"/>
      <c r="Y54" s="436"/>
      <c r="Z54" s="437"/>
      <c r="AA54" s="61">
        <f t="shared" si="8"/>
        <v>-83.999999999998181</v>
      </c>
      <c r="AB54" s="430">
        <f t="shared" si="9"/>
        <v>0.95800000000000096</v>
      </c>
      <c r="AC54" s="566"/>
    </row>
    <row r="55" spans="1:29" ht="15.75" customHeight="1">
      <c r="A55" s="574" t="s">
        <v>1985</v>
      </c>
      <c r="B55" s="57" t="s">
        <v>6</v>
      </c>
      <c r="C55" s="567" t="s">
        <v>40</v>
      </c>
      <c r="D55" s="568"/>
      <c r="E55" s="57">
        <v>55.32</v>
      </c>
      <c r="F55" s="69">
        <v>1361</v>
      </c>
      <c r="G55" s="431">
        <f t="shared" si="35"/>
        <v>75290.52</v>
      </c>
      <c r="H55" s="442" t="s">
        <v>5</v>
      </c>
      <c r="I55" s="438">
        <v>15</v>
      </c>
      <c r="J55" s="58">
        <v>2000</v>
      </c>
      <c r="K55" s="59">
        <f t="shared" si="1"/>
        <v>133.33333333333334</v>
      </c>
      <c r="L55" s="438">
        <v>15</v>
      </c>
      <c r="M55" s="60">
        <f t="shared" si="36"/>
        <v>1944.2857142857135</v>
      </c>
      <c r="N55" s="60">
        <f t="shared" si="3"/>
        <v>129.61904761904756</v>
      </c>
      <c r="O55" s="61">
        <f t="shared" si="4"/>
        <v>0</v>
      </c>
      <c r="P55" s="62">
        <f t="shared" si="5"/>
        <v>-3.7142857142857792</v>
      </c>
      <c r="Q55" s="430">
        <f t="shared" si="6"/>
        <v>0.97214285714285664</v>
      </c>
      <c r="R55" s="566"/>
      <c r="S55" s="63">
        <v>0.75486111111111109</v>
      </c>
      <c r="T55" s="63">
        <v>0.78402777777777777</v>
      </c>
      <c r="U55" s="431">
        <f t="shared" si="38"/>
        <v>6.9999999999999751</v>
      </c>
      <c r="V55" s="439">
        <f t="shared" si="37"/>
        <v>42.000000000000014</v>
      </c>
      <c r="W55" s="64"/>
      <c r="X55" s="64"/>
      <c r="Y55" s="569"/>
      <c r="Z55" s="570"/>
      <c r="AA55" s="61">
        <f t="shared" si="8"/>
        <v>-55.714285714286461</v>
      </c>
      <c r="AB55" s="430">
        <f t="shared" si="9"/>
        <v>0.97214285714285675</v>
      </c>
      <c r="AC55" s="566"/>
    </row>
    <row r="56" spans="1:29" ht="15.75" customHeight="1">
      <c r="A56" s="574" t="s">
        <v>1985</v>
      </c>
      <c r="B56" s="57" t="s">
        <v>6</v>
      </c>
      <c r="C56" s="567" t="s">
        <v>94</v>
      </c>
      <c r="D56" s="568"/>
      <c r="E56" s="57">
        <v>57.3</v>
      </c>
      <c r="F56" s="69">
        <v>2238</v>
      </c>
      <c r="G56" s="431">
        <f t="shared" si="35"/>
        <v>128237.4</v>
      </c>
      <c r="H56" s="442" t="s">
        <v>5</v>
      </c>
      <c r="I56" s="438">
        <v>13</v>
      </c>
      <c r="J56" s="58">
        <v>2000</v>
      </c>
      <c r="K56" s="59">
        <f t="shared" si="1"/>
        <v>153.84615384615384</v>
      </c>
      <c r="L56" s="438">
        <v>13</v>
      </c>
      <c r="M56" s="60">
        <f t="shared" si="36"/>
        <v>1918.2857142857124</v>
      </c>
      <c r="N56" s="60">
        <f t="shared" si="3"/>
        <v>147.56043956043942</v>
      </c>
      <c r="O56" s="61">
        <f t="shared" si="4"/>
        <v>0</v>
      </c>
      <c r="P56" s="62">
        <f t="shared" si="5"/>
        <v>-6.2857142857144197</v>
      </c>
      <c r="Q56" s="430">
        <f t="shared" si="6"/>
        <v>0.9591428571428563</v>
      </c>
      <c r="R56" s="566"/>
      <c r="S56" s="63">
        <v>0.78749999999999998</v>
      </c>
      <c r="T56" s="63">
        <v>0.83611111111111114</v>
      </c>
      <c r="U56" s="431">
        <f t="shared" si="38"/>
        <v>4.9999999999999822</v>
      </c>
      <c r="V56" s="439">
        <f t="shared" si="37"/>
        <v>70.000000000000071</v>
      </c>
      <c r="W56" s="64"/>
      <c r="X56" s="64"/>
      <c r="Y56" s="569"/>
      <c r="Z56" s="570"/>
      <c r="AA56" s="61">
        <f t="shared" si="8"/>
        <v>-81.714285714287598</v>
      </c>
      <c r="AB56" s="430">
        <f t="shared" si="9"/>
        <v>0.95914285714285619</v>
      </c>
      <c r="AC56" s="566"/>
    </row>
    <row r="57" spans="1:29">
      <c r="A57" s="575" t="s">
        <v>1985</v>
      </c>
      <c r="B57" s="57" t="s">
        <v>1978</v>
      </c>
      <c r="C57" s="571"/>
      <c r="D57" s="571"/>
      <c r="E57" s="433"/>
      <c r="F57" s="66"/>
      <c r="G57" s="59"/>
      <c r="H57" s="440"/>
      <c r="I57" s="67">
        <v>18</v>
      </c>
      <c r="J57" s="58">
        <v>2000</v>
      </c>
      <c r="K57" s="59">
        <f t="shared" si="1"/>
        <v>111.11111111111111</v>
      </c>
      <c r="L57" s="67">
        <v>18</v>
      </c>
      <c r="M57" s="60">
        <f>AVERAGE(M50:M56)</f>
        <v>1761.3789225793357</v>
      </c>
      <c r="N57" s="59">
        <f t="shared" si="3"/>
        <v>97.854384587740867</v>
      </c>
      <c r="O57" s="61">
        <f t="shared" si="4"/>
        <v>0</v>
      </c>
      <c r="P57" s="62">
        <f t="shared" si="5"/>
        <v>-13.256726523370247</v>
      </c>
      <c r="Q57" s="430">
        <f t="shared" si="6"/>
        <v>0.88068946128966774</v>
      </c>
      <c r="R57" s="566"/>
      <c r="S57" s="70"/>
      <c r="T57" s="63"/>
      <c r="U57" s="59"/>
      <c r="V57" s="439"/>
      <c r="W57" s="59"/>
      <c r="X57" s="59"/>
      <c r="Y57" s="559"/>
      <c r="Z57" s="559"/>
      <c r="AA57" s="61">
        <f t="shared" si="8"/>
        <v>-238.62107742066428</v>
      </c>
      <c r="AB57" s="430">
        <f t="shared" si="9"/>
        <v>0.88068946128966785</v>
      </c>
      <c r="AC57" s="566"/>
    </row>
    <row r="58" spans="1:29" ht="15.75" customHeight="1">
      <c r="A58" s="572" t="s">
        <v>1986</v>
      </c>
      <c r="B58" s="440" t="s">
        <v>10</v>
      </c>
      <c r="C58" s="560" t="s">
        <v>42</v>
      </c>
      <c r="D58" s="560"/>
      <c r="E58" s="57">
        <v>26.97</v>
      </c>
      <c r="F58" s="69">
        <v>2384</v>
      </c>
      <c r="G58" s="431">
        <f t="shared" ref="G58:G62" si="39">E58*F58</f>
        <v>64296.479999999996</v>
      </c>
      <c r="H58" s="442" t="s">
        <v>5</v>
      </c>
      <c r="I58" s="438">
        <v>8</v>
      </c>
      <c r="J58" s="58">
        <v>1500</v>
      </c>
      <c r="K58" s="59">
        <f t="shared" si="1"/>
        <v>187.5</v>
      </c>
      <c r="L58" s="438">
        <v>8</v>
      </c>
      <c r="M58" s="60">
        <f t="shared" ref="M58:M62" si="40">F58/V58*60</f>
        <v>1430.4</v>
      </c>
      <c r="N58" s="59">
        <f t="shared" si="3"/>
        <v>178.8</v>
      </c>
      <c r="O58" s="61">
        <f t="shared" si="4"/>
        <v>0</v>
      </c>
      <c r="P58" s="62">
        <f t="shared" si="5"/>
        <v>-8.6999999999999886</v>
      </c>
      <c r="Q58" s="430">
        <f t="shared" si="6"/>
        <v>0.95360000000000011</v>
      </c>
      <c r="R58" s="566">
        <f>Q63</f>
        <v>0.96063176897756963</v>
      </c>
      <c r="S58" s="63">
        <v>0.20833333333333334</v>
      </c>
      <c r="T58" s="63">
        <v>0.27777777777777779</v>
      </c>
      <c r="U58" s="431"/>
      <c r="V58" s="439">
        <f t="shared" ref="V58:V62" si="41">(T58-S58)*24*60</f>
        <v>100</v>
      </c>
      <c r="W58" s="68"/>
      <c r="X58" s="68"/>
      <c r="Y58" s="559"/>
      <c r="Z58" s="559"/>
      <c r="AA58" s="61">
        <f t="shared" si="8"/>
        <v>-69.599999999999909</v>
      </c>
      <c r="AB58" s="430">
        <f t="shared" si="9"/>
        <v>0.95360000000000011</v>
      </c>
      <c r="AC58" s="566">
        <f>AB63</f>
        <v>0.96063176897756963</v>
      </c>
    </row>
    <row r="59" spans="1:29" ht="15.75" customHeight="1">
      <c r="A59" s="572" t="s">
        <v>1986</v>
      </c>
      <c r="B59" s="440" t="s">
        <v>31</v>
      </c>
      <c r="C59" s="560" t="s">
        <v>41</v>
      </c>
      <c r="D59" s="560"/>
      <c r="E59" s="57">
        <v>26.78</v>
      </c>
      <c r="F59" s="69">
        <v>2263</v>
      </c>
      <c r="G59" s="431">
        <f t="shared" si="39"/>
        <v>60603.14</v>
      </c>
      <c r="H59" s="442" t="s">
        <v>5</v>
      </c>
      <c r="I59" s="438">
        <v>10</v>
      </c>
      <c r="J59" s="58">
        <v>3000</v>
      </c>
      <c r="K59" s="59">
        <f t="shared" si="1"/>
        <v>300</v>
      </c>
      <c r="L59" s="438">
        <v>10</v>
      </c>
      <c r="M59" s="60">
        <f t="shared" si="40"/>
        <v>2888.9361702127662</v>
      </c>
      <c r="N59" s="59">
        <f t="shared" si="3"/>
        <v>288.89361702127661</v>
      </c>
      <c r="O59" s="61">
        <f t="shared" si="4"/>
        <v>0</v>
      </c>
      <c r="P59" s="62">
        <f t="shared" si="5"/>
        <v>-11.106382978723389</v>
      </c>
      <c r="Q59" s="430">
        <f t="shared" si="6"/>
        <v>0.96297872340425539</v>
      </c>
      <c r="R59" s="566"/>
      <c r="S59" s="63">
        <v>0.28333333333333333</v>
      </c>
      <c r="T59" s="63">
        <v>0.31597222222222221</v>
      </c>
      <c r="U59" s="431">
        <f t="shared" ref="U59:U62" si="42">(S59-T58)*24*60</f>
        <v>7.9999999999999716</v>
      </c>
      <c r="V59" s="439">
        <f t="shared" si="41"/>
        <v>46.999999999999993</v>
      </c>
      <c r="W59" s="431"/>
      <c r="X59" s="431"/>
      <c r="Y59" s="559"/>
      <c r="Z59" s="559"/>
      <c r="AA59" s="61">
        <f t="shared" si="8"/>
        <v>-111.06382978723377</v>
      </c>
      <c r="AB59" s="430">
        <f t="shared" si="9"/>
        <v>0.96297872340425539</v>
      </c>
      <c r="AC59" s="566"/>
    </row>
    <row r="60" spans="1:29" ht="15.75" customHeight="1">
      <c r="A60" s="572" t="s">
        <v>1986</v>
      </c>
      <c r="B60" s="440" t="s">
        <v>31</v>
      </c>
      <c r="C60" s="560" t="s">
        <v>64</v>
      </c>
      <c r="D60" s="560"/>
      <c r="E60" s="57">
        <v>37.880000000000003</v>
      </c>
      <c r="F60" s="69">
        <v>2265</v>
      </c>
      <c r="G60" s="431">
        <f t="shared" si="39"/>
        <v>85798.200000000012</v>
      </c>
      <c r="H60" s="442" t="s">
        <v>5</v>
      </c>
      <c r="I60" s="438">
        <v>10</v>
      </c>
      <c r="J60" s="58">
        <v>3000</v>
      </c>
      <c r="K60" s="59">
        <f t="shared" si="1"/>
        <v>300</v>
      </c>
      <c r="L60" s="438">
        <v>10</v>
      </c>
      <c r="M60" s="60">
        <f t="shared" si="40"/>
        <v>2891.489361702128</v>
      </c>
      <c r="N60" s="59">
        <f t="shared" si="3"/>
        <v>289.14893617021278</v>
      </c>
      <c r="O60" s="61">
        <f t="shared" si="4"/>
        <v>0</v>
      </c>
      <c r="P60" s="62">
        <f t="shared" si="5"/>
        <v>-10.851063829787222</v>
      </c>
      <c r="Q60" s="430">
        <f t="shared" si="6"/>
        <v>0.96382978723404256</v>
      </c>
      <c r="R60" s="566"/>
      <c r="S60" s="63">
        <v>0.31944444444444442</v>
      </c>
      <c r="T60" s="63">
        <v>0.3520833333333333</v>
      </c>
      <c r="U60" s="431">
        <f t="shared" si="42"/>
        <v>4.9999999999999822</v>
      </c>
      <c r="V60" s="439">
        <f t="shared" si="41"/>
        <v>46.999999999999993</v>
      </c>
      <c r="W60" s="431"/>
      <c r="X60" s="431"/>
      <c r="Y60" s="559"/>
      <c r="Z60" s="559"/>
      <c r="AA60" s="61">
        <f t="shared" si="8"/>
        <v>-108.51063829787199</v>
      </c>
      <c r="AB60" s="430">
        <f t="shared" si="9"/>
        <v>0.96382978723404267</v>
      </c>
      <c r="AC60" s="566"/>
    </row>
    <row r="61" spans="1:29" ht="15.75" customHeight="1">
      <c r="A61" s="572" t="s">
        <v>1986</v>
      </c>
      <c r="B61" s="440" t="s">
        <v>31</v>
      </c>
      <c r="C61" s="560" t="s">
        <v>35</v>
      </c>
      <c r="D61" s="560"/>
      <c r="E61" s="57">
        <v>35.869999999999997</v>
      </c>
      <c r="F61" s="69">
        <v>2758</v>
      </c>
      <c r="G61" s="431">
        <f t="shared" si="39"/>
        <v>98929.459999999992</v>
      </c>
      <c r="H61" s="442" t="s">
        <v>5</v>
      </c>
      <c r="I61" s="438">
        <v>9</v>
      </c>
      <c r="J61" s="58">
        <v>3000</v>
      </c>
      <c r="K61" s="59">
        <f t="shared" si="1"/>
        <v>333.33333333333331</v>
      </c>
      <c r="L61" s="438">
        <v>9</v>
      </c>
      <c r="M61" s="60">
        <f t="shared" si="40"/>
        <v>2903.1578947368444</v>
      </c>
      <c r="N61" s="59">
        <f t="shared" si="3"/>
        <v>322.57309941520492</v>
      </c>
      <c r="O61" s="61">
        <f t="shared" si="4"/>
        <v>0</v>
      </c>
      <c r="P61" s="62">
        <f t="shared" si="5"/>
        <v>-10.760233918128392</v>
      </c>
      <c r="Q61" s="430">
        <f t="shared" si="6"/>
        <v>0.96771929824561487</v>
      </c>
      <c r="R61" s="566"/>
      <c r="S61" s="63">
        <v>0.35624999999999996</v>
      </c>
      <c r="T61" s="63">
        <v>0.39583333333333326</v>
      </c>
      <c r="U61" s="431">
        <f t="shared" si="42"/>
        <v>5.9999999999999787</v>
      </c>
      <c r="V61" s="439">
        <f t="shared" si="41"/>
        <v>56.999999999999957</v>
      </c>
      <c r="W61" s="431"/>
      <c r="X61" s="431"/>
      <c r="Y61" s="559"/>
      <c r="Z61" s="559"/>
      <c r="AA61" s="61">
        <f t="shared" si="8"/>
        <v>-96.842105263155645</v>
      </c>
      <c r="AB61" s="430">
        <f t="shared" si="9"/>
        <v>0.96771929824561476</v>
      </c>
      <c r="AC61" s="566"/>
    </row>
    <row r="62" spans="1:29">
      <c r="A62" s="573" t="s">
        <v>1986</v>
      </c>
      <c r="B62" s="440" t="s">
        <v>31</v>
      </c>
      <c r="C62" s="560" t="s">
        <v>63</v>
      </c>
      <c r="D62" s="560"/>
      <c r="E62" s="57">
        <v>34.36</v>
      </c>
      <c r="F62" s="69">
        <v>1570</v>
      </c>
      <c r="G62" s="431">
        <f t="shared" si="39"/>
        <v>53945.2</v>
      </c>
      <c r="H62" s="442" t="s">
        <v>5</v>
      </c>
      <c r="I62" s="438">
        <v>10</v>
      </c>
      <c r="J62" s="58">
        <v>3000</v>
      </c>
      <c r="K62" s="59">
        <f t="shared" si="1"/>
        <v>300</v>
      </c>
      <c r="L62" s="438">
        <v>10</v>
      </c>
      <c r="M62" s="60">
        <f t="shared" si="40"/>
        <v>2854.5454545454509</v>
      </c>
      <c r="N62" s="59">
        <f t="shared" si="3"/>
        <v>285.4545454545451</v>
      </c>
      <c r="O62" s="61">
        <f t="shared" si="4"/>
        <v>0</v>
      </c>
      <c r="P62" s="62">
        <f t="shared" si="5"/>
        <v>-14.545454545454902</v>
      </c>
      <c r="Q62" s="430">
        <f t="shared" si="6"/>
        <v>0.95151515151515031</v>
      </c>
      <c r="R62" s="566"/>
      <c r="S62" s="63">
        <v>0.39930555555555547</v>
      </c>
      <c r="T62" s="63">
        <v>0.42222222222222217</v>
      </c>
      <c r="U62" s="431">
        <f t="shared" si="42"/>
        <v>4.9999999999999822</v>
      </c>
      <c r="V62" s="439">
        <f t="shared" si="41"/>
        <v>33.000000000000043</v>
      </c>
      <c r="W62" s="64"/>
      <c r="X62" s="64"/>
      <c r="Y62" s="559"/>
      <c r="Z62" s="559"/>
      <c r="AA62" s="61">
        <f t="shared" si="8"/>
        <v>-145.45454545454913</v>
      </c>
      <c r="AB62" s="430">
        <f t="shared" si="9"/>
        <v>0.95151515151515031</v>
      </c>
      <c r="AC62" s="566"/>
    </row>
    <row r="63" spans="1:29">
      <c r="A63" s="573" t="s">
        <v>1986</v>
      </c>
      <c r="B63" s="57" t="s">
        <v>1978</v>
      </c>
      <c r="C63" s="571"/>
      <c r="D63" s="571"/>
      <c r="E63" s="433"/>
      <c r="F63" s="66"/>
      <c r="G63" s="59"/>
      <c r="H63" s="440"/>
      <c r="I63" s="67">
        <v>9.4</v>
      </c>
      <c r="J63" s="58">
        <v>2700</v>
      </c>
      <c r="K63" s="59">
        <f t="shared" si="1"/>
        <v>287.2340425531915</v>
      </c>
      <c r="L63" s="67">
        <v>9.4</v>
      </c>
      <c r="M63" s="60">
        <f>AVERAGE(M58:M62)</f>
        <v>2593.7057762394379</v>
      </c>
      <c r="N63" s="59">
        <f t="shared" si="3"/>
        <v>275.92614640845085</v>
      </c>
      <c r="O63" s="61">
        <f t="shared" si="4"/>
        <v>0</v>
      </c>
      <c r="P63" s="62">
        <f t="shared" si="5"/>
        <v>-11.307896144740653</v>
      </c>
      <c r="Q63" s="430">
        <f t="shared" si="6"/>
        <v>0.96063176897756963</v>
      </c>
      <c r="R63" s="566"/>
      <c r="S63" s="63"/>
      <c r="T63" s="63"/>
      <c r="U63" s="59"/>
      <c r="V63" s="439"/>
      <c r="W63" s="59"/>
      <c r="X63" s="59"/>
      <c r="Y63" s="559"/>
      <c r="Z63" s="559"/>
      <c r="AA63" s="61">
        <f t="shared" si="8"/>
        <v>-106.29422376056209</v>
      </c>
      <c r="AB63" s="430">
        <f t="shared" si="9"/>
        <v>0.96063176897756963</v>
      </c>
      <c r="AC63" s="566"/>
    </row>
    <row r="64" spans="1:29" ht="15.75" customHeight="1">
      <c r="A64" s="563" t="s">
        <v>1987</v>
      </c>
      <c r="B64" s="440" t="s">
        <v>15</v>
      </c>
      <c r="C64" s="560" t="s">
        <v>43</v>
      </c>
      <c r="D64" s="560"/>
      <c r="E64" s="57">
        <v>20.2</v>
      </c>
      <c r="F64" s="440">
        <v>1592</v>
      </c>
      <c r="G64" s="431">
        <f t="shared" ref="G64:G68" si="43">E64*F64</f>
        <v>32158.399999999998</v>
      </c>
      <c r="H64" s="442" t="s">
        <v>5</v>
      </c>
      <c r="I64" s="438">
        <v>19</v>
      </c>
      <c r="J64" s="58">
        <v>2400</v>
      </c>
      <c r="K64" s="59">
        <f t="shared" si="1"/>
        <v>126.31578947368421</v>
      </c>
      <c r="L64" s="438">
        <v>19</v>
      </c>
      <c r="M64" s="60">
        <f t="shared" ref="M64:M68" si="44">F64/V64*60</f>
        <v>2329.7560975609758</v>
      </c>
      <c r="N64" s="59">
        <f t="shared" si="3"/>
        <v>122.61874197689346</v>
      </c>
      <c r="O64" s="61">
        <f t="shared" si="4"/>
        <v>0</v>
      </c>
      <c r="P64" s="62">
        <f t="shared" si="5"/>
        <v>-3.697047496790745</v>
      </c>
      <c r="Q64" s="430">
        <f t="shared" si="6"/>
        <v>0.97073170731707326</v>
      </c>
      <c r="R64" s="566">
        <f>Q69</f>
        <v>0.95625702097413423</v>
      </c>
      <c r="S64" s="63">
        <v>8.3333333333333329E-2</v>
      </c>
      <c r="T64" s="63">
        <v>0.11180555555555555</v>
      </c>
      <c r="U64" s="68"/>
      <c r="V64" s="439">
        <f t="shared" ref="V64:V68" si="45">(T64-S64)*24*60</f>
        <v>40.999999999999993</v>
      </c>
      <c r="W64" s="64">
        <f>T64</f>
        <v>0.11180555555555555</v>
      </c>
      <c r="X64" s="64">
        <f>S65</f>
        <v>0.13194444444444445</v>
      </c>
      <c r="Y64" s="559"/>
      <c r="Z64" s="559"/>
      <c r="AA64" s="61">
        <f t="shared" si="8"/>
        <v>-70.243902439024168</v>
      </c>
      <c r="AB64" s="430">
        <f t="shared" si="9"/>
        <v>0.97073170731707326</v>
      </c>
      <c r="AC64" s="566">
        <f>AB69</f>
        <v>0.95625702097413412</v>
      </c>
    </row>
    <row r="65" spans="1:29" ht="15.75" customHeight="1">
      <c r="A65" s="564" t="s">
        <v>1987</v>
      </c>
      <c r="B65" s="440" t="s">
        <v>15</v>
      </c>
      <c r="C65" s="560" t="s">
        <v>24</v>
      </c>
      <c r="D65" s="560"/>
      <c r="E65" s="57">
        <v>20.52</v>
      </c>
      <c r="F65" s="440">
        <v>2625</v>
      </c>
      <c r="G65" s="431">
        <f t="shared" si="43"/>
        <v>53865</v>
      </c>
      <c r="H65" s="442" t="s">
        <v>5</v>
      </c>
      <c r="I65" s="438">
        <v>18</v>
      </c>
      <c r="J65" s="58">
        <v>2400</v>
      </c>
      <c r="K65" s="59">
        <f t="shared" si="1"/>
        <v>133.33333333333334</v>
      </c>
      <c r="L65" s="438">
        <v>18</v>
      </c>
      <c r="M65" s="60">
        <f t="shared" si="44"/>
        <v>2282.608695652174</v>
      </c>
      <c r="N65" s="59">
        <f t="shared" si="3"/>
        <v>126.81159420289856</v>
      </c>
      <c r="O65" s="61">
        <f t="shared" si="4"/>
        <v>0</v>
      </c>
      <c r="P65" s="62">
        <f t="shared" si="5"/>
        <v>-6.5217391304347814</v>
      </c>
      <c r="Q65" s="430">
        <f t="shared" si="6"/>
        <v>0.95108695652173914</v>
      </c>
      <c r="R65" s="566"/>
      <c r="S65" s="63">
        <v>0.13194444444444445</v>
      </c>
      <c r="T65" s="63">
        <v>0.17986111111111111</v>
      </c>
      <c r="U65" s="431">
        <f t="shared" ref="U65:U68" si="46">(S65-T64)*24*60</f>
        <v>29.000000000000018</v>
      </c>
      <c r="V65" s="439">
        <f t="shared" si="45"/>
        <v>69</v>
      </c>
      <c r="W65" s="64"/>
      <c r="X65" s="64"/>
      <c r="Y65" s="559"/>
      <c r="Z65" s="559"/>
      <c r="AA65" s="61">
        <f t="shared" si="8"/>
        <v>-117.39130434782601</v>
      </c>
      <c r="AB65" s="430">
        <f t="shared" si="9"/>
        <v>0.95108695652173914</v>
      </c>
      <c r="AC65" s="566"/>
    </row>
    <row r="66" spans="1:29" ht="15.75" customHeight="1">
      <c r="A66" s="564" t="s">
        <v>1987</v>
      </c>
      <c r="B66" s="440" t="s">
        <v>15</v>
      </c>
      <c r="C66" s="560" t="s">
        <v>29</v>
      </c>
      <c r="D66" s="560"/>
      <c r="E66" s="57">
        <v>24.43</v>
      </c>
      <c r="F66" s="440">
        <v>5605</v>
      </c>
      <c r="G66" s="431">
        <f t="shared" si="43"/>
        <v>136930.15</v>
      </c>
      <c r="H66" s="442" t="s">
        <v>5</v>
      </c>
      <c r="I66" s="438">
        <v>14</v>
      </c>
      <c r="J66" s="58">
        <v>2400</v>
      </c>
      <c r="K66" s="59">
        <f t="shared" si="1"/>
        <v>171.42857142857142</v>
      </c>
      <c r="L66" s="438">
        <v>14</v>
      </c>
      <c r="M66" s="60">
        <f t="shared" si="44"/>
        <v>2287.7551020408159</v>
      </c>
      <c r="N66" s="59">
        <f t="shared" si="3"/>
        <v>163.41107871720115</v>
      </c>
      <c r="O66" s="61">
        <f t="shared" si="4"/>
        <v>0</v>
      </c>
      <c r="P66" s="62">
        <f t="shared" si="5"/>
        <v>-8.0174927113702665</v>
      </c>
      <c r="Q66" s="430">
        <f t="shared" si="6"/>
        <v>0.95323129251700678</v>
      </c>
      <c r="R66" s="566"/>
      <c r="S66" s="63">
        <v>0.18402777777777779</v>
      </c>
      <c r="T66" s="63">
        <v>0.28611111111111115</v>
      </c>
      <c r="U66" s="431">
        <f t="shared" si="46"/>
        <v>6.0000000000000187</v>
      </c>
      <c r="V66" s="439">
        <f t="shared" si="45"/>
        <v>147.00000000000003</v>
      </c>
      <c r="W66" s="64"/>
      <c r="X66" s="64"/>
      <c r="Y66" s="559"/>
      <c r="Z66" s="559"/>
      <c r="AA66" s="61">
        <f t="shared" si="8"/>
        <v>-112.24489795918407</v>
      </c>
      <c r="AB66" s="430">
        <f t="shared" si="9"/>
        <v>0.95323129251700667</v>
      </c>
      <c r="AC66" s="566"/>
    </row>
    <row r="67" spans="1:29" ht="15.75" customHeight="1">
      <c r="A67" s="564" t="s">
        <v>1987</v>
      </c>
      <c r="B67" s="440" t="s">
        <v>15</v>
      </c>
      <c r="C67" s="560" t="s">
        <v>1183</v>
      </c>
      <c r="D67" s="560"/>
      <c r="E67" s="57">
        <v>20.21</v>
      </c>
      <c r="F67" s="440">
        <v>3819</v>
      </c>
      <c r="G67" s="431">
        <f t="shared" si="43"/>
        <v>77181.990000000005</v>
      </c>
      <c r="H67" s="442" t="s">
        <v>5</v>
      </c>
      <c r="I67" s="438">
        <v>16</v>
      </c>
      <c r="J67" s="58">
        <v>2400</v>
      </c>
      <c r="K67" s="59">
        <f t="shared" si="1"/>
        <v>150</v>
      </c>
      <c r="L67" s="438">
        <v>16</v>
      </c>
      <c r="M67" s="60">
        <f t="shared" si="44"/>
        <v>2291.3999999999992</v>
      </c>
      <c r="N67" s="59">
        <f t="shared" si="3"/>
        <v>143.21249999999995</v>
      </c>
      <c r="O67" s="61">
        <f t="shared" si="4"/>
        <v>0</v>
      </c>
      <c r="P67" s="62">
        <f t="shared" si="5"/>
        <v>-6.7875000000000512</v>
      </c>
      <c r="Q67" s="430">
        <f t="shared" si="6"/>
        <v>0.95474999999999965</v>
      </c>
      <c r="R67" s="566"/>
      <c r="S67" s="63">
        <v>0.29097222222222224</v>
      </c>
      <c r="T67" s="63">
        <v>0.36041666666666672</v>
      </c>
      <c r="U67" s="431">
        <f t="shared" si="46"/>
        <v>6.9999999999999751</v>
      </c>
      <c r="V67" s="439">
        <f t="shared" si="45"/>
        <v>100.00000000000004</v>
      </c>
      <c r="W67" s="64"/>
      <c r="X67" s="64"/>
      <c r="Y67" s="559"/>
      <c r="Z67" s="559"/>
      <c r="AA67" s="61">
        <f t="shared" si="8"/>
        <v>-108.60000000000082</v>
      </c>
      <c r="AB67" s="430">
        <f t="shared" si="9"/>
        <v>0.95474999999999965</v>
      </c>
      <c r="AC67" s="566"/>
    </row>
    <row r="68" spans="1:29" ht="15.75" customHeight="1">
      <c r="A68" s="564" t="s">
        <v>1987</v>
      </c>
      <c r="B68" s="440" t="s">
        <v>15</v>
      </c>
      <c r="C68" s="560" t="s">
        <v>44</v>
      </c>
      <c r="D68" s="560"/>
      <c r="E68" s="57">
        <v>19.02</v>
      </c>
      <c r="F68" s="440">
        <v>7688</v>
      </c>
      <c r="G68" s="431">
        <f t="shared" si="43"/>
        <v>146225.76</v>
      </c>
      <c r="H68" s="442" t="s">
        <v>5</v>
      </c>
      <c r="I68" s="438">
        <v>15</v>
      </c>
      <c r="J68" s="58">
        <v>2400</v>
      </c>
      <c r="K68" s="59">
        <f t="shared" si="1"/>
        <v>160</v>
      </c>
      <c r="L68" s="438">
        <v>15</v>
      </c>
      <c r="M68" s="60">
        <f t="shared" si="44"/>
        <v>2283.5643564356424</v>
      </c>
      <c r="N68" s="59">
        <f t="shared" si="3"/>
        <v>152.23762376237616</v>
      </c>
      <c r="O68" s="61">
        <f t="shared" si="4"/>
        <v>0</v>
      </c>
      <c r="P68" s="62">
        <f t="shared" si="5"/>
        <v>-7.7623762376238403</v>
      </c>
      <c r="Q68" s="430">
        <f t="shared" si="6"/>
        <v>0.951485148514851</v>
      </c>
      <c r="R68" s="566"/>
      <c r="S68" s="63">
        <v>0.36597222222222225</v>
      </c>
      <c r="T68" s="63">
        <v>0.50625000000000009</v>
      </c>
      <c r="U68" s="431">
        <f t="shared" si="46"/>
        <v>7.9999999999999716</v>
      </c>
      <c r="V68" s="439">
        <f t="shared" si="45"/>
        <v>202.00000000000009</v>
      </c>
      <c r="W68" s="64"/>
      <c r="X68" s="64"/>
      <c r="Y68" s="559"/>
      <c r="Z68" s="559"/>
      <c r="AA68" s="61">
        <f t="shared" si="8"/>
        <v>-116.43564356435763</v>
      </c>
      <c r="AB68" s="430">
        <f t="shared" si="9"/>
        <v>0.951485148514851</v>
      </c>
      <c r="AC68" s="566"/>
    </row>
    <row r="69" spans="1:29" ht="16.5" customHeight="1">
      <c r="A69" s="565" t="s">
        <v>1987</v>
      </c>
      <c r="B69" s="57" t="s">
        <v>1978</v>
      </c>
      <c r="C69" s="561"/>
      <c r="D69" s="562"/>
      <c r="E69" s="433"/>
      <c r="F69" s="66"/>
      <c r="G69" s="59"/>
      <c r="H69" s="440"/>
      <c r="I69" s="67">
        <v>16.399999999999999</v>
      </c>
      <c r="J69" s="58">
        <v>2400</v>
      </c>
      <c r="K69" s="59">
        <f t="shared" ref="K69" si="47">J69/I69</f>
        <v>146.34146341463415</v>
      </c>
      <c r="L69" s="67">
        <v>16.399999999999999</v>
      </c>
      <c r="M69" s="60">
        <f>AVERAGE(M64:M68)</f>
        <v>2295.0168503379218</v>
      </c>
      <c r="N69" s="59">
        <f t="shared" ref="N69" si="48">M69/L69</f>
        <v>139.9400518498733</v>
      </c>
      <c r="O69" s="61">
        <f t="shared" ref="O69" si="49">L69-I69</f>
        <v>0</v>
      </c>
      <c r="P69" s="62">
        <f t="shared" ref="P69" si="50">N69-K69</f>
        <v>-6.4014115647608492</v>
      </c>
      <c r="Q69" s="430">
        <f t="shared" ref="Q69" si="51">N69/K69</f>
        <v>0.95625702097413423</v>
      </c>
      <c r="R69" s="566"/>
      <c r="S69" s="63"/>
      <c r="T69" s="63"/>
      <c r="U69" s="59"/>
      <c r="V69" s="439"/>
      <c r="W69" s="59"/>
      <c r="X69" s="59"/>
      <c r="Y69" s="559"/>
      <c r="Z69" s="559"/>
      <c r="AA69" s="61">
        <f t="shared" ref="AA69" si="52">M69-J69</f>
        <v>-104.98314966207818</v>
      </c>
      <c r="AB69" s="430">
        <f t="shared" ref="AB69" si="53">M69/J69</f>
        <v>0.95625702097413412</v>
      </c>
      <c r="AC69" s="566"/>
    </row>
    <row r="70" spans="1:29">
      <c r="D70" s="80"/>
      <c r="E70" s="80"/>
    </row>
  </sheetData>
  <mergeCells count="186">
    <mergeCell ref="A64:A69"/>
    <mergeCell ref="C64:D64"/>
    <mergeCell ref="R64:R69"/>
    <mergeCell ref="Y64:Z64"/>
    <mergeCell ref="A58:A63"/>
    <mergeCell ref="C58:D58"/>
    <mergeCell ref="R58:R63"/>
    <mergeCell ref="Y58:Z58"/>
    <mergeCell ref="Y63:Z63"/>
    <mergeCell ref="AC64:AC69"/>
    <mergeCell ref="C65:D65"/>
    <mergeCell ref="Y65:Z65"/>
    <mergeCell ref="C66:D66"/>
    <mergeCell ref="Y66:Z66"/>
    <mergeCell ref="C67:D67"/>
    <mergeCell ref="AC58:AC63"/>
    <mergeCell ref="C59:D59"/>
    <mergeCell ref="Y59:Z59"/>
    <mergeCell ref="C60:D60"/>
    <mergeCell ref="Y60:Z60"/>
    <mergeCell ref="C61:D61"/>
    <mergeCell ref="Y61:Z61"/>
    <mergeCell ref="C62:D62"/>
    <mergeCell ref="Y62:Z62"/>
    <mergeCell ref="C63:D63"/>
    <mergeCell ref="Y67:Z67"/>
    <mergeCell ref="C68:D68"/>
    <mergeCell ref="Y68:Z68"/>
    <mergeCell ref="C69:D69"/>
    <mergeCell ref="Y69:Z69"/>
    <mergeCell ref="AC42:AC49"/>
    <mergeCell ref="C43:D43"/>
    <mergeCell ref="Y43:Z43"/>
    <mergeCell ref="C44:D44"/>
    <mergeCell ref="Y44:Z44"/>
    <mergeCell ref="C45:D45"/>
    <mergeCell ref="Y45:Z45"/>
    <mergeCell ref="C46:D46"/>
    <mergeCell ref="Y46:Z46"/>
    <mergeCell ref="C47:D47"/>
    <mergeCell ref="A50:A57"/>
    <mergeCell ref="C50:D50"/>
    <mergeCell ref="R50:R57"/>
    <mergeCell ref="Y50:Z50"/>
    <mergeCell ref="AC50:AC57"/>
    <mergeCell ref="C51:D51"/>
    <mergeCell ref="Y51:Z51"/>
    <mergeCell ref="C52:D52"/>
    <mergeCell ref="C55:D55"/>
    <mergeCell ref="Y55:Z55"/>
    <mergeCell ref="C56:D56"/>
    <mergeCell ref="Y56:Z56"/>
    <mergeCell ref="C57:D57"/>
    <mergeCell ref="Y57:Z57"/>
    <mergeCell ref="A34:A41"/>
    <mergeCell ref="C34:D34"/>
    <mergeCell ref="R34:R41"/>
    <mergeCell ref="Y34:Z34"/>
    <mergeCell ref="C41:D41"/>
    <mergeCell ref="Y41:Z41"/>
    <mergeCell ref="A42:A49"/>
    <mergeCell ref="C42:D42"/>
    <mergeCell ref="R42:R49"/>
    <mergeCell ref="Y42:Z42"/>
    <mergeCell ref="Y47:Z47"/>
    <mergeCell ref="C48:D48"/>
    <mergeCell ref="Y48:Z48"/>
    <mergeCell ref="C49:D49"/>
    <mergeCell ref="Y49:Z49"/>
    <mergeCell ref="AC34:AC41"/>
    <mergeCell ref="C35:D35"/>
    <mergeCell ref="Y35:Z35"/>
    <mergeCell ref="C36:D36"/>
    <mergeCell ref="Y36:Z36"/>
    <mergeCell ref="C37:D37"/>
    <mergeCell ref="AC28:AC33"/>
    <mergeCell ref="C29:D29"/>
    <mergeCell ref="Y29:Z29"/>
    <mergeCell ref="C30:D30"/>
    <mergeCell ref="Y30:Z30"/>
    <mergeCell ref="C31:D31"/>
    <mergeCell ref="Y31:Z31"/>
    <mergeCell ref="C32:D32"/>
    <mergeCell ref="Y32:Z32"/>
    <mergeCell ref="C33:D33"/>
    <mergeCell ref="Y37:Z37"/>
    <mergeCell ref="C38:D38"/>
    <mergeCell ref="Y38:Z38"/>
    <mergeCell ref="C39:D39"/>
    <mergeCell ref="Y39:Z39"/>
    <mergeCell ref="C40:D40"/>
    <mergeCell ref="Y40:Z40"/>
    <mergeCell ref="A19:A27"/>
    <mergeCell ref="C19:D19"/>
    <mergeCell ref="R19:R27"/>
    <mergeCell ref="Y19:Z19"/>
    <mergeCell ref="C26:D26"/>
    <mergeCell ref="Y26:Z26"/>
    <mergeCell ref="C27:D27"/>
    <mergeCell ref="Y27:Z27"/>
    <mergeCell ref="A28:A33"/>
    <mergeCell ref="C28:D28"/>
    <mergeCell ref="R28:R33"/>
    <mergeCell ref="Y28:Z28"/>
    <mergeCell ref="Y33:Z33"/>
    <mergeCell ref="AC19:AC27"/>
    <mergeCell ref="C20:D20"/>
    <mergeCell ref="Y20:Z20"/>
    <mergeCell ref="C21:D21"/>
    <mergeCell ref="Y21:Z21"/>
    <mergeCell ref="C22:D22"/>
    <mergeCell ref="C16:D16"/>
    <mergeCell ref="Y16:Z16"/>
    <mergeCell ref="C17:D17"/>
    <mergeCell ref="Y17:Z17"/>
    <mergeCell ref="C18:D18"/>
    <mergeCell ref="Y18:Z18"/>
    <mergeCell ref="Y22:Z22"/>
    <mergeCell ref="C23:D23"/>
    <mergeCell ref="Y23:Z23"/>
    <mergeCell ref="C24:D24"/>
    <mergeCell ref="Y24:Z24"/>
    <mergeCell ref="C25:D25"/>
    <mergeCell ref="Y25:Z25"/>
    <mergeCell ref="H3:H4"/>
    <mergeCell ref="I3:I4"/>
    <mergeCell ref="A12:A18"/>
    <mergeCell ref="C12:D12"/>
    <mergeCell ref="R12:R18"/>
    <mergeCell ref="Y12:Z12"/>
    <mergeCell ref="AC12:AC18"/>
    <mergeCell ref="C8:D8"/>
    <mergeCell ref="Y8:Z8"/>
    <mergeCell ref="A9:A11"/>
    <mergeCell ref="C9:D9"/>
    <mergeCell ref="R9:R11"/>
    <mergeCell ref="Y9:Z9"/>
    <mergeCell ref="C13:D13"/>
    <mergeCell ref="Y13:Z13"/>
    <mergeCell ref="C14:D14"/>
    <mergeCell ref="Y14:Z14"/>
    <mergeCell ref="C15:D15"/>
    <mergeCell ref="Y15:Z15"/>
    <mergeCell ref="AC9:AC11"/>
    <mergeCell ref="C10:D10"/>
    <mergeCell ref="Y10:Z10"/>
    <mergeCell ref="C11:D11"/>
    <mergeCell ref="Y11:Z11"/>
    <mergeCell ref="A3:A4"/>
    <mergeCell ref="B3:B4"/>
    <mergeCell ref="C3:D4"/>
    <mergeCell ref="E3:E4"/>
    <mergeCell ref="F3:F4"/>
    <mergeCell ref="G3:G4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I1:K2"/>
    <mergeCell ref="L1:N2"/>
    <mergeCell ref="O1:R2"/>
    <mergeCell ref="S1:X2"/>
    <mergeCell ref="Y1:Z2"/>
    <mergeCell ref="AA1:AC2"/>
    <mergeCell ref="J3:J4"/>
    <mergeCell ref="K3:K4"/>
    <mergeCell ref="L3:L4"/>
    <mergeCell ref="M3:M4"/>
    <mergeCell ref="P3:P4"/>
    <mergeCell ref="Q3:Q4"/>
    <mergeCell ref="R3:R4"/>
    <mergeCell ref="S3:T3"/>
  </mergeCells>
  <phoneticPr fontId="3" type="noConversion"/>
  <conditionalFormatting sqref="O57:O58 O61:O69 O5:O9 O11:O13 O49:O55 O18:O47">
    <cfRule type="cellIs" dxfId="1783" priority="50" operator="greaterThan">
      <formula>0</formula>
    </cfRule>
  </conditionalFormatting>
  <conditionalFormatting sqref="P5:P7 P61:P62 AA61:AA62 P64:P68 P28:P32 P58 P9 P11:P13 P19:P26 P50:P55 P34:P47 AA5:AA58 AA64:AA69">
    <cfRule type="cellIs" dxfId="1782" priority="54" operator="lessThan">
      <formula>0</formula>
    </cfRule>
  </conditionalFormatting>
  <conditionalFormatting sqref="AB61:AB62 Q57:Q58 Q61:Q69 Q5:Q9 Q11:Q13 Q49:Q55 Q18:Q47 AB5:AB58 AB64:AB69">
    <cfRule type="cellIs" dxfId="1781" priority="51" operator="greaterThan">
      <formula>1</formula>
    </cfRule>
    <cfRule type="cellIs" dxfId="1780" priority="52" operator="lessThan">
      <formula>0.8</formula>
    </cfRule>
  </conditionalFormatting>
  <conditionalFormatting sqref="AC12:AC13 R12:R13 AC61 R18:R24 AC18:AC24 AC57:AC58 R57:R58 R61:R69 AC5:AC9 R5:R9 R27:R47 AC27:AC47 AC49:AC55 R49:R55">
    <cfRule type="cellIs" dxfId="1779" priority="56" operator="lessThan">
      <formula>0.8</formula>
    </cfRule>
  </conditionalFormatting>
  <conditionalFormatting sqref="AC42">
    <cfRule type="cellIs" dxfId="1778" priority="58" operator="lessThan">
      <formula>0.8</formula>
    </cfRule>
  </conditionalFormatting>
  <conditionalFormatting sqref="AC19:AC24">
    <cfRule type="cellIs" dxfId="1777" priority="55" operator="lessThan">
      <formula>0.8</formula>
    </cfRule>
  </conditionalFormatting>
  <conditionalFormatting sqref="AC28">
    <cfRule type="cellIs" dxfId="1776" priority="57" operator="lessThan">
      <formula>0.8</formula>
    </cfRule>
  </conditionalFormatting>
  <conditionalFormatting sqref="AC34:AC40">
    <cfRule type="cellIs" dxfId="1775" priority="53" operator="lessThan">
      <formula>0.8</formula>
    </cfRule>
  </conditionalFormatting>
  <conditionalFormatting sqref="AA63">
    <cfRule type="cellIs" dxfId="1774" priority="49" operator="lessThan">
      <formula>0</formula>
    </cfRule>
  </conditionalFormatting>
  <conditionalFormatting sqref="AB63">
    <cfRule type="cellIs" dxfId="1773" priority="47" operator="greaterThan">
      <formula>1</formula>
    </cfRule>
    <cfRule type="cellIs" dxfId="1772" priority="48" operator="lessThan">
      <formula>0.8</formula>
    </cfRule>
  </conditionalFormatting>
  <conditionalFormatting sqref="O14:O15">
    <cfRule type="cellIs" dxfId="1771" priority="42" operator="greaterThan">
      <formula>0</formula>
    </cfRule>
  </conditionalFormatting>
  <conditionalFormatting sqref="P14:P15">
    <cfRule type="cellIs" dxfId="1770" priority="45" operator="lessThan">
      <formula>0</formula>
    </cfRule>
  </conditionalFormatting>
  <conditionalFormatting sqref="Q14:Q15">
    <cfRule type="cellIs" dxfId="1769" priority="43" operator="greaterThan">
      <formula>1</formula>
    </cfRule>
    <cfRule type="cellIs" dxfId="1768" priority="44" operator="lessThan">
      <formula>0.8</formula>
    </cfRule>
  </conditionalFormatting>
  <conditionalFormatting sqref="R14:R15 AC14:AC15">
    <cfRule type="cellIs" dxfId="1767" priority="46" operator="lessThan">
      <formula>0.8</formula>
    </cfRule>
  </conditionalFormatting>
  <conditionalFormatting sqref="O10">
    <cfRule type="cellIs" dxfId="1766" priority="38" operator="greaterThan">
      <formula>0</formula>
    </cfRule>
  </conditionalFormatting>
  <conditionalFormatting sqref="P10">
    <cfRule type="cellIs" dxfId="1765" priority="41" operator="lessThan">
      <formula>0</formula>
    </cfRule>
  </conditionalFormatting>
  <conditionalFormatting sqref="Q10">
    <cfRule type="cellIs" dxfId="1764" priority="39" operator="greaterThan">
      <formula>1</formula>
    </cfRule>
    <cfRule type="cellIs" dxfId="1763" priority="40" operator="lessThan">
      <formula>0.8</formula>
    </cfRule>
  </conditionalFormatting>
  <conditionalFormatting sqref="O56">
    <cfRule type="cellIs" dxfId="1762" priority="33" operator="greaterThan">
      <formula>0</formula>
    </cfRule>
  </conditionalFormatting>
  <conditionalFormatting sqref="P56">
    <cfRule type="cellIs" dxfId="1761" priority="36" operator="lessThan">
      <formula>0</formula>
    </cfRule>
  </conditionalFormatting>
  <conditionalFormatting sqref="Q56">
    <cfRule type="cellIs" dxfId="1760" priority="34" operator="greaterThan">
      <formula>1</formula>
    </cfRule>
    <cfRule type="cellIs" dxfId="1759" priority="35" operator="lessThan">
      <formula>0.8</formula>
    </cfRule>
  </conditionalFormatting>
  <conditionalFormatting sqref="R56 AC56">
    <cfRule type="cellIs" dxfId="1758" priority="37" operator="lessThan">
      <formula>0.8</formula>
    </cfRule>
  </conditionalFormatting>
  <conditionalFormatting sqref="AC26 R26">
    <cfRule type="cellIs" dxfId="1757" priority="32" operator="lessThan">
      <formula>0.8</formula>
    </cfRule>
  </conditionalFormatting>
  <conditionalFormatting sqref="O60">
    <cfRule type="cellIs" dxfId="1756" priority="27" operator="greaterThan">
      <formula>0</formula>
    </cfRule>
  </conditionalFormatting>
  <conditionalFormatting sqref="P60 AA60">
    <cfRule type="cellIs" dxfId="1755" priority="30" operator="lessThan">
      <formula>0</formula>
    </cfRule>
  </conditionalFormatting>
  <conditionalFormatting sqref="Q60 AB60">
    <cfRule type="cellIs" dxfId="1754" priority="28" operator="greaterThan">
      <formula>1</formula>
    </cfRule>
    <cfRule type="cellIs" dxfId="1753" priority="29" operator="lessThan">
      <formula>0.8</formula>
    </cfRule>
  </conditionalFormatting>
  <conditionalFormatting sqref="R60 AC60">
    <cfRule type="cellIs" dxfId="1752" priority="31" operator="lessThan">
      <formula>0.8</formula>
    </cfRule>
  </conditionalFormatting>
  <conditionalFormatting sqref="O16:O17">
    <cfRule type="cellIs" dxfId="1751" priority="22" operator="greaterThan">
      <formula>0</formula>
    </cfRule>
  </conditionalFormatting>
  <conditionalFormatting sqref="P16:P17">
    <cfRule type="cellIs" dxfId="1750" priority="25" operator="lessThan">
      <formula>0</formula>
    </cfRule>
  </conditionalFormatting>
  <conditionalFormatting sqref="Q16:Q17">
    <cfRule type="cellIs" dxfId="1749" priority="23" operator="greaterThan">
      <formula>1</formula>
    </cfRule>
    <cfRule type="cellIs" dxfId="1748" priority="24" operator="lessThan">
      <formula>0.8</formula>
    </cfRule>
  </conditionalFormatting>
  <conditionalFormatting sqref="R16:R17 AC16:AC17">
    <cfRule type="cellIs" dxfId="1747" priority="26" operator="lessThan">
      <formula>0.8</formula>
    </cfRule>
  </conditionalFormatting>
  <conditionalFormatting sqref="O48">
    <cfRule type="cellIs" dxfId="1746" priority="16" operator="greaterThan">
      <formula>0</formula>
    </cfRule>
  </conditionalFormatting>
  <conditionalFormatting sqref="P48">
    <cfRule type="cellIs" dxfId="1745" priority="20" operator="lessThan">
      <formula>0</formula>
    </cfRule>
  </conditionalFormatting>
  <conditionalFormatting sqref="Q48">
    <cfRule type="cellIs" dxfId="1744" priority="17" operator="greaterThan">
      <formula>1</formula>
    </cfRule>
    <cfRule type="cellIs" dxfId="1743" priority="18" operator="lessThan">
      <formula>0.8</formula>
    </cfRule>
  </conditionalFormatting>
  <conditionalFormatting sqref="R48 AC48">
    <cfRule type="cellIs" dxfId="1742" priority="21" operator="lessThan">
      <formula>0.8</formula>
    </cfRule>
  </conditionalFormatting>
  <conditionalFormatting sqref="AC48">
    <cfRule type="cellIs" dxfId="1741" priority="19" operator="lessThan">
      <formula>0.8</formula>
    </cfRule>
  </conditionalFormatting>
  <conditionalFormatting sqref="R25 AC25">
    <cfRule type="cellIs" dxfId="1740" priority="15" operator="lessThan">
      <formula>0.8</formula>
    </cfRule>
  </conditionalFormatting>
  <conditionalFormatting sqref="AC25">
    <cfRule type="cellIs" dxfId="1739" priority="14" operator="lessThan">
      <formula>0.8</formula>
    </cfRule>
  </conditionalFormatting>
  <conditionalFormatting sqref="O59">
    <cfRule type="cellIs" dxfId="1738" priority="9" operator="greaterThan">
      <formula>0</formula>
    </cfRule>
  </conditionalFormatting>
  <conditionalFormatting sqref="P59 AA59">
    <cfRule type="cellIs" dxfId="1737" priority="12" operator="lessThan">
      <formula>0</formula>
    </cfRule>
  </conditionalFormatting>
  <conditionalFormatting sqref="Q59 AB59">
    <cfRule type="cellIs" dxfId="1736" priority="10" operator="greaterThan">
      <formula>1</formula>
    </cfRule>
    <cfRule type="cellIs" dxfId="1735" priority="11" operator="lessThan">
      <formula>0.8</formula>
    </cfRule>
  </conditionalFormatting>
  <conditionalFormatting sqref="R59 AC59">
    <cfRule type="cellIs" dxfId="1734" priority="13" operator="lessThan">
      <formula>0.8</formula>
    </cfRule>
  </conditionalFormatting>
  <conditionalFormatting sqref="P8">
    <cfRule type="cellIs" dxfId="1733" priority="8" operator="lessThan">
      <formula>0</formula>
    </cfRule>
  </conditionalFormatting>
  <conditionalFormatting sqref="P18">
    <cfRule type="cellIs" dxfId="1732" priority="7" operator="lessThan">
      <formula>0</formula>
    </cfRule>
  </conditionalFormatting>
  <conditionalFormatting sqref="P27">
    <cfRule type="cellIs" dxfId="1731" priority="6" operator="lessThan">
      <formula>0</formula>
    </cfRule>
  </conditionalFormatting>
  <conditionalFormatting sqref="P33">
    <cfRule type="cellIs" dxfId="1730" priority="5" operator="lessThan">
      <formula>0</formula>
    </cfRule>
  </conditionalFormatting>
  <conditionalFormatting sqref="P49">
    <cfRule type="cellIs" dxfId="1729" priority="4" operator="lessThan">
      <formula>0</formula>
    </cfRule>
  </conditionalFormatting>
  <conditionalFormatting sqref="P57">
    <cfRule type="cellIs" dxfId="1728" priority="3" operator="lessThan">
      <formula>0</formula>
    </cfRule>
  </conditionalFormatting>
  <conditionalFormatting sqref="P63">
    <cfRule type="cellIs" dxfId="1727" priority="2" operator="lessThan">
      <formula>0</formula>
    </cfRule>
  </conditionalFormatting>
  <conditionalFormatting sqref="P69">
    <cfRule type="cellIs" dxfId="1726" priority="1" operator="lessThan">
      <formula>0</formula>
    </cfRule>
  </conditionalFormatting>
  <dataValidations count="1">
    <dataValidation type="list" allowBlank="1" showInputMessage="1" showErrorMessage="1" sqref="Z8 Z62 Y5:Z7 Y8:Y62 Z10:Z58 Y63:Z69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="85" zoomScaleNormal="85" workbookViewId="0">
      <selection activeCell="K6" sqref="K6"/>
    </sheetView>
  </sheetViews>
  <sheetFormatPr defaultColWidth="8.75" defaultRowHeight="15.75"/>
  <cols>
    <col min="1" max="1" width="8.75" style="2"/>
    <col min="2" max="2" width="17.875" style="2" customWidth="1"/>
    <col min="3" max="3" width="9.25" style="9" customWidth="1"/>
    <col min="4" max="13" width="12.625" style="2" customWidth="1"/>
    <col min="14" max="14" width="11" style="2" bestFit="1" customWidth="1"/>
    <col min="15" max="15" width="17.75" style="2" bestFit="1" customWidth="1"/>
    <col min="16" max="16" width="12.25" style="2" bestFit="1" customWidth="1"/>
    <col min="17" max="22" width="9.25" style="2" customWidth="1"/>
    <col min="23" max="23" width="10.75" style="2" customWidth="1"/>
    <col min="24" max="24" width="11" style="2" customWidth="1"/>
    <col min="25" max="16384" width="8.75" style="2"/>
  </cols>
  <sheetData>
    <row r="1" spans="2:17" ht="27.75" customHeight="1">
      <c r="B1" s="546" t="s">
        <v>1828</v>
      </c>
      <c r="C1" s="546"/>
      <c r="D1" s="546"/>
      <c r="E1" s="546"/>
      <c r="F1" s="546"/>
      <c r="G1" s="546"/>
      <c r="H1" s="546"/>
      <c r="I1" s="546"/>
      <c r="J1" s="546"/>
      <c r="K1" s="1"/>
      <c r="L1" s="1"/>
      <c r="M1" s="1"/>
      <c r="N1" s="1"/>
      <c r="O1" s="1"/>
      <c r="P1" s="1"/>
    </row>
    <row r="2" spans="2:17" ht="27.75" customHeight="1">
      <c r="B2" s="547"/>
      <c r="C2" s="547"/>
      <c r="D2" s="547"/>
      <c r="E2" s="547"/>
      <c r="F2" s="547"/>
      <c r="G2" s="547"/>
      <c r="H2" s="547"/>
      <c r="I2" s="547"/>
      <c r="J2" s="547"/>
      <c r="K2" s="3"/>
      <c r="L2" s="3"/>
      <c r="M2" s="3"/>
      <c r="N2" s="1"/>
      <c r="O2" s="1"/>
      <c r="P2" s="1"/>
    </row>
    <row r="3" spans="2:17" ht="46.5" customHeight="1">
      <c r="B3" s="4" t="s">
        <v>1829</v>
      </c>
      <c r="C3" s="548" t="str">
        <f>TEXT('1226 4度C'!A2,"yyyy.mm.ddaaaa")</f>
        <v>2025.12.26星期五</v>
      </c>
      <c r="D3" s="549"/>
      <c r="E3" s="4" t="s">
        <v>1830</v>
      </c>
      <c r="F3" s="550">
        <f>'1226 4度C'!D1</f>
        <v>130043</v>
      </c>
      <c r="G3" s="551"/>
      <c r="H3" s="4" t="s">
        <v>1831</v>
      </c>
      <c r="I3" s="552">
        <f>'1226 4度C'!F1</f>
        <v>4432903.2399999993</v>
      </c>
      <c r="J3" s="553"/>
      <c r="K3" s="5"/>
      <c r="L3" s="6"/>
      <c r="M3" s="7"/>
      <c r="N3" s="7"/>
    </row>
    <row r="4" spans="2:17" ht="28.5" customHeight="1">
      <c r="B4" s="554" t="s">
        <v>1832</v>
      </c>
      <c r="C4" s="536" t="s">
        <v>1833</v>
      </c>
      <c r="D4" s="537"/>
      <c r="E4" s="557" t="s">
        <v>1834</v>
      </c>
      <c r="F4" s="558"/>
      <c r="G4" s="557" t="s">
        <v>1835</v>
      </c>
      <c r="H4" s="558"/>
      <c r="I4" s="557" t="s">
        <v>1836</v>
      </c>
      <c r="J4" s="558"/>
      <c r="L4" s="7"/>
      <c r="M4" s="7"/>
      <c r="N4" s="7"/>
    </row>
    <row r="5" spans="2:17" ht="28.5" customHeight="1">
      <c r="B5" s="555"/>
      <c r="C5" s="536" t="s">
        <v>1837</v>
      </c>
      <c r="D5" s="537"/>
      <c r="E5" s="536" t="s">
        <v>1838</v>
      </c>
      <c r="F5" s="537"/>
      <c r="G5" s="538" t="s">
        <v>1839</v>
      </c>
      <c r="H5" s="539"/>
      <c r="I5" s="540" t="s">
        <v>1840</v>
      </c>
      <c r="J5" s="541"/>
      <c r="K5" s="7"/>
      <c r="L5" s="7"/>
      <c r="M5" s="7"/>
      <c r="N5" s="7"/>
    </row>
    <row r="6" spans="2:17" ht="28.5" customHeight="1">
      <c r="B6" s="555"/>
      <c r="C6" s="536" t="s">
        <v>46</v>
      </c>
      <c r="D6" s="537"/>
      <c r="E6" s="542">
        <f>AVERAGE(D13:M13)</f>
        <v>148.95963696266355</v>
      </c>
      <c r="F6" s="543">
        <f>AVERAGE(D27:O27,D13:J13)</f>
        <v>153.26091576512735</v>
      </c>
      <c r="G6" s="544">
        <f>AVERAGE(D13:J13)</f>
        <v>153.26091576512735</v>
      </c>
      <c r="H6" s="545"/>
      <c r="I6" s="544">
        <f>AVERAGE(K13:M13)</f>
        <v>138.92331975691471</v>
      </c>
      <c r="J6" s="545"/>
      <c r="K6" s="7"/>
      <c r="L6" s="7"/>
      <c r="M6" s="7"/>
      <c r="N6" s="7"/>
    </row>
    <row r="7" spans="2:17" ht="28.5" customHeight="1">
      <c r="B7" s="555"/>
      <c r="C7" s="526" t="s">
        <v>47</v>
      </c>
      <c r="D7" s="527"/>
      <c r="E7" s="528">
        <f>AVERAGE(D14:M14)</f>
        <v>142.29328990554455</v>
      </c>
      <c r="F7" s="529">
        <f>AVERAGE(D28:O28,D14:J14)</f>
        <v>146.37411202532999</v>
      </c>
      <c r="G7" s="530">
        <f>AVERAGE(D14:J14)</f>
        <v>146.37411202532999</v>
      </c>
      <c r="H7" s="531"/>
      <c r="I7" s="530">
        <f>AVERAGE(K14:M14)</f>
        <v>132.77137162604512</v>
      </c>
      <c r="J7" s="531"/>
      <c r="K7" s="7"/>
      <c r="L7" s="7"/>
      <c r="M7" s="7"/>
      <c r="N7" s="7"/>
    </row>
    <row r="8" spans="2:17" ht="28.5" customHeight="1">
      <c r="B8" s="556"/>
      <c r="C8" s="526" t="s">
        <v>48</v>
      </c>
      <c r="D8" s="527"/>
      <c r="E8" s="532">
        <f>AVERAGE(D15:M15)</f>
        <v>0.95213076595873614</v>
      </c>
      <c r="F8" s="533">
        <f>AVERAGE(D15:J15,D29:O29)</f>
        <v>0.95059563672213421</v>
      </c>
      <c r="G8" s="534">
        <f>AVERAGE(D15:J15)</f>
        <v>0.95059563672213421</v>
      </c>
      <c r="H8" s="535"/>
      <c r="I8" s="534">
        <f>AVERAGE(K15:M15)</f>
        <v>0.95571273417747393</v>
      </c>
      <c r="J8" s="535"/>
      <c r="K8" s="8" t="s">
        <v>1841</v>
      </c>
      <c r="L8" s="7"/>
      <c r="M8" s="7"/>
      <c r="N8" s="7"/>
    </row>
    <row r="9" spans="2:17" ht="28.5" customHeight="1" thickBot="1">
      <c r="H9" s="10"/>
      <c r="N9" s="7"/>
      <c r="O9" s="7"/>
      <c r="P9" s="7"/>
      <c r="Q9" s="7"/>
    </row>
    <row r="10" spans="2:17" ht="30" customHeight="1">
      <c r="B10" s="509" t="s">
        <v>1842</v>
      </c>
      <c r="C10" s="510"/>
      <c r="D10" s="511" t="s">
        <v>1843</v>
      </c>
      <c r="E10" s="512"/>
      <c r="F10" s="512"/>
      <c r="G10" s="512"/>
      <c r="H10" s="512"/>
      <c r="I10" s="512"/>
      <c r="J10" s="513"/>
      <c r="K10" s="514" t="s">
        <v>1844</v>
      </c>
      <c r="L10" s="515"/>
      <c r="M10" s="516"/>
      <c r="P10" s="11"/>
      <c r="Q10" s="11"/>
    </row>
    <row r="11" spans="2:17" ht="17.25" customHeight="1">
      <c r="B11" s="517" t="s">
        <v>1845</v>
      </c>
      <c r="C11" s="518"/>
      <c r="D11" s="12">
        <v>1</v>
      </c>
      <c r="E11" s="13">
        <v>2</v>
      </c>
      <c r="F11" s="13">
        <v>3</v>
      </c>
      <c r="G11" s="13">
        <v>4</v>
      </c>
      <c r="H11" s="13">
        <v>5</v>
      </c>
      <c r="I11" s="13">
        <v>6</v>
      </c>
      <c r="J11" s="14">
        <v>7</v>
      </c>
      <c r="K11" s="12">
        <v>1</v>
      </c>
      <c r="L11" s="13">
        <v>2</v>
      </c>
      <c r="M11" s="14">
        <v>3</v>
      </c>
      <c r="P11" s="11"/>
      <c r="Q11" s="11"/>
    </row>
    <row r="12" spans="2:17" ht="34.15" customHeight="1">
      <c r="B12" s="519"/>
      <c r="C12" s="520"/>
      <c r="D12" s="15" t="s">
        <v>49</v>
      </c>
      <c r="E12" s="16" t="s">
        <v>50</v>
      </c>
      <c r="F12" s="16" t="s">
        <v>51</v>
      </c>
      <c r="G12" s="16" t="s">
        <v>52</v>
      </c>
      <c r="H12" s="16" t="s">
        <v>53</v>
      </c>
      <c r="I12" s="16" t="s">
        <v>54</v>
      </c>
      <c r="J12" s="17" t="s">
        <v>55</v>
      </c>
      <c r="K12" s="15" t="s">
        <v>56</v>
      </c>
      <c r="L12" s="16" t="s">
        <v>57</v>
      </c>
      <c r="M12" s="17" t="s">
        <v>58</v>
      </c>
    </row>
    <row r="13" spans="2:17" ht="40.15" customHeight="1">
      <c r="B13" s="521" t="s">
        <v>1846</v>
      </c>
      <c r="C13" s="18" t="s">
        <v>1847</v>
      </c>
      <c r="D13" s="19">
        <f>SUMIFS('1226 4度C'!$K:$K,'1226 4度C'!$A:$A,"新豐6線",'1226 4度C'!$B:$B,"平均")</f>
        <v>115.38461538461539</v>
      </c>
      <c r="E13" s="20">
        <f>SUMIFS('1226 4度C'!$K:$K,'1226 4度C'!$A:$A,"新豐2線",'1226 4度C'!$B:$B,"平均")</f>
        <v>83.333333333333329</v>
      </c>
      <c r="F13" s="21">
        <f>SUMIFS('1226 4度C'!$K:$K,'1226 4度C'!$A:$A,"新豐5線",'1226 4度C'!$B:$B,"平均")</f>
        <v>99.056603773584897</v>
      </c>
      <c r="G13" s="21">
        <f>SUMIFS('1226 4度C'!$K:$K,'1226 4度C'!$A:$A,"新豐7線",'1226 4度C'!$B:$B,"平均")</f>
        <v>117.1875</v>
      </c>
      <c r="H13" s="21">
        <f>SUMIFS('1226 4度C'!$K:$K,'1226 4度C'!$A:$A,"新豐3線",'1226 4度C'!$B:$B,"平均")</f>
        <v>246.75324675324674</v>
      </c>
      <c r="I13" s="21">
        <f>SUMIFS('1226 4度C'!$K:$K,'1226 4度C'!$A:$A,"新豐1線",'1226 4度C'!$B:$B,"平均")</f>
        <v>111.11111111111111</v>
      </c>
      <c r="J13" s="22">
        <f>SUMIFS('1226 4度C'!$K:$K,'1226 4度C'!$A:$A,"新豐10線",'1226 4度C'!$B:$B,"平均")</f>
        <v>300</v>
      </c>
      <c r="K13" s="23">
        <f>SUMIFS('1226 4度C'!$K:$K,'1226 4度C'!$A:$A,"新豐8線",'1226 4度C'!$B:$B,"平均")</f>
        <v>134.57943925233647</v>
      </c>
      <c r="L13" s="24">
        <f>SUMIFS('1226 4度C'!$K:$K,'1226 4度C'!$A:$A,"新豐9線",'1226 4度C'!$B:$B,"平均")</f>
        <v>135.84905660377356</v>
      </c>
      <c r="M13" s="22">
        <f>SUMIFS('1226 4度C'!$K:$K,'1226 4度C'!$A:$A,"新豐4線",'1226 4度C'!$B:$B,"平均")</f>
        <v>146.34146341463415</v>
      </c>
    </row>
    <row r="14" spans="2:17" ht="39.6" customHeight="1">
      <c r="B14" s="522"/>
      <c r="C14" s="25" t="s">
        <v>1848</v>
      </c>
      <c r="D14" s="26">
        <f>SUMIFS('1226 4度C'!$N:$N,'1226 4度C'!$A:$A,"新豐6線",'1226 4度C'!$B:$B,"平均")</f>
        <v>111.4497041420118</v>
      </c>
      <c r="E14" s="27">
        <f>SUMIFS('1226 4度C'!$N:$N,'1226 4度C'!$A:$A,"新豐2線",'1226 4度C'!$B:$B,"平均")</f>
        <v>79.592394918861402</v>
      </c>
      <c r="F14" s="27">
        <f>SUMIFS('1226 4度C'!$N:$N,'1226 4度C'!$A:$A,"新豐5線",'1226 4度C'!$B:$B,"平均")</f>
        <v>95.346592754342126</v>
      </c>
      <c r="G14" s="27">
        <f>SUMIFS('1226 4度C'!$N:$N,'1226 4度C'!$A:$A,"新豐7線",'1226 4度C'!$B:$B,"平均")</f>
        <v>112.45925212645993</v>
      </c>
      <c r="H14" s="27">
        <f>SUMIFS('1226 4度C'!$N:$N,'1226 4度C'!$A:$A,"新豐3線",'1226 4度C'!$B:$B,"平均")</f>
        <v>237.63852100751862</v>
      </c>
      <c r="I14" s="27">
        <f>SUMIFS('1226 4度C'!$N:$N,'1226 4度C'!$A:$A,"新豐1線",'1226 4度C'!$B:$B,"平均")</f>
        <v>97.787412327785319</v>
      </c>
      <c r="J14" s="28">
        <f>SUMIFS('1226 4度C'!$N:$N,'1226 4度C'!$A:$A,"新豐10線",'1226 4度C'!$B:$B,"平均")</f>
        <v>290.34490690033073</v>
      </c>
      <c r="K14" s="29">
        <f>SUMIFS('1226 4度C'!$N:$N,'1226 4度C'!$A:$A,"新豐8線",'1226 4度C'!$B:$B,"平均")</f>
        <v>128.37036409026874</v>
      </c>
      <c r="L14" s="30">
        <f>SUMIFS('1226 4度C'!$N:$N,'1226 4度C'!$A:$A,"新豐9線",'1226 4度C'!$B:$B,"平均")</f>
        <v>130.09158964237454</v>
      </c>
      <c r="M14" s="28">
        <f>SUMIFS('1226 4度C'!$N:$N,'1226 4度C'!$A:$A,"新豐4線",'1226 4度C'!$B:$B,"平均")</f>
        <v>139.85216114549203</v>
      </c>
    </row>
    <row r="15" spans="2:17" ht="40.15" customHeight="1">
      <c r="B15" s="523"/>
      <c r="C15" s="31" t="s">
        <v>1849</v>
      </c>
      <c r="D15" s="32">
        <f t="shared" ref="D15:M15" si="0">D14/D13</f>
        <v>0.9658974358974356</v>
      </c>
      <c r="E15" s="33">
        <f t="shared" si="0"/>
        <v>0.95510873902633686</v>
      </c>
      <c r="F15" s="33">
        <f t="shared" si="0"/>
        <v>0.96254655542478729</v>
      </c>
      <c r="G15" s="33">
        <f t="shared" si="0"/>
        <v>0.95965228481245812</v>
      </c>
      <c r="H15" s="33">
        <f t="shared" si="0"/>
        <v>0.96306137460941765</v>
      </c>
      <c r="I15" s="33">
        <f t="shared" si="0"/>
        <v>0.88008671095006785</v>
      </c>
      <c r="J15" s="34">
        <f t="shared" si="0"/>
        <v>0.96781635633443575</v>
      </c>
      <c r="K15" s="32">
        <f t="shared" si="0"/>
        <v>0.95386312205963564</v>
      </c>
      <c r="L15" s="33">
        <f t="shared" si="0"/>
        <v>0.95761864597859059</v>
      </c>
      <c r="M15" s="34">
        <f t="shared" si="0"/>
        <v>0.95565643449419557</v>
      </c>
    </row>
    <row r="16" spans="2:17" ht="17.25" customHeight="1">
      <c r="B16" s="524" t="s">
        <v>1850</v>
      </c>
      <c r="C16" s="35" t="s">
        <v>1851</v>
      </c>
      <c r="D16" s="49">
        <f>VLOOKUP("新豐6線",'1226 4度C'!$A:$T,19,0)</f>
        <v>0.70833333333333337</v>
      </c>
      <c r="E16" s="50">
        <f>VLOOKUP("新豐2線",'1226 4度C'!$A:$T,19,0)</f>
        <v>0.16666666666666666</v>
      </c>
      <c r="F16" s="50">
        <f>VLOOKUP("新豐5線",'1226 4度C'!$A:$T,19,0)</f>
        <v>0.20833333333333334</v>
      </c>
      <c r="G16" s="50">
        <f>VLOOKUP("新豐7線",'1226 4度C'!$A:$T,19,0)</f>
        <v>0.20833333333333334</v>
      </c>
      <c r="H16" s="50">
        <f>VLOOKUP("新豐3線",'1226 4度C'!$A:$T,19,0)</f>
        <v>8.3333333333333329E-2</v>
      </c>
      <c r="I16" s="50">
        <f>VLOOKUP("新豐1線",'1226 4度C'!$A:$T,19,0)</f>
        <v>0.20833333333333334</v>
      </c>
      <c r="J16" s="51">
        <f>VLOOKUP("新豐10線",'1226 4度C'!$A:$T,19,0)</f>
        <v>0.20833333333333334</v>
      </c>
      <c r="K16" s="36">
        <f>VLOOKUP("新豐8線",'1226 4度C'!$A:$T,19,0)</f>
        <v>8.3333333333333329E-2</v>
      </c>
      <c r="L16" s="37">
        <f>VLOOKUP("新豐9線",'1226 4度C'!$A:$T,19,0)</f>
        <v>8.3333333333333329E-2</v>
      </c>
      <c r="M16" s="38">
        <f>VLOOKUP("新豐4線",'1226 4度C'!$A:$T,19,0)</f>
        <v>8.3333333333333329E-2</v>
      </c>
    </row>
    <row r="17" spans="2:13" ht="17.25" customHeight="1">
      <c r="B17" s="525"/>
      <c r="C17" s="35" t="s">
        <v>1852</v>
      </c>
      <c r="D17" s="36">
        <f>LOOKUP(2,1/(('1226 4度C'!$A:$A="新豐6線")*('1226 4度C'!$T:$T&lt;&gt;"")),'1226 4度C'!$T:$T)</f>
        <v>0.80208333333333337</v>
      </c>
      <c r="E17" s="50">
        <f>LOOKUP(2,1/(('1226 4度C'!$A:$A="新豐2線")*('1226 4度C'!$T:$T&lt;&gt;"")),'1226 4度C'!$T:$T)</f>
        <v>0.38819444444444445</v>
      </c>
      <c r="F17" s="50">
        <f>LOOKUP(2,1/(('1226 4度C'!$A:$A="新豐5線")*('1226 4度C'!$T:$T&lt;&gt;"")),'1226 4度C'!$T:$T)</f>
        <v>0.83888888888888891</v>
      </c>
      <c r="G17" s="50">
        <f>LOOKUP(2,1/(('1226 4度C'!$A:$A="新豐7線")*('1226 4度C'!$T:$T&lt;&gt;"")),'1226 4度C'!$T:$T)</f>
        <v>0.84444444444444444</v>
      </c>
      <c r="H17" s="50">
        <f>LOOKUP(2,1/(('1226 4度C'!$A:$A="新豐3線")*('1226 4度C'!$T:$T&lt;&gt;"")),'1226 4度C'!$T:$T)</f>
        <v>0.43958333333333327</v>
      </c>
      <c r="I17" s="50">
        <f>LOOKUP(2,1/(('1226 4度C'!$A:$A="新豐1線")*('1226 4度C'!$T:$T&lt;&gt;"")),'1226 4度C'!$T:$T)</f>
        <v>0.82430555555555551</v>
      </c>
      <c r="J17" s="51">
        <f>LOOKUP(2,1/(('1226 4度C'!$A:$A="新豐10線")*('1226 4度C'!$T:$T&lt;&gt;"")),'1226 4度C'!$T:$T)</f>
        <v>0.41736111111111102</v>
      </c>
      <c r="K17" s="49">
        <f>LOOKUP(2,1/(('1226 4度C'!$A:$A="新豐8線")*('1226 4度C'!$T:$T&lt;&gt;"")),'1226 4度C'!$T:$T)</f>
        <v>0.49444444444444446</v>
      </c>
      <c r="L17" s="50">
        <f>LOOKUP(2,1/(('1226 4度C'!$A:$A="新豐9線")*('1226 4度C'!$T:$T&lt;&gt;"")),'1226 4度C'!$T:$T)</f>
        <v>0.42916666666666659</v>
      </c>
      <c r="M17" s="51">
        <f>LOOKUP(2,1/(('1226 4度C'!$A:$A="新豐4線")*('1226 4度C'!$T:$T&lt;&gt;"")),'1226 4度C'!$T:$T)</f>
        <v>0.49861111111111112</v>
      </c>
    </row>
    <row r="18" spans="2:13" ht="17.25" customHeight="1">
      <c r="B18" s="503" t="s">
        <v>1853</v>
      </c>
      <c r="C18" s="504"/>
      <c r="D18" s="39">
        <f>SUMIFS('1226 4度C'!$I:$I,'1226 4度C'!$A:$A,"新豐6線",'1226 4度C'!$B:$B,"平均")</f>
        <v>17.333333333333332</v>
      </c>
      <c r="E18" s="40">
        <f>SUMIFS('1226 4度C'!$I:$I,'1226 4度C'!$A:$A,"新豐2線",'1226 4度C'!$B:$B,"平均")</f>
        <v>18</v>
      </c>
      <c r="F18" s="40">
        <f>SUMIFS('1226 4度C'!$I:$I,'1226 4度C'!$A:$A,"新豐5線",'1226 4度C'!$B:$B,"平均")</f>
        <v>17.666666666666668</v>
      </c>
      <c r="G18" s="40">
        <f>SUMIFS('1226 4度C'!$I:$I,'1226 4度C'!$A:$A,"新豐7線",'1226 4度C'!$B:$B,"平均")</f>
        <v>16</v>
      </c>
      <c r="H18" s="40">
        <f>SUMIFS('1226 4度C'!$I:$I,'1226 4度C'!$A:$A,"新豐3線",'1226 4度C'!$B:$B,"平均")</f>
        <v>11</v>
      </c>
      <c r="I18" s="40">
        <f>SUMIFS('1226 4度C'!$I:$I,'1226 4度C'!$A:$A,"新豐1線",'1226 4度C'!$B:$B,"平均")</f>
        <v>18</v>
      </c>
      <c r="J18" s="41">
        <f>SUMIFS('1226 4度C'!$I:$I,'1226 4度C'!$A:$A,"新豐10線",'1226 4度C'!$B:$B,"平均")</f>
        <v>9.1666666666666661</v>
      </c>
      <c r="K18" s="39">
        <f>SUMIFS('1226 4度C'!$I:$I,'1226 4度C'!$A:$A,"新豐8線",'1226 4度C'!$B:$B,"平均")</f>
        <v>17.833333333333332</v>
      </c>
      <c r="L18" s="40">
        <f>SUMIFS('1226 4度C'!$I:$I,'1226 4度C'!$A:$A,"新豐9線",'1226 4度C'!$B:$B,"平均")</f>
        <v>17.666666666666668</v>
      </c>
      <c r="M18" s="41">
        <f>SUMIFS('1226 4度C'!$I:$I,'1226 4度C'!$A:$A,"新豐4線",'1226 4度C'!$B:$B,"平均")</f>
        <v>16.399999999999999</v>
      </c>
    </row>
    <row r="19" spans="2:13" ht="17.25" customHeight="1">
      <c r="B19" s="503" t="s">
        <v>1854</v>
      </c>
      <c r="C19" s="504"/>
      <c r="D19" s="42" t="s">
        <v>59</v>
      </c>
      <c r="E19" s="43" t="s">
        <v>60</v>
      </c>
      <c r="F19" s="43" t="s">
        <v>1855</v>
      </c>
      <c r="G19" s="43" t="s">
        <v>62</v>
      </c>
      <c r="H19" s="43" t="s">
        <v>61</v>
      </c>
      <c r="I19" s="43" t="s">
        <v>59</v>
      </c>
      <c r="J19" s="44" t="s">
        <v>61</v>
      </c>
      <c r="K19" s="42" t="s">
        <v>1856</v>
      </c>
      <c r="L19" s="43" t="s">
        <v>1856</v>
      </c>
      <c r="M19" s="44" t="s">
        <v>1856</v>
      </c>
    </row>
    <row r="20" spans="2:13" ht="17.25" customHeight="1">
      <c r="B20" s="503" t="s">
        <v>1857</v>
      </c>
      <c r="C20" s="504"/>
      <c r="D20" s="42"/>
      <c r="E20" s="43"/>
      <c r="F20" s="43" t="s">
        <v>1858</v>
      </c>
      <c r="G20" s="43" t="s">
        <v>59</v>
      </c>
      <c r="H20" s="43"/>
      <c r="I20" s="43"/>
      <c r="J20" s="44"/>
      <c r="K20" s="42"/>
      <c r="L20" s="43"/>
      <c r="M20" s="44"/>
    </row>
    <row r="21" spans="2:13" ht="17.25" customHeight="1" thickBot="1">
      <c r="B21" s="505" t="s">
        <v>1859</v>
      </c>
      <c r="C21" s="506"/>
      <c r="D21" s="45"/>
      <c r="E21" s="46" t="s">
        <v>1860</v>
      </c>
      <c r="F21" s="507" t="s">
        <v>1861</v>
      </c>
      <c r="G21" s="508"/>
      <c r="H21" s="46" t="s">
        <v>1862</v>
      </c>
      <c r="I21" s="46" t="s">
        <v>1863</v>
      </c>
      <c r="J21" s="47" t="s">
        <v>1862</v>
      </c>
      <c r="K21" s="48"/>
      <c r="L21" s="46"/>
      <c r="M21" s="4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20:C20"/>
    <mergeCell ref="B21:C21"/>
    <mergeCell ref="F21:G21"/>
    <mergeCell ref="K10:M10"/>
    <mergeCell ref="B11:C12"/>
    <mergeCell ref="B13:B15"/>
    <mergeCell ref="B18:C18"/>
    <mergeCell ref="B19:C19"/>
  </mergeCells>
  <phoneticPr fontId="3" type="noConversion"/>
  <conditionalFormatting sqref="D15:M15">
    <cfRule type="cellIs" dxfId="1725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C71"/>
  <sheetViews>
    <sheetView zoomScale="80" zoomScaleNormal="80" workbookViewId="0">
      <pane ySplit="4" topLeftCell="A5" activePane="bottomLeft" state="frozen"/>
      <selection activeCell="C20" sqref="C20:D20"/>
      <selection pane="bottomLeft" activeCell="C20" sqref="C20:D20"/>
    </sheetView>
  </sheetViews>
  <sheetFormatPr defaultColWidth="8" defaultRowHeight="15.75"/>
  <cols>
    <col min="1" max="1" width="15.125" style="54" customWidth="1"/>
    <col min="2" max="2" width="19.375" style="54" customWidth="1"/>
    <col min="3" max="3" width="15.25" style="54" customWidth="1"/>
    <col min="4" max="4" width="17.5" style="54" customWidth="1"/>
    <col min="5" max="5" width="7.5" style="54" bestFit="1" customWidth="1"/>
    <col min="6" max="6" width="14.375" style="54" bestFit="1" customWidth="1"/>
    <col min="7" max="7" width="14.375" style="54" customWidth="1"/>
    <col min="8" max="8" width="8" style="54" customWidth="1"/>
    <col min="9" max="9" width="5.875" style="54" customWidth="1"/>
    <col min="10" max="10" width="10.625" style="54" customWidth="1"/>
    <col min="11" max="11" width="14.625" style="54" customWidth="1"/>
    <col min="12" max="12" width="7.25" style="54" bestFit="1" customWidth="1"/>
    <col min="13" max="13" width="8" style="54" customWidth="1"/>
    <col min="14" max="14" width="12" style="54" customWidth="1"/>
    <col min="15" max="15" width="6" style="54" customWidth="1"/>
    <col min="16" max="16" width="9.25" style="54" customWidth="1"/>
    <col min="17" max="17" width="11.5" style="54" customWidth="1"/>
    <col min="18" max="18" width="8.5" style="54" customWidth="1"/>
    <col min="19" max="19" width="10.125" style="73" bestFit="1" customWidth="1"/>
    <col min="20" max="20" width="7.625" style="73" bestFit="1" customWidth="1"/>
    <col min="21" max="21" width="10.25" style="54" bestFit="1" customWidth="1"/>
    <col min="22" max="22" width="8.75" style="71" customWidth="1"/>
    <col min="23" max="23" width="7.375" style="54" customWidth="1"/>
    <col min="24" max="24" width="6.875" style="54" bestFit="1" customWidth="1"/>
    <col min="25" max="25" width="12.75" style="54" customWidth="1"/>
    <col min="26" max="26" width="18.875" style="54" customWidth="1"/>
    <col min="27" max="27" width="13.125" style="54" bestFit="1" customWidth="1"/>
    <col min="28" max="28" width="10.375" style="54" customWidth="1"/>
    <col min="29" max="29" width="9.375" style="54" customWidth="1"/>
    <col min="30" max="30" width="8" style="54"/>
    <col min="31" max="31" width="24.625" style="54" bestFit="1" customWidth="1"/>
    <col min="32" max="16384" width="8" style="54"/>
  </cols>
  <sheetData>
    <row r="1" spans="1:29" ht="26.25" customHeight="1">
      <c r="A1" s="52" t="s">
        <v>146</v>
      </c>
      <c r="B1" s="52"/>
      <c r="C1" s="117" t="s">
        <v>147</v>
      </c>
      <c r="D1" s="118">
        <f>SUM(F5:F70)</f>
        <v>130043</v>
      </c>
      <c r="E1" s="417" t="s">
        <v>148</v>
      </c>
      <c r="F1" s="52">
        <f>SUM(G5:G70)</f>
        <v>4432903.2399999993</v>
      </c>
      <c r="G1" s="52" t="s">
        <v>205</v>
      </c>
      <c r="H1" s="53">
        <f>L8+L11+L49+L57+L18+L64+L34+L41+L27+L70</f>
        <v>159.06666666666669</v>
      </c>
      <c r="I1" s="607" t="s">
        <v>76</v>
      </c>
      <c r="J1" s="607"/>
      <c r="K1" s="607"/>
      <c r="L1" s="607" t="s">
        <v>108</v>
      </c>
      <c r="M1" s="607"/>
      <c r="N1" s="607"/>
      <c r="O1" s="607" t="s">
        <v>208</v>
      </c>
      <c r="P1" s="607"/>
      <c r="Q1" s="607"/>
      <c r="R1" s="607"/>
      <c r="S1" s="607" t="s">
        <v>109</v>
      </c>
      <c r="T1" s="607"/>
      <c r="U1" s="607"/>
      <c r="V1" s="607"/>
      <c r="W1" s="607"/>
      <c r="X1" s="607"/>
      <c r="Y1" s="607" t="s">
        <v>77</v>
      </c>
      <c r="Z1" s="607"/>
      <c r="AA1" s="607" t="s">
        <v>110</v>
      </c>
      <c r="AB1" s="608"/>
      <c r="AC1" s="608"/>
    </row>
    <row r="2" spans="1:29" ht="26.25" customHeight="1">
      <c r="A2" s="55">
        <v>46017</v>
      </c>
      <c r="B2" s="56" t="s">
        <v>418</v>
      </c>
      <c r="C2" s="117" t="s">
        <v>130</v>
      </c>
      <c r="D2" s="119">
        <f>AVERAGE(N8,N11,N49,N57,N18,N64,N27,N34,N41,N70)</f>
        <v>142.29328990554455</v>
      </c>
      <c r="E2" s="120" t="s">
        <v>0</v>
      </c>
      <c r="F2" s="121">
        <f>F1/D1</f>
        <v>34.087980437239985</v>
      </c>
      <c r="G2" s="52" t="s">
        <v>92</v>
      </c>
      <c r="H2" s="428">
        <f>COUNT(H5:H70)</f>
        <v>0</v>
      </c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8"/>
      <c r="AB2" s="608"/>
      <c r="AC2" s="608"/>
    </row>
    <row r="3" spans="1:29" ht="23.25" customHeight="1">
      <c r="A3" s="559" t="s">
        <v>215</v>
      </c>
      <c r="B3" s="559" t="s">
        <v>151</v>
      </c>
      <c r="C3" s="559" t="s">
        <v>152</v>
      </c>
      <c r="D3" s="559"/>
      <c r="E3" s="605" t="s">
        <v>111</v>
      </c>
      <c r="F3" s="559" t="s">
        <v>79</v>
      </c>
      <c r="G3" s="605" t="s">
        <v>80</v>
      </c>
      <c r="H3" s="598" t="s">
        <v>81</v>
      </c>
      <c r="I3" s="596" t="s">
        <v>222</v>
      </c>
      <c r="J3" s="601" t="s">
        <v>83</v>
      </c>
      <c r="K3" s="603" t="s">
        <v>130</v>
      </c>
      <c r="L3" s="596" t="s">
        <v>222</v>
      </c>
      <c r="M3" s="601" t="s">
        <v>83</v>
      </c>
      <c r="N3" s="603" t="s">
        <v>130</v>
      </c>
      <c r="O3" s="596" t="s">
        <v>222</v>
      </c>
      <c r="P3" s="603" t="s">
        <v>130</v>
      </c>
      <c r="Q3" s="602" t="s">
        <v>84</v>
      </c>
      <c r="R3" s="574" t="s">
        <v>155</v>
      </c>
      <c r="S3" s="604" t="s">
        <v>1</v>
      </c>
      <c r="T3" s="604"/>
      <c r="U3" s="598" t="s">
        <v>2</v>
      </c>
      <c r="V3" s="598" t="s">
        <v>153</v>
      </c>
      <c r="W3" s="559" t="s">
        <v>112</v>
      </c>
      <c r="X3" s="559"/>
      <c r="Y3" s="599" t="s">
        <v>113</v>
      </c>
      <c r="Z3" s="600"/>
      <c r="AA3" s="601" t="s">
        <v>83</v>
      </c>
      <c r="AB3" s="602" t="s">
        <v>84</v>
      </c>
      <c r="AC3" s="574" t="s">
        <v>155</v>
      </c>
    </row>
    <row r="4" spans="1:29">
      <c r="A4" s="559"/>
      <c r="B4" s="559"/>
      <c r="C4" s="559"/>
      <c r="D4" s="559"/>
      <c r="E4" s="606"/>
      <c r="F4" s="559"/>
      <c r="G4" s="606"/>
      <c r="H4" s="598"/>
      <c r="I4" s="596"/>
      <c r="J4" s="601"/>
      <c r="K4" s="603"/>
      <c r="L4" s="596"/>
      <c r="M4" s="601"/>
      <c r="N4" s="603"/>
      <c r="O4" s="596"/>
      <c r="P4" s="603"/>
      <c r="Q4" s="602"/>
      <c r="R4" s="574"/>
      <c r="S4" s="427" t="s">
        <v>3</v>
      </c>
      <c r="T4" s="427" t="s">
        <v>4</v>
      </c>
      <c r="U4" s="598"/>
      <c r="V4" s="598"/>
      <c r="W4" s="417" t="s">
        <v>115</v>
      </c>
      <c r="X4" s="417" t="s">
        <v>230</v>
      </c>
      <c r="Y4" s="600"/>
      <c r="Z4" s="600"/>
      <c r="AA4" s="601"/>
      <c r="AB4" s="602"/>
      <c r="AC4" s="574"/>
    </row>
    <row r="5" spans="1:29">
      <c r="A5" s="595" t="s">
        <v>1905</v>
      </c>
      <c r="B5" s="57" t="s">
        <v>6</v>
      </c>
      <c r="C5" s="597" t="s">
        <v>9</v>
      </c>
      <c r="D5" s="597"/>
      <c r="E5" s="57">
        <v>50.67</v>
      </c>
      <c r="F5" s="427">
        <v>1253</v>
      </c>
      <c r="G5" s="417">
        <f t="shared" ref="G5:G7" si="0">E5*F5</f>
        <v>63489.51</v>
      </c>
      <c r="H5" s="429" t="s">
        <v>5</v>
      </c>
      <c r="I5" s="425">
        <v>17</v>
      </c>
      <c r="J5" s="58">
        <v>2000</v>
      </c>
      <c r="K5" s="59">
        <f t="shared" ref="K5:K68" si="1">J5/I5</f>
        <v>117.64705882352941</v>
      </c>
      <c r="L5" s="425">
        <v>17</v>
      </c>
      <c r="M5" s="60">
        <f t="shared" ref="M5:M7" si="2">F5/V5*60</f>
        <v>1927.6923076923067</v>
      </c>
      <c r="N5" s="59">
        <f t="shared" ref="N5:N68" si="3">M5/L5</f>
        <v>113.39366515837098</v>
      </c>
      <c r="O5" s="61">
        <f t="shared" ref="O5:O68" si="4">L5-I5</f>
        <v>0</v>
      </c>
      <c r="P5" s="62">
        <f t="shared" ref="P5:P68" si="5">N5-K5</f>
        <v>-4.253393665158427</v>
      </c>
      <c r="Q5" s="419">
        <f t="shared" ref="Q5:Q68" si="6">N5/K5</f>
        <v>0.96384615384615335</v>
      </c>
      <c r="R5" s="566">
        <f>Q8</f>
        <v>0.9658974358974356</v>
      </c>
      <c r="S5" s="63">
        <v>0.70833333333333337</v>
      </c>
      <c r="T5" s="63">
        <v>0.73541666666666672</v>
      </c>
      <c r="U5" s="417"/>
      <c r="V5" s="426">
        <f t="shared" ref="V5:V7" si="7">(T5-S5)*24*60</f>
        <v>39.000000000000021</v>
      </c>
      <c r="W5" s="64"/>
      <c r="X5" s="65"/>
      <c r="Y5" s="559"/>
      <c r="Z5" s="559"/>
      <c r="AA5" s="61">
        <f t="shared" ref="AA5:AA68" si="8">M5-J5</f>
        <v>-72.307692307693287</v>
      </c>
      <c r="AB5" s="419">
        <f t="shared" ref="AB5:AB68" si="9">M5/J5</f>
        <v>0.96384615384615335</v>
      </c>
      <c r="AC5" s="566">
        <f>AB8</f>
        <v>0.96589743589743549</v>
      </c>
    </row>
    <row r="6" spans="1:29">
      <c r="A6" s="596" t="s">
        <v>116</v>
      </c>
      <c r="B6" s="57" t="s">
        <v>6</v>
      </c>
      <c r="C6" s="597" t="s">
        <v>22</v>
      </c>
      <c r="D6" s="597"/>
      <c r="E6" s="57">
        <v>54.09</v>
      </c>
      <c r="F6" s="427">
        <v>1312</v>
      </c>
      <c r="G6" s="417">
        <f t="shared" si="0"/>
        <v>70966.080000000002</v>
      </c>
      <c r="H6" s="429" t="s">
        <v>5</v>
      </c>
      <c r="I6" s="425">
        <v>19</v>
      </c>
      <c r="J6" s="58">
        <v>2000</v>
      </c>
      <c r="K6" s="59">
        <f t="shared" si="1"/>
        <v>105.26315789473684</v>
      </c>
      <c r="L6" s="425">
        <v>19</v>
      </c>
      <c r="M6" s="60">
        <f t="shared" si="2"/>
        <v>1919.9999999999993</v>
      </c>
      <c r="N6" s="59">
        <f t="shared" si="3"/>
        <v>101.05263157894733</v>
      </c>
      <c r="O6" s="61">
        <f t="shared" si="4"/>
        <v>0</v>
      </c>
      <c r="P6" s="62">
        <f t="shared" si="5"/>
        <v>-4.2105263157895081</v>
      </c>
      <c r="Q6" s="419">
        <f t="shared" si="6"/>
        <v>0.95999999999999963</v>
      </c>
      <c r="R6" s="566"/>
      <c r="S6" s="63">
        <v>0.74097222222222225</v>
      </c>
      <c r="T6" s="63">
        <v>0.76944444444444449</v>
      </c>
      <c r="U6" s="417">
        <f t="shared" ref="U6:U7" si="10">IF(S6=TIME(17,0,0),"",(S6-T5)*24*60)</f>
        <v>7.9999999999999716</v>
      </c>
      <c r="V6" s="426">
        <f t="shared" si="7"/>
        <v>41.000000000000014</v>
      </c>
      <c r="W6" s="64"/>
      <c r="X6" s="64"/>
      <c r="Y6" s="559"/>
      <c r="Z6" s="559"/>
      <c r="AA6" s="61">
        <f t="shared" si="8"/>
        <v>-80.000000000000682</v>
      </c>
      <c r="AB6" s="419">
        <f t="shared" si="9"/>
        <v>0.95999999999999963</v>
      </c>
      <c r="AC6" s="566"/>
    </row>
    <row r="7" spans="1:29">
      <c r="A7" s="596" t="s">
        <v>116</v>
      </c>
      <c r="B7" s="57" t="s">
        <v>6</v>
      </c>
      <c r="C7" s="590" t="s">
        <v>1619</v>
      </c>
      <c r="D7" s="591"/>
      <c r="E7" s="57">
        <v>50.29</v>
      </c>
      <c r="F7" s="427">
        <v>1266</v>
      </c>
      <c r="G7" s="417">
        <f t="shared" si="0"/>
        <v>63667.14</v>
      </c>
      <c r="H7" s="429" t="s">
        <v>5</v>
      </c>
      <c r="I7" s="425">
        <v>16</v>
      </c>
      <c r="J7" s="58">
        <v>2000</v>
      </c>
      <c r="K7" s="59">
        <f t="shared" si="1"/>
        <v>125</v>
      </c>
      <c r="L7" s="425">
        <v>16</v>
      </c>
      <c r="M7" s="60">
        <f t="shared" si="2"/>
        <v>1947.6923076923067</v>
      </c>
      <c r="N7" s="59">
        <f t="shared" si="3"/>
        <v>121.73076923076917</v>
      </c>
      <c r="O7" s="61">
        <f t="shared" si="4"/>
        <v>0</v>
      </c>
      <c r="P7" s="62">
        <f t="shared" si="5"/>
        <v>-3.2692307692308304</v>
      </c>
      <c r="Q7" s="419">
        <f t="shared" si="6"/>
        <v>0.97384615384615336</v>
      </c>
      <c r="R7" s="566"/>
      <c r="S7" s="63">
        <v>0.77500000000000002</v>
      </c>
      <c r="T7" s="63">
        <v>0.80208333333333337</v>
      </c>
      <c r="U7" s="417">
        <f t="shared" si="10"/>
        <v>7.9999999999999716</v>
      </c>
      <c r="V7" s="426">
        <f t="shared" si="7"/>
        <v>39.000000000000021</v>
      </c>
      <c r="W7" s="64"/>
      <c r="X7" s="64"/>
      <c r="Y7" s="569"/>
      <c r="Z7" s="570"/>
      <c r="AA7" s="61">
        <f t="shared" si="8"/>
        <v>-52.307692307693287</v>
      </c>
      <c r="AB7" s="419">
        <f t="shared" si="9"/>
        <v>0.97384615384615336</v>
      </c>
      <c r="AC7" s="566"/>
    </row>
    <row r="8" spans="1:29">
      <c r="A8" s="596" t="s">
        <v>116</v>
      </c>
      <c r="B8" s="57" t="s">
        <v>1906</v>
      </c>
      <c r="C8" s="571"/>
      <c r="D8" s="571"/>
      <c r="E8" s="424"/>
      <c r="F8" s="66"/>
      <c r="G8" s="59"/>
      <c r="H8" s="427"/>
      <c r="I8" s="67">
        <v>17.333333333333332</v>
      </c>
      <c r="J8" s="58">
        <v>2000</v>
      </c>
      <c r="K8" s="59">
        <f t="shared" si="1"/>
        <v>115.38461538461539</v>
      </c>
      <c r="L8" s="67">
        <v>17.333333333333332</v>
      </c>
      <c r="M8" s="60">
        <f>AVERAGE(M5:M7)</f>
        <v>1931.7948717948709</v>
      </c>
      <c r="N8" s="59">
        <f t="shared" si="3"/>
        <v>111.4497041420118</v>
      </c>
      <c r="O8" s="61">
        <f t="shared" si="4"/>
        <v>0</v>
      </c>
      <c r="P8" s="62">
        <f t="shared" si="5"/>
        <v>-3.9349112426035902</v>
      </c>
      <c r="Q8" s="419">
        <f t="shared" si="6"/>
        <v>0.9658974358974356</v>
      </c>
      <c r="R8" s="566"/>
      <c r="S8" s="63"/>
      <c r="T8" s="63"/>
      <c r="U8" s="417"/>
      <c r="V8" s="426"/>
      <c r="W8" s="59"/>
      <c r="X8" s="59"/>
      <c r="Y8" s="559"/>
      <c r="Z8" s="559"/>
      <c r="AA8" s="61">
        <f t="shared" si="8"/>
        <v>-68.205128205129085</v>
      </c>
      <c r="AB8" s="419">
        <f t="shared" si="9"/>
        <v>0.96589743589743549</v>
      </c>
      <c r="AC8" s="566"/>
    </row>
    <row r="9" spans="1:29" ht="15.75" customHeight="1">
      <c r="A9" s="594" t="s">
        <v>1907</v>
      </c>
      <c r="B9" s="57" t="s">
        <v>10</v>
      </c>
      <c r="C9" s="590" t="s">
        <v>14</v>
      </c>
      <c r="D9" s="591"/>
      <c r="E9" s="57">
        <v>39.619999999999997</v>
      </c>
      <c r="F9" s="427">
        <v>2675</v>
      </c>
      <c r="G9" s="417">
        <f t="shared" ref="G9:G10" si="11">E9*F9</f>
        <v>105983.5</v>
      </c>
      <c r="H9" s="429" t="s">
        <v>5</v>
      </c>
      <c r="I9" s="425">
        <v>19</v>
      </c>
      <c r="J9" s="58">
        <v>1500</v>
      </c>
      <c r="K9" s="59">
        <f t="shared" si="1"/>
        <v>78.94736842105263</v>
      </c>
      <c r="L9" s="425">
        <v>19</v>
      </c>
      <c r="M9" s="60">
        <f t="shared" ref="M9:M10" si="12">F9/V9*60</f>
        <v>1433.0357142857144</v>
      </c>
      <c r="N9" s="59">
        <f t="shared" si="3"/>
        <v>75.422932330827081</v>
      </c>
      <c r="O9" s="61">
        <f t="shared" si="4"/>
        <v>0</v>
      </c>
      <c r="P9" s="62">
        <f t="shared" si="5"/>
        <v>-3.5244360902255494</v>
      </c>
      <c r="Q9" s="419">
        <f t="shared" si="6"/>
        <v>0.95535714285714302</v>
      </c>
      <c r="R9" s="566">
        <f>Q11</f>
        <v>0.95510873902633686</v>
      </c>
      <c r="S9" s="63">
        <v>0.16666666666666666</v>
      </c>
      <c r="T9" s="63">
        <v>0.24444444444444444</v>
      </c>
      <c r="U9" s="417"/>
      <c r="V9" s="426">
        <f t="shared" ref="V9:V10" si="13">(T9-S9)*24*60</f>
        <v>112</v>
      </c>
      <c r="W9" s="64">
        <f>T9</f>
        <v>0.24444444444444444</v>
      </c>
      <c r="X9" s="64">
        <f>S10</f>
        <v>0.2638888888888889</v>
      </c>
      <c r="Y9" s="559"/>
      <c r="Z9" s="559"/>
      <c r="AA9" s="61">
        <f t="shared" si="8"/>
        <v>-66.964285714285552</v>
      </c>
      <c r="AB9" s="419">
        <f t="shared" si="9"/>
        <v>0.95535714285714302</v>
      </c>
      <c r="AC9" s="566">
        <f>AB11</f>
        <v>0.95510873902633675</v>
      </c>
    </row>
    <row r="10" spans="1:29" ht="15.75" customHeight="1">
      <c r="A10" s="594" t="s">
        <v>85</v>
      </c>
      <c r="B10" s="57" t="s">
        <v>10</v>
      </c>
      <c r="C10" s="590" t="s">
        <v>11</v>
      </c>
      <c r="D10" s="591"/>
      <c r="E10" s="57">
        <v>39.799999999999997</v>
      </c>
      <c r="F10" s="427">
        <v>4273</v>
      </c>
      <c r="G10" s="417">
        <f t="shared" si="11"/>
        <v>170065.4</v>
      </c>
      <c r="H10" s="429" t="s">
        <v>5</v>
      </c>
      <c r="I10" s="425">
        <v>17</v>
      </c>
      <c r="J10" s="58">
        <v>1500</v>
      </c>
      <c r="K10" s="59">
        <f t="shared" si="1"/>
        <v>88.235294117647058</v>
      </c>
      <c r="L10" s="425">
        <v>17</v>
      </c>
      <c r="M10" s="60">
        <f t="shared" si="12"/>
        <v>1432.2905027932961</v>
      </c>
      <c r="N10" s="59">
        <f t="shared" si="3"/>
        <v>84.252382517252713</v>
      </c>
      <c r="O10" s="61">
        <f t="shared" si="4"/>
        <v>0</v>
      </c>
      <c r="P10" s="62">
        <f t="shared" si="5"/>
        <v>-3.9829116003943454</v>
      </c>
      <c r="Q10" s="419">
        <f t="shared" si="6"/>
        <v>0.95486033519553071</v>
      </c>
      <c r="R10" s="566"/>
      <c r="S10" s="63">
        <v>0.2638888888888889</v>
      </c>
      <c r="T10" s="63">
        <v>0.38819444444444445</v>
      </c>
      <c r="U10" s="417">
        <f t="shared" ref="U10" si="14">IF(S10=TIME(17,0,0),"",(S10-T9)*24*60)</f>
        <v>28.000000000000021</v>
      </c>
      <c r="V10" s="426">
        <f t="shared" si="13"/>
        <v>179</v>
      </c>
      <c r="W10" s="64"/>
      <c r="X10" s="64"/>
      <c r="Y10" s="559"/>
      <c r="Z10" s="559"/>
      <c r="AA10" s="61">
        <f t="shared" si="8"/>
        <v>-67.709497206703873</v>
      </c>
      <c r="AB10" s="419">
        <f t="shared" si="9"/>
        <v>0.95486033519553071</v>
      </c>
      <c r="AC10" s="566"/>
    </row>
    <row r="11" spans="1:29" ht="16.5" customHeight="1">
      <c r="A11" s="594" t="s">
        <v>85</v>
      </c>
      <c r="B11" s="57" t="s">
        <v>67</v>
      </c>
      <c r="C11" s="571"/>
      <c r="D11" s="571"/>
      <c r="E11" s="424"/>
      <c r="F11" s="58"/>
      <c r="G11" s="60"/>
      <c r="H11" s="427"/>
      <c r="I11" s="67">
        <v>18</v>
      </c>
      <c r="J11" s="58">
        <v>1500</v>
      </c>
      <c r="K11" s="59">
        <f t="shared" si="1"/>
        <v>83.333333333333329</v>
      </c>
      <c r="L11" s="67">
        <v>18</v>
      </c>
      <c r="M11" s="60">
        <f>AVERAGE(M9:M10)</f>
        <v>1432.6631085395052</v>
      </c>
      <c r="N11" s="59">
        <f t="shared" si="3"/>
        <v>79.592394918861402</v>
      </c>
      <c r="O11" s="61">
        <f t="shared" si="4"/>
        <v>0</v>
      </c>
      <c r="P11" s="62">
        <f t="shared" si="5"/>
        <v>-3.7409384144719269</v>
      </c>
      <c r="Q11" s="419">
        <f t="shared" si="6"/>
        <v>0.95510873902633686</v>
      </c>
      <c r="R11" s="566"/>
      <c r="S11" s="63"/>
      <c r="T11" s="63"/>
      <c r="U11" s="59"/>
      <c r="V11" s="426"/>
      <c r="W11" s="59"/>
      <c r="X11" s="59"/>
      <c r="Y11" s="559"/>
      <c r="Z11" s="559"/>
      <c r="AA11" s="61">
        <f t="shared" si="8"/>
        <v>-67.336891460494826</v>
      </c>
      <c r="AB11" s="419">
        <f t="shared" si="9"/>
        <v>0.95510873902633675</v>
      </c>
      <c r="AC11" s="566"/>
    </row>
    <row r="12" spans="1:29" ht="16.5" customHeight="1">
      <c r="A12" s="592" t="s">
        <v>162</v>
      </c>
      <c r="B12" s="427" t="s">
        <v>12</v>
      </c>
      <c r="C12" s="584" t="s">
        <v>13</v>
      </c>
      <c r="D12" s="584"/>
      <c r="E12" s="57">
        <v>41</v>
      </c>
      <c r="F12" s="427">
        <v>1769</v>
      </c>
      <c r="G12" s="417">
        <f t="shared" ref="G12:G17" si="15">E12*F12</f>
        <v>72529</v>
      </c>
      <c r="H12" s="429" t="s">
        <v>5</v>
      </c>
      <c r="I12" s="425">
        <v>26</v>
      </c>
      <c r="J12" s="58">
        <v>1500</v>
      </c>
      <c r="K12" s="59">
        <f t="shared" si="1"/>
        <v>57.692307692307693</v>
      </c>
      <c r="L12" s="425">
        <v>26</v>
      </c>
      <c r="M12" s="60">
        <f t="shared" ref="M12:M17" si="16">F12/V12*60</f>
        <v>1434.3243243243239</v>
      </c>
      <c r="N12" s="59">
        <f t="shared" si="3"/>
        <v>55.166320166320148</v>
      </c>
      <c r="O12" s="61">
        <f t="shared" si="4"/>
        <v>0</v>
      </c>
      <c r="P12" s="62">
        <f t="shared" si="5"/>
        <v>-2.5259875259875457</v>
      </c>
      <c r="Q12" s="419">
        <f t="shared" si="6"/>
        <v>0.95621621621621589</v>
      </c>
      <c r="R12" s="566">
        <f>Q18</f>
        <v>0.96254655542478729</v>
      </c>
      <c r="S12" s="63">
        <v>0.20833333333333334</v>
      </c>
      <c r="T12" s="63">
        <v>0.25972222222222224</v>
      </c>
      <c r="U12" s="417"/>
      <c r="V12" s="426">
        <f t="shared" ref="V12:V17" si="17">(T12-S12)*24*60</f>
        <v>74.000000000000014</v>
      </c>
      <c r="W12" s="68"/>
      <c r="X12" s="68"/>
      <c r="Y12" s="559"/>
      <c r="Z12" s="559"/>
      <c r="AA12" s="61">
        <f t="shared" si="8"/>
        <v>-65.675675675676075</v>
      </c>
      <c r="AB12" s="419">
        <f t="shared" si="9"/>
        <v>0.956216216216216</v>
      </c>
      <c r="AC12" s="566">
        <f>AB18</f>
        <v>0.96254655542478718</v>
      </c>
    </row>
    <row r="13" spans="1:29" ht="16.5" customHeight="1">
      <c r="A13" s="593" t="s">
        <v>162</v>
      </c>
      <c r="B13" s="427" t="s">
        <v>657</v>
      </c>
      <c r="C13" s="584" t="s">
        <v>236</v>
      </c>
      <c r="D13" s="584"/>
      <c r="E13" s="57">
        <v>72.400000000000006</v>
      </c>
      <c r="F13" s="427">
        <v>849</v>
      </c>
      <c r="G13" s="417">
        <f t="shared" si="15"/>
        <v>61467.600000000006</v>
      </c>
      <c r="H13" s="429" t="s">
        <v>5</v>
      </c>
      <c r="I13" s="425">
        <v>18</v>
      </c>
      <c r="J13" s="58">
        <v>1500</v>
      </c>
      <c r="K13" s="59">
        <f t="shared" si="1"/>
        <v>83.333333333333329</v>
      </c>
      <c r="L13" s="425">
        <v>18</v>
      </c>
      <c r="M13" s="60">
        <f t="shared" si="16"/>
        <v>1455.42857142857</v>
      </c>
      <c r="N13" s="59">
        <f t="shared" si="3"/>
        <v>80.857142857142776</v>
      </c>
      <c r="O13" s="61">
        <f t="shared" si="4"/>
        <v>0</v>
      </c>
      <c r="P13" s="62">
        <f t="shared" si="5"/>
        <v>-2.4761904761905527</v>
      </c>
      <c r="Q13" s="419">
        <f t="shared" si="6"/>
        <v>0.97028571428571342</v>
      </c>
      <c r="R13" s="566"/>
      <c r="S13" s="63">
        <v>0.26319444444444445</v>
      </c>
      <c r="T13" s="63">
        <v>0.28750000000000003</v>
      </c>
      <c r="U13" s="417">
        <f t="shared" ref="U13:U17" si="18">IF(S13=TIME(17,0,0),"",(S13-T12)*24*60)</f>
        <v>4.9999999999999822</v>
      </c>
      <c r="V13" s="426">
        <f t="shared" si="17"/>
        <v>35.000000000000036</v>
      </c>
      <c r="W13" s="64"/>
      <c r="X13" s="64"/>
      <c r="Y13" s="559"/>
      <c r="Z13" s="559"/>
      <c r="AA13" s="61">
        <f t="shared" si="8"/>
        <v>-44.571428571430033</v>
      </c>
      <c r="AB13" s="419">
        <f t="shared" si="9"/>
        <v>0.97028571428571331</v>
      </c>
      <c r="AC13" s="566"/>
    </row>
    <row r="14" spans="1:29" ht="16.5" customHeight="1">
      <c r="A14" s="593" t="s">
        <v>1908</v>
      </c>
      <c r="B14" s="427" t="s">
        <v>65</v>
      </c>
      <c r="C14" s="584" t="s">
        <v>1765</v>
      </c>
      <c r="D14" s="584"/>
      <c r="E14" s="57">
        <v>50.67</v>
      </c>
      <c r="F14" s="427">
        <v>1096</v>
      </c>
      <c r="G14" s="417">
        <f t="shared" si="15"/>
        <v>55534.32</v>
      </c>
      <c r="H14" s="429" t="s">
        <v>5</v>
      </c>
      <c r="I14" s="425">
        <v>16</v>
      </c>
      <c r="J14" s="58">
        <v>1500</v>
      </c>
      <c r="K14" s="59">
        <f t="shared" si="1"/>
        <v>93.75</v>
      </c>
      <c r="L14" s="425">
        <v>16</v>
      </c>
      <c r="M14" s="60">
        <f t="shared" si="16"/>
        <v>1429.5652173913043</v>
      </c>
      <c r="N14" s="59">
        <f t="shared" si="3"/>
        <v>89.347826086956516</v>
      </c>
      <c r="O14" s="61">
        <f t="shared" si="4"/>
        <v>0</v>
      </c>
      <c r="P14" s="62">
        <f t="shared" si="5"/>
        <v>-4.4021739130434838</v>
      </c>
      <c r="Q14" s="419">
        <f t="shared" si="6"/>
        <v>0.95304347826086955</v>
      </c>
      <c r="R14" s="566"/>
      <c r="S14" s="63">
        <v>0.29236111111111113</v>
      </c>
      <c r="T14" s="63">
        <v>0.32430555555555557</v>
      </c>
      <c r="U14" s="417">
        <f t="shared" si="18"/>
        <v>6.9999999999999751</v>
      </c>
      <c r="V14" s="426">
        <f t="shared" si="17"/>
        <v>46</v>
      </c>
      <c r="W14" s="64"/>
      <c r="X14" s="64"/>
      <c r="Y14" s="559"/>
      <c r="Z14" s="559"/>
      <c r="AA14" s="61">
        <f t="shared" si="8"/>
        <v>-70.434782608695741</v>
      </c>
      <c r="AB14" s="419">
        <f t="shared" si="9"/>
        <v>0.95304347826086955</v>
      </c>
      <c r="AC14" s="566"/>
    </row>
    <row r="15" spans="1:29" ht="16.5" customHeight="1">
      <c r="A15" s="593" t="s">
        <v>162</v>
      </c>
      <c r="B15" s="427" t="s">
        <v>6</v>
      </c>
      <c r="C15" s="584" t="s">
        <v>95</v>
      </c>
      <c r="D15" s="584"/>
      <c r="E15" s="57">
        <v>50.98</v>
      </c>
      <c r="F15" s="427">
        <v>2080</v>
      </c>
      <c r="G15" s="417">
        <f t="shared" si="15"/>
        <v>106038.39999999999</v>
      </c>
      <c r="H15" s="429" t="s">
        <v>5</v>
      </c>
      <c r="I15" s="425">
        <v>16</v>
      </c>
      <c r="J15" s="58">
        <v>2000</v>
      </c>
      <c r="K15" s="59">
        <f t="shared" si="1"/>
        <v>125</v>
      </c>
      <c r="L15" s="425">
        <v>16</v>
      </c>
      <c r="M15" s="60">
        <f t="shared" si="16"/>
        <v>1920.000000000002</v>
      </c>
      <c r="N15" s="59">
        <f t="shared" si="3"/>
        <v>120.00000000000013</v>
      </c>
      <c r="O15" s="61">
        <f t="shared" si="4"/>
        <v>0</v>
      </c>
      <c r="P15" s="62">
        <f t="shared" si="5"/>
        <v>-4.9999999999998721</v>
      </c>
      <c r="Q15" s="419">
        <f t="shared" si="6"/>
        <v>0.96000000000000107</v>
      </c>
      <c r="R15" s="566"/>
      <c r="S15" s="63">
        <v>0.70833333333333337</v>
      </c>
      <c r="T15" s="63">
        <v>0.75347222222222221</v>
      </c>
      <c r="U15" s="417" t="str">
        <f t="shared" si="18"/>
        <v/>
      </c>
      <c r="V15" s="426">
        <f t="shared" si="17"/>
        <v>64.999999999999929</v>
      </c>
      <c r="W15" s="64"/>
      <c r="X15" s="64"/>
      <c r="Y15" s="559"/>
      <c r="Z15" s="559"/>
      <c r="AA15" s="61">
        <f t="shared" si="8"/>
        <v>-79.999999999997954</v>
      </c>
      <c r="AB15" s="419">
        <f t="shared" si="9"/>
        <v>0.96000000000000107</v>
      </c>
      <c r="AC15" s="566"/>
    </row>
    <row r="16" spans="1:29" ht="16.5" customHeight="1">
      <c r="A16" s="593" t="s">
        <v>1908</v>
      </c>
      <c r="B16" s="427" t="s">
        <v>6</v>
      </c>
      <c r="C16" s="584" t="s">
        <v>18</v>
      </c>
      <c r="D16" s="584"/>
      <c r="E16" s="57">
        <v>50.92</v>
      </c>
      <c r="F16" s="427">
        <v>2113</v>
      </c>
      <c r="G16" s="417">
        <f t="shared" si="15"/>
        <v>107593.96</v>
      </c>
      <c r="H16" s="429" t="s">
        <v>5</v>
      </c>
      <c r="I16" s="425">
        <v>15</v>
      </c>
      <c r="J16" s="58">
        <v>2000</v>
      </c>
      <c r="K16" s="59">
        <f t="shared" si="1"/>
        <v>133.33333333333334</v>
      </c>
      <c r="L16" s="425">
        <v>15</v>
      </c>
      <c r="M16" s="60">
        <f t="shared" si="16"/>
        <v>1920.9090909090883</v>
      </c>
      <c r="N16" s="59">
        <f t="shared" si="3"/>
        <v>128.06060606060589</v>
      </c>
      <c r="O16" s="61">
        <f t="shared" si="4"/>
        <v>0</v>
      </c>
      <c r="P16" s="62">
        <f t="shared" si="5"/>
        <v>-5.272727272727451</v>
      </c>
      <c r="Q16" s="419">
        <f t="shared" si="6"/>
        <v>0.96045454545454412</v>
      </c>
      <c r="R16" s="566"/>
      <c r="S16" s="63">
        <v>0.7583333333333333</v>
      </c>
      <c r="T16" s="63">
        <v>0.8041666666666667</v>
      </c>
      <c r="U16" s="417">
        <f t="shared" si="18"/>
        <v>6.9999999999999751</v>
      </c>
      <c r="V16" s="426">
        <f t="shared" si="17"/>
        <v>66.000000000000085</v>
      </c>
      <c r="W16" s="64"/>
      <c r="X16" s="64"/>
      <c r="Y16" s="559"/>
      <c r="Z16" s="559"/>
      <c r="AA16" s="61">
        <f t="shared" si="8"/>
        <v>-79.090909090911737</v>
      </c>
      <c r="AB16" s="419">
        <f t="shared" si="9"/>
        <v>0.96045454545454412</v>
      </c>
      <c r="AC16" s="566"/>
    </row>
    <row r="17" spans="1:29" ht="16.5" customHeight="1">
      <c r="A17" s="593" t="s">
        <v>162</v>
      </c>
      <c r="B17" s="427" t="s">
        <v>6</v>
      </c>
      <c r="C17" s="585" t="s">
        <v>68</v>
      </c>
      <c r="D17" s="586"/>
      <c r="E17" s="57">
        <v>50.67</v>
      </c>
      <c r="F17" s="427">
        <v>1395</v>
      </c>
      <c r="G17" s="417">
        <f t="shared" si="15"/>
        <v>70684.650000000009</v>
      </c>
      <c r="H17" s="429" t="s">
        <v>5</v>
      </c>
      <c r="I17" s="425">
        <v>15</v>
      </c>
      <c r="J17" s="58">
        <v>2000</v>
      </c>
      <c r="K17" s="59">
        <f t="shared" si="1"/>
        <v>133.33333333333334</v>
      </c>
      <c r="L17" s="425">
        <v>15</v>
      </c>
      <c r="M17" s="60">
        <f t="shared" si="16"/>
        <v>1946.5116279069762</v>
      </c>
      <c r="N17" s="59">
        <f t="shared" si="3"/>
        <v>129.76744186046508</v>
      </c>
      <c r="O17" s="61">
        <f t="shared" si="4"/>
        <v>0</v>
      </c>
      <c r="P17" s="62">
        <f t="shared" si="5"/>
        <v>-3.5658914728682589</v>
      </c>
      <c r="Q17" s="419">
        <f t="shared" si="6"/>
        <v>0.97325581395348804</v>
      </c>
      <c r="R17" s="566"/>
      <c r="S17" s="63">
        <v>0.80902777777777779</v>
      </c>
      <c r="T17" s="63">
        <v>0.83888888888888891</v>
      </c>
      <c r="U17" s="417">
        <f t="shared" si="18"/>
        <v>6.9999999999999751</v>
      </c>
      <c r="V17" s="426">
        <f t="shared" si="17"/>
        <v>43.000000000000007</v>
      </c>
      <c r="W17" s="64"/>
      <c r="X17" s="64"/>
      <c r="Y17" s="569"/>
      <c r="Z17" s="570"/>
      <c r="AA17" s="61">
        <f t="shared" si="8"/>
        <v>-53.488372093023827</v>
      </c>
      <c r="AB17" s="419">
        <f t="shared" si="9"/>
        <v>0.97325581395348804</v>
      </c>
      <c r="AC17" s="566"/>
    </row>
    <row r="18" spans="1:29" ht="16.5" customHeight="1">
      <c r="A18" s="593" t="s">
        <v>162</v>
      </c>
      <c r="B18" s="57" t="s">
        <v>67</v>
      </c>
      <c r="C18" s="571"/>
      <c r="D18" s="571"/>
      <c r="E18" s="424"/>
      <c r="F18" s="66"/>
      <c r="G18" s="59"/>
      <c r="H18" s="427"/>
      <c r="I18" s="67">
        <v>17.666666666666668</v>
      </c>
      <c r="J18" s="58">
        <v>1750</v>
      </c>
      <c r="K18" s="59">
        <f t="shared" si="1"/>
        <v>99.056603773584897</v>
      </c>
      <c r="L18" s="67">
        <v>17.666666666666668</v>
      </c>
      <c r="M18" s="60">
        <f>AVERAGE(M12:M17)</f>
        <v>1684.4564719933776</v>
      </c>
      <c r="N18" s="59">
        <f t="shared" si="3"/>
        <v>95.346592754342126</v>
      </c>
      <c r="O18" s="61">
        <f t="shared" si="4"/>
        <v>0</v>
      </c>
      <c r="P18" s="62">
        <f t="shared" si="5"/>
        <v>-3.7100110192427707</v>
      </c>
      <c r="Q18" s="419">
        <f t="shared" si="6"/>
        <v>0.96254655542478729</v>
      </c>
      <c r="R18" s="566"/>
      <c r="S18" s="63"/>
      <c r="T18" s="63"/>
      <c r="U18" s="417"/>
      <c r="V18" s="426"/>
      <c r="W18" s="59"/>
      <c r="X18" s="59"/>
      <c r="Y18" s="559"/>
      <c r="Z18" s="559"/>
      <c r="AA18" s="61">
        <f t="shared" si="8"/>
        <v>-65.54352800662241</v>
      </c>
      <c r="AB18" s="419">
        <f t="shared" si="9"/>
        <v>0.96254655542478718</v>
      </c>
      <c r="AC18" s="566"/>
    </row>
    <row r="19" spans="1:29" ht="15.75" customHeight="1">
      <c r="A19" s="588" t="s">
        <v>86</v>
      </c>
      <c r="B19" s="57" t="s">
        <v>12</v>
      </c>
      <c r="C19" s="584" t="s">
        <v>19</v>
      </c>
      <c r="D19" s="584"/>
      <c r="E19" s="57">
        <v>43.14</v>
      </c>
      <c r="F19" s="427">
        <v>741</v>
      </c>
      <c r="G19" s="417">
        <f t="shared" ref="G19:G26" si="19">E19*F19</f>
        <v>31966.74</v>
      </c>
      <c r="H19" s="429" t="s">
        <v>5</v>
      </c>
      <c r="I19" s="425">
        <v>17</v>
      </c>
      <c r="J19" s="58">
        <v>2000</v>
      </c>
      <c r="K19" s="59">
        <f t="shared" si="1"/>
        <v>117.64705882352941</v>
      </c>
      <c r="L19" s="425">
        <v>17</v>
      </c>
      <c r="M19" s="60">
        <f t="shared" ref="M19:M26" si="20">F19/V19*60</f>
        <v>1933.0434782608697</v>
      </c>
      <c r="N19" s="59">
        <f t="shared" si="3"/>
        <v>113.70843989769821</v>
      </c>
      <c r="O19" s="61">
        <f t="shared" si="4"/>
        <v>0</v>
      </c>
      <c r="P19" s="62">
        <f t="shared" si="5"/>
        <v>-3.938618925831193</v>
      </c>
      <c r="Q19" s="419">
        <f t="shared" si="6"/>
        <v>0.96652173913043482</v>
      </c>
      <c r="R19" s="566">
        <f>Q27</f>
        <v>0.95965228481245812</v>
      </c>
      <c r="S19" s="63">
        <v>0.20833333333333334</v>
      </c>
      <c r="T19" s="63">
        <v>0.22430555555555556</v>
      </c>
      <c r="U19" s="417"/>
      <c r="V19" s="426">
        <f t="shared" ref="V19:V26" si="21">(T19-S19)*24*60</f>
        <v>23</v>
      </c>
      <c r="W19" s="68"/>
      <c r="X19" s="68"/>
      <c r="Y19" s="559"/>
      <c r="Z19" s="559"/>
      <c r="AA19" s="61">
        <f t="shared" si="8"/>
        <v>-66.956521739130267</v>
      </c>
      <c r="AB19" s="419">
        <f t="shared" si="9"/>
        <v>0.96652173913043482</v>
      </c>
      <c r="AC19" s="566">
        <f>AB27</f>
        <v>0.95965228481245812</v>
      </c>
    </row>
    <row r="20" spans="1:29" ht="15.75" customHeight="1">
      <c r="A20" s="589" t="s">
        <v>86</v>
      </c>
      <c r="B20" s="57" t="s">
        <v>65</v>
      </c>
      <c r="C20" s="584" t="s">
        <v>97</v>
      </c>
      <c r="D20" s="584"/>
      <c r="E20" s="57">
        <v>49.9</v>
      </c>
      <c r="F20" s="427">
        <v>898</v>
      </c>
      <c r="G20" s="417">
        <f t="shared" si="19"/>
        <v>44810.2</v>
      </c>
      <c r="H20" s="429" t="s">
        <v>5</v>
      </c>
      <c r="I20" s="425">
        <v>17</v>
      </c>
      <c r="J20" s="58">
        <v>2000</v>
      </c>
      <c r="K20" s="59">
        <f t="shared" si="1"/>
        <v>117.64705882352941</v>
      </c>
      <c r="L20" s="425">
        <v>17</v>
      </c>
      <c r="M20" s="60">
        <f t="shared" si="20"/>
        <v>1924.2857142857158</v>
      </c>
      <c r="N20" s="59">
        <f t="shared" si="3"/>
        <v>113.19327731092446</v>
      </c>
      <c r="O20" s="61">
        <f t="shared" si="4"/>
        <v>0</v>
      </c>
      <c r="P20" s="62">
        <f t="shared" si="5"/>
        <v>-4.453781512604948</v>
      </c>
      <c r="Q20" s="419">
        <f t="shared" si="6"/>
        <v>0.96214285714285797</v>
      </c>
      <c r="R20" s="566"/>
      <c r="S20" s="63">
        <v>0.22916666666666669</v>
      </c>
      <c r="T20" s="63">
        <v>0.24861111111111112</v>
      </c>
      <c r="U20" s="417">
        <f t="shared" ref="U20:U26" si="22">IF(S20=TIME(17,0,0),"",(S20-T19)*24*60)</f>
        <v>7.0000000000000151</v>
      </c>
      <c r="V20" s="426">
        <f t="shared" si="21"/>
        <v>27.999999999999979</v>
      </c>
      <c r="W20" s="64"/>
      <c r="X20" s="417"/>
      <c r="Y20" s="559"/>
      <c r="Z20" s="559"/>
      <c r="AA20" s="61">
        <f t="shared" si="8"/>
        <v>-75.714285714284188</v>
      </c>
      <c r="AB20" s="419">
        <f t="shared" si="9"/>
        <v>0.96214285714285785</v>
      </c>
      <c r="AC20" s="566"/>
    </row>
    <row r="21" spans="1:29" ht="15.75" customHeight="1">
      <c r="A21" s="589" t="s">
        <v>86</v>
      </c>
      <c r="B21" s="57" t="s">
        <v>6</v>
      </c>
      <c r="C21" s="584" t="s">
        <v>20</v>
      </c>
      <c r="D21" s="584"/>
      <c r="E21" s="57">
        <v>57.73</v>
      </c>
      <c r="F21" s="427">
        <v>2162</v>
      </c>
      <c r="G21" s="417">
        <f t="shared" si="19"/>
        <v>124812.26</v>
      </c>
      <c r="H21" s="429" t="s">
        <v>5</v>
      </c>
      <c r="I21" s="425">
        <v>14</v>
      </c>
      <c r="J21" s="58">
        <v>2000</v>
      </c>
      <c r="K21" s="59">
        <f t="shared" si="1"/>
        <v>142.85714285714286</v>
      </c>
      <c r="L21" s="425">
        <v>14</v>
      </c>
      <c r="M21" s="60">
        <f t="shared" si="20"/>
        <v>1907.6470588235293</v>
      </c>
      <c r="N21" s="59">
        <f t="shared" si="3"/>
        <v>136.26050420168067</v>
      </c>
      <c r="O21" s="61">
        <f t="shared" si="4"/>
        <v>0</v>
      </c>
      <c r="P21" s="62">
        <f t="shared" si="5"/>
        <v>-6.5966386554621863</v>
      </c>
      <c r="Q21" s="419">
        <f t="shared" si="6"/>
        <v>0.95382352941176474</v>
      </c>
      <c r="R21" s="566"/>
      <c r="S21" s="63">
        <v>0.25416666666666665</v>
      </c>
      <c r="T21" s="63">
        <v>0.30138888888888887</v>
      </c>
      <c r="U21" s="417">
        <f t="shared" si="22"/>
        <v>7.9999999999999716</v>
      </c>
      <c r="V21" s="426">
        <f t="shared" si="21"/>
        <v>68</v>
      </c>
      <c r="W21" s="64"/>
      <c r="X21" s="417"/>
      <c r="Y21" s="559"/>
      <c r="Z21" s="559"/>
      <c r="AA21" s="61">
        <f t="shared" si="8"/>
        <v>-92.352941176470722</v>
      </c>
      <c r="AB21" s="419">
        <f t="shared" si="9"/>
        <v>0.95382352941176463</v>
      </c>
      <c r="AC21" s="566"/>
    </row>
    <row r="22" spans="1:29" ht="15.75" customHeight="1">
      <c r="A22" s="589" t="s">
        <v>86</v>
      </c>
      <c r="B22" s="57" t="s">
        <v>6</v>
      </c>
      <c r="C22" s="584" t="s">
        <v>21</v>
      </c>
      <c r="D22" s="584"/>
      <c r="E22" s="57">
        <v>53.68</v>
      </c>
      <c r="F22" s="427">
        <v>1230</v>
      </c>
      <c r="G22" s="417">
        <f t="shared" si="19"/>
        <v>66026.399999999994</v>
      </c>
      <c r="H22" s="429" t="s">
        <v>5</v>
      </c>
      <c r="I22" s="425">
        <v>16</v>
      </c>
      <c r="J22" s="58">
        <v>2000</v>
      </c>
      <c r="K22" s="59">
        <f t="shared" si="1"/>
        <v>125</v>
      </c>
      <c r="L22" s="425">
        <v>16</v>
      </c>
      <c r="M22" s="60">
        <f t="shared" si="20"/>
        <v>1942.1052631578932</v>
      </c>
      <c r="N22" s="59">
        <f t="shared" si="3"/>
        <v>121.38157894736833</v>
      </c>
      <c r="O22" s="61">
        <f t="shared" si="4"/>
        <v>0</v>
      </c>
      <c r="P22" s="62">
        <f t="shared" si="5"/>
        <v>-3.6184210526316747</v>
      </c>
      <c r="Q22" s="419">
        <f t="shared" si="6"/>
        <v>0.97105263157894661</v>
      </c>
      <c r="R22" s="566"/>
      <c r="S22" s="63">
        <v>0.30694444444444441</v>
      </c>
      <c r="T22" s="63">
        <v>0.33333333333333331</v>
      </c>
      <c r="U22" s="417">
        <f t="shared" si="22"/>
        <v>7.9999999999999716</v>
      </c>
      <c r="V22" s="426">
        <f t="shared" si="21"/>
        <v>38.000000000000028</v>
      </c>
      <c r="W22" s="64"/>
      <c r="X22" s="417"/>
      <c r="Y22" s="559"/>
      <c r="Z22" s="559"/>
      <c r="AA22" s="61">
        <f t="shared" si="8"/>
        <v>-57.894736842106795</v>
      </c>
      <c r="AB22" s="419">
        <f t="shared" si="9"/>
        <v>0.97105263157894661</v>
      </c>
      <c r="AC22" s="566"/>
    </row>
    <row r="23" spans="1:29" ht="15.75" customHeight="1">
      <c r="A23" s="589" t="s">
        <v>86</v>
      </c>
      <c r="B23" s="57" t="s">
        <v>6</v>
      </c>
      <c r="C23" s="584" t="s">
        <v>96</v>
      </c>
      <c r="D23" s="584"/>
      <c r="E23" s="57">
        <v>49.91</v>
      </c>
      <c r="F23" s="427">
        <v>731</v>
      </c>
      <c r="G23" s="417">
        <f t="shared" si="19"/>
        <v>36484.21</v>
      </c>
      <c r="H23" s="429" t="s">
        <v>5</v>
      </c>
      <c r="I23" s="425">
        <v>17</v>
      </c>
      <c r="J23" s="58">
        <v>2000</v>
      </c>
      <c r="K23" s="59">
        <f t="shared" si="1"/>
        <v>117.64705882352941</v>
      </c>
      <c r="L23" s="425">
        <v>17</v>
      </c>
      <c r="M23" s="60">
        <f t="shared" si="20"/>
        <v>1906.9565217391305</v>
      </c>
      <c r="N23" s="59">
        <f t="shared" si="3"/>
        <v>112.17391304347827</v>
      </c>
      <c r="O23" s="61">
        <f t="shared" si="4"/>
        <v>0</v>
      </c>
      <c r="P23" s="62">
        <f t="shared" si="5"/>
        <v>-5.4731457800511407</v>
      </c>
      <c r="Q23" s="419">
        <f t="shared" si="6"/>
        <v>0.95347826086956533</v>
      </c>
      <c r="R23" s="566"/>
      <c r="S23" s="63">
        <v>0.33888888888888885</v>
      </c>
      <c r="T23" s="63">
        <v>0.35486111111111107</v>
      </c>
      <c r="U23" s="417">
        <f t="shared" si="22"/>
        <v>7.9999999999999716</v>
      </c>
      <c r="V23" s="426">
        <f t="shared" si="21"/>
        <v>23</v>
      </c>
      <c r="W23" s="64"/>
      <c r="X23" s="417"/>
      <c r="Y23" s="559"/>
      <c r="Z23" s="559"/>
      <c r="AA23" s="61">
        <f t="shared" si="8"/>
        <v>-93.043478260869506</v>
      </c>
      <c r="AB23" s="419">
        <f t="shared" si="9"/>
        <v>0.95347826086956522</v>
      </c>
      <c r="AC23" s="566"/>
    </row>
    <row r="24" spans="1:29" ht="15.75" customHeight="1">
      <c r="A24" s="589" t="s">
        <v>86</v>
      </c>
      <c r="B24" s="57" t="s">
        <v>6</v>
      </c>
      <c r="C24" s="584" t="s">
        <v>8</v>
      </c>
      <c r="D24" s="584"/>
      <c r="E24" s="57">
        <v>50.49</v>
      </c>
      <c r="F24" s="427">
        <v>1691</v>
      </c>
      <c r="G24" s="417">
        <f t="shared" si="19"/>
        <v>85378.59</v>
      </c>
      <c r="H24" s="429" t="s">
        <v>5</v>
      </c>
      <c r="I24" s="425">
        <v>15</v>
      </c>
      <c r="J24" s="58">
        <v>2000</v>
      </c>
      <c r="K24" s="59">
        <f t="shared" si="1"/>
        <v>133.33333333333334</v>
      </c>
      <c r="L24" s="425">
        <v>15</v>
      </c>
      <c r="M24" s="60">
        <f t="shared" si="20"/>
        <v>1914.3396226415105</v>
      </c>
      <c r="N24" s="59">
        <f t="shared" si="3"/>
        <v>127.62264150943403</v>
      </c>
      <c r="O24" s="61">
        <f t="shared" si="4"/>
        <v>0</v>
      </c>
      <c r="P24" s="62">
        <f t="shared" si="5"/>
        <v>-5.7106918238993103</v>
      </c>
      <c r="Q24" s="419">
        <f t="shared" si="6"/>
        <v>0.95716981132075518</v>
      </c>
      <c r="R24" s="566"/>
      <c r="S24" s="63">
        <v>0.70833333333333337</v>
      </c>
      <c r="T24" s="63">
        <v>0.74513888888888891</v>
      </c>
      <c r="U24" s="417" t="str">
        <f t="shared" si="22"/>
        <v/>
      </c>
      <c r="V24" s="426">
        <f t="shared" si="21"/>
        <v>52.999999999999972</v>
      </c>
      <c r="W24" s="64"/>
      <c r="X24" s="68"/>
      <c r="Y24" s="559"/>
      <c r="Z24" s="559"/>
      <c r="AA24" s="61">
        <f t="shared" si="8"/>
        <v>-85.660377358489541</v>
      </c>
      <c r="AB24" s="419">
        <f t="shared" si="9"/>
        <v>0.95716981132075518</v>
      </c>
      <c r="AC24" s="566"/>
    </row>
    <row r="25" spans="1:29" ht="15.75" customHeight="1">
      <c r="A25" s="589" t="s">
        <v>1909</v>
      </c>
      <c r="B25" s="57" t="s">
        <v>6</v>
      </c>
      <c r="C25" s="584" t="s">
        <v>69</v>
      </c>
      <c r="D25" s="584"/>
      <c r="E25" s="57">
        <v>57.73</v>
      </c>
      <c r="F25" s="427">
        <v>1168</v>
      </c>
      <c r="G25" s="417">
        <f t="shared" si="19"/>
        <v>67428.639999999999</v>
      </c>
      <c r="H25" s="429" t="s">
        <v>5</v>
      </c>
      <c r="I25" s="425">
        <v>16</v>
      </c>
      <c r="J25" s="58">
        <v>1500</v>
      </c>
      <c r="K25" s="59">
        <f t="shared" si="1"/>
        <v>93.75</v>
      </c>
      <c r="L25" s="425">
        <v>16</v>
      </c>
      <c r="M25" s="60">
        <f t="shared" si="20"/>
        <v>1430.2040816326535</v>
      </c>
      <c r="N25" s="59">
        <f t="shared" si="3"/>
        <v>89.387755102040842</v>
      </c>
      <c r="O25" s="61">
        <f t="shared" si="4"/>
        <v>0</v>
      </c>
      <c r="P25" s="62">
        <f t="shared" si="5"/>
        <v>-4.3622448979591582</v>
      </c>
      <c r="Q25" s="419">
        <f t="shared" si="6"/>
        <v>0.95346938775510226</v>
      </c>
      <c r="R25" s="566"/>
      <c r="S25" s="63">
        <v>0.75069444444444444</v>
      </c>
      <c r="T25" s="63">
        <v>0.78472222222222221</v>
      </c>
      <c r="U25" s="417">
        <f t="shared" si="22"/>
        <v>7.9999999999999716</v>
      </c>
      <c r="V25" s="426">
        <f t="shared" si="21"/>
        <v>48.999999999999986</v>
      </c>
      <c r="W25" s="64"/>
      <c r="X25" s="68"/>
      <c r="Y25" s="569"/>
      <c r="Z25" s="570"/>
      <c r="AA25" s="61">
        <f t="shared" si="8"/>
        <v>-69.79591836734653</v>
      </c>
      <c r="AB25" s="419">
        <f t="shared" si="9"/>
        <v>0.95346938775510226</v>
      </c>
      <c r="AC25" s="566"/>
    </row>
    <row r="26" spans="1:29" ht="15.75" customHeight="1">
      <c r="A26" s="589" t="s">
        <v>86</v>
      </c>
      <c r="B26" s="57" t="s">
        <v>6</v>
      </c>
      <c r="C26" s="585" t="s">
        <v>99</v>
      </c>
      <c r="D26" s="586"/>
      <c r="E26" s="57">
        <v>53.68</v>
      </c>
      <c r="F26" s="427">
        <v>1891</v>
      </c>
      <c r="G26" s="417">
        <f t="shared" si="19"/>
        <v>101508.88</v>
      </c>
      <c r="H26" s="429" t="s">
        <v>5</v>
      </c>
      <c r="I26" s="425">
        <v>16</v>
      </c>
      <c r="J26" s="58">
        <v>1500</v>
      </c>
      <c r="K26" s="59">
        <f t="shared" si="1"/>
        <v>93.75</v>
      </c>
      <c r="L26" s="425">
        <v>16</v>
      </c>
      <c r="M26" s="60">
        <f t="shared" si="20"/>
        <v>1436.2025316455688</v>
      </c>
      <c r="N26" s="59">
        <f t="shared" si="3"/>
        <v>89.76265822784805</v>
      </c>
      <c r="O26" s="61">
        <f t="shared" si="4"/>
        <v>0</v>
      </c>
      <c r="P26" s="62">
        <f t="shared" si="5"/>
        <v>-3.9873417721519502</v>
      </c>
      <c r="Q26" s="419">
        <f t="shared" si="6"/>
        <v>0.95746835443037914</v>
      </c>
      <c r="R26" s="566"/>
      <c r="S26" s="63">
        <v>0.7895833333333333</v>
      </c>
      <c r="T26" s="63">
        <v>0.84444444444444444</v>
      </c>
      <c r="U26" s="417">
        <f t="shared" si="22"/>
        <v>6.9999999999999751</v>
      </c>
      <c r="V26" s="426">
        <f t="shared" si="21"/>
        <v>79.000000000000043</v>
      </c>
      <c r="W26" s="64"/>
      <c r="X26" s="64"/>
      <c r="Y26" s="569"/>
      <c r="Z26" s="570"/>
      <c r="AA26" s="61">
        <f t="shared" si="8"/>
        <v>-63.797468354431203</v>
      </c>
      <c r="AB26" s="419">
        <f t="shared" si="9"/>
        <v>0.95746835443037914</v>
      </c>
      <c r="AC26" s="566"/>
    </row>
    <row r="27" spans="1:29" ht="15.75" customHeight="1">
      <c r="A27" s="589" t="s">
        <v>86</v>
      </c>
      <c r="B27" s="57" t="s">
        <v>67</v>
      </c>
      <c r="C27" s="571"/>
      <c r="D27" s="571"/>
      <c r="E27" s="424"/>
      <c r="F27" s="427"/>
      <c r="G27" s="417"/>
      <c r="H27" s="427"/>
      <c r="I27" s="67">
        <v>16</v>
      </c>
      <c r="J27" s="58">
        <v>1875</v>
      </c>
      <c r="K27" s="59">
        <f t="shared" si="1"/>
        <v>117.1875</v>
      </c>
      <c r="L27" s="67">
        <v>16</v>
      </c>
      <c r="M27" s="60">
        <f>AVERAGE(M19:M26)</f>
        <v>1799.3480340233589</v>
      </c>
      <c r="N27" s="59">
        <f t="shared" si="3"/>
        <v>112.45925212645993</v>
      </c>
      <c r="O27" s="61">
        <f t="shared" si="4"/>
        <v>0</v>
      </c>
      <c r="P27" s="62">
        <f t="shared" si="5"/>
        <v>-4.7282478735400701</v>
      </c>
      <c r="Q27" s="419">
        <f t="shared" si="6"/>
        <v>0.95965228481245812</v>
      </c>
      <c r="R27" s="566"/>
      <c r="S27" s="63"/>
      <c r="T27" s="63"/>
      <c r="U27" s="59"/>
      <c r="V27" s="426"/>
      <c r="W27" s="59"/>
      <c r="X27" s="59"/>
      <c r="Y27" s="559"/>
      <c r="Z27" s="559"/>
      <c r="AA27" s="61">
        <f t="shared" si="8"/>
        <v>-75.651965976641122</v>
      </c>
      <c r="AB27" s="419">
        <f t="shared" si="9"/>
        <v>0.95965228481245812</v>
      </c>
      <c r="AC27" s="566"/>
    </row>
    <row r="28" spans="1:29" ht="15.75" customHeight="1">
      <c r="A28" s="587" t="s">
        <v>87</v>
      </c>
      <c r="B28" s="57" t="s">
        <v>15</v>
      </c>
      <c r="C28" s="584" t="s">
        <v>26</v>
      </c>
      <c r="D28" s="584"/>
      <c r="E28" s="57">
        <v>31.29</v>
      </c>
      <c r="F28" s="427">
        <v>6550</v>
      </c>
      <c r="G28" s="417">
        <f t="shared" ref="G28:G33" si="23">E28*F28</f>
        <v>204949.5</v>
      </c>
      <c r="H28" s="429" t="s">
        <v>5</v>
      </c>
      <c r="I28" s="425">
        <v>18</v>
      </c>
      <c r="J28" s="58">
        <v>2400</v>
      </c>
      <c r="K28" s="59">
        <f t="shared" si="1"/>
        <v>133.33333333333334</v>
      </c>
      <c r="L28" s="425">
        <v>18</v>
      </c>
      <c r="M28" s="60">
        <f t="shared" ref="M28:M33" si="24">F28/V28*60</f>
        <v>2284.8837209302328</v>
      </c>
      <c r="N28" s="59">
        <f t="shared" si="3"/>
        <v>126.93798449612405</v>
      </c>
      <c r="O28" s="61">
        <f t="shared" si="4"/>
        <v>0</v>
      </c>
      <c r="P28" s="62">
        <f t="shared" si="5"/>
        <v>-6.3953488372092977</v>
      </c>
      <c r="Q28" s="419">
        <f t="shared" si="6"/>
        <v>0.95203488372093026</v>
      </c>
      <c r="R28" s="566">
        <f>Q34</f>
        <v>0.95386312205963564</v>
      </c>
      <c r="S28" s="63">
        <v>8.3333333333333329E-2</v>
      </c>
      <c r="T28" s="63">
        <v>0.20277777777777778</v>
      </c>
      <c r="U28" s="417"/>
      <c r="V28" s="426">
        <f t="shared" ref="V28:V33" si="25">(T28-S28)*24*60</f>
        <v>172</v>
      </c>
      <c r="W28" s="64">
        <f>T28</f>
        <v>0.20277777777777778</v>
      </c>
      <c r="X28" s="64">
        <f>S29</f>
        <v>0.22152777777777777</v>
      </c>
      <c r="Y28" s="559"/>
      <c r="Z28" s="559"/>
      <c r="AA28" s="61">
        <f t="shared" si="8"/>
        <v>-115.11627906976719</v>
      </c>
      <c r="AB28" s="419">
        <f t="shared" si="9"/>
        <v>0.95203488372093037</v>
      </c>
      <c r="AC28" s="566">
        <f>AB34</f>
        <v>0.95386312205963575</v>
      </c>
    </row>
    <row r="29" spans="1:29" ht="15.75" customHeight="1">
      <c r="A29" s="587" t="s">
        <v>87</v>
      </c>
      <c r="B29" s="57" t="s">
        <v>15</v>
      </c>
      <c r="C29" s="584" t="s">
        <v>23</v>
      </c>
      <c r="D29" s="584"/>
      <c r="E29" s="57">
        <v>26.2</v>
      </c>
      <c r="F29" s="427">
        <v>3788</v>
      </c>
      <c r="G29" s="417">
        <f t="shared" si="23"/>
        <v>99245.599999999991</v>
      </c>
      <c r="H29" s="429" t="s">
        <v>5</v>
      </c>
      <c r="I29" s="425">
        <v>20</v>
      </c>
      <c r="J29" s="58">
        <v>2400</v>
      </c>
      <c r="K29" s="59">
        <f t="shared" si="1"/>
        <v>120</v>
      </c>
      <c r="L29" s="425">
        <v>20</v>
      </c>
      <c r="M29" s="60">
        <f t="shared" si="24"/>
        <v>2295.757575757576</v>
      </c>
      <c r="N29" s="59">
        <f t="shared" si="3"/>
        <v>114.7878787878788</v>
      </c>
      <c r="O29" s="61">
        <f t="shared" si="4"/>
        <v>0</v>
      </c>
      <c r="P29" s="62">
        <f t="shared" si="5"/>
        <v>-5.2121212121212039</v>
      </c>
      <c r="Q29" s="419">
        <f t="shared" si="6"/>
        <v>0.95656565656565662</v>
      </c>
      <c r="R29" s="566"/>
      <c r="S29" s="63">
        <v>0.22152777777777777</v>
      </c>
      <c r="T29" s="63">
        <v>0.29027777777777775</v>
      </c>
      <c r="U29" s="417">
        <f t="shared" ref="U29:U33" si="26">(S29-T28)*24*60</f>
        <v>26.999999999999986</v>
      </c>
      <c r="V29" s="426">
        <f t="shared" si="25"/>
        <v>98.999999999999972</v>
      </c>
      <c r="W29" s="64"/>
      <c r="X29" s="64"/>
      <c r="Y29" s="559"/>
      <c r="Z29" s="559"/>
      <c r="AA29" s="61">
        <f t="shared" si="8"/>
        <v>-104.24242424242402</v>
      </c>
      <c r="AB29" s="419">
        <f t="shared" si="9"/>
        <v>0.95656565656565662</v>
      </c>
      <c r="AC29" s="566"/>
    </row>
    <row r="30" spans="1:29" ht="15.75" customHeight="1">
      <c r="A30" s="587" t="s">
        <v>1910</v>
      </c>
      <c r="B30" s="57" t="s">
        <v>15</v>
      </c>
      <c r="C30" s="584" t="s">
        <v>70</v>
      </c>
      <c r="D30" s="584"/>
      <c r="E30" s="57">
        <v>25.99</v>
      </c>
      <c r="F30" s="427">
        <v>3602</v>
      </c>
      <c r="G30" s="417">
        <f t="shared" si="23"/>
        <v>93615.98</v>
      </c>
      <c r="H30" s="429" t="s">
        <v>5</v>
      </c>
      <c r="I30" s="425">
        <v>14</v>
      </c>
      <c r="J30" s="58">
        <v>2400</v>
      </c>
      <c r="K30" s="59">
        <f t="shared" si="1"/>
        <v>171.42857142857142</v>
      </c>
      <c r="L30" s="425">
        <v>14</v>
      </c>
      <c r="M30" s="60">
        <f t="shared" si="24"/>
        <v>2299.1489361702129</v>
      </c>
      <c r="N30" s="59">
        <f t="shared" si="3"/>
        <v>164.22492401215806</v>
      </c>
      <c r="O30" s="61">
        <f t="shared" si="4"/>
        <v>0</v>
      </c>
      <c r="P30" s="62">
        <f t="shared" si="5"/>
        <v>-7.2036474164133608</v>
      </c>
      <c r="Q30" s="419">
        <f t="shared" si="6"/>
        <v>0.95797872340425538</v>
      </c>
      <c r="R30" s="566"/>
      <c r="S30" s="63">
        <v>0.29513888888888884</v>
      </c>
      <c r="T30" s="63">
        <v>0.36041666666666661</v>
      </c>
      <c r="U30" s="417">
        <f t="shared" si="26"/>
        <v>6.9999999999999751</v>
      </c>
      <c r="V30" s="426">
        <f t="shared" si="25"/>
        <v>93.999999999999986</v>
      </c>
      <c r="W30" s="64"/>
      <c r="X30" s="64"/>
      <c r="Y30" s="559"/>
      <c r="Z30" s="559"/>
      <c r="AA30" s="61">
        <f t="shared" si="8"/>
        <v>-100.85106382978711</v>
      </c>
      <c r="AB30" s="419">
        <f t="shared" si="9"/>
        <v>0.95797872340425538</v>
      </c>
      <c r="AC30" s="566"/>
    </row>
    <row r="31" spans="1:29" ht="15.75" customHeight="1">
      <c r="A31" s="587" t="s">
        <v>87</v>
      </c>
      <c r="B31" s="57" t="s">
        <v>15</v>
      </c>
      <c r="C31" s="584" t="s">
        <v>45</v>
      </c>
      <c r="D31" s="584"/>
      <c r="E31" s="57">
        <v>20.52</v>
      </c>
      <c r="F31" s="427">
        <v>3092</v>
      </c>
      <c r="G31" s="417">
        <f t="shared" si="23"/>
        <v>63447.839999999997</v>
      </c>
      <c r="H31" s="429" t="s">
        <v>5</v>
      </c>
      <c r="I31" s="425">
        <v>18</v>
      </c>
      <c r="J31" s="58">
        <v>2400</v>
      </c>
      <c r="K31" s="59">
        <f t="shared" si="1"/>
        <v>133.33333333333334</v>
      </c>
      <c r="L31" s="425">
        <v>18</v>
      </c>
      <c r="M31" s="60">
        <f t="shared" si="24"/>
        <v>2290.3703703703695</v>
      </c>
      <c r="N31" s="59">
        <f t="shared" si="3"/>
        <v>127.24279835390942</v>
      </c>
      <c r="O31" s="61">
        <f t="shared" si="4"/>
        <v>0</v>
      </c>
      <c r="P31" s="62">
        <f t="shared" si="5"/>
        <v>-6.0905349794239214</v>
      </c>
      <c r="Q31" s="419">
        <f t="shared" si="6"/>
        <v>0.95432098765432061</v>
      </c>
      <c r="R31" s="566"/>
      <c r="S31" s="63">
        <v>0.3652777777777777</v>
      </c>
      <c r="T31" s="63">
        <v>0.42152777777777772</v>
      </c>
      <c r="U31" s="417">
        <f t="shared" si="26"/>
        <v>6.9999999999999751</v>
      </c>
      <c r="V31" s="426">
        <f t="shared" si="25"/>
        <v>81.000000000000028</v>
      </c>
      <c r="W31" s="64"/>
      <c r="X31" s="64"/>
      <c r="Y31" s="559"/>
      <c r="Z31" s="559"/>
      <c r="AA31" s="61">
        <f t="shared" si="8"/>
        <v>-109.62962962963047</v>
      </c>
      <c r="AB31" s="419">
        <f t="shared" si="9"/>
        <v>0.95432098765432061</v>
      </c>
      <c r="AC31" s="566"/>
    </row>
    <row r="32" spans="1:29" ht="15.75" customHeight="1">
      <c r="A32" s="587" t="s">
        <v>1911</v>
      </c>
      <c r="B32" s="57" t="s">
        <v>15</v>
      </c>
      <c r="C32" s="584" t="s">
        <v>98</v>
      </c>
      <c r="D32" s="584"/>
      <c r="E32" s="57">
        <v>25.98</v>
      </c>
      <c r="F32" s="427">
        <v>3025</v>
      </c>
      <c r="G32" s="417">
        <f t="shared" si="23"/>
        <v>78589.5</v>
      </c>
      <c r="H32" s="429" t="s">
        <v>5</v>
      </c>
      <c r="I32" s="425">
        <v>21</v>
      </c>
      <c r="J32" s="58">
        <v>2400</v>
      </c>
      <c r="K32" s="59">
        <f t="shared" si="1"/>
        <v>114.28571428571429</v>
      </c>
      <c r="L32" s="425">
        <v>21</v>
      </c>
      <c r="M32" s="60">
        <f t="shared" si="24"/>
        <v>2297.4683544303789</v>
      </c>
      <c r="N32" s="59">
        <f t="shared" si="3"/>
        <v>109.40325497287519</v>
      </c>
      <c r="O32" s="61">
        <f t="shared" si="4"/>
        <v>0</v>
      </c>
      <c r="P32" s="62">
        <f t="shared" si="5"/>
        <v>-4.8824593128391029</v>
      </c>
      <c r="Q32" s="419">
        <f t="shared" si="6"/>
        <v>0.95727848101265789</v>
      </c>
      <c r="R32" s="566"/>
      <c r="S32" s="63">
        <v>0.42499999999999993</v>
      </c>
      <c r="T32" s="63">
        <v>0.47986111111111107</v>
      </c>
      <c r="U32" s="417">
        <f t="shared" si="26"/>
        <v>4.9999999999999822</v>
      </c>
      <c r="V32" s="426">
        <f t="shared" si="25"/>
        <v>79.000000000000043</v>
      </c>
      <c r="W32" s="64"/>
      <c r="X32" s="64"/>
      <c r="Y32" s="559"/>
      <c r="Z32" s="559"/>
      <c r="AA32" s="61">
        <f t="shared" si="8"/>
        <v>-102.53164556962111</v>
      </c>
      <c r="AB32" s="419">
        <f t="shared" si="9"/>
        <v>0.95727848101265789</v>
      </c>
      <c r="AC32" s="566"/>
    </row>
    <row r="33" spans="1:29" ht="15.75" customHeight="1">
      <c r="A33" s="587" t="s">
        <v>87</v>
      </c>
      <c r="B33" s="57" t="s">
        <v>15</v>
      </c>
      <c r="C33" s="584" t="s">
        <v>100</v>
      </c>
      <c r="D33" s="584"/>
      <c r="E33" s="57">
        <v>28.51</v>
      </c>
      <c r="F33" s="427">
        <v>567</v>
      </c>
      <c r="G33" s="417">
        <f t="shared" si="23"/>
        <v>16165.17</v>
      </c>
      <c r="H33" s="429" t="s">
        <v>5</v>
      </c>
      <c r="I33" s="425">
        <v>16</v>
      </c>
      <c r="J33" s="58">
        <v>2400</v>
      </c>
      <c r="K33" s="59">
        <f t="shared" si="1"/>
        <v>150</v>
      </c>
      <c r="L33" s="425">
        <v>16</v>
      </c>
      <c r="M33" s="60">
        <f t="shared" si="24"/>
        <v>2267.9999999999841</v>
      </c>
      <c r="N33" s="59">
        <f t="shared" si="3"/>
        <v>141.74999999999901</v>
      </c>
      <c r="O33" s="61">
        <f t="shared" si="4"/>
        <v>0</v>
      </c>
      <c r="P33" s="62">
        <f t="shared" si="5"/>
        <v>-8.2500000000009948</v>
      </c>
      <c r="Q33" s="419">
        <f t="shared" si="6"/>
        <v>0.9449999999999934</v>
      </c>
      <c r="R33" s="566"/>
      <c r="S33" s="63">
        <v>0.48402777777777772</v>
      </c>
      <c r="T33" s="63">
        <v>0.49444444444444446</v>
      </c>
      <c r="U33" s="417">
        <f t="shared" si="26"/>
        <v>5.9999999999999787</v>
      </c>
      <c r="V33" s="426">
        <f t="shared" si="25"/>
        <v>15.000000000000107</v>
      </c>
      <c r="W33" s="64"/>
      <c r="X33" s="64"/>
      <c r="Y33" s="559"/>
      <c r="Z33" s="559"/>
      <c r="AA33" s="61">
        <f t="shared" si="8"/>
        <v>-132.00000000001592</v>
      </c>
      <c r="AB33" s="419">
        <f t="shared" si="9"/>
        <v>0.9449999999999934</v>
      </c>
      <c r="AC33" s="566"/>
    </row>
    <row r="34" spans="1:29" ht="15.75" customHeight="1">
      <c r="A34" s="587" t="s">
        <v>1911</v>
      </c>
      <c r="B34" s="57" t="s">
        <v>67</v>
      </c>
      <c r="C34" s="571"/>
      <c r="D34" s="571"/>
      <c r="E34" s="424"/>
      <c r="F34" s="427"/>
      <c r="G34" s="417"/>
      <c r="H34" s="427"/>
      <c r="I34" s="67">
        <v>17.833333333333332</v>
      </c>
      <c r="J34" s="58">
        <v>2400</v>
      </c>
      <c r="K34" s="59">
        <f t="shared" si="1"/>
        <v>134.57943925233647</v>
      </c>
      <c r="L34" s="67">
        <v>17.833333333333332</v>
      </c>
      <c r="M34" s="60">
        <f>AVERAGE(M28:M33)</f>
        <v>2289.2714929431258</v>
      </c>
      <c r="N34" s="59">
        <f t="shared" si="3"/>
        <v>128.37036409026874</v>
      </c>
      <c r="O34" s="61">
        <f t="shared" si="4"/>
        <v>0</v>
      </c>
      <c r="P34" s="62">
        <f t="shared" si="5"/>
        <v>-6.2090751620677338</v>
      </c>
      <c r="Q34" s="419">
        <f t="shared" si="6"/>
        <v>0.95386312205963564</v>
      </c>
      <c r="R34" s="566"/>
      <c r="S34" s="63"/>
      <c r="T34" s="63"/>
      <c r="U34" s="417"/>
      <c r="V34" s="426"/>
      <c r="W34" s="417"/>
      <c r="X34" s="417"/>
      <c r="Y34" s="559"/>
      <c r="Z34" s="559"/>
      <c r="AA34" s="61">
        <f t="shared" si="8"/>
        <v>-110.72850705687415</v>
      </c>
      <c r="AB34" s="419">
        <f t="shared" si="9"/>
        <v>0.95386312205963575</v>
      </c>
      <c r="AC34" s="566"/>
    </row>
    <row r="35" spans="1:29" ht="15.75" customHeight="1">
      <c r="A35" s="582" t="s">
        <v>88</v>
      </c>
      <c r="B35" s="57" t="s">
        <v>15</v>
      </c>
      <c r="C35" s="560" t="s">
        <v>101</v>
      </c>
      <c r="D35" s="560"/>
      <c r="E35" s="57">
        <v>22.69</v>
      </c>
      <c r="F35" s="427">
        <v>1039</v>
      </c>
      <c r="G35" s="417">
        <f t="shared" ref="G35:G40" si="27">E35*F35</f>
        <v>23574.91</v>
      </c>
      <c r="H35" s="429" t="s">
        <v>5</v>
      </c>
      <c r="I35" s="425">
        <v>15</v>
      </c>
      <c r="J35" s="58">
        <v>2400</v>
      </c>
      <c r="K35" s="59">
        <f t="shared" si="1"/>
        <v>160</v>
      </c>
      <c r="L35" s="425">
        <v>15</v>
      </c>
      <c r="M35" s="60">
        <f t="shared" ref="M35:M40" si="28">F35/V35*60</f>
        <v>2308.8888888888882</v>
      </c>
      <c r="N35" s="59">
        <f t="shared" si="3"/>
        <v>153.9259259259259</v>
      </c>
      <c r="O35" s="61">
        <f t="shared" si="4"/>
        <v>0</v>
      </c>
      <c r="P35" s="62">
        <f t="shared" si="5"/>
        <v>-6.0740740740741046</v>
      </c>
      <c r="Q35" s="419">
        <f t="shared" si="6"/>
        <v>0.9620370370370368</v>
      </c>
      <c r="R35" s="566">
        <f>Q41</f>
        <v>0.95761864597859059</v>
      </c>
      <c r="S35" s="63">
        <v>8.3333333333333329E-2</v>
      </c>
      <c r="T35" s="63">
        <v>0.10208333333333333</v>
      </c>
      <c r="U35" s="417"/>
      <c r="V35" s="426">
        <f t="shared" ref="V35:V40" si="29">(T35-S35)*24*60</f>
        <v>27.000000000000004</v>
      </c>
      <c r="W35" s="68">
        <f>T35</f>
        <v>0.10208333333333333</v>
      </c>
      <c r="X35" s="68">
        <f>S36</f>
        <v>0.12152777777777778</v>
      </c>
      <c r="Y35" s="559"/>
      <c r="Z35" s="559"/>
      <c r="AA35" s="61">
        <f t="shared" si="8"/>
        <v>-91.111111111111768</v>
      </c>
      <c r="AB35" s="419">
        <f t="shared" si="9"/>
        <v>0.9620370370370368</v>
      </c>
      <c r="AC35" s="566">
        <f>AB41</f>
        <v>0.95761864597859037</v>
      </c>
    </row>
    <row r="36" spans="1:29" ht="15.75" customHeight="1">
      <c r="A36" s="582" t="s">
        <v>88</v>
      </c>
      <c r="B36" s="57" t="s">
        <v>15</v>
      </c>
      <c r="C36" s="560" t="s">
        <v>27</v>
      </c>
      <c r="D36" s="560"/>
      <c r="E36" s="57">
        <v>26.2</v>
      </c>
      <c r="F36" s="427">
        <v>4767</v>
      </c>
      <c r="G36" s="417">
        <f t="shared" si="27"/>
        <v>124895.4</v>
      </c>
      <c r="H36" s="429" t="s">
        <v>5</v>
      </c>
      <c r="I36" s="425">
        <v>18</v>
      </c>
      <c r="J36" s="58">
        <v>2400</v>
      </c>
      <c r="K36" s="59">
        <f t="shared" si="1"/>
        <v>133.33333333333334</v>
      </c>
      <c r="L36" s="425">
        <v>18</v>
      </c>
      <c r="M36" s="60">
        <f t="shared" si="28"/>
        <v>2288.16</v>
      </c>
      <c r="N36" s="59">
        <f t="shared" si="3"/>
        <v>127.11999999999999</v>
      </c>
      <c r="O36" s="61">
        <f t="shared" si="4"/>
        <v>0</v>
      </c>
      <c r="P36" s="62">
        <f t="shared" si="5"/>
        <v>-6.2133333333333525</v>
      </c>
      <c r="Q36" s="419">
        <f t="shared" si="6"/>
        <v>0.95339999999999991</v>
      </c>
      <c r="R36" s="566"/>
      <c r="S36" s="63">
        <v>0.12152777777777778</v>
      </c>
      <c r="T36" s="63">
        <v>0.20833333333333334</v>
      </c>
      <c r="U36" s="417">
        <f t="shared" ref="U36:U40" si="30">(S36-T35)*24*60</f>
        <v>28</v>
      </c>
      <c r="V36" s="426">
        <f t="shared" si="29"/>
        <v>125.00000000000001</v>
      </c>
      <c r="W36" s="417"/>
      <c r="X36" s="417"/>
      <c r="Y36" s="559"/>
      <c r="Z36" s="559"/>
      <c r="AA36" s="61">
        <f t="shared" si="8"/>
        <v>-111.84000000000015</v>
      </c>
      <c r="AB36" s="419">
        <f t="shared" si="9"/>
        <v>0.95339999999999991</v>
      </c>
      <c r="AC36" s="566"/>
    </row>
    <row r="37" spans="1:29">
      <c r="A37" s="583" t="s">
        <v>88</v>
      </c>
      <c r="B37" s="57" t="s">
        <v>15</v>
      </c>
      <c r="C37" s="560" t="s">
        <v>25</v>
      </c>
      <c r="D37" s="560"/>
      <c r="E37" s="57">
        <v>26.18</v>
      </c>
      <c r="F37" s="427">
        <v>1793</v>
      </c>
      <c r="G37" s="417">
        <f t="shared" si="27"/>
        <v>46940.74</v>
      </c>
      <c r="H37" s="429" t="s">
        <v>5</v>
      </c>
      <c r="I37" s="425">
        <v>19</v>
      </c>
      <c r="J37" s="58">
        <v>2400</v>
      </c>
      <c r="K37" s="59">
        <f t="shared" si="1"/>
        <v>126.31578947368421</v>
      </c>
      <c r="L37" s="425">
        <v>19</v>
      </c>
      <c r="M37" s="60">
        <f t="shared" si="28"/>
        <v>2288.9361702127662</v>
      </c>
      <c r="N37" s="59">
        <f t="shared" si="3"/>
        <v>120.47032474804033</v>
      </c>
      <c r="O37" s="61">
        <f t="shared" si="4"/>
        <v>0</v>
      </c>
      <c r="P37" s="62">
        <f t="shared" si="5"/>
        <v>-5.845464725643879</v>
      </c>
      <c r="Q37" s="419">
        <f t="shared" si="6"/>
        <v>0.95372340425531932</v>
      </c>
      <c r="R37" s="566"/>
      <c r="S37" s="63">
        <v>0.21250000000000002</v>
      </c>
      <c r="T37" s="63">
        <v>0.24513888888888891</v>
      </c>
      <c r="U37" s="417">
        <f t="shared" si="30"/>
        <v>6.0000000000000187</v>
      </c>
      <c r="V37" s="426">
        <f t="shared" si="29"/>
        <v>46.999999999999993</v>
      </c>
      <c r="W37" s="417"/>
      <c r="X37" s="417"/>
      <c r="Y37" s="559"/>
      <c r="Z37" s="559"/>
      <c r="AA37" s="61">
        <f t="shared" si="8"/>
        <v>-111.06382978723377</v>
      </c>
      <c r="AB37" s="419">
        <f t="shared" si="9"/>
        <v>0.95372340425531921</v>
      </c>
      <c r="AC37" s="566"/>
    </row>
    <row r="38" spans="1:29">
      <c r="A38" s="583" t="s">
        <v>88</v>
      </c>
      <c r="B38" s="57" t="s">
        <v>15</v>
      </c>
      <c r="C38" s="560" t="s">
        <v>28</v>
      </c>
      <c r="D38" s="560"/>
      <c r="E38" s="57">
        <v>26.39</v>
      </c>
      <c r="F38" s="427">
        <v>4511</v>
      </c>
      <c r="G38" s="417">
        <f t="shared" si="27"/>
        <v>119045.29000000001</v>
      </c>
      <c r="H38" s="429" t="s">
        <v>5</v>
      </c>
      <c r="I38" s="425">
        <v>19</v>
      </c>
      <c r="J38" s="58">
        <v>2400</v>
      </c>
      <c r="K38" s="59">
        <f t="shared" si="1"/>
        <v>126.31578947368421</v>
      </c>
      <c r="L38" s="425">
        <v>19</v>
      </c>
      <c r="M38" s="60">
        <f t="shared" si="28"/>
        <v>2293.7288135593226</v>
      </c>
      <c r="N38" s="59">
        <f t="shared" si="3"/>
        <v>120.72256913470119</v>
      </c>
      <c r="O38" s="61">
        <f t="shared" si="4"/>
        <v>0</v>
      </c>
      <c r="P38" s="62">
        <f t="shared" si="5"/>
        <v>-5.5932203389830164</v>
      </c>
      <c r="Q38" s="419">
        <f t="shared" si="6"/>
        <v>0.95572033898305109</v>
      </c>
      <c r="R38" s="566"/>
      <c r="S38" s="63">
        <v>0.25</v>
      </c>
      <c r="T38" s="63">
        <v>0.33194444444444443</v>
      </c>
      <c r="U38" s="417">
        <f t="shared" si="30"/>
        <v>6.9999999999999751</v>
      </c>
      <c r="V38" s="426">
        <f t="shared" si="29"/>
        <v>117.99999999999999</v>
      </c>
      <c r="W38" s="64"/>
      <c r="X38" s="64"/>
      <c r="Y38" s="559"/>
      <c r="Z38" s="559"/>
      <c r="AA38" s="61">
        <f t="shared" si="8"/>
        <v>-106.27118644067741</v>
      </c>
      <c r="AB38" s="419">
        <f t="shared" si="9"/>
        <v>0.95572033898305109</v>
      </c>
      <c r="AC38" s="566"/>
    </row>
    <row r="39" spans="1:29">
      <c r="A39" s="583" t="s">
        <v>88</v>
      </c>
      <c r="B39" s="57" t="s">
        <v>15</v>
      </c>
      <c r="C39" s="560" t="s">
        <v>658</v>
      </c>
      <c r="D39" s="560"/>
      <c r="E39" s="57">
        <v>22.69</v>
      </c>
      <c r="F39" s="427">
        <v>2911</v>
      </c>
      <c r="G39" s="417">
        <f t="shared" si="27"/>
        <v>66050.59</v>
      </c>
      <c r="H39" s="429" t="s">
        <v>5</v>
      </c>
      <c r="I39" s="425">
        <v>15</v>
      </c>
      <c r="J39" s="58">
        <v>2400</v>
      </c>
      <c r="K39" s="59">
        <f t="shared" si="1"/>
        <v>160</v>
      </c>
      <c r="L39" s="425">
        <v>15</v>
      </c>
      <c r="M39" s="60">
        <f t="shared" si="28"/>
        <v>2298.157894736843</v>
      </c>
      <c r="N39" s="59">
        <f t="shared" si="3"/>
        <v>153.21052631578954</v>
      </c>
      <c r="O39" s="61">
        <f t="shared" si="4"/>
        <v>0</v>
      </c>
      <c r="P39" s="62">
        <f t="shared" si="5"/>
        <v>-6.7894736842104635</v>
      </c>
      <c r="Q39" s="419">
        <f t="shared" si="6"/>
        <v>0.95756578947368465</v>
      </c>
      <c r="R39" s="566"/>
      <c r="S39" s="63">
        <v>0.33749999999999997</v>
      </c>
      <c r="T39" s="63">
        <v>0.39027777777777772</v>
      </c>
      <c r="U39" s="417">
        <f t="shared" si="30"/>
        <v>7.9999999999999716</v>
      </c>
      <c r="V39" s="426">
        <f t="shared" si="29"/>
        <v>75.999999999999972</v>
      </c>
      <c r="W39" s="64"/>
      <c r="X39" s="64"/>
      <c r="Y39" s="559"/>
      <c r="Z39" s="559"/>
      <c r="AA39" s="61">
        <f t="shared" si="8"/>
        <v>-101.84210526315701</v>
      </c>
      <c r="AB39" s="419">
        <f t="shared" si="9"/>
        <v>0.95756578947368454</v>
      </c>
      <c r="AC39" s="566"/>
    </row>
    <row r="40" spans="1:29">
      <c r="A40" s="583" t="s">
        <v>88</v>
      </c>
      <c r="B40" s="57" t="s">
        <v>15</v>
      </c>
      <c r="C40" s="560" t="s">
        <v>16</v>
      </c>
      <c r="D40" s="560"/>
      <c r="E40" s="57">
        <v>24.45</v>
      </c>
      <c r="F40" s="427">
        <v>1888</v>
      </c>
      <c r="G40" s="417">
        <f t="shared" si="27"/>
        <v>46161.599999999999</v>
      </c>
      <c r="H40" s="429" t="s">
        <v>5</v>
      </c>
      <c r="I40" s="425">
        <v>20</v>
      </c>
      <c r="J40" s="58">
        <v>2400</v>
      </c>
      <c r="K40" s="59">
        <f t="shared" si="1"/>
        <v>120</v>
      </c>
      <c r="L40" s="425">
        <v>20</v>
      </c>
      <c r="M40" s="60">
        <f t="shared" si="28"/>
        <v>2311.8367346938785</v>
      </c>
      <c r="N40" s="59">
        <f t="shared" si="3"/>
        <v>115.59183673469393</v>
      </c>
      <c r="O40" s="61">
        <f t="shared" si="4"/>
        <v>0</v>
      </c>
      <c r="P40" s="62">
        <f t="shared" si="5"/>
        <v>-4.4081632653060723</v>
      </c>
      <c r="Q40" s="419">
        <f t="shared" si="6"/>
        <v>0.96326530612244943</v>
      </c>
      <c r="R40" s="566"/>
      <c r="S40" s="63">
        <v>0.39513888888888882</v>
      </c>
      <c r="T40" s="63">
        <v>0.42916666666666659</v>
      </c>
      <c r="U40" s="417">
        <f t="shared" si="30"/>
        <v>6.9999999999999751</v>
      </c>
      <c r="V40" s="426">
        <f t="shared" si="29"/>
        <v>48.999999999999986</v>
      </c>
      <c r="W40" s="64"/>
      <c r="X40" s="64"/>
      <c r="Y40" s="559"/>
      <c r="Z40" s="559"/>
      <c r="AA40" s="61">
        <f t="shared" si="8"/>
        <v>-88.163265306121502</v>
      </c>
      <c r="AB40" s="419">
        <f t="shared" si="9"/>
        <v>0.96326530612244943</v>
      </c>
      <c r="AC40" s="566"/>
    </row>
    <row r="41" spans="1:29">
      <c r="A41" s="583" t="s">
        <v>88</v>
      </c>
      <c r="B41" s="66" t="s">
        <v>67</v>
      </c>
      <c r="C41" s="571"/>
      <c r="D41" s="571"/>
      <c r="E41" s="424"/>
      <c r="F41" s="66"/>
      <c r="G41" s="59"/>
      <c r="H41" s="427"/>
      <c r="I41" s="67">
        <v>17.666666666666668</v>
      </c>
      <c r="J41" s="58">
        <v>2400</v>
      </c>
      <c r="K41" s="59">
        <f t="shared" si="1"/>
        <v>135.84905660377356</v>
      </c>
      <c r="L41" s="67">
        <v>17.666666666666668</v>
      </c>
      <c r="M41" s="60">
        <f>AVERAGE(M35:M40)</f>
        <v>2298.2847503486169</v>
      </c>
      <c r="N41" s="59">
        <f t="shared" si="3"/>
        <v>130.09158964237454</v>
      </c>
      <c r="O41" s="61">
        <f t="shared" si="4"/>
        <v>0</v>
      </c>
      <c r="P41" s="62">
        <f t="shared" si="5"/>
        <v>-5.7574669613990181</v>
      </c>
      <c r="Q41" s="419">
        <f t="shared" si="6"/>
        <v>0.95761864597859059</v>
      </c>
      <c r="R41" s="566"/>
      <c r="S41" s="63"/>
      <c r="T41" s="63"/>
      <c r="U41" s="59"/>
      <c r="V41" s="426"/>
      <c r="W41" s="59"/>
      <c r="X41" s="59"/>
      <c r="Y41" s="559"/>
      <c r="Z41" s="559"/>
      <c r="AA41" s="61">
        <f t="shared" si="8"/>
        <v>-101.71524965138315</v>
      </c>
      <c r="AB41" s="419">
        <f t="shared" si="9"/>
        <v>0.95761864597859037</v>
      </c>
      <c r="AC41" s="566"/>
    </row>
    <row r="42" spans="1:29" ht="15.75" customHeight="1">
      <c r="A42" s="576" t="s">
        <v>89</v>
      </c>
      <c r="B42" s="57" t="s">
        <v>31</v>
      </c>
      <c r="C42" s="567" t="s">
        <v>32</v>
      </c>
      <c r="D42" s="568"/>
      <c r="E42" s="57">
        <v>21.13</v>
      </c>
      <c r="F42" s="427">
        <v>4006</v>
      </c>
      <c r="G42" s="417">
        <f t="shared" ref="G42:G48" si="31">E42*F42</f>
        <v>84646.78</v>
      </c>
      <c r="H42" s="429" t="s">
        <v>5</v>
      </c>
      <c r="I42" s="425">
        <v>10</v>
      </c>
      <c r="J42" s="58">
        <v>3000</v>
      </c>
      <c r="K42" s="59">
        <f t="shared" si="1"/>
        <v>300</v>
      </c>
      <c r="L42" s="425">
        <v>10</v>
      </c>
      <c r="M42" s="60">
        <f t="shared" ref="M42:M48" si="32">F42/V42*60</f>
        <v>2861.4285714285716</v>
      </c>
      <c r="N42" s="60">
        <f t="shared" si="3"/>
        <v>286.14285714285717</v>
      </c>
      <c r="O42" s="61">
        <f t="shared" si="4"/>
        <v>0</v>
      </c>
      <c r="P42" s="62">
        <f t="shared" si="5"/>
        <v>-13.857142857142833</v>
      </c>
      <c r="Q42" s="419">
        <f t="shared" si="6"/>
        <v>0.95380952380952388</v>
      </c>
      <c r="R42" s="579">
        <f>Q49</f>
        <v>0.96306137460941765</v>
      </c>
      <c r="S42" s="63">
        <v>8.3333333333333329E-2</v>
      </c>
      <c r="T42" s="63">
        <v>0.14166666666666666</v>
      </c>
      <c r="U42" s="68"/>
      <c r="V42" s="426">
        <f t="shared" ref="V42:V48" si="33">(T42-S42)*24*60</f>
        <v>84</v>
      </c>
      <c r="W42" s="64">
        <f>T42</f>
        <v>0.14166666666666666</v>
      </c>
      <c r="X42" s="64">
        <f>S43</f>
        <v>0.16250000000000001</v>
      </c>
      <c r="Y42" s="569"/>
      <c r="Z42" s="570"/>
      <c r="AA42" s="61">
        <f t="shared" si="8"/>
        <v>-138.57142857142844</v>
      </c>
      <c r="AB42" s="419">
        <f t="shared" si="9"/>
        <v>0.95380952380952388</v>
      </c>
      <c r="AC42" s="579">
        <f>AB49</f>
        <v>0.96306137460941754</v>
      </c>
    </row>
    <row r="43" spans="1:29" ht="15.75" customHeight="1">
      <c r="A43" s="577" t="s">
        <v>1912</v>
      </c>
      <c r="B43" s="57" t="s">
        <v>31</v>
      </c>
      <c r="C43" s="567" t="s">
        <v>33</v>
      </c>
      <c r="D43" s="568"/>
      <c r="E43" s="57">
        <v>27.17</v>
      </c>
      <c r="F43" s="427">
        <v>5111</v>
      </c>
      <c r="G43" s="417">
        <f t="shared" si="31"/>
        <v>138865.87</v>
      </c>
      <c r="H43" s="429" t="s">
        <v>5</v>
      </c>
      <c r="I43" s="425">
        <v>10</v>
      </c>
      <c r="J43" s="58">
        <v>3000</v>
      </c>
      <c r="K43" s="59">
        <f t="shared" si="1"/>
        <v>300</v>
      </c>
      <c r="L43" s="425">
        <v>10</v>
      </c>
      <c r="M43" s="60">
        <f t="shared" si="32"/>
        <v>2865.9813084112157</v>
      </c>
      <c r="N43" s="60">
        <f t="shared" si="3"/>
        <v>286.59813084112159</v>
      </c>
      <c r="O43" s="61">
        <f t="shared" si="4"/>
        <v>0</v>
      </c>
      <c r="P43" s="62">
        <f t="shared" si="5"/>
        <v>-13.401869158878412</v>
      </c>
      <c r="Q43" s="419">
        <f t="shared" si="6"/>
        <v>0.95532710280373867</v>
      </c>
      <c r="R43" s="580"/>
      <c r="S43" s="63">
        <v>0.16250000000000001</v>
      </c>
      <c r="T43" s="63">
        <v>0.23680555555555555</v>
      </c>
      <c r="U43" s="417">
        <f t="shared" ref="U43:U48" si="34">(S43-T42)*24*60</f>
        <v>30.000000000000014</v>
      </c>
      <c r="V43" s="426">
        <f t="shared" si="33"/>
        <v>106.99999999999999</v>
      </c>
      <c r="W43" s="64"/>
      <c r="X43" s="64"/>
      <c r="Y43" s="569"/>
      <c r="Z43" s="570"/>
      <c r="AA43" s="61">
        <f t="shared" si="8"/>
        <v>-134.01869158878435</v>
      </c>
      <c r="AB43" s="419">
        <f t="shared" si="9"/>
        <v>0.95532710280373856</v>
      </c>
      <c r="AC43" s="580"/>
    </row>
    <row r="44" spans="1:29" ht="15.75" customHeight="1">
      <c r="A44" s="577" t="s">
        <v>1912</v>
      </c>
      <c r="B44" s="57" t="s">
        <v>31</v>
      </c>
      <c r="C44" s="567" t="s">
        <v>36</v>
      </c>
      <c r="D44" s="568"/>
      <c r="E44" s="57">
        <v>36.14</v>
      </c>
      <c r="F44" s="427">
        <v>745</v>
      </c>
      <c r="G44" s="417">
        <f t="shared" si="31"/>
        <v>26924.3</v>
      </c>
      <c r="H44" s="429" t="s">
        <v>5</v>
      </c>
      <c r="I44" s="425">
        <v>9</v>
      </c>
      <c r="J44" s="58">
        <v>3000</v>
      </c>
      <c r="K44" s="59">
        <f t="shared" si="1"/>
        <v>333.33333333333331</v>
      </c>
      <c r="L44" s="425">
        <v>9</v>
      </c>
      <c r="M44" s="60">
        <f t="shared" si="32"/>
        <v>2979.9999999999945</v>
      </c>
      <c r="N44" s="60">
        <f t="shared" si="3"/>
        <v>331.11111111111052</v>
      </c>
      <c r="O44" s="61">
        <f t="shared" si="4"/>
        <v>0</v>
      </c>
      <c r="P44" s="62">
        <f t="shared" si="5"/>
        <v>-2.222222222222797</v>
      </c>
      <c r="Q44" s="419">
        <f t="shared" si="6"/>
        <v>0.99333333333333163</v>
      </c>
      <c r="R44" s="580"/>
      <c r="S44" s="63">
        <v>0.24027777777777776</v>
      </c>
      <c r="T44" s="63">
        <v>0.25069444444444444</v>
      </c>
      <c r="U44" s="417">
        <f t="shared" si="34"/>
        <v>4.9999999999999822</v>
      </c>
      <c r="V44" s="426">
        <f t="shared" si="33"/>
        <v>15.000000000000027</v>
      </c>
      <c r="W44" s="64"/>
      <c r="X44" s="64"/>
      <c r="Y44" s="569"/>
      <c r="Z44" s="570"/>
      <c r="AA44" s="61">
        <f t="shared" si="8"/>
        <v>-20.000000000005457</v>
      </c>
      <c r="AB44" s="419">
        <f t="shared" si="9"/>
        <v>0.99333333333333151</v>
      </c>
      <c r="AC44" s="580"/>
    </row>
    <row r="45" spans="1:29" ht="15.75" customHeight="1">
      <c r="A45" s="577" t="s">
        <v>1912</v>
      </c>
      <c r="B45" s="57" t="s">
        <v>31</v>
      </c>
      <c r="C45" s="567" t="s">
        <v>34</v>
      </c>
      <c r="D45" s="568"/>
      <c r="E45" s="57">
        <v>35.119999999999997</v>
      </c>
      <c r="F45" s="427">
        <v>3517</v>
      </c>
      <c r="G45" s="417">
        <f t="shared" si="31"/>
        <v>123517.04</v>
      </c>
      <c r="H45" s="429" t="s">
        <v>5</v>
      </c>
      <c r="I45" s="425">
        <v>10</v>
      </c>
      <c r="J45" s="58">
        <v>3000</v>
      </c>
      <c r="K45" s="59">
        <f t="shared" si="1"/>
        <v>300</v>
      </c>
      <c r="L45" s="425">
        <v>10</v>
      </c>
      <c r="M45" s="60">
        <f t="shared" si="32"/>
        <v>2890.6849315068498</v>
      </c>
      <c r="N45" s="60">
        <f t="shared" si="3"/>
        <v>289.06849315068496</v>
      </c>
      <c r="O45" s="61">
        <f t="shared" si="4"/>
        <v>0</v>
      </c>
      <c r="P45" s="62">
        <f t="shared" si="5"/>
        <v>-10.931506849315042</v>
      </c>
      <c r="Q45" s="419">
        <f t="shared" si="6"/>
        <v>0.96356164383561649</v>
      </c>
      <c r="R45" s="580"/>
      <c r="S45" s="63">
        <v>0.25555555555555554</v>
      </c>
      <c r="T45" s="63">
        <v>0.30624999999999997</v>
      </c>
      <c r="U45" s="417">
        <f t="shared" si="34"/>
        <v>6.9999999999999751</v>
      </c>
      <c r="V45" s="426">
        <f t="shared" si="33"/>
        <v>72.999999999999986</v>
      </c>
      <c r="W45" s="64"/>
      <c r="X45" s="64"/>
      <c r="Y45" s="569"/>
      <c r="Z45" s="570"/>
      <c r="AA45" s="61">
        <f t="shared" si="8"/>
        <v>-109.31506849315019</v>
      </c>
      <c r="AB45" s="419">
        <f t="shared" si="9"/>
        <v>0.9635616438356166</v>
      </c>
      <c r="AC45" s="580"/>
    </row>
    <row r="46" spans="1:29" ht="15.75" customHeight="1">
      <c r="A46" s="577" t="s">
        <v>1912</v>
      </c>
      <c r="B46" s="57" t="s">
        <v>31</v>
      </c>
      <c r="C46" s="567" t="s">
        <v>71</v>
      </c>
      <c r="D46" s="568"/>
      <c r="E46" s="57">
        <v>31</v>
      </c>
      <c r="F46" s="427">
        <v>1336</v>
      </c>
      <c r="G46" s="417">
        <f t="shared" si="31"/>
        <v>41416</v>
      </c>
      <c r="H46" s="429" t="s">
        <v>5</v>
      </c>
      <c r="I46" s="425">
        <v>13</v>
      </c>
      <c r="J46" s="58">
        <v>2000</v>
      </c>
      <c r="K46" s="59">
        <f t="shared" si="1"/>
        <v>153.84615384615384</v>
      </c>
      <c r="L46" s="425">
        <v>13</v>
      </c>
      <c r="M46" s="60">
        <f t="shared" si="32"/>
        <v>1908.571428571428</v>
      </c>
      <c r="N46" s="60">
        <f t="shared" si="3"/>
        <v>146.81318681318677</v>
      </c>
      <c r="O46" s="61">
        <f t="shared" si="4"/>
        <v>0</v>
      </c>
      <c r="P46" s="62">
        <f t="shared" si="5"/>
        <v>-7.0329670329670648</v>
      </c>
      <c r="Q46" s="419">
        <f t="shared" si="6"/>
        <v>0.95428571428571407</v>
      </c>
      <c r="R46" s="580"/>
      <c r="S46" s="63">
        <v>0.31111111111111106</v>
      </c>
      <c r="T46" s="63">
        <v>0.34027777777777773</v>
      </c>
      <c r="U46" s="417">
        <f t="shared" si="34"/>
        <v>6.9999999999999751</v>
      </c>
      <c r="V46" s="426">
        <f t="shared" si="33"/>
        <v>42.000000000000014</v>
      </c>
      <c r="W46" s="64"/>
      <c r="X46" s="64"/>
      <c r="Y46" s="569"/>
      <c r="Z46" s="570"/>
      <c r="AA46" s="61">
        <f t="shared" si="8"/>
        <v>-91.428571428572013</v>
      </c>
      <c r="AB46" s="419">
        <f t="shared" si="9"/>
        <v>0.95428571428571396</v>
      </c>
      <c r="AC46" s="580"/>
    </row>
    <row r="47" spans="1:29" ht="15.75" customHeight="1">
      <c r="A47" s="577" t="s">
        <v>89</v>
      </c>
      <c r="B47" s="57" t="s">
        <v>31</v>
      </c>
      <c r="C47" s="567" t="s">
        <v>659</v>
      </c>
      <c r="D47" s="568"/>
      <c r="E47" s="57">
        <v>37.880000000000003</v>
      </c>
      <c r="F47" s="427">
        <v>2140</v>
      </c>
      <c r="G47" s="417">
        <f t="shared" si="31"/>
        <v>81063.200000000012</v>
      </c>
      <c r="H47" s="429" t="s">
        <v>5</v>
      </c>
      <c r="I47" s="425">
        <v>14</v>
      </c>
      <c r="J47" s="58">
        <v>2000</v>
      </c>
      <c r="K47" s="59">
        <f t="shared" si="1"/>
        <v>142.85714285714286</v>
      </c>
      <c r="L47" s="425">
        <v>14</v>
      </c>
      <c r="M47" s="60">
        <f t="shared" si="32"/>
        <v>1916.4179104477612</v>
      </c>
      <c r="N47" s="60">
        <f t="shared" si="3"/>
        <v>136.88699360341153</v>
      </c>
      <c r="O47" s="61">
        <f t="shared" si="4"/>
        <v>0</v>
      </c>
      <c r="P47" s="62">
        <f t="shared" si="5"/>
        <v>-5.9701492537313356</v>
      </c>
      <c r="Q47" s="419">
        <f t="shared" si="6"/>
        <v>0.95820895522388061</v>
      </c>
      <c r="R47" s="580"/>
      <c r="S47" s="63">
        <v>0.34513888888888883</v>
      </c>
      <c r="T47" s="63">
        <v>0.39166666666666661</v>
      </c>
      <c r="U47" s="417">
        <f t="shared" si="34"/>
        <v>6.9999999999999751</v>
      </c>
      <c r="V47" s="426">
        <f t="shared" si="33"/>
        <v>67</v>
      </c>
      <c r="W47" s="64"/>
      <c r="X47" s="64"/>
      <c r="Y47" s="569"/>
      <c r="Z47" s="570"/>
      <c r="AA47" s="61">
        <f t="shared" si="8"/>
        <v>-83.582089552238813</v>
      </c>
      <c r="AB47" s="419">
        <f t="shared" si="9"/>
        <v>0.95820895522388061</v>
      </c>
      <c r="AC47" s="580"/>
    </row>
    <row r="48" spans="1:29" ht="15.75" customHeight="1">
      <c r="A48" s="577" t="s">
        <v>1912</v>
      </c>
      <c r="B48" s="57" t="s">
        <v>31</v>
      </c>
      <c r="C48" s="567" t="s">
        <v>1778</v>
      </c>
      <c r="D48" s="568"/>
      <c r="E48" s="57">
        <v>32.020000000000003</v>
      </c>
      <c r="F48" s="427">
        <v>2923</v>
      </c>
      <c r="G48" s="417">
        <f t="shared" si="31"/>
        <v>93594.46</v>
      </c>
      <c r="H48" s="429" t="s">
        <v>5</v>
      </c>
      <c r="I48" s="425">
        <v>11</v>
      </c>
      <c r="J48" s="58">
        <v>3000</v>
      </c>
      <c r="K48" s="59">
        <f t="shared" si="1"/>
        <v>272.72727272727275</v>
      </c>
      <c r="L48" s="425">
        <v>11</v>
      </c>
      <c r="M48" s="60">
        <f t="shared" si="32"/>
        <v>2875.0819672131138</v>
      </c>
      <c r="N48" s="60">
        <f t="shared" si="3"/>
        <v>261.37108792846487</v>
      </c>
      <c r="O48" s="61">
        <f t="shared" si="4"/>
        <v>0</v>
      </c>
      <c r="P48" s="62">
        <f t="shared" si="5"/>
        <v>-11.356184798807874</v>
      </c>
      <c r="Q48" s="419">
        <f t="shared" si="6"/>
        <v>0.95836065573770446</v>
      </c>
      <c r="R48" s="580"/>
      <c r="S48" s="63">
        <v>0.39722222222222214</v>
      </c>
      <c r="T48" s="63">
        <v>0.43958333333333327</v>
      </c>
      <c r="U48" s="417">
        <f t="shared" si="34"/>
        <v>7.9999999999999716</v>
      </c>
      <c r="V48" s="426">
        <f t="shared" si="33"/>
        <v>61.000000000000021</v>
      </c>
      <c r="W48" s="64"/>
      <c r="X48" s="64"/>
      <c r="Y48" s="569"/>
      <c r="Z48" s="570"/>
      <c r="AA48" s="61">
        <f t="shared" si="8"/>
        <v>-124.91803278688622</v>
      </c>
      <c r="AB48" s="419">
        <f t="shared" si="9"/>
        <v>0.95836065573770457</v>
      </c>
      <c r="AC48" s="580"/>
    </row>
    <row r="49" spans="1:29" ht="15.75" customHeight="1">
      <c r="A49" s="578" t="s">
        <v>1912</v>
      </c>
      <c r="B49" s="57" t="s">
        <v>67</v>
      </c>
      <c r="C49" s="561"/>
      <c r="D49" s="562"/>
      <c r="E49" s="418"/>
      <c r="F49" s="427"/>
      <c r="G49" s="417"/>
      <c r="H49" s="427"/>
      <c r="I49" s="67">
        <v>11</v>
      </c>
      <c r="J49" s="58">
        <v>2714.2857142857142</v>
      </c>
      <c r="K49" s="59">
        <f t="shared" si="1"/>
        <v>246.75324675324674</v>
      </c>
      <c r="L49" s="67">
        <v>11</v>
      </c>
      <c r="M49" s="60">
        <f>AVERAGE(M42:M48)</f>
        <v>2614.0237310827047</v>
      </c>
      <c r="N49" s="59">
        <f t="shared" si="3"/>
        <v>237.63852100751862</v>
      </c>
      <c r="O49" s="61">
        <f t="shared" si="4"/>
        <v>0</v>
      </c>
      <c r="P49" s="62">
        <f t="shared" si="5"/>
        <v>-9.1147257457281228</v>
      </c>
      <c r="Q49" s="419">
        <f t="shared" si="6"/>
        <v>0.96306137460941765</v>
      </c>
      <c r="R49" s="581"/>
      <c r="S49" s="63"/>
      <c r="T49" s="63"/>
      <c r="U49" s="417"/>
      <c r="V49" s="426"/>
      <c r="W49" s="64"/>
      <c r="X49" s="64"/>
      <c r="Y49" s="569"/>
      <c r="Z49" s="570"/>
      <c r="AA49" s="61">
        <f t="shared" si="8"/>
        <v>-100.26198320300955</v>
      </c>
      <c r="AB49" s="419">
        <f t="shared" si="9"/>
        <v>0.96306137460941754</v>
      </c>
      <c r="AC49" s="581"/>
    </row>
    <row r="50" spans="1:29" ht="15.75" customHeight="1">
      <c r="A50" s="574" t="s">
        <v>117</v>
      </c>
      <c r="B50" s="57" t="s">
        <v>10</v>
      </c>
      <c r="C50" s="560" t="s">
        <v>37</v>
      </c>
      <c r="D50" s="560"/>
      <c r="E50" s="57">
        <v>46</v>
      </c>
      <c r="F50" s="69">
        <v>1243</v>
      </c>
      <c r="G50" s="417">
        <f t="shared" ref="G50:G56" si="35">E50*F50</f>
        <v>57178</v>
      </c>
      <c r="H50" s="429" t="s">
        <v>5</v>
      </c>
      <c r="I50" s="425">
        <v>17</v>
      </c>
      <c r="J50" s="58">
        <v>2000</v>
      </c>
      <c r="K50" s="59">
        <f t="shared" si="1"/>
        <v>117.64705882352941</v>
      </c>
      <c r="L50" s="425">
        <v>17</v>
      </c>
      <c r="M50" s="60">
        <f t="shared" ref="M50:M56" si="36">F50/V50*60</f>
        <v>1912.3076923076933</v>
      </c>
      <c r="N50" s="60">
        <f t="shared" si="3"/>
        <v>112.48868778280548</v>
      </c>
      <c r="O50" s="61">
        <f t="shared" si="4"/>
        <v>0</v>
      </c>
      <c r="P50" s="62">
        <f t="shared" si="5"/>
        <v>-5.1583710407239209</v>
      </c>
      <c r="Q50" s="419">
        <f t="shared" si="6"/>
        <v>0.95615384615384669</v>
      </c>
      <c r="R50" s="566">
        <f>Q57</f>
        <v>0.88008671095006785</v>
      </c>
      <c r="S50" s="63">
        <v>0.20833333333333334</v>
      </c>
      <c r="T50" s="63">
        <v>0.23541666666666666</v>
      </c>
      <c r="U50" s="68"/>
      <c r="V50" s="426">
        <f t="shared" ref="V50:V56" si="37">(T50-S50)*24*60</f>
        <v>38.999999999999979</v>
      </c>
      <c r="W50" s="68"/>
      <c r="X50" s="68"/>
      <c r="Y50" s="559"/>
      <c r="Z50" s="559"/>
      <c r="AA50" s="61">
        <f t="shared" si="8"/>
        <v>-87.692307692306713</v>
      </c>
      <c r="AB50" s="419">
        <f t="shared" si="9"/>
        <v>0.95615384615384669</v>
      </c>
      <c r="AC50" s="566">
        <f>AB57</f>
        <v>0.88008671095006785</v>
      </c>
    </row>
    <row r="51" spans="1:29" ht="15.75" customHeight="1">
      <c r="A51" s="574" t="s">
        <v>117</v>
      </c>
      <c r="B51" s="57" t="s">
        <v>10</v>
      </c>
      <c r="C51" s="560" t="s">
        <v>38</v>
      </c>
      <c r="D51" s="560"/>
      <c r="E51" s="57">
        <v>46</v>
      </c>
      <c r="F51" s="69">
        <v>1396</v>
      </c>
      <c r="G51" s="417">
        <f t="shared" si="35"/>
        <v>64216</v>
      </c>
      <c r="H51" s="429" t="s">
        <v>5</v>
      </c>
      <c r="I51" s="425">
        <v>17</v>
      </c>
      <c r="J51" s="58">
        <v>2000</v>
      </c>
      <c r="K51" s="59">
        <f t="shared" si="1"/>
        <v>117.64705882352941</v>
      </c>
      <c r="L51" s="425">
        <v>17</v>
      </c>
      <c r="M51" s="60">
        <f t="shared" si="36"/>
        <v>1903.6363636363651</v>
      </c>
      <c r="N51" s="60">
        <f t="shared" si="3"/>
        <v>111.97860962566854</v>
      </c>
      <c r="O51" s="61">
        <f t="shared" si="4"/>
        <v>0</v>
      </c>
      <c r="P51" s="62">
        <f t="shared" si="5"/>
        <v>-5.6684491978608662</v>
      </c>
      <c r="Q51" s="419">
        <f t="shared" si="6"/>
        <v>0.95181818181818267</v>
      </c>
      <c r="R51" s="566"/>
      <c r="S51" s="63">
        <v>0.24027777777777778</v>
      </c>
      <c r="T51" s="63">
        <v>0.27083333333333331</v>
      </c>
      <c r="U51" s="417">
        <f t="shared" ref="U51:U56" si="38">IF(S51=TIME(17,0,0),"",(S51-T50)*24*60)</f>
        <v>7.0000000000000151</v>
      </c>
      <c r="V51" s="426">
        <f t="shared" si="37"/>
        <v>43.999999999999964</v>
      </c>
      <c r="W51" s="64"/>
      <c r="X51" s="64"/>
      <c r="Y51" s="559"/>
      <c r="Z51" s="559"/>
      <c r="AA51" s="61">
        <f t="shared" si="8"/>
        <v>-96.363636363634896</v>
      </c>
      <c r="AB51" s="419">
        <f t="shared" si="9"/>
        <v>0.95181818181818256</v>
      </c>
      <c r="AC51" s="566"/>
    </row>
    <row r="52" spans="1:29" ht="15.75" customHeight="1">
      <c r="A52" s="574" t="s">
        <v>117</v>
      </c>
      <c r="B52" s="57" t="s">
        <v>6</v>
      </c>
      <c r="C52" s="567" t="s">
        <v>1181</v>
      </c>
      <c r="D52" s="568"/>
      <c r="E52" s="57">
        <v>51.86</v>
      </c>
      <c r="F52" s="69">
        <v>972</v>
      </c>
      <c r="G52" s="417">
        <f t="shared" si="35"/>
        <v>50407.92</v>
      </c>
      <c r="H52" s="429" t="s">
        <v>5</v>
      </c>
      <c r="I52" s="425">
        <v>25</v>
      </c>
      <c r="J52" s="58">
        <v>2000</v>
      </c>
      <c r="K52" s="59">
        <f t="shared" si="1"/>
        <v>80</v>
      </c>
      <c r="L52" s="425">
        <v>25</v>
      </c>
      <c r="M52" s="60">
        <f t="shared" si="36"/>
        <v>1267.8260869565217</v>
      </c>
      <c r="N52" s="60">
        <f t="shared" si="3"/>
        <v>50.713043478260872</v>
      </c>
      <c r="O52" s="61">
        <f t="shared" si="4"/>
        <v>0</v>
      </c>
      <c r="P52" s="62">
        <f t="shared" si="5"/>
        <v>-29.286956521739128</v>
      </c>
      <c r="Q52" s="419">
        <f t="shared" si="6"/>
        <v>0.63391304347826094</v>
      </c>
      <c r="R52" s="566"/>
      <c r="S52" s="63">
        <v>0.27569444444444441</v>
      </c>
      <c r="T52" s="63">
        <v>0.30763888888888885</v>
      </c>
      <c r="U52" s="417">
        <f t="shared" si="38"/>
        <v>6.9999999999999751</v>
      </c>
      <c r="V52" s="426">
        <f t="shared" si="37"/>
        <v>46</v>
      </c>
      <c r="W52" s="64"/>
      <c r="X52" s="64"/>
      <c r="Y52" s="422"/>
      <c r="Z52" s="423"/>
      <c r="AA52" s="61">
        <f t="shared" si="8"/>
        <v>-732.17391304347825</v>
      </c>
      <c r="AB52" s="419">
        <f t="shared" si="9"/>
        <v>0.63391304347826083</v>
      </c>
      <c r="AC52" s="566"/>
    </row>
    <row r="53" spans="1:29" ht="15.75" customHeight="1">
      <c r="A53" s="574" t="s">
        <v>117</v>
      </c>
      <c r="B53" s="57" t="s">
        <v>6</v>
      </c>
      <c r="C53" s="420" t="s">
        <v>1182</v>
      </c>
      <c r="D53" s="421"/>
      <c r="E53" s="57">
        <v>56.43</v>
      </c>
      <c r="F53" s="69">
        <v>1841</v>
      </c>
      <c r="G53" s="417">
        <f t="shared" si="35"/>
        <v>103887.63</v>
      </c>
      <c r="H53" s="429" t="s">
        <v>5</v>
      </c>
      <c r="I53" s="425">
        <v>22</v>
      </c>
      <c r="J53" s="58">
        <v>2000</v>
      </c>
      <c r="K53" s="59">
        <f t="shared" si="1"/>
        <v>90.909090909090907</v>
      </c>
      <c r="L53" s="425">
        <v>22</v>
      </c>
      <c r="M53" s="60">
        <f t="shared" si="36"/>
        <v>1472.8000000000006</v>
      </c>
      <c r="N53" s="60">
        <f t="shared" si="3"/>
        <v>66.945454545454581</v>
      </c>
      <c r="O53" s="61">
        <f t="shared" si="4"/>
        <v>0</v>
      </c>
      <c r="P53" s="62">
        <f t="shared" si="5"/>
        <v>-23.963636363636326</v>
      </c>
      <c r="Q53" s="419">
        <f t="shared" si="6"/>
        <v>0.73640000000000039</v>
      </c>
      <c r="R53" s="566"/>
      <c r="S53" s="63">
        <v>0.31111111111111106</v>
      </c>
      <c r="T53" s="63">
        <v>0.36319444444444438</v>
      </c>
      <c r="U53" s="417">
        <f t="shared" si="38"/>
        <v>4.9999999999999822</v>
      </c>
      <c r="V53" s="426">
        <f t="shared" si="37"/>
        <v>74.999999999999972</v>
      </c>
      <c r="W53" s="64"/>
      <c r="X53" s="64"/>
      <c r="Y53" s="422"/>
      <c r="Z53" s="423"/>
      <c r="AA53" s="61">
        <f t="shared" si="8"/>
        <v>-527.19999999999936</v>
      </c>
      <c r="AB53" s="419">
        <f t="shared" si="9"/>
        <v>0.73640000000000028</v>
      </c>
      <c r="AC53" s="566"/>
    </row>
    <row r="54" spans="1:29" ht="15.75" customHeight="1">
      <c r="A54" s="574" t="s">
        <v>117</v>
      </c>
      <c r="B54" s="57" t="s">
        <v>6</v>
      </c>
      <c r="C54" s="420" t="s">
        <v>39</v>
      </c>
      <c r="D54" s="421"/>
      <c r="E54" s="57">
        <v>55.56</v>
      </c>
      <c r="F54" s="69">
        <v>1709</v>
      </c>
      <c r="G54" s="417">
        <f t="shared" si="35"/>
        <v>94952.040000000008</v>
      </c>
      <c r="H54" s="429" t="s">
        <v>5</v>
      </c>
      <c r="I54" s="425">
        <v>17</v>
      </c>
      <c r="J54" s="58">
        <v>2000</v>
      </c>
      <c r="K54" s="59">
        <f t="shared" si="1"/>
        <v>117.64705882352941</v>
      </c>
      <c r="L54" s="425">
        <v>17</v>
      </c>
      <c r="M54" s="60">
        <f t="shared" si="36"/>
        <v>1934.7169811320766</v>
      </c>
      <c r="N54" s="60">
        <f t="shared" si="3"/>
        <v>113.80688124306333</v>
      </c>
      <c r="O54" s="61">
        <f t="shared" si="4"/>
        <v>0</v>
      </c>
      <c r="P54" s="62">
        <f t="shared" si="5"/>
        <v>-3.8401775804660758</v>
      </c>
      <c r="Q54" s="419">
        <f t="shared" si="6"/>
        <v>0.9673584905660384</v>
      </c>
      <c r="R54" s="566"/>
      <c r="S54" s="63">
        <v>0.70833333333333337</v>
      </c>
      <c r="T54" s="63">
        <v>0.74513888888888891</v>
      </c>
      <c r="U54" s="417" t="str">
        <f t="shared" si="38"/>
        <v/>
      </c>
      <c r="V54" s="426">
        <f t="shared" si="37"/>
        <v>52.999999999999972</v>
      </c>
      <c r="W54" s="64"/>
      <c r="X54" s="64"/>
      <c r="Y54" s="422"/>
      <c r="Z54" s="423"/>
      <c r="AA54" s="61">
        <f t="shared" si="8"/>
        <v>-65.283018867923374</v>
      </c>
      <c r="AB54" s="419">
        <f t="shared" si="9"/>
        <v>0.96735849056603829</v>
      </c>
      <c r="AC54" s="566"/>
    </row>
    <row r="55" spans="1:29" ht="15.75" customHeight="1">
      <c r="A55" s="574" t="s">
        <v>117</v>
      </c>
      <c r="B55" s="57" t="s">
        <v>6</v>
      </c>
      <c r="C55" s="567" t="s">
        <v>40</v>
      </c>
      <c r="D55" s="568"/>
      <c r="E55" s="57">
        <v>55.32</v>
      </c>
      <c r="F55" s="69">
        <v>1314</v>
      </c>
      <c r="G55" s="417">
        <f t="shared" si="35"/>
        <v>72690.48</v>
      </c>
      <c r="H55" s="429" t="s">
        <v>5</v>
      </c>
      <c r="I55" s="425">
        <v>15</v>
      </c>
      <c r="J55" s="58">
        <v>2000</v>
      </c>
      <c r="K55" s="59">
        <f t="shared" si="1"/>
        <v>133.33333333333334</v>
      </c>
      <c r="L55" s="425">
        <v>15</v>
      </c>
      <c r="M55" s="60">
        <f t="shared" si="36"/>
        <v>1922.9268292682921</v>
      </c>
      <c r="N55" s="60">
        <f t="shared" si="3"/>
        <v>128.19512195121948</v>
      </c>
      <c r="O55" s="61">
        <f t="shared" si="4"/>
        <v>0</v>
      </c>
      <c r="P55" s="62">
        <f t="shared" si="5"/>
        <v>-5.138211382113866</v>
      </c>
      <c r="Q55" s="419">
        <f t="shared" si="6"/>
        <v>0.96146341463414597</v>
      </c>
      <c r="R55" s="566"/>
      <c r="S55" s="63">
        <v>0.74930555555555556</v>
      </c>
      <c r="T55" s="63">
        <v>0.77777777777777779</v>
      </c>
      <c r="U55" s="417">
        <f t="shared" si="38"/>
        <v>5.9999999999999787</v>
      </c>
      <c r="V55" s="426">
        <f t="shared" si="37"/>
        <v>41.000000000000014</v>
      </c>
      <c r="W55" s="64"/>
      <c r="X55" s="64"/>
      <c r="Y55" s="569"/>
      <c r="Z55" s="570"/>
      <c r="AA55" s="61">
        <f t="shared" si="8"/>
        <v>-77.073170731707933</v>
      </c>
      <c r="AB55" s="419">
        <f t="shared" si="9"/>
        <v>0.96146341463414609</v>
      </c>
      <c r="AC55" s="566"/>
    </row>
    <row r="56" spans="1:29" ht="15.75" customHeight="1">
      <c r="A56" s="574" t="s">
        <v>117</v>
      </c>
      <c r="B56" s="57" t="s">
        <v>6</v>
      </c>
      <c r="C56" s="567" t="s">
        <v>94</v>
      </c>
      <c r="D56" s="568"/>
      <c r="E56" s="57">
        <v>57.3</v>
      </c>
      <c r="F56" s="69">
        <v>1907</v>
      </c>
      <c r="G56" s="417">
        <f t="shared" si="35"/>
        <v>109271.09999999999</v>
      </c>
      <c r="H56" s="429" t="s">
        <v>5</v>
      </c>
      <c r="I56" s="425">
        <v>13</v>
      </c>
      <c r="J56" s="58">
        <v>2000</v>
      </c>
      <c r="K56" s="59">
        <f t="shared" si="1"/>
        <v>153.84615384615384</v>
      </c>
      <c r="L56" s="425">
        <v>13</v>
      </c>
      <c r="M56" s="60">
        <f t="shared" si="36"/>
        <v>1907.0000000000018</v>
      </c>
      <c r="N56" s="60">
        <f t="shared" si="3"/>
        <v>146.69230769230782</v>
      </c>
      <c r="O56" s="61">
        <f t="shared" si="4"/>
        <v>0</v>
      </c>
      <c r="P56" s="62">
        <f t="shared" si="5"/>
        <v>-7.1538461538460183</v>
      </c>
      <c r="Q56" s="419">
        <f t="shared" si="6"/>
        <v>0.9535000000000009</v>
      </c>
      <c r="R56" s="566"/>
      <c r="S56" s="63">
        <v>0.78263888888888888</v>
      </c>
      <c r="T56" s="63">
        <v>0.82430555555555551</v>
      </c>
      <c r="U56" s="417">
        <f t="shared" si="38"/>
        <v>6.9999999999999751</v>
      </c>
      <c r="V56" s="426">
        <f t="shared" si="37"/>
        <v>59.999999999999943</v>
      </c>
      <c r="W56" s="64"/>
      <c r="X56" s="64"/>
      <c r="Y56" s="569"/>
      <c r="Z56" s="570"/>
      <c r="AA56" s="61">
        <f t="shared" si="8"/>
        <v>-92.999999999998181</v>
      </c>
      <c r="AB56" s="419">
        <f t="shared" si="9"/>
        <v>0.9535000000000009</v>
      </c>
      <c r="AC56" s="566"/>
    </row>
    <row r="57" spans="1:29">
      <c r="A57" s="575" t="s">
        <v>117</v>
      </c>
      <c r="B57" s="57" t="s">
        <v>67</v>
      </c>
      <c r="C57" s="571"/>
      <c r="D57" s="571"/>
      <c r="E57" s="424"/>
      <c r="F57" s="66"/>
      <c r="G57" s="59"/>
      <c r="H57" s="427"/>
      <c r="I57" s="67">
        <v>18</v>
      </c>
      <c r="J57" s="58">
        <v>2000</v>
      </c>
      <c r="K57" s="59">
        <f t="shared" si="1"/>
        <v>111.11111111111111</v>
      </c>
      <c r="L57" s="67">
        <v>18</v>
      </c>
      <c r="M57" s="60">
        <f>AVERAGE(M50:M56)</f>
        <v>1760.1734219001357</v>
      </c>
      <c r="N57" s="59">
        <f t="shared" si="3"/>
        <v>97.787412327785319</v>
      </c>
      <c r="O57" s="61">
        <f t="shared" si="4"/>
        <v>0</v>
      </c>
      <c r="P57" s="62">
        <f t="shared" si="5"/>
        <v>-13.323698783325796</v>
      </c>
      <c r="Q57" s="419">
        <f t="shared" si="6"/>
        <v>0.88008671095006785</v>
      </c>
      <c r="R57" s="566"/>
      <c r="S57" s="70"/>
      <c r="T57" s="63"/>
      <c r="U57" s="59"/>
      <c r="V57" s="426"/>
      <c r="W57" s="59"/>
      <c r="X57" s="59"/>
      <c r="Y57" s="559"/>
      <c r="Z57" s="559"/>
      <c r="AA57" s="61">
        <f t="shared" si="8"/>
        <v>-239.82657809986426</v>
      </c>
      <c r="AB57" s="419">
        <f t="shared" si="9"/>
        <v>0.88008671095006785</v>
      </c>
      <c r="AC57" s="566"/>
    </row>
    <row r="58" spans="1:29" ht="15.75" customHeight="1">
      <c r="A58" s="572" t="s">
        <v>93</v>
      </c>
      <c r="B58" s="427" t="s">
        <v>10</v>
      </c>
      <c r="C58" s="560" t="s">
        <v>42</v>
      </c>
      <c r="D58" s="560"/>
      <c r="E58" s="57">
        <v>26.97</v>
      </c>
      <c r="F58" s="69">
        <v>2057</v>
      </c>
      <c r="G58" s="417">
        <f t="shared" ref="G58:G63" si="39">E58*F58</f>
        <v>55477.29</v>
      </c>
      <c r="H58" s="429" t="s">
        <v>5</v>
      </c>
      <c r="I58" s="425">
        <v>8</v>
      </c>
      <c r="J58" s="58">
        <v>1500</v>
      </c>
      <c r="K58" s="59">
        <f t="shared" si="1"/>
        <v>187.5</v>
      </c>
      <c r="L58" s="425">
        <v>8</v>
      </c>
      <c r="M58" s="60">
        <f t="shared" ref="M58:M63" si="40">F58/V58*60</f>
        <v>1435.1162790697679</v>
      </c>
      <c r="N58" s="59">
        <f t="shared" si="3"/>
        <v>179.38953488372098</v>
      </c>
      <c r="O58" s="61">
        <f t="shared" si="4"/>
        <v>0</v>
      </c>
      <c r="P58" s="62">
        <f t="shared" si="5"/>
        <v>-8.1104651162790162</v>
      </c>
      <c r="Q58" s="419">
        <f t="shared" si="6"/>
        <v>0.9567441860465119</v>
      </c>
      <c r="R58" s="566">
        <f>Q64</f>
        <v>0.96781635633443575</v>
      </c>
      <c r="S58" s="63">
        <v>0.20833333333333334</v>
      </c>
      <c r="T58" s="63">
        <v>0.26805555555555555</v>
      </c>
      <c r="U58" s="417"/>
      <c r="V58" s="426">
        <f t="shared" ref="V58:V63" si="41">(T58-S58)*24*60</f>
        <v>85.999999999999972</v>
      </c>
      <c r="W58" s="68"/>
      <c r="X58" s="68"/>
      <c r="Y58" s="559"/>
      <c r="Z58" s="559"/>
      <c r="AA58" s="61">
        <f t="shared" si="8"/>
        <v>-64.88372093023213</v>
      </c>
      <c r="AB58" s="419">
        <f t="shared" si="9"/>
        <v>0.9567441860465119</v>
      </c>
      <c r="AC58" s="566">
        <f>AB64</f>
        <v>0.96781635633443563</v>
      </c>
    </row>
    <row r="59" spans="1:29" ht="15.75" customHeight="1">
      <c r="A59" s="572" t="s">
        <v>93</v>
      </c>
      <c r="B59" s="427" t="s">
        <v>31</v>
      </c>
      <c r="C59" s="560" t="s">
        <v>41</v>
      </c>
      <c r="D59" s="560"/>
      <c r="E59" s="57">
        <v>26.78</v>
      </c>
      <c r="F59" s="69">
        <v>1842</v>
      </c>
      <c r="G59" s="417">
        <f t="shared" si="39"/>
        <v>49328.76</v>
      </c>
      <c r="H59" s="429" t="s">
        <v>5</v>
      </c>
      <c r="I59" s="425">
        <v>10</v>
      </c>
      <c r="J59" s="58">
        <v>3000</v>
      </c>
      <c r="K59" s="59">
        <f t="shared" si="1"/>
        <v>300</v>
      </c>
      <c r="L59" s="425">
        <v>10</v>
      </c>
      <c r="M59" s="60">
        <f t="shared" si="40"/>
        <v>2908.4210526315769</v>
      </c>
      <c r="N59" s="59">
        <f t="shared" si="3"/>
        <v>290.84210526315769</v>
      </c>
      <c r="O59" s="61">
        <f t="shared" si="4"/>
        <v>0</v>
      </c>
      <c r="P59" s="62">
        <f t="shared" si="5"/>
        <v>-9.1578947368423087</v>
      </c>
      <c r="Q59" s="419">
        <f t="shared" si="6"/>
        <v>0.9694736842105256</v>
      </c>
      <c r="R59" s="566"/>
      <c r="S59" s="63">
        <v>0.27152777777777776</v>
      </c>
      <c r="T59" s="63">
        <v>0.29791666666666666</v>
      </c>
      <c r="U59" s="417">
        <f t="shared" ref="U59:U63" si="42">(S59-T58)*24*60</f>
        <v>4.9999999999999822</v>
      </c>
      <c r="V59" s="426">
        <f t="shared" si="41"/>
        <v>38.000000000000028</v>
      </c>
      <c r="W59" s="417"/>
      <c r="X59" s="417"/>
      <c r="Y59" s="559"/>
      <c r="Z59" s="559"/>
      <c r="AA59" s="61">
        <f t="shared" si="8"/>
        <v>-91.578947368423087</v>
      </c>
      <c r="AB59" s="419">
        <f t="shared" si="9"/>
        <v>0.9694736842105256</v>
      </c>
      <c r="AC59" s="566"/>
    </row>
    <row r="60" spans="1:29" ht="15.75" customHeight="1">
      <c r="A60" s="572" t="s">
        <v>93</v>
      </c>
      <c r="B60" s="427" t="s">
        <v>31</v>
      </c>
      <c r="C60" s="560" t="s">
        <v>64</v>
      </c>
      <c r="D60" s="560"/>
      <c r="E60" s="57">
        <v>37.880000000000003</v>
      </c>
      <c r="F60" s="69">
        <v>2040</v>
      </c>
      <c r="G60" s="417">
        <f t="shared" si="39"/>
        <v>77275.200000000012</v>
      </c>
      <c r="H60" s="429" t="s">
        <v>5</v>
      </c>
      <c r="I60" s="425">
        <v>10</v>
      </c>
      <c r="J60" s="58">
        <v>3000</v>
      </c>
      <c r="K60" s="59">
        <f t="shared" si="1"/>
        <v>300</v>
      </c>
      <c r="L60" s="425">
        <v>10</v>
      </c>
      <c r="M60" s="60">
        <f t="shared" si="40"/>
        <v>2914.2857142857133</v>
      </c>
      <c r="N60" s="59">
        <f t="shared" si="3"/>
        <v>291.42857142857133</v>
      </c>
      <c r="O60" s="61">
        <f t="shared" si="4"/>
        <v>0</v>
      </c>
      <c r="P60" s="62">
        <f t="shared" si="5"/>
        <v>-8.5714285714286689</v>
      </c>
      <c r="Q60" s="419">
        <f t="shared" si="6"/>
        <v>0.97142857142857109</v>
      </c>
      <c r="R60" s="566"/>
      <c r="S60" s="63">
        <v>0.30208333333333331</v>
      </c>
      <c r="T60" s="63">
        <v>0.33124999999999999</v>
      </c>
      <c r="U60" s="417">
        <f t="shared" si="42"/>
        <v>5.9999999999999787</v>
      </c>
      <c r="V60" s="426">
        <f t="shared" si="41"/>
        <v>42.000000000000014</v>
      </c>
      <c r="W60" s="417"/>
      <c r="X60" s="417"/>
      <c r="Y60" s="559"/>
      <c r="Z60" s="559"/>
      <c r="AA60" s="61">
        <f t="shared" si="8"/>
        <v>-85.714285714286689</v>
      </c>
      <c r="AB60" s="419">
        <f t="shared" si="9"/>
        <v>0.97142857142857109</v>
      </c>
      <c r="AC60" s="566"/>
    </row>
    <row r="61" spans="1:29" ht="15.75" customHeight="1">
      <c r="A61" s="572" t="s">
        <v>93</v>
      </c>
      <c r="B61" s="427" t="s">
        <v>31</v>
      </c>
      <c r="C61" s="560" t="s">
        <v>72</v>
      </c>
      <c r="D61" s="560"/>
      <c r="E61" s="57">
        <v>40.51</v>
      </c>
      <c r="F61" s="69">
        <v>1509</v>
      </c>
      <c r="G61" s="417">
        <f t="shared" si="39"/>
        <v>61129.59</v>
      </c>
      <c r="H61" s="429" t="s">
        <v>5</v>
      </c>
      <c r="I61" s="425">
        <v>8</v>
      </c>
      <c r="J61" s="58">
        <v>3000</v>
      </c>
      <c r="K61" s="59">
        <f t="shared" si="1"/>
        <v>375</v>
      </c>
      <c r="L61" s="425">
        <v>8</v>
      </c>
      <c r="M61" s="60">
        <f t="shared" si="40"/>
        <v>2920.6451612903252</v>
      </c>
      <c r="N61" s="59">
        <f t="shared" si="3"/>
        <v>365.08064516129065</v>
      </c>
      <c r="O61" s="61">
        <f t="shared" si="4"/>
        <v>0</v>
      </c>
      <c r="P61" s="62">
        <f t="shared" si="5"/>
        <v>-9.9193548387093529</v>
      </c>
      <c r="Q61" s="419">
        <f t="shared" si="6"/>
        <v>0.97354838709677505</v>
      </c>
      <c r="R61" s="566"/>
      <c r="S61" s="63">
        <v>0.3347222222222222</v>
      </c>
      <c r="T61" s="63">
        <v>0.35624999999999996</v>
      </c>
      <c r="U61" s="417">
        <f t="shared" si="42"/>
        <v>4.9999999999999822</v>
      </c>
      <c r="V61" s="426">
        <f t="shared" si="41"/>
        <v>30.999999999999972</v>
      </c>
      <c r="W61" s="417"/>
      <c r="X61" s="417"/>
      <c r="Y61" s="559"/>
      <c r="Z61" s="559"/>
      <c r="AA61" s="61">
        <f t="shared" si="8"/>
        <v>-79.354838709674823</v>
      </c>
      <c r="AB61" s="419">
        <f t="shared" si="9"/>
        <v>0.97354838709677505</v>
      </c>
      <c r="AC61" s="566"/>
    </row>
    <row r="62" spans="1:29">
      <c r="A62" s="573" t="s">
        <v>93</v>
      </c>
      <c r="B62" s="427" t="s">
        <v>31</v>
      </c>
      <c r="C62" s="560" t="s">
        <v>35</v>
      </c>
      <c r="D62" s="560"/>
      <c r="E62" s="57">
        <v>35.869999999999997</v>
      </c>
      <c r="F62" s="69">
        <v>2219</v>
      </c>
      <c r="G62" s="417">
        <f t="shared" si="39"/>
        <v>79595.53</v>
      </c>
      <c r="H62" s="429" t="s">
        <v>5</v>
      </c>
      <c r="I62" s="425">
        <v>9</v>
      </c>
      <c r="J62" s="58">
        <v>3000</v>
      </c>
      <c r="K62" s="59">
        <f t="shared" si="1"/>
        <v>333.33333333333331</v>
      </c>
      <c r="L62" s="425">
        <v>9</v>
      </c>
      <c r="M62" s="60">
        <f t="shared" si="40"/>
        <v>2894.3478260869565</v>
      </c>
      <c r="N62" s="59">
        <f t="shared" si="3"/>
        <v>321.59420289855075</v>
      </c>
      <c r="O62" s="61">
        <f t="shared" si="4"/>
        <v>0</v>
      </c>
      <c r="P62" s="62">
        <f t="shared" si="5"/>
        <v>-11.739130434782567</v>
      </c>
      <c r="Q62" s="419">
        <f t="shared" si="6"/>
        <v>0.96478260869565224</v>
      </c>
      <c r="R62" s="566"/>
      <c r="S62" s="63">
        <v>0.36180555555555549</v>
      </c>
      <c r="T62" s="63">
        <v>0.39374999999999993</v>
      </c>
      <c r="U62" s="417">
        <f t="shared" si="42"/>
        <v>7.9999999999999716</v>
      </c>
      <c r="V62" s="426">
        <f t="shared" si="41"/>
        <v>46</v>
      </c>
      <c r="W62" s="64"/>
      <c r="X62" s="64"/>
      <c r="Y62" s="559"/>
      <c r="Z62" s="559"/>
      <c r="AA62" s="61">
        <f t="shared" si="8"/>
        <v>-105.6521739130435</v>
      </c>
      <c r="AB62" s="419">
        <f t="shared" si="9"/>
        <v>0.96478260869565213</v>
      </c>
      <c r="AC62" s="566"/>
    </row>
    <row r="63" spans="1:29" ht="15" customHeight="1">
      <c r="A63" s="573" t="s">
        <v>93</v>
      </c>
      <c r="B63" s="427" t="s">
        <v>31</v>
      </c>
      <c r="C63" s="567" t="s">
        <v>63</v>
      </c>
      <c r="D63" s="568"/>
      <c r="E63" s="57">
        <v>34.36</v>
      </c>
      <c r="F63" s="69">
        <v>1255</v>
      </c>
      <c r="G63" s="417">
        <f t="shared" si="39"/>
        <v>43121.8</v>
      </c>
      <c r="H63" s="429" t="s">
        <v>5</v>
      </c>
      <c r="I63" s="425">
        <v>10</v>
      </c>
      <c r="J63" s="58">
        <v>3000</v>
      </c>
      <c r="K63" s="59">
        <f t="shared" si="1"/>
        <v>300</v>
      </c>
      <c r="L63" s="425">
        <v>10</v>
      </c>
      <c r="M63" s="60">
        <f t="shared" si="40"/>
        <v>2896.1538461538476</v>
      </c>
      <c r="N63" s="59">
        <f t="shared" si="3"/>
        <v>289.61538461538476</v>
      </c>
      <c r="O63" s="61">
        <f t="shared" si="4"/>
        <v>0</v>
      </c>
      <c r="P63" s="62">
        <f t="shared" si="5"/>
        <v>-10.384615384615245</v>
      </c>
      <c r="Q63" s="419">
        <f t="shared" si="6"/>
        <v>0.96538461538461584</v>
      </c>
      <c r="R63" s="566"/>
      <c r="S63" s="63">
        <v>0.39930555555555547</v>
      </c>
      <c r="T63" s="63">
        <v>0.41736111111111102</v>
      </c>
      <c r="U63" s="417">
        <f t="shared" si="42"/>
        <v>7.9999999999999716</v>
      </c>
      <c r="V63" s="426">
        <f t="shared" si="41"/>
        <v>25.999999999999986</v>
      </c>
      <c r="W63" s="417"/>
      <c r="X63" s="417"/>
      <c r="Y63" s="569"/>
      <c r="Z63" s="570"/>
      <c r="AA63" s="61">
        <f t="shared" si="8"/>
        <v>-103.84615384615245</v>
      </c>
      <c r="AB63" s="419">
        <f t="shared" si="9"/>
        <v>0.96538461538461584</v>
      </c>
      <c r="AC63" s="566"/>
    </row>
    <row r="64" spans="1:29">
      <c r="A64" s="573" t="s">
        <v>93</v>
      </c>
      <c r="B64" s="57" t="s">
        <v>67</v>
      </c>
      <c r="C64" s="571"/>
      <c r="D64" s="571"/>
      <c r="E64" s="424"/>
      <c r="F64" s="66"/>
      <c r="G64" s="59"/>
      <c r="H64" s="427"/>
      <c r="I64" s="67">
        <v>9.1666666666666661</v>
      </c>
      <c r="J64" s="58">
        <v>2750</v>
      </c>
      <c r="K64" s="59">
        <f t="shared" si="1"/>
        <v>300</v>
      </c>
      <c r="L64" s="67">
        <v>9.1666666666666661</v>
      </c>
      <c r="M64" s="60">
        <f>AVERAGE(M58:M63)</f>
        <v>2661.4949799196979</v>
      </c>
      <c r="N64" s="59">
        <f t="shared" si="3"/>
        <v>290.34490690033073</v>
      </c>
      <c r="O64" s="61">
        <f t="shared" si="4"/>
        <v>0</v>
      </c>
      <c r="P64" s="62">
        <f t="shared" si="5"/>
        <v>-9.6550930996692728</v>
      </c>
      <c r="Q64" s="419">
        <f t="shared" si="6"/>
        <v>0.96781635633443575</v>
      </c>
      <c r="R64" s="566"/>
      <c r="S64" s="63"/>
      <c r="T64" s="63"/>
      <c r="U64" s="59"/>
      <c r="V64" s="426"/>
      <c r="W64" s="59"/>
      <c r="X64" s="59"/>
      <c r="Y64" s="559"/>
      <c r="Z64" s="559"/>
      <c r="AA64" s="61">
        <f t="shared" si="8"/>
        <v>-88.505020080302074</v>
      </c>
      <c r="AB64" s="419">
        <f t="shared" si="9"/>
        <v>0.96781635633443563</v>
      </c>
      <c r="AC64" s="566"/>
    </row>
    <row r="65" spans="1:29" ht="15.75" customHeight="1">
      <c r="A65" s="563" t="s">
        <v>90</v>
      </c>
      <c r="B65" s="427" t="s">
        <v>15</v>
      </c>
      <c r="C65" s="560" t="s">
        <v>43</v>
      </c>
      <c r="D65" s="560"/>
      <c r="E65" s="57">
        <v>20.2</v>
      </c>
      <c r="F65" s="427">
        <v>1546</v>
      </c>
      <c r="G65" s="417">
        <f t="shared" ref="G65:G69" si="43">E65*F65</f>
        <v>31229.199999999997</v>
      </c>
      <c r="H65" s="429" t="s">
        <v>5</v>
      </c>
      <c r="I65" s="425">
        <v>19</v>
      </c>
      <c r="J65" s="58">
        <v>2400</v>
      </c>
      <c r="K65" s="59">
        <f t="shared" si="1"/>
        <v>126.31578947368421</v>
      </c>
      <c r="L65" s="425">
        <v>19</v>
      </c>
      <c r="M65" s="60">
        <f t="shared" ref="M65:M69" si="44">F65/V65*60</f>
        <v>2319</v>
      </c>
      <c r="N65" s="59">
        <f t="shared" si="3"/>
        <v>122.05263157894737</v>
      </c>
      <c r="O65" s="61">
        <f t="shared" si="4"/>
        <v>0</v>
      </c>
      <c r="P65" s="62">
        <f t="shared" si="5"/>
        <v>-4.2631578947368354</v>
      </c>
      <c r="Q65" s="419">
        <f t="shared" si="6"/>
        <v>0.96625000000000005</v>
      </c>
      <c r="R65" s="566">
        <f>Q70</f>
        <v>0.95565643449419557</v>
      </c>
      <c r="S65" s="63">
        <v>8.3333333333333329E-2</v>
      </c>
      <c r="T65" s="63">
        <v>0.1111111111111111</v>
      </c>
      <c r="U65" s="68"/>
      <c r="V65" s="426">
        <f t="shared" ref="V65:V69" si="45">(T65-S65)*24*60</f>
        <v>40</v>
      </c>
      <c r="W65" s="64">
        <f>T65</f>
        <v>0.1111111111111111</v>
      </c>
      <c r="X65" s="64">
        <f>S66</f>
        <v>0.13263888888888889</v>
      </c>
      <c r="Y65" s="559"/>
      <c r="Z65" s="559"/>
      <c r="AA65" s="61">
        <f t="shared" si="8"/>
        <v>-81</v>
      </c>
      <c r="AB65" s="419">
        <f t="shared" si="9"/>
        <v>0.96625000000000005</v>
      </c>
      <c r="AC65" s="566">
        <f>AB70</f>
        <v>0.95565643449419557</v>
      </c>
    </row>
    <row r="66" spans="1:29" ht="15.75" customHeight="1">
      <c r="A66" s="564" t="s">
        <v>90</v>
      </c>
      <c r="B66" s="427" t="s">
        <v>15</v>
      </c>
      <c r="C66" s="560" t="s">
        <v>24</v>
      </c>
      <c r="D66" s="560"/>
      <c r="E66" s="57">
        <v>20.52</v>
      </c>
      <c r="F66" s="427">
        <v>2556</v>
      </c>
      <c r="G66" s="417">
        <f t="shared" si="43"/>
        <v>52449.119999999995</v>
      </c>
      <c r="H66" s="429" t="s">
        <v>5</v>
      </c>
      <c r="I66" s="425">
        <v>18</v>
      </c>
      <c r="J66" s="58">
        <v>2400</v>
      </c>
      <c r="K66" s="59">
        <f t="shared" si="1"/>
        <v>133.33333333333334</v>
      </c>
      <c r="L66" s="425">
        <v>18</v>
      </c>
      <c r="M66" s="60">
        <f t="shared" si="44"/>
        <v>2288.9552238805973</v>
      </c>
      <c r="N66" s="59">
        <f t="shared" si="3"/>
        <v>127.16417910447763</v>
      </c>
      <c r="O66" s="61">
        <f t="shared" si="4"/>
        <v>0</v>
      </c>
      <c r="P66" s="62">
        <f t="shared" si="5"/>
        <v>-6.1691542288557173</v>
      </c>
      <c r="Q66" s="419">
        <f t="shared" si="6"/>
        <v>0.95373134328358211</v>
      </c>
      <c r="R66" s="566"/>
      <c r="S66" s="63">
        <v>0.13263888888888889</v>
      </c>
      <c r="T66" s="63">
        <v>0.17916666666666667</v>
      </c>
      <c r="U66" s="417">
        <f t="shared" ref="U66:U69" si="46">(S66-T65)*24*60</f>
        <v>31.000000000000011</v>
      </c>
      <c r="V66" s="426">
        <f t="shared" si="45"/>
        <v>67</v>
      </c>
      <c r="W66" s="64"/>
      <c r="X66" s="64"/>
      <c r="Y66" s="559"/>
      <c r="Z66" s="559"/>
      <c r="AA66" s="61">
        <f t="shared" si="8"/>
        <v>-111.04477611940274</v>
      </c>
      <c r="AB66" s="419">
        <f t="shared" si="9"/>
        <v>0.95373134328358222</v>
      </c>
      <c r="AC66" s="566"/>
    </row>
    <row r="67" spans="1:29" ht="15.75" customHeight="1">
      <c r="A67" s="564" t="s">
        <v>90</v>
      </c>
      <c r="B67" s="427" t="s">
        <v>15</v>
      </c>
      <c r="C67" s="560" t="s">
        <v>29</v>
      </c>
      <c r="D67" s="560"/>
      <c r="E67" s="57">
        <v>24.43</v>
      </c>
      <c r="F67" s="427">
        <v>5106</v>
      </c>
      <c r="G67" s="417">
        <f t="shared" si="43"/>
        <v>124739.58</v>
      </c>
      <c r="H67" s="429" t="s">
        <v>5</v>
      </c>
      <c r="I67" s="425">
        <v>14</v>
      </c>
      <c r="J67" s="58">
        <v>2400</v>
      </c>
      <c r="K67" s="59">
        <f t="shared" si="1"/>
        <v>171.42857142857142</v>
      </c>
      <c r="L67" s="425">
        <v>14</v>
      </c>
      <c r="M67" s="60">
        <f t="shared" si="44"/>
        <v>2286.2686567164169</v>
      </c>
      <c r="N67" s="59">
        <f t="shared" si="3"/>
        <v>163.30490405117263</v>
      </c>
      <c r="O67" s="61">
        <f t="shared" si="4"/>
        <v>0</v>
      </c>
      <c r="P67" s="62">
        <f t="shared" si="5"/>
        <v>-8.1236673773987889</v>
      </c>
      <c r="Q67" s="419">
        <f t="shared" si="6"/>
        <v>0.95261194029850704</v>
      </c>
      <c r="R67" s="566"/>
      <c r="S67" s="63">
        <v>0.18263888888888888</v>
      </c>
      <c r="T67" s="63">
        <v>0.27569444444444446</v>
      </c>
      <c r="U67" s="417">
        <f t="shared" si="46"/>
        <v>4.9999999999999822</v>
      </c>
      <c r="V67" s="426">
        <f t="shared" si="45"/>
        <v>134.00000000000006</v>
      </c>
      <c r="W67" s="64"/>
      <c r="X67" s="64"/>
      <c r="Y67" s="559"/>
      <c r="Z67" s="559"/>
      <c r="AA67" s="61">
        <f t="shared" si="8"/>
        <v>-113.7313432835831</v>
      </c>
      <c r="AB67" s="419">
        <f t="shared" si="9"/>
        <v>0.95261194029850704</v>
      </c>
      <c r="AC67" s="566"/>
    </row>
    <row r="68" spans="1:29" ht="15.75" customHeight="1">
      <c r="A68" s="564" t="s">
        <v>90</v>
      </c>
      <c r="B68" s="427" t="s">
        <v>15</v>
      </c>
      <c r="C68" s="560" t="s">
        <v>1183</v>
      </c>
      <c r="D68" s="560"/>
      <c r="E68" s="57">
        <v>20.21</v>
      </c>
      <c r="F68" s="427">
        <v>4759</v>
      </c>
      <c r="G68" s="417">
        <f t="shared" si="43"/>
        <v>96179.39</v>
      </c>
      <c r="H68" s="429" t="s">
        <v>5</v>
      </c>
      <c r="I68" s="425">
        <v>16</v>
      </c>
      <c r="J68" s="58">
        <v>2400</v>
      </c>
      <c r="K68" s="59">
        <f t="shared" si="1"/>
        <v>150</v>
      </c>
      <c r="L68" s="425">
        <v>16</v>
      </c>
      <c r="M68" s="60">
        <f t="shared" si="44"/>
        <v>2284.3199999999993</v>
      </c>
      <c r="N68" s="59">
        <f t="shared" si="3"/>
        <v>142.76999999999995</v>
      </c>
      <c r="O68" s="61">
        <f t="shared" si="4"/>
        <v>0</v>
      </c>
      <c r="P68" s="62">
        <f t="shared" si="5"/>
        <v>-7.2300000000000466</v>
      </c>
      <c r="Q68" s="419">
        <f t="shared" si="6"/>
        <v>0.95179999999999965</v>
      </c>
      <c r="R68" s="566"/>
      <c r="S68" s="63">
        <v>0.28125</v>
      </c>
      <c r="T68" s="63">
        <v>0.36805555555555558</v>
      </c>
      <c r="U68" s="417">
        <f t="shared" si="46"/>
        <v>7.9999999999999716</v>
      </c>
      <c r="V68" s="426">
        <f t="shared" si="45"/>
        <v>125.00000000000003</v>
      </c>
      <c r="W68" s="64"/>
      <c r="X68" s="64"/>
      <c r="Y68" s="559"/>
      <c r="Z68" s="559"/>
      <c r="AA68" s="61">
        <f t="shared" si="8"/>
        <v>-115.68000000000075</v>
      </c>
      <c r="AB68" s="419">
        <f t="shared" si="9"/>
        <v>0.95179999999999965</v>
      </c>
      <c r="AC68" s="566"/>
    </row>
    <row r="69" spans="1:29" ht="15.75" customHeight="1">
      <c r="A69" s="564" t="s">
        <v>90</v>
      </c>
      <c r="B69" s="427" t="s">
        <v>15</v>
      </c>
      <c r="C69" s="560" t="s">
        <v>44</v>
      </c>
      <c r="D69" s="560"/>
      <c r="E69" s="57">
        <v>19.02</v>
      </c>
      <c r="F69" s="427">
        <v>6868</v>
      </c>
      <c r="G69" s="417">
        <f t="shared" si="43"/>
        <v>130629.36</v>
      </c>
      <c r="H69" s="429" t="s">
        <v>5</v>
      </c>
      <c r="I69" s="425">
        <v>15</v>
      </c>
      <c r="J69" s="58">
        <v>2400</v>
      </c>
      <c r="K69" s="59">
        <f t="shared" ref="K69:K70" si="47">J69/I69</f>
        <v>160</v>
      </c>
      <c r="L69" s="425">
        <v>15</v>
      </c>
      <c r="M69" s="60">
        <f t="shared" si="44"/>
        <v>2289.3333333333335</v>
      </c>
      <c r="N69" s="59">
        <f t="shared" ref="N69:N70" si="48">M69/L69</f>
        <v>152.62222222222223</v>
      </c>
      <c r="O69" s="61">
        <f t="shared" ref="O69:O70" si="49">L69-I69</f>
        <v>0</v>
      </c>
      <c r="P69" s="62">
        <f t="shared" ref="P69:P70" si="50">N69-K69</f>
        <v>-7.3777777777777658</v>
      </c>
      <c r="Q69" s="419">
        <f t="shared" ref="Q69:Q70" si="51">N69/K69</f>
        <v>0.95388888888888901</v>
      </c>
      <c r="R69" s="566"/>
      <c r="S69" s="63">
        <v>0.37361111111111112</v>
      </c>
      <c r="T69" s="63">
        <v>0.49861111111111112</v>
      </c>
      <c r="U69" s="417">
        <f t="shared" si="46"/>
        <v>7.9999999999999716</v>
      </c>
      <c r="V69" s="426">
        <f t="shared" si="45"/>
        <v>180</v>
      </c>
      <c r="W69" s="64"/>
      <c r="X69" s="64"/>
      <c r="Y69" s="559"/>
      <c r="Z69" s="559"/>
      <c r="AA69" s="61">
        <f t="shared" ref="AA69:AA70" si="52">M69-J69</f>
        <v>-110.66666666666652</v>
      </c>
      <c r="AB69" s="419">
        <f t="shared" ref="AB69:AB70" si="53">M69/J69</f>
        <v>0.9538888888888889</v>
      </c>
      <c r="AC69" s="566"/>
    </row>
    <row r="70" spans="1:29" ht="16.5" customHeight="1">
      <c r="A70" s="565" t="s">
        <v>90</v>
      </c>
      <c r="B70" s="57" t="s">
        <v>67</v>
      </c>
      <c r="C70" s="561"/>
      <c r="D70" s="562"/>
      <c r="E70" s="424"/>
      <c r="F70" s="66"/>
      <c r="G70" s="59"/>
      <c r="H70" s="427"/>
      <c r="I70" s="67">
        <v>16.399999999999999</v>
      </c>
      <c r="J70" s="58">
        <v>2400</v>
      </c>
      <c r="K70" s="59">
        <f t="shared" si="47"/>
        <v>146.34146341463415</v>
      </c>
      <c r="L70" s="67">
        <v>16.399999999999999</v>
      </c>
      <c r="M70" s="60">
        <f>AVERAGE(M65:M69)</f>
        <v>2293.5754427860693</v>
      </c>
      <c r="N70" s="59">
        <f t="shared" si="48"/>
        <v>139.85216114549203</v>
      </c>
      <c r="O70" s="61">
        <f t="shared" si="49"/>
        <v>0</v>
      </c>
      <c r="P70" s="62">
        <f t="shared" si="50"/>
        <v>-6.4893022691421152</v>
      </c>
      <c r="Q70" s="419">
        <f t="shared" si="51"/>
        <v>0.95565643449419557</v>
      </c>
      <c r="R70" s="566"/>
      <c r="S70" s="63"/>
      <c r="T70" s="63"/>
      <c r="U70" s="59"/>
      <c r="V70" s="426"/>
      <c r="W70" s="59"/>
      <c r="X70" s="59"/>
      <c r="Y70" s="559"/>
      <c r="Z70" s="559"/>
      <c r="AA70" s="61">
        <f t="shared" si="52"/>
        <v>-106.42455721393071</v>
      </c>
      <c r="AB70" s="419">
        <f t="shared" si="53"/>
        <v>0.95565643449419557</v>
      </c>
      <c r="AC70" s="566"/>
    </row>
    <row r="71" spans="1:29">
      <c r="D71" s="122"/>
      <c r="E71" s="122"/>
      <c r="H71" s="73"/>
    </row>
  </sheetData>
  <mergeCells count="188">
    <mergeCell ref="AC65:AC70"/>
    <mergeCell ref="C66:D66"/>
    <mergeCell ref="Y66:Z66"/>
    <mergeCell ref="C67:D67"/>
    <mergeCell ref="Y67:Z67"/>
    <mergeCell ref="C68:D68"/>
    <mergeCell ref="Y68:Z68"/>
    <mergeCell ref="C69:D69"/>
    <mergeCell ref="Y69:Z69"/>
    <mergeCell ref="C70:D70"/>
    <mergeCell ref="AC58:AC64"/>
    <mergeCell ref="C59:D59"/>
    <mergeCell ref="Y59:Z59"/>
    <mergeCell ref="C60:D60"/>
    <mergeCell ref="Y60:Z60"/>
    <mergeCell ref="C61:D61"/>
    <mergeCell ref="Y61:Z61"/>
    <mergeCell ref="C62:D62"/>
    <mergeCell ref="Y62:Z62"/>
    <mergeCell ref="C63:D63"/>
    <mergeCell ref="A58:A64"/>
    <mergeCell ref="C58:D58"/>
    <mergeCell ref="R58:R64"/>
    <mergeCell ref="Y58:Z58"/>
    <mergeCell ref="Y63:Z63"/>
    <mergeCell ref="C64:D64"/>
    <mergeCell ref="Y64:Z64"/>
    <mergeCell ref="A65:A70"/>
    <mergeCell ref="C65:D65"/>
    <mergeCell ref="R65:R70"/>
    <mergeCell ref="Y65:Z65"/>
    <mergeCell ref="Y70:Z70"/>
    <mergeCell ref="AC42:AC49"/>
    <mergeCell ref="C43:D43"/>
    <mergeCell ref="Y43:Z43"/>
    <mergeCell ref="C44:D44"/>
    <mergeCell ref="Y44:Z44"/>
    <mergeCell ref="C45:D45"/>
    <mergeCell ref="Y45:Z45"/>
    <mergeCell ref="C46:D46"/>
    <mergeCell ref="Y46:Z46"/>
    <mergeCell ref="C47:D47"/>
    <mergeCell ref="A50:A57"/>
    <mergeCell ref="C50:D50"/>
    <mergeCell ref="R50:R57"/>
    <mergeCell ref="Y50:Z50"/>
    <mergeCell ref="AC50:AC57"/>
    <mergeCell ref="C51:D51"/>
    <mergeCell ref="Y51:Z51"/>
    <mergeCell ref="C52:D52"/>
    <mergeCell ref="C55:D55"/>
    <mergeCell ref="Y55:Z55"/>
    <mergeCell ref="C56:D56"/>
    <mergeCell ref="Y56:Z56"/>
    <mergeCell ref="C57:D57"/>
    <mergeCell ref="Y57:Z57"/>
    <mergeCell ref="A35:A41"/>
    <mergeCell ref="C35:D35"/>
    <mergeCell ref="R35:R41"/>
    <mergeCell ref="Y35:Z35"/>
    <mergeCell ref="C41:D41"/>
    <mergeCell ref="Y41:Z41"/>
    <mergeCell ref="A42:A49"/>
    <mergeCell ref="C42:D42"/>
    <mergeCell ref="R42:R49"/>
    <mergeCell ref="Y42:Z42"/>
    <mergeCell ref="Y47:Z47"/>
    <mergeCell ref="C48:D48"/>
    <mergeCell ref="Y48:Z48"/>
    <mergeCell ref="C49:D49"/>
    <mergeCell ref="Y49:Z49"/>
    <mergeCell ref="AC35:AC41"/>
    <mergeCell ref="C36:D36"/>
    <mergeCell ref="Y36:Z36"/>
    <mergeCell ref="C37:D37"/>
    <mergeCell ref="Y37:Z37"/>
    <mergeCell ref="AC28:AC34"/>
    <mergeCell ref="C29:D29"/>
    <mergeCell ref="Y29:Z29"/>
    <mergeCell ref="C30:D30"/>
    <mergeCell ref="Y30:Z30"/>
    <mergeCell ref="C31:D31"/>
    <mergeCell ref="Y31:Z31"/>
    <mergeCell ref="C32:D32"/>
    <mergeCell ref="Y32:Z32"/>
    <mergeCell ref="C33:D33"/>
    <mergeCell ref="C38:D38"/>
    <mergeCell ref="Y38:Z38"/>
    <mergeCell ref="C39:D39"/>
    <mergeCell ref="Y39:Z39"/>
    <mergeCell ref="C40:D40"/>
    <mergeCell ref="Y40:Z40"/>
    <mergeCell ref="Y34:Z34"/>
    <mergeCell ref="A19:A27"/>
    <mergeCell ref="C19:D19"/>
    <mergeCell ref="R19:R27"/>
    <mergeCell ref="Y19:Z19"/>
    <mergeCell ref="C26:D26"/>
    <mergeCell ref="Y26:Z26"/>
    <mergeCell ref="C27:D27"/>
    <mergeCell ref="Y27:Z27"/>
    <mergeCell ref="A28:A34"/>
    <mergeCell ref="C28:D28"/>
    <mergeCell ref="R28:R34"/>
    <mergeCell ref="Y28:Z28"/>
    <mergeCell ref="Y33:Z33"/>
    <mergeCell ref="C34:D34"/>
    <mergeCell ref="AC19:AC27"/>
    <mergeCell ref="C20:D20"/>
    <mergeCell ref="Y20:Z20"/>
    <mergeCell ref="C21:D21"/>
    <mergeCell ref="Y21:Z21"/>
    <mergeCell ref="C22:D22"/>
    <mergeCell ref="C16:D16"/>
    <mergeCell ref="Y16:Z16"/>
    <mergeCell ref="C17:D17"/>
    <mergeCell ref="Y17:Z17"/>
    <mergeCell ref="C18:D18"/>
    <mergeCell ref="Y18:Z18"/>
    <mergeCell ref="Y22:Z22"/>
    <mergeCell ref="C23:D23"/>
    <mergeCell ref="Y23:Z23"/>
    <mergeCell ref="C24:D24"/>
    <mergeCell ref="Y24:Z24"/>
    <mergeCell ref="C25:D25"/>
    <mergeCell ref="Y25:Z25"/>
    <mergeCell ref="H3:H4"/>
    <mergeCell ref="I3:I4"/>
    <mergeCell ref="A12:A18"/>
    <mergeCell ref="C12:D12"/>
    <mergeCell ref="R12:R18"/>
    <mergeCell ref="Y12:Z12"/>
    <mergeCell ref="AC12:AC18"/>
    <mergeCell ref="C8:D8"/>
    <mergeCell ref="Y8:Z8"/>
    <mergeCell ref="A9:A11"/>
    <mergeCell ref="C9:D9"/>
    <mergeCell ref="R9:R11"/>
    <mergeCell ref="Y9:Z9"/>
    <mergeCell ref="C13:D13"/>
    <mergeCell ref="Y13:Z13"/>
    <mergeCell ref="C14:D14"/>
    <mergeCell ref="Y14:Z14"/>
    <mergeCell ref="C15:D15"/>
    <mergeCell ref="Y15:Z15"/>
    <mergeCell ref="AC9:AC11"/>
    <mergeCell ref="C10:D10"/>
    <mergeCell ref="Y10:Z10"/>
    <mergeCell ref="C11:D11"/>
    <mergeCell ref="Y11:Z11"/>
    <mergeCell ref="A3:A4"/>
    <mergeCell ref="B3:B4"/>
    <mergeCell ref="C3:D4"/>
    <mergeCell ref="E3:E4"/>
    <mergeCell ref="F3:F4"/>
    <mergeCell ref="G3:G4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I1:K2"/>
    <mergeCell ref="L1:N2"/>
    <mergeCell ref="O1:R2"/>
    <mergeCell ref="S1:X2"/>
    <mergeCell ref="Y1:Z2"/>
    <mergeCell ref="AA1:AC2"/>
    <mergeCell ref="J3:J4"/>
    <mergeCell ref="K3:K4"/>
    <mergeCell ref="L3:L4"/>
    <mergeCell ref="M3:M4"/>
    <mergeCell ref="P3:P4"/>
    <mergeCell ref="Q3:Q4"/>
    <mergeCell ref="R3:R4"/>
    <mergeCell ref="S3:T3"/>
  </mergeCells>
  <phoneticPr fontId="3" type="noConversion"/>
  <conditionalFormatting sqref="O57:O58 O61:O70 O5:O9 O11:O13 O49:O55 O18:O47">
    <cfRule type="cellIs" dxfId="1724" priority="50" operator="greaterThan">
      <formula>0</formula>
    </cfRule>
  </conditionalFormatting>
  <conditionalFormatting sqref="P5:P7 P61:P63 AA61:AA63 P65:P69 P28:P33 P58 P9 P11:P13 P19:P26 P50:P55 P35:P47 AA5:AA58 AA65:AA70">
    <cfRule type="cellIs" dxfId="1723" priority="54" operator="lessThan">
      <formula>0</formula>
    </cfRule>
  </conditionalFormatting>
  <conditionalFormatting sqref="AB61:AB63 Q57:Q58 Q61:Q70 Q5:Q9 Q11:Q13 Q49:Q55 Q18:Q47 AB5:AB58 AB65:AB70">
    <cfRule type="cellIs" dxfId="1722" priority="51" operator="greaterThan">
      <formula>1</formula>
    </cfRule>
    <cfRule type="cellIs" dxfId="1721" priority="52" operator="lessThan">
      <formula>0.8</formula>
    </cfRule>
  </conditionalFormatting>
  <conditionalFormatting sqref="AC12:AC13 R12:R13 AC61 R18:R24 AC18:AC24 AC57:AC58 R57:R58 R61:R70 AC5:AC9 R5:R9 R27:R47 AC27:AC47 AC49:AC55 R49:R55">
    <cfRule type="cellIs" dxfId="1720" priority="56" operator="lessThan">
      <formula>0.8</formula>
    </cfRule>
  </conditionalFormatting>
  <conditionalFormatting sqref="AC42">
    <cfRule type="cellIs" dxfId="1719" priority="58" operator="lessThan">
      <formula>0.8</formula>
    </cfRule>
  </conditionalFormatting>
  <conditionalFormatting sqref="AC19:AC24">
    <cfRule type="cellIs" dxfId="1718" priority="55" operator="lessThan">
      <formula>0.8</formula>
    </cfRule>
  </conditionalFormatting>
  <conditionalFormatting sqref="AC28">
    <cfRule type="cellIs" dxfId="1717" priority="57" operator="lessThan">
      <formula>0.8</formula>
    </cfRule>
  </conditionalFormatting>
  <conditionalFormatting sqref="AC35:AC40">
    <cfRule type="cellIs" dxfId="1716" priority="53" operator="lessThan">
      <formula>0.8</formula>
    </cfRule>
  </conditionalFormatting>
  <conditionalFormatting sqref="AA64">
    <cfRule type="cellIs" dxfId="1715" priority="49" operator="lessThan">
      <formula>0</formula>
    </cfRule>
  </conditionalFormatting>
  <conditionalFormatting sqref="AB64">
    <cfRule type="cellIs" dxfId="1714" priority="47" operator="greaterThan">
      <formula>1</formula>
    </cfRule>
    <cfRule type="cellIs" dxfId="1713" priority="48" operator="lessThan">
      <formula>0.8</formula>
    </cfRule>
  </conditionalFormatting>
  <conditionalFormatting sqref="O14:O15">
    <cfRule type="cellIs" dxfId="1712" priority="42" operator="greaterThan">
      <formula>0</formula>
    </cfRule>
  </conditionalFormatting>
  <conditionalFormatting sqref="P14:P15">
    <cfRule type="cellIs" dxfId="1711" priority="45" operator="lessThan">
      <formula>0</formula>
    </cfRule>
  </conditionalFormatting>
  <conditionalFormatting sqref="Q14:Q15">
    <cfRule type="cellIs" dxfId="1710" priority="43" operator="greaterThan">
      <formula>1</formula>
    </cfRule>
    <cfRule type="cellIs" dxfId="1709" priority="44" operator="lessThan">
      <formula>0.8</formula>
    </cfRule>
  </conditionalFormatting>
  <conditionalFormatting sqref="R14:R15 AC14:AC15">
    <cfRule type="cellIs" dxfId="1708" priority="46" operator="lessThan">
      <formula>0.8</formula>
    </cfRule>
  </conditionalFormatting>
  <conditionalFormatting sqref="O10">
    <cfRule type="cellIs" dxfId="1707" priority="38" operator="greaterThan">
      <formula>0</formula>
    </cfRule>
  </conditionalFormatting>
  <conditionalFormatting sqref="P10">
    <cfRule type="cellIs" dxfId="1706" priority="41" operator="lessThan">
      <formula>0</formula>
    </cfRule>
  </conditionalFormatting>
  <conditionalFormatting sqref="Q10">
    <cfRule type="cellIs" dxfId="1705" priority="39" operator="greaterThan">
      <formula>1</formula>
    </cfRule>
    <cfRule type="cellIs" dxfId="1704" priority="40" operator="lessThan">
      <formula>0.8</formula>
    </cfRule>
  </conditionalFormatting>
  <conditionalFormatting sqref="O56">
    <cfRule type="cellIs" dxfId="1703" priority="33" operator="greaterThan">
      <formula>0</formula>
    </cfRule>
  </conditionalFormatting>
  <conditionalFormatting sqref="P56">
    <cfRule type="cellIs" dxfId="1702" priority="36" operator="lessThan">
      <formula>0</formula>
    </cfRule>
  </conditionalFormatting>
  <conditionalFormatting sqref="Q56">
    <cfRule type="cellIs" dxfId="1701" priority="34" operator="greaterThan">
      <formula>1</formula>
    </cfRule>
    <cfRule type="cellIs" dxfId="1700" priority="35" operator="lessThan">
      <formula>0.8</formula>
    </cfRule>
  </conditionalFormatting>
  <conditionalFormatting sqref="R56 AC56">
    <cfRule type="cellIs" dxfId="1699" priority="37" operator="lessThan">
      <formula>0.8</formula>
    </cfRule>
  </conditionalFormatting>
  <conditionalFormatting sqref="AC26 R26">
    <cfRule type="cellIs" dxfId="1698" priority="32" operator="lessThan">
      <formula>0.8</formula>
    </cfRule>
  </conditionalFormatting>
  <conditionalFormatting sqref="O60">
    <cfRule type="cellIs" dxfId="1697" priority="27" operator="greaterThan">
      <formula>0</formula>
    </cfRule>
  </conditionalFormatting>
  <conditionalFormatting sqref="P60 AA60">
    <cfRule type="cellIs" dxfId="1696" priority="30" operator="lessThan">
      <formula>0</formula>
    </cfRule>
  </conditionalFormatting>
  <conditionalFormatting sqref="Q60 AB60">
    <cfRule type="cellIs" dxfId="1695" priority="28" operator="greaterThan">
      <formula>1</formula>
    </cfRule>
    <cfRule type="cellIs" dxfId="1694" priority="29" operator="lessThan">
      <formula>0.8</formula>
    </cfRule>
  </conditionalFormatting>
  <conditionalFormatting sqref="R60 AC60">
    <cfRule type="cellIs" dxfId="1693" priority="31" operator="lessThan">
      <formula>0.8</formula>
    </cfRule>
  </conditionalFormatting>
  <conditionalFormatting sqref="O16:O17">
    <cfRule type="cellIs" dxfId="1692" priority="22" operator="greaterThan">
      <formula>0</formula>
    </cfRule>
  </conditionalFormatting>
  <conditionalFormatting sqref="P16:P17">
    <cfRule type="cellIs" dxfId="1691" priority="25" operator="lessThan">
      <formula>0</formula>
    </cfRule>
  </conditionalFormatting>
  <conditionalFormatting sqref="Q16:Q17">
    <cfRule type="cellIs" dxfId="1690" priority="23" operator="greaterThan">
      <formula>1</formula>
    </cfRule>
    <cfRule type="cellIs" dxfId="1689" priority="24" operator="lessThan">
      <formula>0.8</formula>
    </cfRule>
  </conditionalFormatting>
  <conditionalFormatting sqref="R16:R17 AC16:AC17">
    <cfRule type="cellIs" dxfId="1688" priority="26" operator="lessThan">
      <formula>0.8</formula>
    </cfRule>
  </conditionalFormatting>
  <conditionalFormatting sqref="O48">
    <cfRule type="cellIs" dxfId="1687" priority="16" operator="greaterThan">
      <formula>0</formula>
    </cfRule>
  </conditionalFormatting>
  <conditionalFormatting sqref="P48">
    <cfRule type="cellIs" dxfId="1686" priority="20" operator="lessThan">
      <formula>0</formula>
    </cfRule>
  </conditionalFormatting>
  <conditionalFormatting sqref="Q48">
    <cfRule type="cellIs" dxfId="1685" priority="17" operator="greaterThan">
      <formula>1</formula>
    </cfRule>
    <cfRule type="cellIs" dxfId="1684" priority="18" operator="lessThan">
      <formula>0.8</formula>
    </cfRule>
  </conditionalFormatting>
  <conditionalFormatting sqref="R48 AC48">
    <cfRule type="cellIs" dxfId="1683" priority="21" operator="lessThan">
      <formula>0.8</formula>
    </cfRule>
  </conditionalFormatting>
  <conditionalFormatting sqref="AC48">
    <cfRule type="cellIs" dxfId="1682" priority="19" operator="lessThan">
      <formula>0.8</formula>
    </cfRule>
  </conditionalFormatting>
  <conditionalFormatting sqref="R25 AC25">
    <cfRule type="cellIs" dxfId="1681" priority="15" operator="lessThan">
      <formula>0.8</formula>
    </cfRule>
  </conditionalFormatting>
  <conditionalFormatting sqref="AC25">
    <cfRule type="cellIs" dxfId="1680" priority="14" operator="lessThan">
      <formula>0.8</formula>
    </cfRule>
  </conditionalFormatting>
  <conditionalFormatting sqref="O59">
    <cfRule type="cellIs" dxfId="1679" priority="9" operator="greaterThan">
      <formula>0</formula>
    </cfRule>
  </conditionalFormatting>
  <conditionalFormatting sqref="P59 AA59">
    <cfRule type="cellIs" dxfId="1678" priority="12" operator="lessThan">
      <formula>0</formula>
    </cfRule>
  </conditionalFormatting>
  <conditionalFormatting sqref="Q59 AB59">
    <cfRule type="cellIs" dxfId="1677" priority="10" operator="greaterThan">
      <formula>1</formula>
    </cfRule>
    <cfRule type="cellIs" dxfId="1676" priority="11" operator="lessThan">
      <formula>0.8</formula>
    </cfRule>
  </conditionalFormatting>
  <conditionalFormatting sqref="R59 AC59">
    <cfRule type="cellIs" dxfId="1675" priority="13" operator="lessThan">
      <formula>0.8</formula>
    </cfRule>
  </conditionalFormatting>
  <conditionalFormatting sqref="P8">
    <cfRule type="cellIs" dxfId="1674" priority="8" operator="lessThan">
      <formula>0</formula>
    </cfRule>
  </conditionalFormatting>
  <conditionalFormatting sqref="P18">
    <cfRule type="cellIs" dxfId="1673" priority="7" operator="lessThan">
      <formula>0</formula>
    </cfRule>
  </conditionalFormatting>
  <conditionalFormatting sqref="P27">
    <cfRule type="cellIs" dxfId="1672" priority="6" operator="lessThan">
      <formula>0</formula>
    </cfRule>
  </conditionalFormatting>
  <conditionalFormatting sqref="P34">
    <cfRule type="cellIs" dxfId="1671" priority="5" operator="lessThan">
      <formula>0</formula>
    </cfRule>
  </conditionalFormatting>
  <conditionalFormatting sqref="P49">
    <cfRule type="cellIs" dxfId="1670" priority="4" operator="lessThan">
      <formula>0</formula>
    </cfRule>
  </conditionalFormatting>
  <conditionalFormatting sqref="P57">
    <cfRule type="cellIs" dxfId="1669" priority="3" operator="lessThan">
      <formula>0</formula>
    </cfRule>
  </conditionalFormatting>
  <conditionalFormatting sqref="P64">
    <cfRule type="cellIs" dxfId="1668" priority="2" operator="lessThan">
      <formula>0</formula>
    </cfRule>
  </conditionalFormatting>
  <conditionalFormatting sqref="P70">
    <cfRule type="cellIs" dxfId="1667" priority="1" operator="lessThan">
      <formula>0</formula>
    </cfRule>
  </conditionalFormatting>
  <dataValidations count="1">
    <dataValidation type="list" allowBlank="1" showInputMessage="1" showErrorMessage="1" sqref="Z8 Z62:Z63 Y5:Z7 Y8:Y63 Z10:Z58 Y64:Z70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topLeftCell="A6" zoomScale="85" zoomScaleNormal="85" workbookViewId="0">
      <selection activeCell="I13" sqref="I13"/>
    </sheetView>
  </sheetViews>
  <sheetFormatPr defaultColWidth="8.75" defaultRowHeight="15.75"/>
  <cols>
    <col min="1" max="1" width="8.75" style="2"/>
    <col min="2" max="2" width="17.875" style="2" customWidth="1"/>
    <col min="3" max="3" width="9.25" style="9" customWidth="1"/>
    <col min="4" max="13" width="12.625" style="2" customWidth="1"/>
    <col min="14" max="14" width="11" style="2" bestFit="1" customWidth="1"/>
    <col min="15" max="15" width="17.75" style="2" bestFit="1" customWidth="1"/>
    <col min="16" max="16" width="12.25" style="2" bestFit="1" customWidth="1"/>
    <col min="17" max="22" width="9.25" style="2" customWidth="1"/>
    <col min="23" max="23" width="10.75" style="2" customWidth="1"/>
    <col min="24" max="24" width="11" style="2" customWidth="1"/>
    <col min="25" max="16384" width="8.75" style="2"/>
  </cols>
  <sheetData>
    <row r="1" spans="2:17" ht="27.75" customHeight="1">
      <c r="B1" s="546" t="s">
        <v>1788</v>
      </c>
      <c r="C1" s="546"/>
      <c r="D1" s="546"/>
      <c r="E1" s="546"/>
      <c r="F1" s="546"/>
      <c r="G1" s="546"/>
      <c r="H1" s="546"/>
      <c r="I1" s="546"/>
      <c r="J1" s="546"/>
      <c r="K1" s="1"/>
      <c r="L1" s="1"/>
      <c r="M1" s="1"/>
      <c r="N1" s="1"/>
      <c r="O1" s="1"/>
      <c r="P1" s="1"/>
    </row>
    <row r="2" spans="2:17" ht="27.75" customHeight="1">
      <c r="B2" s="547"/>
      <c r="C2" s="547"/>
      <c r="D2" s="547"/>
      <c r="E2" s="547"/>
      <c r="F2" s="547"/>
      <c r="G2" s="547"/>
      <c r="H2" s="547"/>
      <c r="I2" s="547"/>
      <c r="J2" s="547"/>
      <c r="K2" s="3"/>
      <c r="L2" s="3"/>
      <c r="M2" s="3"/>
      <c r="N2" s="1"/>
      <c r="O2" s="1"/>
      <c r="P2" s="1"/>
    </row>
    <row r="3" spans="2:17" ht="46.5" customHeight="1">
      <c r="B3" s="4" t="s">
        <v>1789</v>
      </c>
      <c r="C3" s="548" t="str">
        <f>TEXT('1225 4度C'!A2,"yyyy.mm.ddaaaa")</f>
        <v>2025.12.25星期四</v>
      </c>
      <c r="D3" s="549"/>
      <c r="E3" s="4" t="s">
        <v>1790</v>
      </c>
      <c r="F3" s="550">
        <f>'1225 4度C'!D1</f>
        <v>157382</v>
      </c>
      <c r="G3" s="551"/>
      <c r="H3" s="4" t="s">
        <v>175</v>
      </c>
      <c r="I3" s="552">
        <f>'1225 4度C'!F1</f>
        <v>5272238.9800000014</v>
      </c>
      <c r="J3" s="553"/>
      <c r="K3" s="5"/>
      <c r="L3" s="6"/>
      <c r="M3" s="7"/>
      <c r="N3" s="7"/>
    </row>
    <row r="4" spans="2:17" ht="28.5" customHeight="1">
      <c r="B4" s="554" t="s">
        <v>1791</v>
      </c>
      <c r="C4" s="536" t="s">
        <v>1792</v>
      </c>
      <c r="D4" s="537"/>
      <c r="E4" s="557" t="s">
        <v>1793</v>
      </c>
      <c r="F4" s="558"/>
      <c r="G4" s="557" t="s">
        <v>1794</v>
      </c>
      <c r="H4" s="558"/>
      <c r="I4" s="557" t="s">
        <v>1795</v>
      </c>
      <c r="J4" s="558"/>
      <c r="L4" s="7"/>
      <c r="M4" s="7"/>
      <c r="N4" s="7"/>
    </row>
    <row r="5" spans="2:17" ht="28.5" customHeight="1">
      <c r="B5" s="555"/>
      <c r="C5" s="536" t="s">
        <v>1796</v>
      </c>
      <c r="D5" s="537"/>
      <c r="E5" s="536" t="s">
        <v>947</v>
      </c>
      <c r="F5" s="537"/>
      <c r="G5" s="538" t="s">
        <v>1798</v>
      </c>
      <c r="H5" s="539"/>
      <c r="I5" s="540" t="s">
        <v>1799</v>
      </c>
      <c r="J5" s="541"/>
      <c r="K5" s="7"/>
      <c r="L5" s="7"/>
      <c r="M5" s="7"/>
      <c r="N5" s="7"/>
    </row>
    <row r="6" spans="2:17" ht="28.5" customHeight="1">
      <c r="B6" s="555"/>
      <c r="C6" s="536" t="s">
        <v>46</v>
      </c>
      <c r="D6" s="537"/>
      <c r="E6" s="542">
        <f>AVERAGE(D13:M13)</f>
        <v>148.90133519366475</v>
      </c>
      <c r="F6" s="543">
        <f>AVERAGE(D27:O27,D13:J13)</f>
        <v>153.26091576512735</v>
      </c>
      <c r="G6" s="544">
        <f>AVERAGE(D13:J13)</f>
        <v>153.26091576512735</v>
      </c>
      <c r="H6" s="545"/>
      <c r="I6" s="544">
        <f>AVERAGE(K13:M13)</f>
        <v>138.72898052691866</v>
      </c>
      <c r="J6" s="545"/>
      <c r="K6" s="7"/>
      <c r="L6" s="7"/>
      <c r="M6" s="7"/>
      <c r="N6" s="7"/>
    </row>
    <row r="7" spans="2:17" ht="28.5" customHeight="1">
      <c r="B7" s="555"/>
      <c r="C7" s="526" t="s">
        <v>47</v>
      </c>
      <c r="D7" s="527"/>
      <c r="E7" s="528">
        <f>AVERAGE(D14:M14)</f>
        <v>141.94570347876385</v>
      </c>
      <c r="F7" s="529">
        <f>AVERAGE(D28:O28,D14:J14)</f>
        <v>145.81214477927239</v>
      </c>
      <c r="G7" s="530">
        <f>AVERAGE(D14:J14)</f>
        <v>145.81214477927239</v>
      </c>
      <c r="H7" s="531"/>
      <c r="I7" s="530">
        <f>AVERAGE(K14:M14)</f>
        <v>132.92400711091054</v>
      </c>
      <c r="J7" s="531"/>
      <c r="K7" s="7"/>
      <c r="L7" s="7"/>
      <c r="M7" s="7"/>
      <c r="N7" s="7"/>
    </row>
    <row r="8" spans="2:17" ht="28.5" customHeight="1">
      <c r="B8" s="556"/>
      <c r="C8" s="526" t="s">
        <v>48</v>
      </c>
      <c r="D8" s="527"/>
      <c r="E8" s="532">
        <f>AVERAGE(D15:M15)</f>
        <v>0.95143328967331497</v>
      </c>
      <c r="F8" s="533">
        <f>AVERAGE(D15:J15,D29:O29)</f>
        <v>0.9485117242517076</v>
      </c>
      <c r="G8" s="534">
        <f>AVERAGE(D15:J15)</f>
        <v>0.9485117242517076</v>
      </c>
      <c r="H8" s="535"/>
      <c r="I8" s="534">
        <f>AVERAGE(K15:M15)</f>
        <v>0.95825027565706533</v>
      </c>
      <c r="J8" s="535"/>
      <c r="K8" s="8" t="s">
        <v>1800</v>
      </c>
      <c r="L8" s="7"/>
      <c r="M8" s="7"/>
      <c r="N8" s="7"/>
    </row>
    <row r="9" spans="2:17" ht="28.5" customHeight="1" thickBot="1">
      <c r="H9" s="10"/>
      <c r="N9" s="7"/>
      <c r="O9" s="7"/>
      <c r="P9" s="7"/>
      <c r="Q9" s="7"/>
    </row>
    <row r="10" spans="2:17" ht="30" customHeight="1">
      <c r="B10" s="509" t="s">
        <v>1801</v>
      </c>
      <c r="C10" s="510"/>
      <c r="D10" s="511" t="s">
        <v>1802</v>
      </c>
      <c r="E10" s="512"/>
      <c r="F10" s="512"/>
      <c r="G10" s="512"/>
      <c r="H10" s="512"/>
      <c r="I10" s="512"/>
      <c r="J10" s="513"/>
      <c r="K10" s="514" t="s">
        <v>1803</v>
      </c>
      <c r="L10" s="515"/>
      <c r="M10" s="516"/>
      <c r="P10" s="11"/>
      <c r="Q10" s="11"/>
    </row>
    <row r="11" spans="2:17" ht="17.25" customHeight="1">
      <c r="B11" s="517" t="s">
        <v>1804</v>
      </c>
      <c r="C11" s="518"/>
      <c r="D11" s="12">
        <v>1</v>
      </c>
      <c r="E11" s="13">
        <v>2</v>
      </c>
      <c r="F11" s="13">
        <v>3</v>
      </c>
      <c r="G11" s="13">
        <v>4</v>
      </c>
      <c r="H11" s="13">
        <v>5</v>
      </c>
      <c r="I11" s="13">
        <v>6</v>
      </c>
      <c r="J11" s="14">
        <v>7</v>
      </c>
      <c r="K11" s="12">
        <v>1</v>
      </c>
      <c r="L11" s="13">
        <v>2</v>
      </c>
      <c r="M11" s="14">
        <v>3</v>
      </c>
      <c r="P11" s="11"/>
      <c r="Q11" s="11"/>
    </row>
    <row r="12" spans="2:17" ht="34.15" customHeight="1">
      <c r="B12" s="519"/>
      <c r="C12" s="520"/>
      <c r="D12" s="15" t="s">
        <v>49</v>
      </c>
      <c r="E12" s="16" t="s">
        <v>50</v>
      </c>
      <c r="F12" s="16" t="s">
        <v>51</v>
      </c>
      <c r="G12" s="16" t="s">
        <v>52</v>
      </c>
      <c r="H12" s="16" t="s">
        <v>53</v>
      </c>
      <c r="I12" s="16" t="s">
        <v>54</v>
      </c>
      <c r="J12" s="17" t="s">
        <v>55</v>
      </c>
      <c r="K12" s="15" t="s">
        <v>56</v>
      </c>
      <c r="L12" s="16" t="s">
        <v>57</v>
      </c>
      <c r="M12" s="17" t="s">
        <v>58</v>
      </c>
    </row>
    <row r="13" spans="2:17" ht="40.15" customHeight="1">
      <c r="B13" s="521" t="s">
        <v>1805</v>
      </c>
      <c r="C13" s="18" t="s">
        <v>1806</v>
      </c>
      <c r="D13" s="19">
        <f>SUMIFS('1225 4度C'!$K:$K,'1225 4度C'!$A:$A,"新豐6線",'1225 4度C'!$B:$B,"平均")</f>
        <v>115.38461538461539</v>
      </c>
      <c r="E13" s="20">
        <f>SUMIFS('1225 4度C'!$K:$K,'1225 4度C'!$A:$A,"新豐2線",'1225 4度C'!$B:$B,"平均")</f>
        <v>83.333333333333329</v>
      </c>
      <c r="F13" s="21">
        <f>SUMIFS('1225 4度C'!$K:$K,'1225 4度C'!$A:$A,"新豐5線",'1225 4度C'!$B:$B,"平均")</f>
        <v>99.056603773584897</v>
      </c>
      <c r="G13" s="21">
        <f>SUMIFS('1225 4度C'!$K:$K,'1225 4度C'!$A:$A,"新豐7線",'1225 4度C'!$B:$B,"平均")</f>
        <v>117.1875</v>
      </c>
      <c r="H13" s="21">
        <f>SUMIFS('1225 4度C'!$K:$K,'1225 4度C'!$A:$A,"新豐3線",'1225 4度C'!$B:$B,"平均")</f>
        <v>246.75324675324674</v>
      </c>
      <c r="I13" s="21">
        <f>SUMIFS('1225 4度C'!$K:$K,'1225 4度C'!$A:$A,"新豐1線",'1225 4度C'!$B:$B,"平均")</f>
        <v>111.11111111111111</v>
      </c>
      <c r="J13" s="22">
        <f>SUMIFS('1225 4度C'!$K:$K,'1225 4度C'!$A:$A,"新豐10線",'1225 4度C'!$B:$B,"平均")</f>
        <v>300</v>
      </c>
      <c r="K13" s="23">
        <f>SUMIFS('1225 4度C'!$K:$K,'1225 4度C'!$A:$A,"新豐8線",'1225 4度C'!$B:$B,"平均")</f>
        <v>134.4</v>
      </c>
      <c r="L13" s="24">
        <f>SUMIFS('1225 4度C'!$K:$K,'1225 4度C'!$A:$A,"新豐9線",'1225 4度C'!$B:$B,"平均")</f>
        <v>133.33333333333334</v>
      </c>
      <c r="M13" s="22">
        <f>SUMIFS('1225 4度C'!$K:$K,'1225 4度C'!$A:$A,"新豐4線",'1225 4度C'!$B:$B,"平均")</f>
        <v>148.45360824742266</v>
      </c>
    </row>
    <row r="14" spans="2:17" ht="39.6" customHeight="1">
      <c r="B14" s="522"/>
      <c r="C14" s="25" t="s">
        <v>1807</v>
      </c>
      <c r="D14" s="26">
        <f>SUMIFS('1225 4度C'!$N:$N,'1225 4度C'!$A:$A,"新豐6線",'1225 4度C'!$B:$B,"平均")</f>
        <v>111.29980276134121</v>
      </c>
      <c r="E14" s="27">
        <f>SUMIFS('1225 4度C'!$N:$N,'1225 4度C'!$A:$A,"新豐2線",'1225 4度C'!$B:$B,"平均")</f>
        <v>79.457581453634091</v>
      </c>
      <c r="F14" s="27">
        <f>SUMIFS('1225 4度C'!$N:$N,'1225 4度C'!$A:$A,"新豐5線",'1225 4度C'!$B:$B,"平均")</f>
        <v>95.258276612951235</v>
      </c>
      <c r="G14" s="27">
        <f>SUMIFS('1225 4度C'!$N:$N,'1225 4度C'!$A:$A,"新豐7線",'1225 4度C'!$B:$B,"平均")</f>
        <v>112.93599750585045</v>
      </c>
      <c r="H14" s="27">
        <f>SUMIFS('1225 4度C'!$N:$N,'1225 4度C'!$A:$A,"新豐3線",'1225 4度C'!$B:$B,"平均")</f>
        <v>236.74203150164115</v>
      </c>
      <c r="I14" s="27">
        <f>SUMIFS('1225 4度C'!$N:$N,'1225 4度C'!$A:$A,"新豐1線",'1225 4度C'!$B:$B,"平均")</f>
        <v>97.65611677547129</v>
      </c>
      <c r="J14" s="28">
        <f>SUMIFS('1225 4度C'!$N:$N,'1225 4度C'!$A:$A,"新豐10線",'1225 4度C'!$B:$B,"平均")</f>
        <v>287.33520684401731</v>
      </c>
      <c r="K14" s="29">
        <f>SUMIFS('1225 4度C'!$N:$N,'1225 4度C'!$A:$A,"新豐8線",'1225 4度C'!$B:$B,"平均")</f>
        <v>129.06240214491206</v>
      </c>
      <c r="L14" s="30">
        <f>SUMIFS('1225 4度C'!$N:$N,'1225 4度C'!$A:$A,"新豐9線",'1225 4度C'!$B:$B,"平均")</f>
        <v>127.86039378549465</v>
      </c>
      <c r="M14" s="28">
        <f>SUMIFS('1225 4度C'!$N:$N,'1225 4度C'!$A:$A,"新豐4線",'1225 4度C'!$B:$B,"平均")</f>
        <v>141.84922540232486</v>
      </c>
    </row>
    <row r="15" spans="2:17" ht="40.15" customHeight="1">
      <c r="B15" s="523"/>
      <c r="C15" s="31" t="s">
        <v>1808</v>
      </c>
      <c r="D15" s="32">
        <f t="shared" ref="D15:M15" si="0">D14/D13</f>
        <v>0.9645982905982905</v>
      </c>
      <c r="E15" s="33">
        <f t="shared" si="0"/>
        <v>0.95349097744360911</v>
      </c>
      <c r="F15" s="33">
        <f t="shared" si="0"/>
        <v>0.96165498294979346</v>
      </c>
      <c r="G15" s="33">
        <f t="shared" si="0"/>
        <v>0.96372051204992382</v>
      </c>
      <c r="H15" s="33">
        <f t="shared" si="0"/>
        <v>0.95942823292770363</v>
      </c>
      <c r="I15" s="33">
        <f t="shared" si="0"/>
        <v>0.87890505097924154</v>
      </c>
      <c r="J15" s="34">
        <f t="shared" si="0"/>
        <v>0.95778402281339103</v>
      </c>
      <c r="K15" s="32">
        <f t="shared" si="0"/>
        <v>0.96028573024488129</v>
      </c>
      <c r="L15" s="33">
        <f t="shared" si="0"/>
        <v>0.95895295339120978</v>
      </c>
      <c r="M15" s="34">
        <f t="shared" si="0"/>
        <v>0.95551214333510504</v>
      </c>
    </row>
    <row r="16" spans="2:17" ht="17.25" customHeight="1">
      <c r="B16" s="524" t="s">
        <v>134</v>
      </c>
      <c r="C16" s="35" t="s">
        <v>1809</v>
      </c>
      <c r="D16" s="49">
        <f>VLOOKUP("新豐6線",'1225 4度C'!$A:$T,19,0)</f>
        <v>0.70833333333333337</v>
      </c>
      <c r="E16" s="50">
        <f>VLOOKUP("新豐2線",'1225 4度C'!$A:$T,19,0)</f>
        <v>0.16666666666666666</v>
      </c>
      <c r="F16" s="50">
        <f>VLOOKUP("新豐5線",'1225 4度C'!$A:$T,19,0)</f>
        <v>0.20833333333333334</v>
      </c>
      <c r="G16" s="50">
        <f>VLOOKUP("新豐7線",'1225 4度C'!$A:$T,19,0)</f>
        <v>0.20833333333333334</v>
      </c>
      <c r="H16" s="50">
        <f>VLOOKUP("新豐3線",'1225 4度C'!$A:$T,19,0)</f>
        <v>8.3333333333333329E-2</v>
      </c>
      <c r="I16" s="50">
        <f>VLOOKUP("新豐1線",'1225 4度C'!$A:$T,19,0)</f>
        <v>0.20833333333333334</v>
      </c>
      <c r="J16" s="51">
        <f>VLOOKUP("新豐10線",'1225 4度C'!$A:$T,19,0)</f>
        <v>0.20833333333333334</v>
      </c>
      <c r="K16" s="36">
        <f>VLOOKUP("新豐8線",'1225 4度C'!$A:$T,19,0)</f>
        <v>8.3333333333333329E-2</v>
      </c>
      <c r="L16" s="37">
        <f>VLOOKUP("新豐9線",'1225 4度C'!$A:$T,19,0)</f>
        <v>8.3333333333333329E-2</v>
      </c>
      <c r="M16" s="38">
        <f>VLOOKUP("新豐4線",'1225 4度C'!$A:$T,19,0)</f>
        <v>8.3333333333333329E-2</v>
      </c>
    </row>
    <row r="17" spans="2:13" ht="17.25" customHeight="1">
      <c r="B17" s="525"/>
      <c r="C17" s="35" t="s">
        <v>1810</v>
      </c>
      <c r="D17" s="36">
        <f>LOOKUP(2,1/(('1225 4度C'!$A:$A="新豐6線")*('1225 4度C'!$T:$T&lt;&gt;"")),'1225 4度C'!$T:$T)</f>
        <v>0.80972222222222223</v>
      </c>
      <c r="E17" s="50">
        <f>LOOKUP(2,1/(('1225 4度C'!$A:$A="新豐2線")*('1225 4度C'!$T:$T&lt;&gt;"")),'1225 4度C'!$T:$T)</f>
        <v>0.41805555555555551</v>
      </c>
      <c r="F17" s="50">
        <f>LOOKUP(2,1/(('1225 4度C'!$A:$A="新豐5線")*('1225 4度C'!$T:$T&lt;&gt;"")),'1225 4度C'!$T:$T)</f>
        <v>0.83611111111111103</v>
      </c>
      <c r="G17" s="50">
        <f>LOOKUP(2,1/(('1225 4度C'!$A:$A="新豐7線")*('1225 4度C'!$T:$T&lt;&gt;"")),'1225 4度C'!$T:$T)</f>
        <v>0.83888888888888891</v>
      </c>
      <c r="H17" s="50">
        <f>LOOKUP(2,1/(('1225 4度C'!$A:$A="新豐3線")*('1225 4度C'!$T:$T&lt;&gt;"")),'1225 4度C'!$T:$T)</f>
        <v>0.49930555555555539</v>
      </c>
      <c r="I17" s="50">
        <f>LOOKUP(2,1/(('1225 4度C'!$A:$A="新豐1線")*('1225 4度C'!$T:$T&lt;&gt;"")),'1225 4度C'!$T:$T)</f>
        <v>0.82152777777777775</v>
      </c>
      <c r="J17" s="51">
        <f>LOOKUP(2,1/(('1225 4度C'!$A:$A="新豐10線")*('1225 4度C'!$T:$T&lt;&gt;"")),'1225 4度C'!$T:$T)</f>
        <v>0.45555555555555549</v>
      </c>
      <c r="K17" s="49">
        <f>LOOKUP(2,1/(('1225 4度C'!$A:$A="新豐8線")*('1225 4度C'!$T:$T&lt;&gt;"")),'1225 4度C'!$T:$T)</f>
        <v>0.60347222222222219</v>
      </c>
      <c r="L17" s="50">
        <f>LOOKUP(2,1/(('1225 4度C'!$A:$A="新豐9線")*('1225 4度C'!$T:$T&lt;&gt;"")),'1225 4度C'!$T:$T)</f>
        <v>0.59791666666666654</v>
      </c>
      <c r="M17" s="51">
        <f>LOOKUP(2,1/(('1225 4度C'!$A:$A="新豐4線")*('1225 4度C'!$T:$T&lt;&gt;"")),'1225 4度C'!$T:$T)</f>
        <v>0.61458333333333326</v>
      </c>
    </row>
    <row r="18" spans="2:13" ht="17.25" customHeight="1">
      <c r="B18" s="503" t="s">
        <v>1811</v>
      </c>
      <c r="C18" s="504"/>
      <c r="D18" s="39">
        <f>SUMIFS('1225 4度C'!$I:$I,'1225 4度C'!$A:$A,"新豐6線",'1225 4度C'!$B:$B,"平均")</f>
        <v>17.333333333333332</v>
      </c>
      <c r="E18" s="40">
        <f>SUMIFS('1225 4度C'!$I:$I,'1225 4度C'!$A:$A,"新豐2線",'1225 4度C'!$B:$B,"平均")</f>
        <v>18</v>
      </c>
      <c r="F18" s="40">
        <f>SUMIFS('1225 4度C'!$I:$I,'1225 4度C'!$A:$A,"新豐5線",'1225 4度C'!$B:$B,"平均")</f>
        <v>17.666666666666668</v>
      </c>
      <c r="G18" s="40">
        <f>SUMIFS('1225 4度C'!$I:$I,'1225 4度C'!$A:$A,"新豐7線",'1225 4度C'!$B:$B,"平均")</f>
        <v>16</v>
      </c>
      <c r="H18" s="40">
        <f>SUMIFS('1225 4度C'!$I:$I,'1225 4度C'!$A:$A,"新豐3線",'1225 4度C'!$B:$B,"平均")</f>
        <v>11</v>
      </c>
      <c r="I18" s="40">
        <f>SUMIFS('1225 4度C'!$I:$I,'1225 4度C'!$A:$A,"新豐1線",'1225 4度C'!$B:$B,"平均")</f>
        <v>18</v>
      </c>
      <c r="J18" s="41">
        <f>SUMIFS('1225 4度C'!$I:$I,'1225 4度C'!$A:$A,"新豐10線",'1225 4度C'!$B:$B,"平均")</f>
        <v>9.1666666666666661</v>
      </c>
      <c r="K18" s="39">
        <f>SUMIFS('1225 4度C'!$I:$I,'1225 4度C'!$A:$A,"新豐8線",'1225 4度C'!$B:$B,"平均")</f>
        <v>17.857142857142858</v>
      </c>
      <c r="L18" s="40">
        <f>SUMIFS('1225 4度C'!$I:$I,'1225 4度C'!$A:$A,"新豐9線",'1225 4度C'!$B:$B,"平均")</f>
        <v>18</v>
      </c>
      <c r="M18" s="41">
        <f>SUMIFS('1225 4度C'!$I:$I,'1225 4度C'!$A:$A,"新豐4線",'1225 4度C'!$B:$B,"平均")</f>
        <v>16.166666666666668</v>
      </c>
    </row>
    <row r="19" spans="2:13" ht="17.25" customHeight="1">
      <c r="B19" s="503" t="s">
        <v>1812</v>
      </c>
      <c r="C19" s="504"/>
      <c r="D19" s="42" t="s">
        <v>59</v>
      </c>
      <c r="E19" s="43" t="s">
        <v>60</v>
      </c>
      <c r="F19" s="43" t="s">
        <v>1813</v>
      </c>
      <c r="G19" s="43" t="s">
        <v>1813</v>
      </c>
      <c r="H19" s="43" t="s">
        <v>61</v>
      </c>
      <c r="I19" s="43" t="s">
        <v>59</v>
      </c>
      <c r="J19" s="44" t="s">
        <v>61</v>
      </c>
      <c r="K19" s="42" t="s">
        <v>1814</v>
      </c>
      <c r="L19" s="43" t="s">
        <v>1814</v>
      </c>
      <c r="M19" s="44" t="s">
        <v>1814</v>
      </c>
    </row>
    <row r="20" spans="2:13" ht="17.25" customHeight="1">
      <c r="B20" s="503" t="s">
        <v>1815</v>
      </c>
      <c r="C20" s="504"/>
      <c r="D20" s="42"/>
      <c r="E20" s="43"/>
      <c r="F20" s="43" t="s">
        <v>1816</v>
      </c>
      <c r="G20" s="43" t="s">
        <v>59</v>
      </c>
      <c r="H20" s="43"/>
      <c r="I20" s="43"/>
      <c r="J20" s="44"/>
      <c r="K20" s="42"/>
      <c r="L20" s="43"/>
      <c r="M20" s="44"/>
    </row>
    <row r="21" spans="2:13" ht="17.25" customHeight="1" thickBot="1">
      <c r="B21" s="505" t="s">
        <v>1817</v>
      </c>
      <c r="C21" s="506"/>
      <c r="D21" s="45"/>
      <c r="E21" s="46" t="s">
        <v>1818</v>
      </c>
      <c r="F21" s="507" t="s">
        <v>1819</v>
      </c>
      <c r="G21" s="508"/>
      <c r="H21" s="46" t="s">
        <v>1820</v>
      </c>
      <c r="I21" s="46" t="s">
        <v>1821</v>
      </c>
      <c r="J21" s="47" t="s">
        <v>1822</v>
      </c>
      <c r="K21" s="48"/>
      <c r="L21" s="46"/>
      <c r="M21" s="4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20:C20"/>
    <mergeCell ref="B21:C21"/>
    <mergeCell ref="F21:G21"/>
    <mergeCell ref="K10:M10"/>
    <mergeCell ref="B11:C12"/>
    <mergeCell ref="B13:B15"/>
    <mergeCell ref="B18:C18"/>
    <mergeCell ref="B19:C19"/>
  </mergeCells>
  <phoneticPr fontId="3" type="noConversion"/>
  <conditionalFormatting sqref="D15:M15">
    <cfRule type="cellIs" dxfId="1666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C75"/>
  <sheetViews>
    <sheetView topLeftCell="C1" zoomScale="80" zoomScaleNormal="80" workbookViewId="0">
      <pane ySplit="4" topLeftCell="A5" activePane="bottomLeft" state="frozen"/>
      <selection activeCell="J13" sqref="J13"/>
      <selection pane="bottomLeft" activeCell="C20" sqref="C20:D20"/>
    </sheetView>
  </sheetViews>
  <sheetFormatPr defaultColWidth="8" defaultRowHeight="15.75"/>
  <cols>
    <col min="1" max="1" width="15.125" style="54" customWidth="1"/>
    <col min="2" max="2" width="19.375" style="54" customWidth="1"/>
    <col min="3" max="3" width="15.25" style="54" customWidth="1"/>
    <col min="4" max="4" width="17.5" style="54" customWidth="1"/>
    <col min="5" max="5" width="7.5" style="54" bestFit="1" customWidth="1"/>
    <col min="6" max="6" width="14.375" style="54" bestFit="1" customWidth="1"/>
    <col min="7" max="7" width="14.375" style="54" customWidth="1"/>
    <col min="8" max="8" width="8" style="54" customWidth="1"/>
    <col min="9" max="9" width="5.875" style="54" customWidth="1"/>
    <col min="10" max="10" width="10.625" style="54" customWidth="1"/>
    <col min="11" max="11" width="14.625" style="54" customWidth="1"/>
    <col min="12" max="12" width="7.25" style="54" bestFit="1" customWidth="1"/>
    <col min="13" max="13" width="8" style="54" customWidth="1"/>
    <col min="14" max="14" width="12" style="54" customWidth="1"/>
    <col min="15" max="15" width="6" style="54" customWidth="1"/>
    <col min="16" max="16" width="9.25" style="54" customWidth="1"/>
    <col min="17" max="17" width="11.5" style="54" customWidth="1"/>
    <col min="18" max="18" width="8.5" style="54" customWidth="1"/>
    <col min="19" max="19" width="10.125" style="73" bestFit="1" customWidth="1"/>
    <col min="20" max="20" width="7.625" style="73" bestFit="1" customWidth="1"/>
    <col min="21" max="21" width="10.25" style="54" bestFit="1" customWidth="1"/>
    <col min="22" max="22" width="8.75" style="71" customWidth="1"/>
    <col min="23" max="23" width="7.375" style="54" customWidth="1"/>
    <col min="24" max="24" width="6.875" style="54" bestFit="1" customWidth="1"/>
    <col min="25" max="25" width="12.75" style="54" customWidth="1"/>
    <col min="26" max="26" width="18.875" style="54" customWidth="1"/>
    <col min="27" max="27" width="13.125" style="54" bestFit="1" customWidth="1"/>
    <col min="28" max="28" width="10.375" style="54" customWidth="1"/>
    <col min="29" max="29" width="9.375" style="54" customWidth="1"/>
    <col min="30" max="30" width="8" style="54"/>
    <col min="31" max="31" width="24.625" style="54" bestFit="1" customWidth="1"/>
    <col min="32" max="16384" width="8" style="54"/>
  </cols>
  <sheetData>
    <row r="1" spans="1:29" ht="26.25" customHeight="1">
      <c r="A1" s="52" t="s">
        <v>1864</v>
      </c>
      <c r="B1" s="52"/>
      <c r="C1" s="117" t="s">
        <v>1865</v>
      </c>
      <c r="D1" s="118">
        <f>SUM(F5:F73)</f>
        <v>157382</v>
      </c>
      <c r="E1" s="405" t="s">
        <v>1866</v>
      </c>
      <c r="F1" s="52">
        <f>SUM(G5:G73)</f>
        <v>5272238.9800000014</v>
      </c>
      <c r="G1" s="52" t="s">
        <v>1867</v>
      </c>
      <c r="H1" s="53">
        <f>L8+L11+L51+L59+L18+L66+L35+L43+L27+L73</f>
        <v>159.19047619047618</v>
      </c>
      <c r="I1" s="607" t="s">
        <v>1868</v>
      </c>
      <c r="J1" s="607"/>
      <c r="K1" s="607"/>
      <c r="L1" s="607" t="s">
        <v>1869</v>
      </c>
      <c r="M1" s="607"/>
      <c r="N1" s="607"/>
      <c r="O1" s="607" t="s">
        <v>1870</v>
      </c>
      <c r="P1" s="607"/>
      <c r="Q1" s="607"/>
      <c r="R1" s="607"/>
      <c r="S1" s="607" t="s">
        <v>1871</v>
      </c>
      <c r="T1" s="607"/>
      <c r="U1" s="607"/>
      <c r="V1" s="607"/>
      <c r="W1" s="607"/>
      <c r="X1" s="607"/>
      <c r="Y1" s="607" t="s">
        <v>1872</v>
      </c>
      <c r="Z1" s="607"/>
      <c r="AA1" s="607" t="s">
        <v>1873</v>
      </c>
      <c r="AB1" s="608"/>
      <c r="AC1" s="608"/>
    </row>
    <row r="2" spans="1:29" ht="26.25" customHeight="1">
      <c r="A2" s="55">
        <v>46016</v>
      </c>
      <c r="B2" s="56" t="s">
        <v>329</v>
      </c>
      <c r="C2" s="117" t="s">
        <v>1874</v>
      </c>
      <c r="D2" s="119">
        <f>AVERAGE(N8,N11,N51,N59,N18,N66,N27,N35,N43,N73)</f>
        <v>141.94570347876385</v>
      </c>
      <c r="E2" s="120" t="s">
        <v>0</v>
      </c>
      <c r="F2" s="121">
        <f>F1/D1</f>
        <v>33.499631342847351</v>
      </c>
      <c r="G2" s="52" t="s">
        <v>1875</v>
      </c>
      <c r="H2" s="415">
        <f>COUNT(H5:H73)</f>
        <v>3</v>
      </c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8"/>
      <c r="AB2" s="608"/>
      <c r="AC2" s="608"/>
    </row>
    <row r="3" spans="1:29" ht="23.25" customHeight="1">
      <c r="A3" s="559" t="s">
        <v>1876</v>
      </c>
      <c r="B3" s="559" t="s">
        <v>1877</v>
      </c>
      <c r="C3" s="559" t="s">
        <v>1878</v>
      </c>
      <c r="D3" s="559"/>
      <c r="E3" s="605" t="s">
        <v>1879</v>
      </c>
      <c r="F3" s="559" t="s">
        <v>1880</v>
      </c>
      <c r="G3" s="605" t="s">
        <v>1881</v>
      </c>
      <c r="H3" s="598" t="s">
        <v>1882</v>
      </c>
      <c r="I3" s="596" t="s">
        <v>1883</v>
      </c>
      <c r="J3" s="601" t="s">
        <v>1884</v>
      </c>
      <c r="K3" s="603" t="s">
        <v>1874</v>
      </c>
      <c r="L3" s="596" t="s">
        <v>1883</v>
      </c>
      <c r="M3" s="601" t="s">
        <v>1884</v>
      </c>
      <c r="N3" s="603" t="s">
        <v>1874</v>
      </c>
      <c r="O3" s="596" t="s">
        <v>1883</v>
      </c>
      <c r="P3" s="603" t="s">
        <v>1874</v>
      </c>
      <c r="Q3" s="602" t="s">
        <v>1885</v>
      </c>
      <c r="R3" s="574" t="s">
        <v>1886</v>
      </c>
      <c r="S3" s="604" t="s">
        <v>1</v>
      </c>
      <c r="T3" s="604"/>
      <c r="U3" s="598" t="s">
        <v>2</v>
      </c>
      <c r="V3" s="598" t="s">
        <v>1887</v>
      </c>
      <c r="W3" s="559" t="s">
        <v>1888</v>
      </c>
      <c r="X3" s="559"/>
      <c r="Y3" s="599" t="s">
        <v>1889</v>
      </c>
      <c r="Z3" s="600"/>
      <c r="AA3" s="601" t="s">
        <v>1884</v>
      </c>
      <c r="AB3" s="602" t="s">
        <v>1885</v>
      </c>
      <c r="AC3" s="574" t="s">
        <v>1886</v>
      </c>
    </row>
    <row r="4" spans="1:29">
      <c r="A4" s="559"/>
      <c r="B4" s="559"/>
      <c r="C4" s="559"/>
      <c r="D4" s="559"/>
      <c r="E4" s="606"/>
      <c r="F4" s="559"/>
      <c r="G4" s="606"/>
      <c r="H4" s="598"/>
      <c r="I4" s="596"/>
      <c r="J4" s="601"/>
      <c r="K4" s="603"/>
      <c r="L4" s="596"/>
      <c r="M4" s="601"/>
      <c r="N4" s="603"/>
      <c r="O4" s="596"/>
      <c r="P4" s="603"/>
      <c r="Q4" s="602"/>
      <c r="R4" s="574"/>
      <c r="S4" s="414" t="s">
        <v>3</v>
      </c>
      <c r="T4" s="414" t="s">
        <v>4</v>
      </c>
      <c r="U4" s="598"/>
      <c r="V4" s="598"/>
      <c r="W4" s="405" t="s">
        <v>1890</v>
      </c>
      <c r="X4" s="405" t="s">
        <v>1891</v>
      </c>
      <c r="Y4" s="600"/>
      <c r="Z4" s="600"/>
      <c r="AA4" s="601"/>
      <c r="AB4" s="602"/>
      <c r="AC4" s="574"/>
    </row>
    <row r="5" spans="1:29">
      <c r="A5" s="595" t="s">
        <v>1892</v>
      </c>
      <c r="B5" s="57" t="s">
        <v>6</v>
      </c>
      <c r="C5" s="597" t="s">
        <v>9</v>
      </c>
      <c r="D5" s="597"/>
      <c r="E5" s="57">
        <v>50.67</v>
      </c>
      <c r="F5" s="414">
        <v>1156</v>
      </c>
      <c r="G5" s="405">
        <f t="shared" ref="G5:G7" si="0">E5*F5</f>
        <v>58574.520000000004</v>
      </c>
      <c r="H5" s="416" t="s">
        <v>5</v>
      </c>
      <c r="I5" s="412">
        <v>17</v>
      </c>
      <c r="J5" s="58">
        <v>2000</v>
      </c>
      <c r="K5" s="59">
        <f t="shared" ref="K5:K68" si="1">J5/I5</f>
        <v>117.64705882352941</v>
      </c>
      <c r="L5" s="412">
        <v>17</v>
      </c>
      <c r="M5" s="60">
        <f t="shared" ref="M5:M7" si="2">F5/V5*60</f>
        <v>1926.6666666666652</v>
      </c>
      <c r="N5" s="59">
        <f t="shared" ref="N5:N68" si="3">M5/L5</f>
        <v>113.33333333333324</v>
      </c>
      <c r="O5" s="61">
        <f t="shared" ref="O5:O68" si="4">L5-I5</f>
        <v>0</v>
      </c>
      <c r="P5" s="62">
        <f t="shared" ref="P5:P68" si="5">N5-K5</f>
        <v>-4.3137254901961626</v>
      </c>
      <c r="Q5" s="406">
        <f t="shared" ref="Q5:Q68" si="6">N5/K5</f>
        <v>0.9633333333333326</v>
      </c>
      <c r="R5" s="566">
        <f>Q8</f>
        <v>0.9645982905982905</v>
      </c>
      <c r="S5" s="63">
        <v>0.70833333333333337</v>
      </c>
      <c r="T5" s="63">
        <v>0.73333333333333339</v>
      </c>
      <c r="U5" s="405"/>
      <c r="V5" s="413">
        <f t="shared" ref="V5:V7" si="7">(T5-S5)*24*60</f>
        <v>36.000000000000028</v>
      </c>
      <c r="W5" s="64"/>
      <c r="X5" s="65"/>
      <c r="Y5" s="559"/>
      <c r="Z5" s="559"/>
      <c r="AA5" s="61">
        <f t="shared" ref="AA5:AA68" si="8">M5-J5</f>
        <v>-73.333333333334849</v>
      </c>
      <c r="AB5" s="406">
        <f t="shared" ref="AB5:AB68" si="9">M5/J5</f>
        <v>0.9633333333333326</v>
      </c>
      <c r="AC5" s="566">
        <f>AB8</f>
        <v>0.96459829059829039</v>
      </c>
    </row>
    <row r="6" spans="1:29">
      <c r="A6" s="596" t="s">
        <v>1892</v>
      </c>
      <c r="B6" s="57" t="s">
        <v>6</v>
      </c>
      <c r="C6" s="597" t="s">
        <v>22</v>
      </c>
      <c r="D6" s="597"/>
      <c r="E6" s="57">
        <v>54.09</v>
      </c>
      <c r="F6" s="414">
        <v>1259</v>
      </c>
      <c r="G6" s="405">
        <f t="shared" si="0"/>
        <v>68099.31</v>
      </c>
      <c r="H6" s="416" t="s">
        <v>5</v>
      </c>
      <c r="I6" s="412">
        <v>19</v>
      </c>
      <c r="J6" s="58">
        <v>2000</v>
      </c>
      <c r="K6" s="59">
        <f t="shared" si="1"/>
        <v>105.26315789473684</v>
      </c>
      <c r="L6" s="412">
        <v>19</v>
      </c>
      <c r="M6" s="60">
        <f t="shared" si="2"/>
        <v>1936.9230769230758</v>
      </c>
      <c r="N6" s="59">
        <f t="shared" si="3"/>
        <v>101.94331983805662</v>
      </c>
      <c r="O6" s="61">
        <f t="shared" si="4"/>
        <v>0</v>
      </c>
      <c r="P6" s="62">
        <f t="shared" si="5"/>
        <v>-3.3198380566802115</v>
      </c>
      <c r="Q6" s="406">
        <f t="shared" si="6"/>
        <v>0.96846153846153804</v>
      </c>
      <c r="R6" s="566"/>
      <c r="S6" s="63">
        <v>0.7368055555555556</v>
      </c>
      <c r="T6" s="63">
        <v>0.76388888888888895</v>
      </c>
      <c r="U6" s="405">
        <f t="shared" ref="U6:U7" si="10">IF(S6=TIME(17,0,0),"",(S6-T5)*24*60)</f>
        <v>4.9999999999999822</v>
      </c>
      <c r="V6" s="413">
        <f t="shared" si="7"/>
        <v>39.000000000000021</v>
      </c>
      <c r="W6" s="64"/>
      <c r="X6" s="64"/>
      <c r="Y6" s="559"/>
      <c r="Z6" s="559"/>
      <c r="AA6" s="61">
        <f t="shared" si="8"/>
        <v>-63.076923076924231</v>
      </c>
      <c r="AB6" s="406">
        <f t="shared" si="9"/>
        <v>0.96846153846153793</v>
      </c>
      <c r="AC6" s="566"/>
    </row>
    <row r="7" spans="1:29">
      <c r="A7" s="596" t="s">
        <v>1892</v>
      </c>
      <c r="B7" s="57" t="s">
        <v>6</v>
      </c>
      <c r="C7" s="590" t="s">
        <v>1619</v>
      </c>
      <c r="D7" s="591"/>
      <c r="E7" s="57">
        <v>50.29</v>
      </c>
      <c r="F7" s="414">
        <v>1924</v>
      </c>
      <c r="G7" s="405">
        <f t="shared" si="0"/>
        <v>96757.959999999992</v>
      </c>
      <c r="H7" s="416" t="s">
        <v>5</v>
      </c>
      <c r="I7" s="412">
        <v>16</v>
      </c>
      <c r="J7" s="58">
        <v>2000</v>
      </c>
      <c r="K7" s="59">
        <f t="shared" si="1"/>
        <v>125</v>
      </c>
      <c r="L7" s="412">
        <v>16</v>
      </c>
      <c r="M7" s="60">
        <f t="shared" si="2"/>
        <v>1924.0000000000018</v>
      </c>
      <c r="N7" s="59">
        <f t="shared" si="3"/>
        <v>120.25000000000011</v>
      </c>
      <c r="O7" s="61">
        <f t="shared" si="4"/>
        <v>0</v>
      </c>
      <c r="P7" s="62">
        <f t="shared" si="5"/>
        <v>-4.7499999999998863</v>
      </c>
      <c r="Q7" s="406">
        <f t="shared" si="6"/>
        <v>0.96200000000000085</v>
      </c>
      <c r="R7" s="566"/>
      <c r="S7" s="63">
        <v>0.7680555555555556</v>
      </c>
      <c r="T7" s="63">
        <v>0.80972222222222223</v>
      </c>
      <c r="U7" s="405">
        <f t="shared" si="10"/>
        <v>5.9999999999999787</v>
      </c>
      <c r="V7" s="413">
        <f t="shared" si="7"/>
        <v>59.999999999999943</v>
      </c>
      <c r="W7" s="64"/>
      <c r="X7" s="64"/>
      <c r="Y7" s="569"/>
      <c r="Z7" s="570"/>
      <c r="AA7" s="61">
        <f t="shared" si="8"/>
        <v>-75.999999999998181</v>
      </c>
      <c r="AB7" s="406">
        <f t="shared" si="9"/>
        <v>0.96200000000000085</v>
      </c>
      <c r="AC7" s="566"/>
    </row>
    <row r="8" spans="1:29">
      <c r="A8" s="596" t="s">
        <v>1892</v>
      </c>
      <c r="B8" s="57" t="s">
        <v>1893</v>
      </c>
      <c r="C8" s="571"/>
      <c r="D8" s="571"/>
      <c r="E8" s="411"/>
      <c r="F8" s="66"/>
      <c r="G8" s="59"/>
      <c r="H8" s="414"/>
      <c r="I8" s="67">
        <v>17.333333333333332</v>
      </c>
      <c r="J8" s="58">
        <v>2000</v>
      </c>
      <c r="K8" s="59">
        <f t="shared" si="1"/>
        <v>115.38461538461539</v>
      </c>
      <c r="L8" s="67">
        <v>17.333333333333332</v>
      </c>
      <c r="M8" s="60">
        <f>AVERAGE(M5:M7)</f>
        <v>1929.1965811965808</v>
      </c>
      <c r="N8" s="59">
        <f t="shared" si="3"/>
        <v>111.29980276134121</v>
      </c>
      <c r="O8" s="61">
        <f t="shared" si="4"/>
        <v>0</v>
      </c>
      <c r="P8" s="62">
        <f t="shared" si="5"/>
        <v>-4.0848126232741748</v>
      </c>
      <c r="Q8" s="406">
        <f t="shared" si="6"/>
        <v>0.9645982905982905</v>
      </c>
      <c r="R8" s="566"/>
      <c r="S8" s="63"/>
      <c r="T8" s="63"/>
      <c r="U8" s="405"/>
      <c r="V8" s="413"/>
      <c r="W8" s="59"/>
      <c r="X8" s="59"/>
      <c r="Y8" s="559"/>
      <c r="Z8" s="559"/>
      <c r="AA8" s="61">
        <f t="shared" si="8"/>
        <v>-70.803418803419163</v>
      </c>
      <c r="AB8" s="406">
        <f t="shared" si="9"/>
        <v>0.96459829059829039</v>
      </c>
      <c r="AC8" s="566"/>
    </row>
    <row r="9" spans="1:29" ht="15.75" customHeight="1">
      <c r="A9" s="594" t="s">
        <v>1894</v>
      </c>
      <c r="B9" s="57" t="s">
        <v>10</v>
      </c>
      <c r="C9" s="590" t="s">
        <v>14</v>
      </c>
      <c r="D9" s="591"/>
      <c r="E9" s="57">
        <v>39.619999999999997</v>
      </c>
      <c r="F9" s="414">
        <v>3168</v>
      </c>
      <c r="G9" s="405">
        <f t="shared" ref="G9:G10" si="11">E9*F9</f>
        <v>125516.15999999999</v>
      </c>
      <c r="H9" s="416" t="s">
        <v>5</v>
      </c>
      <c r="I9" s="412">
        <v>19</v>
      </c>
      <c r="J9" s="58">
        <v>1500</v>
      </c>
      <c r="K9" s="59">
        <f t="shared" si="1"/>
        <v>78.94736842105263</v>
      </c>
      <c r="L9" s="412">
        <v>19</v>
      </c>
      <c r="M9" s="60">
        <f t="shared" ref="M9:M10" si="12">F9/V9*60</f>
        <v>1429.1729323308277</v>
      </c>
      <c r="N9" s="59">
        <f t="shared" si="3"/>
        <v>75.219628017411992</v>
      </c>
      <c r="O9" s="61">
        <f t="shared" si="4"/>
        <v>0</v>
      </c>
      <c r="P9" s="62">
        <f t="shared" si="5"/>
        <v>-3.7277404036406381</v>
      </c>
      <c r="Q9" s="406">
        <f t="shared" si="6"/>
        <v>0.95278195488721862</v>
      </c>
      <c r="R9" s="566">
        <f>Q11</f>
        <v>0.95349097744360911</v>
      </c>
      <c r="S9" s="63">
        <v>0.16666666666666666</v>
      </c>
      <c r="T9" s="63">
        <v>0.25902777777777775</v>
      </c>
      <c r="U9" s="405"/>
      <c r="V9" s="413">
        <f t="shared" ref="V9:V10" si="13">(T9-S9)*24*60</f>
        <v>132.99999999999994</v>
      </c>
      <c r="W9" s="64">
        <f>T9</f>
        <v>0.25902777777777775</v>
      </c>
      <c r="X9" s="64">
        <f>S10</f>
        <v>0.27916666666666662</v>
      </c>
      <c r="Y9" s="559"/>
      <c r="Z9" s="559"/>
      <c r="AA9" s="61">
        <f t="shared" si="8"/>
        <v>-70.827067669172266</v>
      </c>
      <c r="AB9" s="406">
        <f t="shared" si="9"/>
        <v>0.95278195488721851</v>
      </c>
      <c r="AC9" s="566">
        <f>AB11</f>
        <v>0.95349097744360911</v>
      </c>
    </row>
    <row r="10" spans="1:29" ht="15.75" customHeight="1">
      <c r="A10" s="594" t="s">
        <v>1894</v>
      </c>
      <c r="B10" s="57" t="s">
        <v>10</v>
      </c>
      <c r="C10" s="590" t="s">
        <v>11</v>
      </c>
      <c r="D10" s="591"/>
      <c r="E10" s="57">
        <v>39.799999999999997</v>
      </c>
      <c r="F10" s="414">
        <v>4771</v>
      </c>
      <c r="G10" s="405">
        <f t="shared" si="11"/>
        <v>189885.8</v>
      </c>
      <c r="H10" s="416" t="s">
        <v>5</v>
      </c>
      <c r="I10" s="412">
        <v>17</v>
      </c>
      <c r="J10" s="58">
        <v>1500</v>
      </c>
      <c r="K10" s="59">
        <f t="shared" si="1"/>
        <v>88.235294117647058</v>
      </c>
      <c r="L10" s="412">
        <v>17</v>
      </c>
      <c r="M10" s="60">
        <f t="shared" si="12"/>
        <v>1431.3</v>
      </c>
      <c r="N10" s="59">
        <f t="shared" si="3"/>
        <v>84.194117647058818</v>
      </c>
      <c r="O10" s="61">
        <f t="shared" si="4"/>
        <v>0</v>
      </c>
      <c r="P10" s="62">
        <f t="shared" si="5"/>
        <v>-4.0411764705882405</v>
      </c>
      <c r="Q10" s="406">
        <f t="shared" si="6"/>
        <v>0.95419999999999994</v>
      </c>
      <c r="R10" s="566"/>
      <c r="S10" s="63">
        <v>0.27916666666666662</v>
      </c>
      <c r="T10" s="63">
        <v>0.41805555555555551</v>
      </c>
      <c r="U10" s="405">
        <f t="shared" ref="U10" si="14">IF(S10=TIME(17,0,0),"",(S10-T9)*24*60)</f>
        <v>28.999999999999979</v>
      </c>
      <c r="V10" s="413">
        <f t="shared" si="13"/>
        <v>200</v>
      </c>
      <c r="W10" s="64"/>
      <c r="X10" s="64"/>
      <c r="Y10" s="559"/>
      <c r="Z10" s="559"/>
      <c r="AA10" s="61">
        <f t="shared" si="8"/>
        <v>-68.700000000000045</v>
      </c>
      <c r="AB10" s="406">
        <f t="shared" si="9"/>
        <v>0.95419999999999994</v>
      </c>
      <c r="AC10" s="566"/>
    </row>
    <row r="11" spans="1:29" ht="16.5" customHeight="1">
      <c r="A11" s="594" t="s">
        <v>1895</v>
      </c>
      <c r="B11" s="57" t="s">
        <v>1893</v>
      </c>
      <c r="C11" s="571"/>
      <c r="D11" s="571"/>
      <c r="E11" s="411"/>
      <c r="F11" s="58"/>
      <c r="G11" s="60"/>
      <c r="H11" s="414"/>
      <c r="I11" s="67">
        <v>18</v>
      </c>
      <c r="J11" s="58">
        <v>1500</v>
      </c>
      <c r="K11" s="59">
        <f t="shared" si="1"/>
        <v>83.333333333333329</v>
      </c>
      <c r="L11" s="67">
        <v>18</v>
      </c>
      <c r="M11" s="60">
        <f>AVERAGE(M9:M10)</f>
        <v>1430.2364661654137</v>
      </c>
      <c r="N11" s="59">
        <f t="shared" si="3"/>
        <v>79.457581453634091</v>
      </c>
      <c r="O11" s="61">
        <f t="shared" si="4"/>
        <v>0</v>
      </c>
      <c r="P11" s="62">
        <f t="shared" si="5"/>
        <v>-3.8757518796992372</v>
      </c>
      <c r="Q11" s="406">
        <f t="shared" si="6"/>
        <v>0.95349097744360911</v>
      </c>
      <c r="R11" s="566"/>
      <c r="S11" s="63"/>
      <c r="T11" s="63"/>
      <c r="U11" s="59"/>
      <c r="V11" s="413"/>
      <c r="W11" s="59"/>
      <c r="X11" s="59"/>
      <c r="Y11" s="559"/>
      <c r="Z11" s="559"/>
      <c r="AA11" s="61">
        <f t="shared" si="8"/>
        <v>-69.763533834586269</v>
      </c>
      <c r="AB11" s="406">
        <f t="shared" si="9"/>
        <v>0.95349097744360911</v>
      </c>
      <c r="AC11" s="566"/>
    </row>
    <row r="12" spans="1:29" ht="16.5" customHeight="1">
      <c r="A12" s="592" t="s">
        <v>1896</v>
      </c>
      <c r="B12" s="414" t="s">
        <v>12</v>
      </c>
      <c r="C12" s="584" t="s">
        <v>13</v>
      </c>
      <c r="D12" s="584"/>
      <c r="E12" s="57">
        <v>41</v>
      </c>
      <c r="F12" s="414">
        <v>1943</v>
      </c>
      <c r="G12" s="405">
        <f t="shared" ref="G12:G17" si="15">E12*F12</f>
        <v>79663</v>
      </c>
      <c r="H12" s="416" t="s">
        <v>5</v>
      </c>
      <c r="I12" s="412">
        <v>26</v>
      </c>
      <c r="J12" s="58">
        <v>1500</v>
      </c>
      <c r="K12" s="59">
        <f t="shared" si="1"/>
        <v>57.692307692307693</v>
      </c>
      <c r="L12" s="412">
        <v>26</v>
      </c>
      <c r="M12" s="60">
        <f t="shared" ref="M12:M17" si="16">F12/V12*60</f>
        <v>1439.2592592592596</v>
      </c>
      <c r="N12" s="59">
        <f t="shared" si="3"/>
        <v>55.356125356125368</v>
      </c>
      <c r="O12" s="61">
        <f t="shared" si="4"/>
        <v>0</v>
      </c>
      <c r="P12" s="62">
        <f t="shared" si="5"/>
        <v>-2.3361823361823255</v>
      </c>
      <c r="Q12" s="406">
        <f t="shared" si="6"/>
        <v>0.95950617283950634</v>
      </c>
      <c r="R12" s="566">
        <f>Q18</f>
        <v>0.96165498294979346</v>
      </c>
      <c r="S12" s="63">
        <v>0.20833333333333334</v>
      </c>
      <c r="T12" s="63">
        <v>0.26458333333333334</v>
      </c>
      <c r="U12" s="405"/>
      <c r="V12" s="413">
        <f t="shared" ref="V12:V17" si="17">(T12-S12)*24*60</f>
        <v>80.999999999999986</v>
      </c>
      <c r="W12" s="68"/>
      <c r="X12" s="68"/>
      <c r="Y12" s="559"/>
      <c r="Z12" s="559"/>
      <c r="AA12" s="61">
        <f t="shared" si="8"/>
        <v>-60.740740740740421</v>
      </c>
      <c r="AB12" s="406">
        <f t="shared" si="9"/>
        <v>0.95950617283950634</v>
      </c>
      <c r="AC12" s="566">
        <f>AB18</f>
        <v>0.96165498294979357</v>
      </c>
    </row>
    <row r="13" spans="1:29" ht="16.5" customHeight="1">
      <c r="A13" s="593" t="s">
        <v>1896</v>
      </c>
      <c r="B13" s="414" t="s">
        <v>657</v>
      </c>
      <c r="C13" s="584" t="s">
        <v>236</v>
      </c>
      <c r="D13" s="584"/>
      <c r="E13" s="57">
        <v>72.400000000000006</v>
      </c>
      <c r="F13" s="414">
        <v>1258</v>
      </c>
      <c r="G13" s="405">
        <f t="shared" si="15"/>
        <v>91079.200000000012</v>
      </c>
      <c r="H13" s="416" t="s">
        <v>5</v>
      </c>
      <c r="I13" s="412">
        <v>18</v>
      </c>
      <c r="J13" s="58">
        <v>1500</v>
      </c>
      <c r="K13" s="59">
        <f t="shared" si="1"/>
        <v>83.333333333333329</v>
      </c>
      <c r="L13" s="412">
        <v>18</v>
      </c>
      <c r="M13" s="60">
        <f t="shared" si="16"/>
        <v>1451.5384615384623</v>
      </c>
      <c r="N13" s="59">
        <f t="shared" si="3"/>
        <v>80.641025641025692</v>
      </c>
      <c r="O13" s="61">
        <f t="shared" si="4"/>
        <v>0</v>
      </c>
      <c r="P13" s="62">
        <f t="shared" si="5"/>
        <v>-2.6923076923076366</v>
      </c>
      <c r="Q13" s="406">
        <f t="shared" si="6"/>
        <v>0.96769230769230841</v>
      </c>
      <c r="R13" s="566"/>
      <c r="S13" s="63">
        <v>0.26874999999999999</v>
      </c>
      <c r="T13" s="63">
        <v>0.30486111111111108</v>
      </c>
      <c r="U13" s="405">
        <f t="shared" ref="U13:U17" si="18">IF(S13=TIME(17,0,0),"",(S13-T12)*24*60)</f>
        <v>5.9999999999999787</v>
      </c>
      <c r="V13" s="413">
        <f t="shared" si="17"/>
        <v>51.999999999999972</v>
      </c>
      <c r="W13" s="64"/>
      <c r="X13" s="64"/>
      <c r="Y13" s="559"/>
      <c r="Z13" s="559"/>
      <c r="AA13" s="61">
        <f t="shared" si="8"/>
        <v>-48.461538461537657</v>
      </c>
      <c r="AB13" s="406">
        <f t="shared" si="9"/>
        <v>0.96769230769230818</v>
      </c>
      <c r="AC13" s="566"/>
    </row>
    <row r="14" spans="1:29" ht="16.5" customHeight="1">
      <c r="A14" s="593" t="s">
        <v>1896</v>
      </c>
      <c r="B14" s="414" t="s">
        <v>65</v>
      </c>
      <c r="C14" s="584" t="s">
        <v>1765</v>
      </c>
      <c r="D14" s="584"/>
      <c r="E14" s="57">
        <v>48.36</v>
      </c>
      <c r="F14" s="414">
        <v>2129</v>
      </c>
      <c r="G14" s="405">
        <f t="shared" si="15"/>
        <v>102958.44</v>
      </c>
      <c r="H14" s="416" t="s">
        <v>5</v>
      </c>
      <c r="I14" s="412">
        <v>16</v>
      </c>
      <c r="J14" s="58">
        <v>1500</v>
      </c>
      <c r="K14" s="59">
        <f t="shared" si="1"/>
        <v>93.75</v>
      </c>
      <c r="L14" s="412">
        <v>16</v>
      </c>
      <c r="M14" s="60">
        <f t="shared" si="16"/>
        <v>1435.2808988764045</v>
      </c>
      <c r="N14" s="59">
        <f t="shared" si="3"/>
        <v>89.705056179775283</v>
      </c>
      <c r="O14" s="61">
        <f t="shared" si="4"/>
        <v>0</v>
      </c>
      <c r="P14" s="62">
        <f t="shared" si="5"/>
        <v>-4.0449438202247165</v>
      </c>
      <c r="Q14" s="406">
        <f t="shared" si="6"/>
        <v>0.95685393258426965</v>
      </c>
      <c r="R14" s="566"/>
      <c r="S14" s="63">
        <v>0.30902777777777773</v>
      </c>
      <c r="T14" s="63">
        <v>0.37083333333333329</v>
      </c>
      <c r="U14" s="405">
        <f t="shared" si="18"/>
        <v>5.9999999999999787</v>
      </c>
      <c r="V14" s="413">
        <f t="shared" si="17"/>
        <v>89</v>
      </c>
      <c r="W14" s="64"/>
      <c r="X14" s="64"/>
      <c r="Y14" s="559"/>
      <c r="Z14" s="559"/>
      <c r="AA14" s="61">
        <f t="shared" si="8"/>
        <v>-64.719101123595465</v>
      </c>
      <c r="AB14" s="406">
        <f t="shared" si="9"/>
        <v>0.95685393258426965</v>
      </c>
      <c r="AC14" s="566"/>
    </row>
    <row r="15" spans="1:29" ht="16.5" customHeight="1">
      <c r="A15" s="593" t="s">
        <v>1896</v>
      </c>
      <c r="B15" s="414" t="s">
        <v>6</v>
      </c>
      <c r="C15" s="584" t="s">
        <v>95</v>
      </c>
      <c r="D15" s="584"/>
      <c r="E15" s="57">
        <v>50.98</v>
      </c>
      <c r="F15" s="414">
        <v>2025</v>
      </c>
      <c r="G15" s="405">
        <f t="shared" si="15"/>
        <v>103234.5</v>
      </c>
      <c r="H15" s="416" t="s">
        <v>5</v>
      </c>
      <c r="I15" s="412">
        <v>16</v>
      </c>
      <c r="J15" s="58">
        <v>2000</v>
      </c>
      <c r="K15" s="59">
        <f t="shared" si="1"/>
        <v>125</v>
      </c>
      <c r="L15" s="412">
        <v>16</v>
      </c>
      <c r="M15" s="60">
        <f t="shared" si="16"/>
        <v>1928.5714285714305</v>
      </c>
      <c r="N15" s="59">
        <f t="shared" si="3"/>
        <v>120.53571428571441</v>
      </c>
      <c r="O15" s="61">
        <f t="shared" si="4"/>
        <v>0</v>
      </c>
      <c r="P15" s="62">
        <f t="shared" si="5"/>
        <v>-4.4642857142855945</v>
      </c>
      <c r="Q15" s="406">
        <f t="shared" si="6"/>
        <v>0.96428571428571519</v>
      </c>
      <c r="R15" s="566"/>
      <c r="S15" s="63">
        <v>0.70833333333333337</v>
      </c>
      <c r="T15" s="63">
        <v>0.75208333333333333</v>
      </c>
      <c r="U15" s="405" t="str">
        <f t="shared" si="18"/>
        <v/>
      </c>
      <c r="V15" s="413">
        <f t="shared" si="17"/>
        <v>62.999999999999936</v>
      </c>
      <c r="W15" s="64"/>
      <c r="X15" s="64"/>
      <c r="Y15" s="559"/>
      <c r="Z15" s="559"/>
      <c r="AA15" s="61">
        <f t="shared" si="8"/>
        <v>-71.428571428569512</v>
      </c>
      <c r="AB15" s="406">
        <f t="shared" si="9"/>
        <v>0.96428571428571519</v>
      </c>
      <c r="AC15" s="566"/>
    </row>
    <row r="16" spans="1:29" ht="16.5" customHeight="1">
      <c r="A16" s="593" t="s">
        <v>1896</v>
      </c>
      <c r="B16" s="414" t="s">
        <v>6</v>
      </c>
      <c r="C16" s="584" t="s">
        <v>18</v>
      </c>
      <c r="D16" s="584"/>
      <c r="E16" s="57">
        <v>50.92</v>
      </c>
      <c r="F16" s="414">
        <v>2048</v>
      </c>
      <c r="G16" s="405">
        <f t="shared" si="15"/>
        <v>104284.16</v>
      </c>
      <c r="H16" s="416" t="s">
        <v>5</v>
      </c>
      <c r="I16" s="412">
        <v>15</v>
      </c>
      <c r="J16" s="58">
        <v>2000</v>
      </c>
      <c r="K16" s="59">
        <f t="shared" si="1"/>
        <v>133.33333333333334</v>
      </c>
      <c r="L16" s="412">
        <v>15</v>
      </c>
      <c r="M16" s="60">
        <f t="shared" si="16"/>
        <v>1920.000000000002</v>
      </c>
      <c r="N16" s="59">
        <f t="shared" si="3"/>
        <v>128.00000000000014</v>
      </c>
      <c r="O16" s="61">
        <f t="shared" si="4"/>
        <v>0</v>
      </c>
      <c r="P16" s="62">
        <f t="shared" si="5"/>
        <v>-5.3333333333332007</v>
      </c>
      <c r="Q16" s="406">
        <f t="shared" si="6"/>
        <v>0.96000000000000096</v>
      </c>
      <c r="R16" s="566"/>
      <c r="S16" s="63">
        <v>0.75555555555555554</v>
      </c>
      <c r="T16" s="63">
        <v>0.79999999999999993</v>
      </c>
      <c r="U16" s="405">
        <f t="shared" si="18"/>
        <v>4.9999999999999822</v>
      </c>
      <c r="V16" s="413">
        <f t="shared" si="17"/>
        <v>63.999999999999929</v>
      </c>
      <c r="W16" s="64"/>
      <c r="X16" s="64"/>
      <c r="Y16" s="559"/>
      <c r="Z16" s="559"/>
      <c r="AA16" s="61">
        <f t="shared" si="8"/>
        <v>-79.999999999997954</v>
      </c>
      <c r="AB16" s="406">
        <f t="shared" si="9"/>
        <v>0.96000000000000107</v>
      </c>
      <c r="AC16" s="566"/>
    </row>
    <row r="17" spans="1:29" ht="16.5" customHeight="1">
      <c r="A17" s="593" t="s">
        <v>1896</v>
      </c>
      <c r="B17" s="414" t="s">
        <v>6</v>
      </c>
      <c r="C17" s="585" t="s">
        <v>68</v>
      </c>
      <c r="D17" s="586"/>
      <c r="E17" s="57">
        <v>50.67</v>
      </c>
      <c r="F17" s="414">
        <v>1410</v>
      </c>
      <c r="G17" s="405">
        <f t="shared" si="15"/>
        <v>71444.7</v>
      </c>
      <c r="H17" s="416" t="s">
        <v>5</v>
      </c>
      <c r="I17" s="412">
        <v>15</v>
      </c>
      <c r="J17" s="58">
        <v>2000</v>
      </c>
      <c r="K17" s="59">
        <f t="shared" si="1"/>
        <v>133.33333333333334</v>
      </c>
      <c r="L17" s="412">
        <v>15</v>
      </c>
      <c r="M17" s="60">
        <f t="shared" si="16"/>
        <v>1922.7272727272727</v>
      </c>
      <c r="N17" s="59">
        <f t="shared" si="3"/>
        <v>128.18181818181819</v>
      </c>
      <c r="O17" s="61">
        <f t="shared" si="4"/>
        <v>0</v>
      </c>
      <c r="P17" s="62">
        <f t="shared" si="5"/>
        <v>-5.1515151515151558</v>
      </c>
      <c r="Q17" s="406">
        <f t="shared" si="6"/>
        <v>0.96136363636363631</v>
      </c>
      <c r="R17" s="566"/>
      <c r="S17" s="63">
        <v>0.80555555555555547</v>
      </c>
      <c r="T17" s="63">
        <v>0.83611111111111103</v>
      </c>
      <c r="U17" s="405">
        <f t="shared" si="18"/>
        <v>7.9999999999999716</v>
      </c>
      <c r="V17" s="413">
        <f t="shared" si="17"/>
        <v>44</v>
      </c>
      <c r="W17" s="64"/>
      <c r="X17" s="64"/>
      <c r="Y17" s="569"/>
      <c r="Z17" s="570"/>
      <c r="AA17" s="61">
        <f t="shared" si="8"/>
        <v>-77.272727272727252</v>
      </c>
      <c r="AB17" s="406">
        <f t="shared" si="9"/>
        <v>0.96136363636363642</v>
      </c>
      <c r="AC17" s="566"/>
    </row>
    <row r="18" spans="1:29" ht="16.5" customHeight="1">
      <c r="A18" s="593" t="s">
        <v>1896</v>
      </c>
      <c r="B18" s="57" t="s">
        <v>1893</v>
      </c>
      <c r="C18" s="571"/>
      <c r="D18" s="571"/>
      <c r="E18" s="411"/>
      <c r="F18" s="66"/>
      <c r="G18" s="59"/>
      <c r="H18" s="414"/>
      <c r="I18" s="67">
        <v>17.666666666666668</v>
      </c>
      <c r="J18" s="58">
        <v>1750</v>
      </c>
      <c r="K18" s="59">
        <f t="shared" si="1"/>
        <v>99.056603773584897</v>
      </c>
      <c r="L18" s="67">
        <v>17.666666666666668</v>
      </c>
      <c r="M18" s="60">
        <f>AVERAGE(M12:M17)</f>
        <v>1682.8962201621387</v>
      </c>
      <c r="N18" s="59">
        <f t="shared" si="3"/>
        <v>95.258276612951235</v>
      </c>
      <c r="O18" s="61">
        <f t="shared" si="4"/>
        <v>0</v>
      </c>
      <c r="P18" s="62">
        <f t="shared" si="5"/>
        <v>-3.7983271606336615</v>
      </c>
      <c r="Q18" s="406">
        <f t="shared" si="6"/>
        <v>0.96165498294979346</v>
      </c>
      <c r="R18" s="566"/>
      <c r="S18" s="63"/>
      <c r="T18" s="63"/>
      <c r="U18" s="405"/>
      <c r="V18" s="413"/>
      <c r="W18" s="59"/>
      <c r="X18" s="59"/>
      <c r="Y18" s="559"/>
      <c r="Z18" s="559"/>
      <c r="AA18" s="61">
        <f t="shared" si="8"/>
        <v>-67.103779837861339</v>
      </c>
      <c r="AB18" s="406">
        <f t="shared" si="9"/>
        <v>0.96165498294979357</v>
      </c>
      <c r="AC18" s="566"/>
    </row>
    <row r="19" spans="1:29" ht="15.75" customHeight="1">
      <c r="A19" s="588" t="s">
        <v>1897</v>
      </c>
      <c r="B19" s="57" t="s">
        <v>12</v>
      </c>
      <c r="C19" s="584" t="s">
        <v>19</v>
      </c>
      <c r="D19" s="584"/>
      <c r="E19" s="57">
        <v>43.14</v>
      </c>
      <c r="F19" s="414">
        <v>1096</v>
      </c>
      <c r="G19" s="405">
        <f t="shared" ref="G19:G26" si="19">E19*F19</f>
        <v>47281.440000000002</v>
      </c>
      <c r="H19" s="416" t="s">
        <v>5</v>
      </c>
      <c r="I19" s="412">
        <v>17</v>
      </c>
      <c r="J19" s="58">
        <v>2000</v>
      </c>
      <c r="K19" s="59">
        <f t="shared" si="1"/>
        <v>117.64705882352941</v>
      </c>
      <c r="L19" s="412">
        <v>17</v>
      </c>
      <c r="M19" s="60">
        <f t="shared" ref="M19:M26" si="20">F19/V19*60</f>
        <v>1934.1176470588234</v>
      </c>
      <c r="N19" s="59">
        <f t="shared" si="3"/>
        <v>113.77162629757785</v>
      </c>
      <c r="O19" s="61">
        <f t="shared" si="4"/>
        <v>0</v>
      </c>
      <c r="P19" s="62">
        <f t="shared" si="5"/>
        <v>-3.8754325259515525</v>
      </c>
      <c r="Q19" s="406">
        <f t="shared" si="6"/>
        <v>0.96705882352941175</v>
      </c>
      <c r="R19" s="566">
        <f>Q27</f>
        <v>0.96372051204992382</v>
      </c>
      <c r="S19" s="63">
        <v>0.20833333333333334</v>
      </c>
      <c r="T19" s="63">
        <v>0.23194444444444445</v>
      </c>
      <c r="U19" s="405"/>
      <c r="V19" s="413">
        <f t="shared" ref="V19:V26" si="21">(T19-S19)*24*60</f>
        <v>34</v>
      </c>
      <c r="W19" s="68"/>
      <c r="X19" s="68"/>
      <c r="Y19" s="559"/>
      <c r="Z19" s="559"/>
      <c r="AA19" s="61">
        <f t="shared" si="8"/>
        <v>-65.882352941176578</v>
      </c>
      <c r="AB19" s="406">
        <f t="shared" si="9"/>
        <v>0.96705882352941175</v>
      </c>
      <c r="AC19" s="566">
        <f>AB27</f>
        <v>0.96372051204992382</v>
      </c>
    </row>
    <row r="20" spans="1:29" ht="15.75" customHeight="1">
      <c r="A20" s="589" t="s">
        <v>1897</v>
      </c>
      <c r="B20" s="57" t="s">
        <v>65</v>
      </c>
      <c r="C20" s="584" t="s">
        <v>97</v>
      </c>
      <c r="D20" s="584"/>
      <c r="E20" s="57">
        <v>49.9</v>
      </c>
      <c r="F20" s="414">
        <v>1234</v>
      </c>
      <c r="G20" s="405">
        <f t="shared" si="19"/>
        <v>61576.6</v>
      </c>
      <c r="H20" s="416" t="s">
        <v>5</v>
      </c>
      <c r="I20" s="412">
        <v>17</v>
      </c>
      <c r="J20" s="58">
        <v>2000</v>
      </c>
      <c r="K20" s="59">
        <f t="shared" si="1"/>
        <v>117.64705882352941</v>
      </c>
      <c r="L20" s="412">
        <v>17</v>
      </c>
      <c r="M20" s="60">
        <f t="shared" si="20"/>
        <v>1948.4210526315796</v>
      </c>
      <c r="N20" s="59">
        <f t="shared" si="3"/>
        <v>114.61300309597527</v>
      </c>
      <c r="O20" s="61">
        <f t="shared" si="4"/>
        <v>0</v>
      </c>
      <c r="P20" s="62">
        <f t="shared" si="5"/>
        <v>-3.0340557275541329</v>
      </c>
      <c r="Q20" s="406">
        <f t="shared" si="6"/>
        <v>0.97421052631578986</v>
      </c>
      <c r="R20" s="566"/>
      <c r="S20" s="63">
        <v>0.23680555555555557</v>
      </c>
      <c r="T20" s="63">
        <v>0.26319444444444445</v>
      </c>
      <c r="U20" s="405">
        <f t="shared" ref="U20:U26" si="22">IF(S20=TIME(17,0,0),"",(S20-T19)*24*60)</f>
        <v>7.0000000000000151</v>
      </c>
      <c r="V20" s="413">
        <f t="shared" si="21"/>
        <v>37.999999999999986</v>
      </c>
      <c r="W20" s="64"/>
      <c r="X20" s="405"/>
      <c r="Y20" s="559"/>
      <c r="Z20" s="559"/>
      <c r="AA20" s="61">
        <f t="shared" si="8"/>
        <v>-51.578947368420359</v>
      </c>
      <c r="AB20" s="406">
        <f t="shared" si="9"/>
        <v>0.97421052631578986</v>
      </c>
      <c r="AC20" s="566"/>
    </row>
    <row r="21" spans="1:29" ht="15.75" customHeight="1">
      <c r="A21" s="589" t="s">
        <v>1897</v>
      </c>
      <c r="B21" s="57" t="s">
        <v>6</v>
      </c>
      <c r="C21" s="584" t="s">
        <v>20</v>
      </c>
      <c r="D21" s="584"/>
      <c r="E21" s="57">
        <v>57.73</v>
      </c>
      <c r="F21" s="414">
        <v>2264</v>
      </c>
      <c r="G21" s="405">
        <f t="shared" si="19"/>
        <v>130700.71999999999</v>
      </c>
      <c r="H21" s="416" t="s">
        <v>5</v>
      </c>
      <c r="I21" s="412">
        <v>14</v>
      </c>
      <c r="J21" s="58">
        <v>2000</v>
      </c>
      <c r="K21" s="59">
        <f t="shared" si="1"/>
        <v>142.85714285714286</v>
      </c>
      <c r="L21" s="412">
        <v>14</v>
      </c>
      <c r="M21" s="60">
        <f t="shared" si="20"/>
        <v>1913.2394366197188</v>
      </c>
      <c r="N21" s="59">
        <f t="shared" si="3"/>
        <v>136.65995975855134</v>
      </c>
      <c r="O21" s="61">
        <f t="shared" si="4"/>
        <v>0</v>
      </c>
      <c r="P21" s="62">
        <f t="shared" si="5"/>
        <v>-6.1971830985915233</v>
      </c>
      <c r="Q21" s="406">
        <f t="shared" si="6"/>
        <v>0.95661971830985937</v>
      </c>
      <c r="R21" s="566"/>
      <c r="S21" s="63">
        <v>0.26805555555555555</v>
      </c>
      <c r="T21" s="63">
        <v>0.31736111111111109</v>
      </c>
      <c r="U21" s="405">
        <f t="shared" si="22"/>
        <v>6.9999999999999751</v>
      </c>
      <c r="V21" s="413">
        <f t="shared" si="21"/>
        <v>70.999999999999986</v>
      </c>
      <c r="W21" s="64"/>
      <c r="X21" s="405"/>
      <c r="Y21" s="559"/>
      <c r="Z21" s="559"/>
      <c r="AA21" s="61">
        <f t="shared" si="8"/>
        <v>-86.760563380281155</v>
      </c>
      <c r="AB21" s="406">
        <f t="shared" si="9"/>
        <v>0.95661971830985937</v>
      </c>
      <c r="AC21" s="566"/>
    </row>
    <row r="22" spans="1:29" ht="15.75" customHeight="1">
      <c r="A22" s="589" t="s">
        <v>1897</v>
      </c>
      <c r="B22" s="57" t="s">
        <v>6</v>
      </c>
      <c r="C22" s="584" t="s">
        <v>21</v>
      </c>
      <c r="D22" s="584"/>
      <c r="E22" s="57">
        <v>53.68</v>
      </c>
      <c r="F22" s="414">
        <v>1549</v>
      </c>
      <c r="G22" s="405">
        <f t="shared" si="19"/>
        <v>83150.319999999992</v>
      </c>
      <c r="H22" s="416" t="s">
        <v>5</v>
      </c>
      <c r="I22" s="412">
        <v>16</v>
      </c>
      <c r="J22" s="58">
        <v>2000</v>
      </c>
      <c r="K22" s="59">
        <f t="shared" si="1"/>
        <v>125</v>
      </c>
      <c r="L22" s="412">
        <v>16</v>
      </c>
      <c r="M22" s="60">
        <f t="shared" si="20"/>
        <v>1936.2500000000005</v>
      </c>
      <c r="N22" s="59">
        <f t="shared" si="3"/>
        <v>121.01562500000003</v>
      </c>
      <c r="O22" s="61">
        <f t="shared" si="4"/>
        <v>0</v>
      </c>
      <c r="P22" s="62">
        <f t="shared" si="5"/>
        <v>-3.9843749999999716</v>
      </c>
      <c r="Q22" s="406">
        <f t="shared" si="6"/>
        <v>0.96812500000000024</v>
      </c>
      <c r="R22" s="566"/>
      <c r="S22" s="63">
        <v>0.32222222222222219</v>
      </c>
      <c r="T22" s="63">
        <v>0.35555555555555551</v>
      </c>
      <c r="U22" s="405">
        <f t="shared" si="22"/>
        <v>6.9999999999999751</v>
      </c>
      <c r="V22" s="413">
        <f t="shared" si="21"/>
        <v>47.999999999999986</v>
      </c>
      <c r="W22" s="64"/>
      <c r="X22" s="405"/>
      <c r="Y22" s="559"/>
      <c r="Z22" s="559"/>
      <c r="AA22" s="61">
        <f t="shared" si="8"/>
        <v>-63.749999999999545</v>
      </c>
      <c r="AB22" s="406">
        <f t="shared" si="9"/>
        <v>0.96812500000000024</v>
      </c>
      <c r="AC22" s="566"/>
    </row>
    <row r="23" spans="1:29" ht="15.75" customHeight="1">
      <c r="A23" s="589" t="s">
        <v>1897</v>
      </c>
      <c r="B23" s="57" t="s">
        <v>6</v>
      </c>
      <c r="C23" s="584" t="s">
        <v>96</v>
      </c>
      <c r="D23" s="584"/>
      <c r="E23" s="57">
        <v>49.91</v>
      </c>
      <c r="F23" s="414">
        <v>1002</v>
      </c>
      <c r="G23" s="405">
        <f t="shared" si="19"/>
        <v>50009.82</v>
      </c>
      <c r="H23" s="416" t="s">
        <v>5</v>
      </c>
      <c r="I23" s="412">
        <v>17</v>
      </c>
      <c r="J23" s="58">
        <v>2000</v>
      </c>
      <c r="K23" s="59">
        <f t="shared" si="1"/>
        <v>117.64705882352941</v>
      </c>
      <c r="L23" s="412">
        <v>17</v>
      </c>
      <c r="M23" s="60">
        <f t="shared" si="20"/>
        <v>1939.3548387096789</v>
      </c>
      <c r="N23" s="59">
        <f t="shared" si="3"/>
        <v>114.07969639468699</v>
      </c>
      <c r="O23" s="61">
        <f t="shared" si="4"/>
        <v>0</v>
      </c>
      <c r="P23" s="62">
        <f t="shared" si="5"/>
        <v>-3.5673624288424151</v>
      </c>
      <c r="Q23" s="406">
        <f t="shared" si="6"/>
        <v>0.96967741935483942</v>
      </c>
      <c r="R23" s="566"/>
      <c r="S23" s="63">
        <v>0.36041666666666661</v>
      </c>
      <c r="T23" s="63">
        <v>0.38194444444444436</v>
      </c>
      <c r="U23" s="405">
        <f t="shared" si="22"/>
        <v>6.9999999999999751</v>
      </c>
      <c r="V23" s="413">
        <f t="shared" si="21"/>
        <v>30.999999999999972</v>
      </c>
      <c r="W23" s="64"/>
      <c r="X23" s="405"/>
      <c r="Y23" s="559"/>
      <c r="Z23" s="559"/>
      <c r="AA23" s="61">
        <f t="shared" si="8"/>
        <v>-60.645161290321084</v>
      </c>
      <c r="AB23" s="406">
        <f t="shared" si="9"/>
        <v>0.96967741935483942</v>
      </c>
      <c r="AC23" s="566"/>
    </row>
    <row r="24" spans="1:29" ht="15.75" customHeight="1">
      <c r="A24" s="589" t="s">
        <v>1897</v>
      </c>
      <c r="B24" s="57" t="s">
        <v>6</v>
      </c>
      <c r="C24" s="584" t="s">
        <v>8</v>
      </c>
      <c r="D24" s="584"/>
      <c r="E24" s="57">
        <v>50.49</v>
      </c>
      <c r="F24" s="414">
        <v>1660</v>
      </c>
      <c r="G24" s="405">
        <f t="shared" si="19"/>
        <v>83813.400000000009</v>
      </c>
      <c r="H24" s="416" t="s">
        <v>5</v>
      </c>
      <c r="I24" s="412">
        <v>15</v>
      </c>
      <c r="J24" s="58">
        <v>2000</v>
      </c>
      <c r="K24" s="59">
        <f t="shared" si="1"/>
        <v>133.33333333333334</v>
      </c>
      <c r="L24" s="412">
        <v>15</v>
      </c>
      <c r="M24" s="60">
        <f t="shared" si="20"/>
        <v>1915.3846153846164</v>
      </c>
      <c r="N24" s="59">
        <f t="shared" si="3"/>
        <v>127.69230769230776</v>
      </c>
      <c r="O24" s="61">
        <f t="shared" si="4"/>
        <v>0</v>
      </c>
      <c r="P24" s="62">
        <f t="shared" si="5"/>
        <v>-5.6410256410255784</v>
      </c>
      <c r="Q24" s="406">
        <f t="shared" si="6"/>
        <v>0.95769230769230818</v>
      </c>
      <c r="R24" s="566"/>
      <c r="S24" s="63">
        <v>0.70833333333333337</v>
      </c>
      <c r="T24" s="63">
        <v>0.74444444444444446</v>
      </c>
      <c r="U24" s="405" t="str">
        <f t="shared" si="22"/>
        <v/>
      </c>
      <c r="V24" s="413">
        <f t="shared" si="21"/>
        <v>51.999999999999972</v>
      </c>
      <c r="W24" s="64"/>
      <c r="X24" s="68"/>
      <c r="Y24" s="559"/>
      <c r="Z24" s="559"/>
      <c r="AA24" s="61">
        <f t="shared" si="8"/>
        <v>-84.615384615383618</v>
      </c>
      <c r="AB24" s="406">
        <f t="shared" si="9"/>
        <v>0.95769230769230818</v>
      </c>
      <c r="AC24" s="566"/>
    </row>
    <row r="25" spans="1:29" ht="15.75" customHeight="1">
      <c r="A25" s="589" t="s">
        <v>1897</v>
      </c>
      <c r="B25" s="57" t="s">
        <v>6</v>
      </c>
      <c r="C25" s="584" t="s">
        <v>69</v>
      </c>
      <c r="D25" s="584"/>
      <c r="E25" s="57">
        <v>57.73</v>
      </c>
      <c r="F25" s="414">
        <v>1095</v>
      </c>
      <c r="G25" s="405">
        <f t="shared" si="19"/>
        <v>63214.35</v>
      </c>
      <c r="H25" s="416" t="s">
        <v>5</v>
      </c>
      <c r="I25" s="412">
        <v>16</v>
      </c>
      <c r="J25" s="58">
        <v>1500</v>
      </c>
      <c r="K25" s="59">
        <f t="shared" si="1"/>
        <v>93.75</v>
      </c>
      <c r="L25" s="412">
        <v>16</v>
      </c>
      <c r="M25" s="60">
        <f t="shared" si="20"/>
        <v>1428.2608695652175</v>
      </c>
      <c r="N25" s="59">
        <f t="shared" si="3"/>
        <v>89.266304347826093</v>
      </c>
      <c r="O25" s="61">
        <f t="shared" si="4"/>
        <v>0</v>
      </c>
      <c r="P25" s="62">
        <f t="shared" si="5"/>
        <v>-4.4836956521739069</v>
      </c>
      <c r="Q25" s="406">
        <f t="shared" si="6"/>
        <v>0.95217391304347831</v>
      </c>
      <c r="R25" s="566"/>
      <c r="S25" s="63">
        <v>0.75</v>
      </c>
      <c r="T25" s="63">
        <v>0.78194444444444444</v>
      </c>
      <c r="U25" s="405">
        <f t="shared" si="22"/>
        <v>7.9999999999999716</v>
      </c>
      <c r="V25" s="413">
        <f t="shared" si="21"/>
        <v>46</v>
      </c>
      <c r="W25" s="64"/>
      <c r="X25" s="68"/>
      <c r="Y25" s="569"/>
      <c r="Z25" s="570"/>
      <c r="AA25" s="61">
        <f t="shared" si="8"/>
        <v>-71.73913043478251</v>
      </c>
      <c r="AB25" s="406">
        <f t="shared" si="9"/>
        <v>0.95217391304347831</v>
      </c>
      <c r="AC25" s="566"/>
    </row>
    <row r="26" spans="1:29" ht="15.75" customHeight="1">
      <c r="A26" s="589" t="s">
        <v>1897</v>
      </c>
      <c r="B26" s="57" t="s">
        <v>6</v>
      </c>
      <c r="C26" s="585" t="s">
        <v>99</v>
      </c>
      <c r="D26" s="586"/>
      <c r="E26" s="57">
        <v>53.68</v>
      </c>
      <c r="F26" s="414">
        <v>1849</v>
      </c>
      <c r="G26" s="405">
        <f t="shared" si="19"/>
        <v>99254.319999999992</v>
      </c>
      <c r="H26" s="416" t="s">
        <v>5</v>
      </c>
      <c r="I26" s="412">
        <v>16</v>
      </c>
      <c r="J26" s="58">
        <v>1500</v>
      </c>
      <c r="K26" s="59">
        <f t="shared" si="1"/>
        <v>93.75</v>
      </c>
      <c r="L26" s="412">
        <v>16</v>
      </c>
      <c r="M26" s="60">
        <f t="shared" si="20"/>
        <v>1440.7792207792199</v>
      </c>
      <c r="N26" s="59">
        <f t="shared" si="3"/>
        <v>90.048701298701246</v>
      </c>
      <c r="O26" s="61">
        <f t="shared" si="4"/>
        <v>0</v>
      </c>
      <c r="P26" s="62">
        <f t="shared" si="5"/>
        <v>-3.7012987012987537</v>
      </c>
      <c r="Q26" s="406">
        <f t="shared" si="6"/>
        <v>0.96051948051948</v>
      </c>
      <c r="R26" s="566"/>
      <c r="S26" s="63">
        <v>0.78541666666666665</v>
      </c>
      <c r="T26" s="63">
        <v>0.83888888888888891</v>
      </c>
      <c r="U26" s="405">
        <f t="shared" si="22"/>
        <v>4.9999999999999822</v>
      </c>
      <c r="V26" s="413">
        <f t="shared" si="21"/>
        <v>77.000000000000043</v>
      </c>
      <c r="W26" s="64"/>
      <c r="X26" s="64"/>
      <c r="Y26" s="569"/>
      <c r="Z26" s="570"/>
      <c r="AA26" s="61">
        <f t="shared" si="8"/>
        <v>-59.220779220780059</v>
      </c>
      <c r="AB26" s="406">
        <f t="shared" si="9"/>
        <v>0.96051948051948</v>
      </c>
      <c r="AC26" s="566"/>
    </row>
    <row r="27" spans="1:29" ht="15.75" customHeight="1">
      <c r="A27" s="589" t="s">
        <v>1897</v>
      </c>
      <c r="B27" s="57" t="s">
        <v>1893</v>
      </c>
      <c r="C27" s="571"/>
      <c r="D27" s="571"/>
      <c r="E27" s="411"/>
      <c r="F27" s="414"/>
      <c r="G27" s="405"/>
      <c r="H27" s="414"/>
      <c r="I27" s="67">
        <v>16</v>
      </c>
      <c r="J27" s="58">
        <v>1875</v>
      </c>
      <c r="K27" s="59">
        <f t="shared" si="1"/>
        <v>117.1875</v>
      </c>
      <c r="L27" s="67">
        <v>16</v>
      </c>
      <c r="M27" s="60">
        <f>AVERAGE(M19:M26)</f>
        <v>1806.9759600936072</v>
      </c>
      <c r="N27" s="59">
        <f t="shared" si="3"/>
        <v>112.93599750585045</v>
      </c>
      <c r="O27" s="61">
        <f t="shared" si="4"/>
        <v>0</v>
      </c>
      <c r="P27" s="62">
        <f t="shared" si="5"/>
        <v>-4.2515024941495483</v>
      </c>
      <c r="Q27" s="406">
        <f t="shared" si="6"/>
        <v>0.96372051204992382</v>
      </c>
      <c r="R27" s="566"/>
      <c r="S27" s="63"/>
      <c r="T27" s="63"/>
      <c r="U27" s="59"/>
      <c r="V27" s="413"/>
      <c r="W27" s="59"/>
      <c r="X27" s="59"/>
      <c r="Y27" s="559"/>
      <c r="Z27" s="559"/>
      <c r="AA27" s="61">
        <f t="shared" si="8"/>
        <v>-68.024039906392773</v>
      </c>
      <c r="AB27" s="406">
        <f t="shared" si="9"/>
        <v>0.96372051204992382</v>
      </c>
      <c r="AC27" s="566"/>
    </row>
    <row r="28" spans="1:29" ht="15.75" customHeight="1">
      <c r="A28" s="587" t="s">
        <v>1898</v>
      </c>
      <c r="B28" s="57" t="s">
        <v>15</v>
      </c>
      <c r="C28" s="584" t="s">
        <v>26</v>
      </c>
      <c r="D28" s="584"/>
      <c r="E28" s="57">
        <v>31.29</v>
      </c>
      <c r="F28" s="414">
        <v>4800</v>
      </c>
      <c r="G28" s="405">
        <f t="shared" ref="G28:G34" si="23">E28*F28</f>
        <v>150192</v>
      </c>
      <c r="H28" s="416">
        <v>2</v>
      </c>
      <c r="I28" s="412">
        <v>18</v>
      </c>
      <c r="J28" s="58">
        <v>2400</v>
      </c>
      <c r="K28" s="59">
        <f t="shared" si="1"/>
        <v>133.33333333333334</v>
      </c>
      <c r="L28" s="412">
        <v>18</v>
      </c>
      <c r="M28" s="60">
        <f t="shared" ref="M28:M34" si="24">F28/V28*60</f>
        <v>2285.7142857142858</v>
      </c>
      <c r="N28" s="59">
        <f t="shared" si="3"/>
        <v>126.98412698412699</v>
      </c>
      <c r="O28" s="61">
        <f t="shared" si="4"/>
        <v>0</v>
      </c>
      <c r="P28" s="62">
        <f t="shared" si="5"/>
        <v>-6.3492063492063551</v>
      </c>
      <c r="Q28" s="406">
        <f t="shared" si="6"/>
        <v>0.95238095238095233</v>
      </c>
      <c r="R28" s="566">
        <f>Q35</f>
        <v>0.96028573024488129</v>
      </c>
      <c r="S28" s="63">
        <v>8.3333333333333329E-2</v>
      </c>
      <c r="T28" s="63">
        <v>0.17083333333333334</v>
      </c>
      <c r="U28" s="405"/>
      <c r="V28" s="413">
        <f t="shared" ref="V28:V34" si="25">(T28-S28)*24*60</f>
        <v>126</v>
      </c>
      <c r="W28" s="64">
        <f>T28</f>
        <v>0.17083333333333334</v>
      </c>
      <c r="X28" s="64">
        <f>S29</f>
        <v>0.19236111111111112</v>
      </c>
      <c r="Y28" s="559"/>
      <c r="Z28" s="559"/>
      <c r="AA28" s="61">
        <f t="shared" si="8"/>
        <v>-114.28571428571422</v>
      </c>
      <c r="AB28" s="406">
        <f t="shared" si="9"/>
        <v>0.95238095238095244</v>
      </c>
      <c r="AC28" s="566">
        <f>AB35</f>
        <v>0.9602857302448814</v>
      </c>
    </row>
    <row r="29" spans="1:29" ht="15.75" customHeight="1">
      <c r="A29" s="587" t="s">
        <v>1898</v>
      </c>
      <c r="B29" s="57" t="s">
        <v>15</v>
      </c>
      <c r="C29" s="584" t="s">
        <v>23</v>
      </c>
      <c r="D29" s="584"/>
      <c r="E29" s="57">
        <v>26.2</v>
      </c>
      <c r="F29" s="414">
        <v>2700</v>
      </c>
      <c r="G29" s="405">
        <f t="shared" si="23"/>
        <v>70740</v>
      </c>
      <c r="H29" s="416">
        <v>2</v>
      </c>
      <c r="I29" s="412">
        <v>20</v>
      </c>
      <c r="J29" s="58">
        <v>2400</v>
      </c>
      <c r="K29" s="59">
        <f t="shared" si="1"/>
        <v>120</v>
      </c>
      <c r="L29" s="412">
        <v>20</v>
      </c>
      <c r="M29" s="60">
        <f t="shared" si="24"/>
        <v>2314.2857142857147</v>
      </c>
      <c r="N29" s="59">
        <f t="shared" si="3"/>
        <v>115.71428571428574</v>
      </c>
      <c r="O29" s="61">
        <f t="shared" si="4"/>
        <v>0</v>
      </c>
      <c r="P29" s="62">
        <f t="shared" si="5"/>
        <v>-4.2857142857142634</v>
      </c>
      <c r="Q29" s="406">
        <f t="shared" si="6"/>
        <v>0.96428571428571452</v>
      </c>
      <c r="R29" s="566"/>
      <c r="S29" s="63">
        <v>0.19236111111111112</v>
      </c>
      <c r="T29" s="63">
        <v>0.24097222222222223</v>
      </c>
      <c r="U29" s="405">
        <f t="shared" ref="U29:U34" si="26">(S29-T28)*24*60</f>
        <v>31.000000000000011</v>
      </c>
      <c r="V29" s="413">
        <f t="shared" si="25"/>
        <v>69.999999999999986</v>
      </c>
      <c r="W29" s="64"/>
      <c r="X29" s="64"/>
      <c r="Y29" s="559"/>
      <c r="Z29" s="559"/>
      <c r="AA29" s="61">
        <f t="shared" si="8"/>
        <v>-85.714285714285325</v>
      </c>
      <c r="AB29" s="406">
        <f t="shared" si="9"/>
        <v>0.96428571428571441</v>
      </c>
      <c r="AC29" s="566"/>
    </row>
    <row r="30" spans="1:29" ht="15.75" customHeight="1">
      <c r="A30" s="587" t="s">
        <v>1898</v>
      </c>
      <c r="B30" s="57" t="s">
        <v>15</v>
      </c>
      <c r="C30" s="584" t="s">
        <v>70</v>
      </c>
      <c r="D30" s="584"/>
      <c r="E30" s="57">
        <v>25.99</v>
      </c>
      <c r="F30" s="414">
        <v>4414</v>
      </c>
      <c r="G30" s="405">
        <f t="shared" si="23"/>
        <v>114719.85999999999</v>
      </c>
      <c r="H30" s="416" t="s">
        <v>5</v>
      </c>
      <c r="I30" s="412">
        <v>14</v>
      </c>
      <c r="J30" s="58">
        <v>2400</v>
      </c>
      <c r="K30" s="59">
        <f t="shared" si="1"/>
        <v>171.42857142857142</v>
      </c>
      <c r="L30" s="412">
        <v>14</v>
      </c>
      <c r="M30" s="60">
        <f t="shared" si="24"/>
        <v>2283.1034482758623</v>
      </c>
      <c r="N30" s="59">
        <f t="shared" si="3"/>
        <v>163.07881773399018</v>
      </c>
      <c r="O30" s="61">
        <f t="shared" si="4"/>
        <v>0</v>
      </c>
      <c r="P30" s="62">
        <f t="shared" si="5"/>
        <v>-8.3497536945812385</v>
      </c>
      <c r="Q30" s="406">
        <f t="shared" si="6"/>
        <v>0.95129310344827611</v>
      </c>
      <c r="R30" s="566"/>
      <c r="S30" s="63">
        <v>0.24513888888888891</v>
      </c>
      <c r="T30" s="63">
        <v>0.32569444444444445</v>
      </c>
      <c r="U30" s="405">
        <f t="shared" si="26"/>
        <v>6.0000000000000187</v>
      </c>
      <c r="V30" s="413">
        <f t="shared" si="25"/>
        <v>115.99999999999999</v>
      </c>
      <c r="W30" s="64"/>
      <c r="X30" s="64"/>
      <c r="Y30" s="559"/>
      <c r="Z30" s="559"/>
      <c r="AA30" s="61">
        <f t="shared" si="8"/>
        <v>-116.89655172413768</v>
      </c>
      <c r="AB30" s="406">
        <f t="shared" si="9"/>
        <v>0.951293103448276</v>
      </c>
      <c r="AC30" s="566"/>
    </row>
    <row r="31" spans="1:29" ht="15.75" customHeight="1">
      <c r="A31" s="587" t="s">
        <v>1898</v>
      </c>
      <c r="B31" s="57" t="s">
        <v>15</v>
      </c>
      <c r="C31" s="584" t="s">
        <v>45</v>
      </c>
      <c r="D31" s="584"/>
      <c r="E31" s="57">
        <v>20.52</v>
      </c>
      <c r="F31" s="414">
        <v>4331</v>
      </c>
      <c r="G31" s="405">
        <f t="shared" si="23"/>
        <v>88872.12</v>
      </c>
      <c r="H31" s="416" t="s">
        <v>5</v>
      </c>
      <c r="I31" s="412">
        <v>18</v>
      </c>
      <c r="J31" s="58">
        <v>2400</v>
      </c>
      <c r="K31" s="59">
        <f t="shared" si="1"/>
        <v>133.33333333333334</v>
      </c>
      <c r="L31" s="412">
        <v>18</v>
      </c>
      <c r="M31" s="60">
        <f t="shared" si="24"/>
        <v>2299.6460176991154</v>
      </c>
      <c r="N31" s="59">
        <f t="shared" si="3"/>
        <v>127.7581120943953</v>
      </c>
      <c r="O31" s="61">
        <f t="shared" si="4"/>
        <v>0</v>
      </c>
      <c r="P31" s="62">
        <f t="shared" si="5"/>
        <v>-5.5752212389380418</v>
      </c>
      <c r="Q31" s="406">
        <f t="shared" si="6"/>
        <v>0.95818584070796464</v>
      </c>
      <c r="R31" s="566"/>
      <c r="S31" s="63">
        <v>0.3298611111111111</v>
      </c>
      <c r="T31" s="63">
        <v>0.40833333333333333</v>
      </c>
      <c r="U31" s="405">
        <f t="shared" si="26"/>
        <v>5.9999999999999787</v>
      </c>
      <c r="V31" s="413">
        <f t="shared" si="25"/>
        <v>113</v>
      </c>
      <c r="W31" s="64"/>
      <c r="X31" s="64"/>
      <c r="Y31" s="559"/>
      <c r="Z31" s="559"/>
      <c r="AA31" s="61">
        <f t="shared" si="8"/>
        <v>-100.35398230088458</v>
      </c>
      <c r="AB31" s="406">
        <f t="shared" si="9"/>
        <v>0.95818584070796475</v>
      </c>
      <c r="AC31" s="566"/>
    </row>
    <row r="32" spans="1:29" ht="15.75" customHeight="1">
      <c r="A32" s="587" t="s">
        <v>1898</v>
      </c>
      <c r="B32" s="57" t="s">
        <v>15</v>
      </c>
      <c r="C32" s="584" t="s">
        <v>98</v>
      </c>
      <c r="D32" s="584"/>
      <c r="E32" s="57">
        <v>25.98</v>
      </c>
      <c r="F32" s="414">
        <v>3783</v>
      </c>
      <c r="G32" s="405">
        <f t="shared" si="23"/>
        <v>98282.34</v>
      </c>
      <c r="H32" s="416" t="s">
        <v>5</v>
      </c>
      <c r="I32" s="412">
        <v>21</v>
      </c>
      <c r="J32" s="58">
        <v>2400</v>
      </c>
      <c r="K32" s="59">
        <f t="shared" si="1"/>
        <v>114.28571428571429</v>
      </c>
      <c r="L32" s="412">
        <v>21</v>
      </c>
      <c r="M32" s="60">
        <f t="shared" si="24"/>
        <v>2292.7272727272734</v>
      </c>
      <c r="N32" s="59">
        <f t="shared" si="3"/>
        <v>109.17748917748921</v>
      </c>
      <c r="O32" s="61">
        <f t="shared" si="4"/>
        <v>0</v>
      </c>
      <c r="P32" s="62">
        <f t="shared" si="5"/>
        <v>-5.1082251082250849</v>
      </c>
      <c r="Q32" s="406">
        <f t="shared" si="6"/>
        <v>0.95530303030303054</v>
      </c>
      <c r="R32" s="566"/>
      <c r="S32" s="63">
        <v>0.41319444444444442</v>
      </c>
      <c r="T32" s="63">
        <v>0.4819444444444444</v>
      </c>
      <c r="U32" s="405">
        <f t="shared" si="26"/>
        <v>6.9999999999999751</v>
      </c>
      <c r="V32" s="413">
        <f t="shared" si="25"/>
        <v>98.999999999999972</v>
      </c>
      <c r="W32" s="64"/>
      <c r="X32" s="64"/>
      <c r="Y32" s="559"/>
      <c r="Z32" s="559"/>
      <c r="AA32" s="61">
        <f t="shared" si="8"/>
        <v>-107.27272727272657</v>
      </c>
      <c r="AB32" s="406">
        <f t="shared" si="9"/>
        <v>0.95530303030303054</v>
      </c>
      <c r="AC32" s="566"/>
    </row>
    <row r="33" spans="1:29" ht="15.75" customHeight="1">
      <c r="A33" s="587" t="s">
        <v>1898</v>
      </c>
      <c r="B33" s="57" t="s">
        <v>15</v>
      </c>
      <c r="C33" s="584" t="s">
        <v>100</v>
      </c>
      <c r="D33" s="584"/>
      <c r="E33" s="57">
        <v>28.51</v>
      </c>
      <c r="F33" s="414">
        <v>945</v>
      </c>
      <c r="G33" s="405">
        <f t="shared" si="23"/>
        <v>26941.95</v>
      </c>
      <c r="H33" s="416" t="s">
        <v>5</v>
      </c>
      <c r="I33" s="412">
        <v>16</v>
      </c>
      <c r="J33" s="58">
        <v>2400</v>
      </c>
      <c r="K33" s="59">
        <f t="shared" si="1"/>
        <v>150</v>
      </c>
      <c r="L33" s="412">
        <v>16</v>
      </c>
      <c r="M33" s="60">
        <f t="shared" si="24"/>
        <v>2362.4999999999927</v>
      </c>
      <c r="N33" s="59">
        <f t="shared" si="3"/>
        <v>147.65624999999955</v>
      </c>
      <c r="O33" s="61">
        <f t="shared" si="4"/>
        <v>0</v>
      </c>
      <c r="P33" s="62">
        <f t="shared" si="5"/>
        <v>-2.3437500000004547</v>
      </c>
      <c r="Q33" s="406">
        <f t="shared" si="6"/>
        <v>0.984374999999997</v>
      </c>
      <c r="R33" s="566"/>
      <c r="S33" s="63">
        <v>0.48611111111111105</v>
      </c>
      <c r="T33" s="63">
        <v>0.50277777777777777</v>
      </c>
      <c r="U33" s="405">
        <f t="shared" si="26"/>
        <v>5.9999999999999787</v>
      </c>
      <c r="V33" s="413">
        <f t="shared" si="25"/>
        <v>24.000000000000075</v>
      </c>
      <c r="W33" s="64">
        <f>T33</f>
        <v>0.50277777777777777</v>
      </c>
      <c r="X33" s="64">
        <f>S34</f>
        <v>0.5444444444444444</v>
      </c>
      <c r="Y33" s="559"/>
      <c r="Z33" s="559"/>
      <c r="AA33" s="61">
        <f t="shared" si="8"/>
        <v>-37.500000000007276</v>
      </c>
      <c r="AB33" s="406">
        <f t="shared" si="9"/>
        <v>0.984374999999997</v>
      </c>
      <c r="AC33" s="566"/>
    </row>
    <row r="34" spans="1:29" ht="15.75" customHeight="1">
      <c r="A34" s="587" t="s">
        <v>1898</v>
      </c>
      <c r="B34" s="57" t="s">
        <v>15</v>
      </c>
      <c r="C34" s="584" t="s">
        <v>26</v>
      </c>
      <c r="D34" s="584"/>
      <c r="E34" s="57">
        <v>31.29</v>
      </c>
      <c r="F34" s="414">
        <v>3251</v>
      </c>
      <c r="G34" s="405">
        <f t="shared" si="23"/>
        <v>101723.79</v>
      </c>
      <c r="H34" s="416" t="s">
        <v>5</v>
      </c>
      <c r="I34" s="412">
        <v>18</v>
      </c>
      <c r="J34" s="58">
        <v>2400</v>
      </c>
      <c r="K34" s="59">
        <f t="shared" si="1"/>
        <v>133.33333333333334</v>
      </c>
      <c r="L34" s="412">
        <v>18</v>
      </c>
      <c r="M34" s="60">
        <f t="shared" si="24"/>
        <v>2294.8235294117644</v>
      </c>
      <c r="N34" s="59">
        <f t="shared" si="3"/>
        <v>127.49019607843135</v>
      </c>
      <c r="O34" s="61">
        <f t="shared" si="4"/>
        <v>0</v>
      </c>
      <c r="P34" s="62">
        <f t="shared" si="5"/>
        <v>-5.8431372549019898</v>
      </c>
      <c r="Q34" s="406">
        <f t="shared" si="6"/>
        <v>0.95617647058823507</v>
      </c>
      <c r="R34" s="566"/>
      <c r="S34" s="63">
        <v>0.5444444444444444</v>
      </c>
      <c r="T34" s="63">
        <v>0.60347222222222219</v>
      </c>
      <c r="U34" s="405">
        <f t="shared" si="26"/>
        <v>59.999999999999943</v>
      </c>
      <c r="V34" s="413">
        <f t="shared" si="25"/>
        <v>85.000000000000014</v>
      </c>
      <c r="W34" s="64"/>
      <c r="X34" s="64"/>
      <c r="Y34" s="559"/>
      <c r="Z34" s="559"/>
      <c r="AA34" s="61">
        <f t="shared" si="8"/>
        <v>-105.17647058823559</v>
      </c>
      <c r="AB34" s="406">
        <f t="shared" si="9"/>
        <v>0.95617647058823518</v>
      </c>
      <c r="AC34" s="566"/>
    </row>
    <row r="35" spans="1:29" ht="15.75" customHeight="1">
      <c r="A35" s="587" t="s">
        <v>1898</v>
      </c>
      <c r="B35" s="57" t="s">
        <v>1899</v>
      </c>
      <c r="C35" s="571"/>
      <c r="D35" s="571"/>
      <c r="E35" s="411"/>
      <c r="F35" s="414"/>
      <c r="G35" s="405"/>
      <c r="H35" s="414"/>
      <c r="I35" s="67">
        <v>17.857142857142858</v>
      </c>
      <c r="J35" s="58">
        <v>2400</v>
      </c>
      <c r="K35" s="59">
        <f t="shared" si="1"/>
        <v>134.4</v>
      </c>
      <c r="L35" s="67">
        <v>17.857142857142858</v>
      </c>
      <c r="M35" s="60">
        <f>AVERAGE(M28:M34)</f>
        <v>2304.6857525877153</v>
      </c>
      <c r="N35" s="59">
        <f t="shared" si="3"/>
        <v>129.06240214491206</v>
      </c>
      <c r="O35" s="61">
        <f t="shared" si="4"/>
        <v>0</v>
      </c>
      <c r="P35" s="62">
        <f t="shared" si="5"/>
        <v>-5.3375978550879495</v>
      </c>
      <c r="Q35" s="406">
        <f t="shared" si="6"/>
        <v>0.96028573024488129</v>
      </c>
      <c r="R35" s="566"/>
      <c r="S35" s="63"/>
      <c r="T35" s="63"/>
      <c r="U35" s="405"/>
      <c r="V35" s="413"/>
      <c r="W35" s="405"/>
      <c r="X35" s="405"/>
      <c r="Y35" s="559"/>
      <c r="Z35" s="559"/>
      <c r="AA35" s="61">
        <f t="shared" si="8"/>
        <v>-95.314247412284658</v>
      </c>
      <c r="AB35" s="406">
        <f t="shared" si="9"/>
        <v>0.9602857302448814</v>
      </c>
      <c r="AC35" s="566"/>
    </row>
    <row r="36" spans="1:29" ht="15.75" customHeight="1">
      <c r="A36" s="582" t="s">
        <v>1900</v>
      </c>
      <c r="B36" s="57" t="s">
        <v>15</v>
      </c>
      <c r="C36" s="560" t="s">
        <v>101</v>
      </c>
      <c r="D36" s="560"/>
      <c r="E36" s="57">
        <v>22.69</v>
      </c>
      <c r="F36" s="414">
        <v>1535</v>
      </c>
      <c r="G36" s="405">
        <f t="shared" ref="G36:G42" si="27">E36*F36</f>
        <v>34829.15</v>
      </c>
      <c r="H36" s="416" t="s">
        <v>5</v>
      </c>
      <c r="I36" s="412">
        <v>15</v>
      </c>
      <c r="J36" s="58">
        <v>2400</v>
      </c>
      <c r="K36" s="59">
        <f t="shared" si="1"/>
        <v>160</v>
      </c>
      <c r="L36" s="412">
        <v>15</v>
      </c>
      <c r="M36" s="60">
        <f t="shared" ref="M36:M42" si="28">F36/V36*60</f>
        <v>2302.5</v>
      </c>
      <c r="N36" s="59">
        <f t="shared" si="3"/>
        <v>153.5</v>
      </c>
      <c r="O36" s="61">
        <f t="shared" si="4"/>
        <v>0</v>
      </c>
      <c r="P36" s="62">
        <f t="shared" si="5"/>
        <v>-6.5</v>
      </c>
      <c r="Q36" s="406">
        <f t="shared" si="6"/>
        <v>0.95937499999999998</v>
      </c>
      <c r="R36" s="566">
        <f>Q43</f>
        <v>0.95895295339120978</v>
      </c>
      <c r="S36" s="63">
        <v>8.3333333333333329E-2</v>
      </c>
      <c r="T36" s="63">
        <v>0.1111111111111111</v>
      </c>
      <c r="U36" s="405"/>
      <c r="V36" s="413">
        <f t="shared" ref="V36:V42" si="29">(T36-S36)*24*60</f>
        <v>40</v>
      </c>
      <c r="W36" s="68">
        <f>T36</f>
        <v>0.1111111111111111</v>
      </c>
      <c r="X36" s="68">
        <f>S37</f>
        <v>0.13125000000000001</v>
      </c>
      <c r="Y36" s="559"/>
      <c r="Z36" s="559"/>
      <c r="AA36" s="61">
        <f t="shared" si="8"/>
        <v>-97.5</v>
      </c>
      <c r="AB36" s="406">
        <f t="shared" si="9"/>
        <v>0.95937499999999998</v>
      </c>
      <c r="AC36" s="566">
        <f>AB43</f>
        <v>0.95895295339120989</v>
      </c>
    </row>
    <row r="37" spans="1:29" ht="15.75" customHeight="1">
      <c r="A37" s="582" t="s">
        <v>1900</v>
      </c>
      <c r="B37" s="57" t="s">
        <v>15</v>
      </c>
      <c r="C37" s="560" t="s">
        <v>27</v>
      </c>
      <c r="D37" s="560"/>
      <c r="E37" s="57">
        <v>26.2</v>
      </c>
      <c r="F37" s="414">
        <v>5900</v>
      </c>
      <c r="G37" s="405">
        <f t="shared" si="27"/>
        <v>154580</v>
      </c>
      <c r="H37" s="416" t="s">
        <v>5</v>
      </c>
      <c r="I37" s="412">
        <v>18</v>
      </c>
      <c r="J37" s="58">
        <v>2400</v>
      </c>
      <c r="K37" s="59">
        <f t="shared" si="1"/>
        <v>133.33333333333334</v>
      </c>
      <c r="L37" s="412">
        <v>18</v>
      </c>
      <c r="M37" s="60">
        <f t="shared" si="28"/>
        <v>2298.701298701299</v>
      </c>
      <c r="N37" s="59">
        <f t="shared" si="3"/>
        <v>127.70562770562772</v>
      </c>
      <c r="O37" s="61">
        <f t="shared" si="4"/>
        <v>0</v>
      </c>
      <c r="P37" s="62">
        <f t="shared" si="5"/>
        <v>-5.6277056277056232</v>
      </c>
      <c r="Q37" s="406">
        <f t="shared" si="6"/>
        <v>0.95779220779220786</v>
      </c>
      <c r="R37" s="566"/>
      <c r="S37" s="63">
        <v>0.13125000000000001</v>
      </c>
      <c r="T37" s="63">
        <v>0.23819444444444446</v>
      </c>
      <c r="U37" s="405">
        <f t="shared" ref="U37:U42" si="30">(S37-T36)*24*60</f>
        <v>29.000000000000018</v>
      </c>
      <c r="V37" s="413">
        <f t="shared" si="29"/>
        <v>154</v>
      </c>
      <c r="W37" s="405"/>
      <c r="X37" s="405"/>
      <c r="Y37" s="559"/>
      <c r="Z37" s="559"/>
      <c r="AA37" s="61">
        <f t="shared" si="8"/>
        <v>-101.29870129870096</v>
      </c>
      <c r="AB37" s="406">
        <f t="shared" si="9"/>
        <v>0.95779220779220797</v>
      </c>
      <c r="AC37" s="566"/>
    </row>
    <row r="38" spans="1:29">
      <c r="A38" s="583" t="s">
        <v>1900</v>
      </c>
      <c r="B38" s="57" t="s">
        <v>15</v>
      </c>
      <c r="C38" s="560" t="s">
        <v>25</v>
      </c>
      <c r="D38" s="560"/>
      <c r="E38" s="57">
        <v>26.18</v>
      </c>
      <c r="F38" s="414">
        <v>2539</v>
      </c>
      <c r="G38" s="405">
        <f t="shared" si="27"/>
        <v>66471.02</v>
      </c>
      <c r="H38" s="416" t="s">
        <v>5</v>
      </c>
      <c r="I38" s="412">
        <v>19</v>
      </c>
      <c r="J38" s="58">
        <v>2400</v>
      </c>
      <c r="K38" s="59">
        <f t="shared" si="1"/>
        <v>126.31578947368421</v>
      </c>
      <c r="L38" s="412">
        <v>19</v>
      </c>
      <c r="M38" s="60">
        <f t="shared" si="28"/>
        <v>2308.181818181818</v>
      </c>
      <c r="N38" s="59">
        <f t="shared" si="3"/>
        <v>121.48325358851673</v>
      </c>
      <c r="O38" s="61">
        <f t="shared" si="4"/>
        <v>0</v>
      </c>
      <c r="P38" s="62">
        <f t="shared" si="5"/>
        <v>-4.8325358851674736</v>
      </c>
      <c r="Q38" s="406">
        <f t="shared" si="6"/>
        <v>0.96174242424242418</v>
      </c>
      <c r="R38" s="566"/>
      <c r="S38" s="63">
        <v>0.24236111111111114</v>
      </c>
      <c r="T38" s="63">
        <v>0.28819444444444448</v>
      </c>
      <c r="U38" s="405">
        <f t="shared" si="30"/>
        <v>6.0000000000000187</v>
      </c>
      <c r="V38" s="413">
        <f t="shared" si="29"/>
        <v>66</v>
      </c>
      <c r="W38" s="405"/>
      <c r="X38" s="405"/>
      <c r="Y38" s="559"/>
      <c r="Z38" s="559"/>
      <c r="AA38" s="61">
        <f t="shared" si="8"/>
        <v>-91.818181818181984</v>
      </c>
      <c r="AB38" s="406">
        <f t="shared" si="9"/>
        <v>0.96174242424242418</v>
      </c>
      <c r="AC38" s="566"/>
    </row>
    <row r="39" spans="1:29">
      <c r="A39" s="583" t="s">
        <v>1900</v>
      </c>
      <c r="B39" s="57" t="s">
        <v>15</v>
      </c>
      <c r="C39" s="560" t="s">
        <v>28</v>
      </c>
      <c r="D39" s="560"/>
      <c r="E39" s="57">
        <v>26.39</v>
      </c>
      <c r="F39" s="414">
        <v>5763</v>
      </c>
      <c r="G39" s="405">
        <f t="shared" si="27"/>
        <v>152085.57</v>
      </c>
      <c r="H39" s="416" t="s">
        <v>5</v>
      </c>
      <c r="I39" s="412">
        <v>19</v>
      </c>
      <c r="J39" s="58">
        <v>2400</v>
      </c>
      <c r="K39" s="59">
        <f t="shared" si="1"/>
        <v>126.31578947368421</v>
      </c>
      <c r="L39" s="412">
        <v>19</v>
      </c>
      <c r="M39" s="60">
        <f t="shared" si="28"/>
        <v>2289.9337748344369</v>
      </c>
      <c r="N39" s="59">
        <f t="shared" si="3"/>
        <v>120.52283025444405</v>
      </c>
      <c r="O39" s="61">
        <f t="shared" si="4"/>
        <v>0</v>
      </c>
      <c r="P39" s="62">
        <f t="shared" si="5"/>
        <v>-5.79295921924016</v>
      </c>
      <c r="Q39" s="406">
        <f t="shared" si="6"/>
        <v>0.95413907284768207</v>
      </c>
      <c r="R39" s="566"/>
      <c r="S39" s="63">
        <v>0.29166666666666669</v>
      </c>
      <c r="T39" s="63">
        <v>0.39652777777777781</v>
      </c>
      <c r="U39" s="405">
        <f t="shared" si="30"/>
        <v>4.9999999999999822</v>
      </c>
      <c r="V39" s="413">
        <f t="shared" si="29"/>
        <v>151.00000000000003</v>
      </c>
      <c r="W39" s="64"/>
      <c r="X39" s="64"/>
      <c r="Y39" s="559"/>
      <c r="Z39" s="559"/>
      <c r="AA39" s="61">
        <f t="shared" si="8"/>
        <v>-110.06622516556308</v>
      </c>
      <c r="AB39" s="406">
        <f t="shared" si="9"/>
        <v>0.95413907284768207</v>
      </c>
      <c r="AC39" s="566"/>
    </row>
    <row r="40" spans="1:29">
      <c r="A40" s="583" t="s">
        <v>1900</v>
      </c>
      <c r="B40" s="57" t="s">
        <v>15</v>
      </c>
      <c r="C40" s="560" t="s">
        <v>658</v>
      </c>
      <c r="D40" s="560"/>
      <c r="E40" s="57">
        <v>22.69</v>
      </c>
      <c r="F40" s="414">
        <v>3909</v>
      </c>
      <c r="G40" s="405">
        <f t="shared" si="27"/>
        <v>88695.21</v>
      </c>
      <c r="H40" s="416" t="s">
        <v>5</v>
      </c>
      <c r="I40" s="412">
        <v>15</v>
      </c>
      <c r="J40" s="58">
        <v>2400</v>
      </c>
      <c r="K40" s="59">
        <f t="shared" si="1"/>
        <v>160</v>
      </c>
      <c r="L40" s="412">
        <v>15</v>
      </c>
      <c r="M40" s="60">
        <f t="shared" si="28"/>
        <v>2299.4117647058833</v>
      </c>
      <c r="N40" s="59">
        <f t="shared" si="3"/>
        <v>153.2941176470589</v>
      </c>
      <c r="O40" s="61">
        <f t="shared" si="4"/>
        <v>0</v>
      </c>
      <c r="P40" s="62">
        <f t="shared" si="5"/>
        <v>-6.7058823529411029</v>
      </c>
      <c r="Q40" s="406">
        <f t="shared" si="6"/>
        <v>0.95808823529411813</v>
      </c>
      <c r="R40" s="566"/>
      <c r="S40" s="63">
        <v>0.40208333333333335</v>
      </c>
      <c r="T40" s="63">
        <v>0.47291666666666665</v>
      </c>
      <c r="U40" s="405">
        <f t="shared" si="30"/>
        <v>7.9999999999999716</v>
      </c>
      <c r="V40" s="413">
        <f t="shared" si="29"/>
        <v>101.99999999999996</v>
      </c>
      <c r="W40" s="64"/>
      <c r="X40" s="64"/>
      <c r="Y40" s="559"/>
      <c r="Z40" s="559"/>
      <c r="AA40" s="61">
        <f t="shared" si="8"/>
        <v>-100.58823529411666</v>
      </c>
      <c r="AB40" s="406">
        <f t="shared" si="9"/>
        <v>0.95808823529411802</v>
      </c>
      <c r="AC40" s="566"/>
    </row>
    <row r="41" spans="1:29">
      <c r="A41" s="583" t="s">
        <v>1900</v>
      </c>
      <c r="B41" s="57" t="s">
        <v>15</v>
      </c>
      <c r="C41" s="560" t="s">
        <v>16</v>
      </c>
      <c r="D41" s="560"/>
      <c r="E41" s="57">
        <v>24.45</v>
      </c>
      <c r="F41" s="414">
        <v>2525</v>
      </c>
      <c r="G41" s="405">
        <f t="shared" si="27"/>
        <v>61736.25</v>
      </c>
      <c r="H41" s="416" t="s">
        <v>5</v>
      </c>
      <c r="I41" s="412">
        <v>20</v>
      </c>
      <c r="J41" s="58">
        <v>2400</v>
      </c>
      <c r="K41" s="59">
        <f t="shared" si="1"/>
        <v>120</v>
      </c>
      <c r="L41" s="412">
        <v>20</v>
      </c>
      <c r="M41" s="60">
        <f t="shared" si="28"/>
        <v>2295.4545454545482</v>
      </c>
      <c r="N41" s="59">
        <f t="shared" si="3"/>
        <v>114.77272727272741</v>
      </c>
      <c r="O41" s="61">
        <f t="shared" si="4"/>
        <v>0</v>
      </c>
      <c r="P41" s="62">
        <f t="shared" si="5"/>
        <v>-5.2272727272725916</v>
      </c>
      <c r="Q41" s="406">
        <f t="shared" si="6"/>
        <v>0.95643939393939503</v>
      </c>
      <c r="R41" s="566"/>
      <c r="S41" s="63">
        <v>0.47638888888888886</v>
      </c>
      <c r="T41" s="63">
        <v>0.52222222222222214</v>
      </c>
      <c r="U41" s="405">
        <f t="shared" si="30"/>
        <v>4.9999999999999822</v>
      </c>
      <c r="V41" s="413">
        <f t="shared" si="29"/>
        <v>65.999999999999929</v>
      </c>
      <c r="W41" s="64">
        <f>T41</f>
        <v>0.52222222222222214</v>
      </c>
      <c r="X41" s="64">
        <f>S42</f>
        <v>0.56111111111111101</v>
      </c>
      <c r="Y41" s="559"/>
      <c r="Z41" s="559"/>
      <c r="AA41" s="61">
        <f t="shared" si="8"/>
        <v>-104.54545454545178</v>
      </c>
      <c r="AB41" s="406">
        <f t="shared" si="9"/>
        <v>0.95643939393939514</v>
      </c>
      <c r="AC41" s="566"/>
    </row>
    <row r="42" spans="1:29">
      <c r="A42" s="583" t="s">
        <v>1900</v>
      </c>
      <c r="B42" s="57" t="s">
        <v>15</v>
      </c>
      <c r="C42" s="560" t="s">
        <v>23</v>
      </c>
      <c r="D42" s="560"/>
      <c r="E42" s="57">
        <v>26.2</v>
      </c>
      <c r="F42" s="414">
        <v>2046</v>
      </c>
      <c r="G42" s="405">
        <f t="shared" si="27"/>
        <v>53605.2</v>
      </c>
      <c r="H42" s="416" t="s">
        <v>5</v>
      </c>
      <c r="I42" s="412">
        <v>20</v>
      </c>
      <c r="J42" s="58">
        <v>2400</v>
      </c>
      <c r="K42" s="59">
        <f t="shared" si="1"/>
        <v>120</v>
      </c>
      <c r="L42" s="412">
        <v>20</v>
      </c>
      <c r="M42" s="60">
        <f t="shared" si="28"/>
        <v>2316.2264150943411</v>
      </c>
      <c r="N42" s="59">
        <f t="shared" si="3"/>
        <v>115.81132075471706</v>
      </c>
      <c r="O42" s="61">
        <f t="shared" si="4"/>
        <v>0</v>
      </c>
      <c r="P42" s="62">
        <f t="shared" si="5"/>
        <v>-4.1886792452829411</v>
      </c>
      <c r="Q42" s="406">
        <f t="shared" si="6"/>
        <v>0.96509433962264213</v>
      </c>
      <c r="R42" s="566"/>
      <c r="S42" s="63">
        <v>0.56111111111111101</v>
      </c>
      <c r="T42" s="63">
        <v>0.59791666666666654</v>
      </c>
      <c r="U42" s="405">
        <f t="shared" si="30"/>
        <v>55.999999999999957</v>
      </c>
      <c r="V42" s="413">
        <f t="shared" si="29"/>
        <v>52.999999999999972</v>
      </c>
      <c r="W42" s="64"/>
      <c r="X42" s="64"/>
      <c r="Y42" s="569"/>
      <c r="Z42" s="570"/>
      <c r="AA42" s="61">
        <f t="shared" si="8"/>
        <v>-83.773584905658936</v>
      </c>
      <c r="AB42" s="406">
        <f t="shared" si="9"/>
        <v>0.96509433962264213</v>
      </c>
      <c r="AC42" s="566"/>
    </row>
    <row r="43" spans="1:29">
      <c r="A43" s="583" t="s">
        <v>1900</v>
      </c>
      <c r="B43" s="66" t="s">
        <v>1893</v>
      </c>
      <c r="C43" s="571"/>
      <c r="D43" s="571"/>
      <c r="E43" s="411"/>
      <c r="F43" s="66"/>
      <c r="G43" s="59"/>
      <c r="H43" s="414"/>
      <c r="I43" s="67">
        <v>18</v>
      </c>
      <c r="J43" s="58">
        <v>2400</v>
      </c>
      <c r="K43" s="59">
        <f t="shared" si="1"/>
        <v>133.33333333333334</v>
      </c>
      <c r="L43" s="67">
        <v>18</v>
      </c>
      <c r="M43" s="60">
        <f>AVERAGE(M36:M42)</f>
        <v>2301.4870881389038</v>
      </c>
      <c r="N43" s="59">
        <f t="shared" si="3"/>
        <v>127.86039378549465</v>
      </c>
      <c r="O43" s="61">
        <f t="shared" si="4"/>
        <v>0</v>
      </c>
      <c r="P43" s="62">
        <f t="shared" si="5"/>
        <v>-5.472939547838692</v>
      </c>
      <c r="Q43" s="406">
        <f t="shared" si="6"/>
        <v>0.95895295339120978</v>
      </c>
      <c r="R43" s="566"/>
      <c r="S43" s="63"/>
      <c r="T43" s="63"/>
      <c r="U43" s="59"/>
      <c r="V43" s="413"/>
      <c r="W43" s="59"/>
      <c r="X43" s="59"/>
      <c r="Y43" s="559"/>
      <c r="Z43" s="559"/>
      <c r="AA43" s="61">
        <f t="shared" si="8"/>
        <v>-98.5129118610962</v>
      </c>
      <c r="AB43" s="406">
        <f t="shared" si="9"/>
        <v>0.95895295339120989</v>
      </c>
      <c r="AC43" s="566"/>
    </row>
    <row r="44" spans="1:29" ht="15.75" customHeight="1">
      <c r="A44" s="576" t="s">
        <v>1901</v>
      </c>
      <c r="B44" s="57" t="s">
        <v>31</v>
      </c>
      <c r="C44" s="567" t="s">
        <v>32</v>
      </c>
      <c r="D44" s="568"/>
      <c r="E44" s="57">
        <v>21.13</v>
      </c>
      <c r="F44" s="414">
        <v>4212</v>
      </c>
      <c r="G44" s="405">
        <f t="shared" ref="G44:G50" si="31">E44*F44</f>
        <v>88999.56</v>
      </c>
      <c r="H44" s="416" t="s">
        <v>5</v>
      </c>
      <c r="I44" s="412">
        <v>10</v>
      </c>
      <c r="J44" s="58">
        <v>3000</v>
      </c>
      <c r="K44" s="59">
        <f t="shared" si="1"/>
        <v>300</v>
      </c>
      <c r="L44" s="412">
        <v>10</v>
      </c>
      <c r="M44" s="60">
        <f t="shared" ref="M44:M50" si="32">F44/V44*60</f>
        <v>2871.8181818181824</v>
      </c>
      <c r="N44" s="60">
        <f t="shared" si="3"/>
        <v>287.18181818181824</v>
      </c>
      <c r="O44" s="61">
        <f t="shared" si="4"/>
        <v>0</v>
      </c>
      <c r="P44" s="62">
        <f t="shared" si="5"/>
        <v>-12.818181818181756</v>
      </c>
      <c r="Q44" s="406">
        <f t="shared" si="6"/>
        <v>0.9572727272727275</v>
      </c>
      <c r="R44" s="579">
        <f>Q51</f>
        <v>0.95942823292770363</v>
      </c>
      <c r="S44" s="63">
        <v>8.3333333333333329E-2</v>
      </c>
      <c r="T44" s="63">
        <v>0.14444444444444443</v>
      </c>
      <c r="U44" s="68"/>
      <c r="V44" s="413">
        <f t="shared" ref="V44:V50" si="33">(T44-S44)*24*60</f>
        <v>87.999999999999986</v>
      </c>
      <c r="W44" s="64">
        <f>T44</f>
        <v>0.14444444444444443</v>
      </c>
      <c r="X44" s="64">
        <f>S45</f>
        <v>0.16388888888888886</v>
      </c>
      <c r="Y44" s="569"/>
      <c r="Z44" s="570"/>
      <c r="AA44" s="61">
        <f t="shared" si="8"/>
        <v>-128.18181818181756</v>
      </c>
      <c r="AB44" s="406">
        <f t="shared" si="9"/>
        <v>0.9572727272727275</v>
      </c>
      <c r="AC44" s="579">
        <f>AB51</f>
        <v>0.95942823292770374</v>
      </c>
    </row>
    <row r="45" spans="1:29" ht="15.75" customHeight="1">
      <c r="A45" s="577" t="s">
        <v>1901</v>
      </c>
      <c r="B45" s="57" t="s">
        <v>31</v>
      </c>
      <c r="C45" s="567" t="s">
        <v>33</v>
      </c>
      <c r="D45" s="568"/>
      <c r="E45" s="57">
        <v>27.17</v>
      </c>
      <c r="F45" s="414">
        <v>5672</v>
      </c>
      <c r="G45" s="405">
        <f t="shared" si="31"/>
        <v>154108.24000000002</v>
      </c>
      <c r="H45" s="416" t="s">
        <v>5</v>
      </c>
      <c r="I45" s="412">
        <v>10</v>
      </c>
      <c r="J45" s="58">
        <v>3000</v>
      </c>
      <c r="K45" s="59">
        <f t="shared" si="1"/>
        <v>300</v>
      </c>
      <c r="L45" s="412">
        <v>10</v>
      </c>
      <c r="M45" s="60">
        <f t="shared" si="32"/>
        <v>2859.8319327731097</v>
      </c>
      <c r="N45" s="60">
        <f t="shared" si="3"/>
        <v>285.98319327731099</v>
      </c>
      <c r="O45" s="61">
        <f t="shared" si="4"/>
        <v>0</v>
      </c>
      <c r="P45" s="62">
        <f t="shared" si="5"/>
        <v>-14.016806722689012</v>
      </c>
      <c r="Q45" s="406">
        <f t="shared" si="6"/>
        <v>0.95327731092436996</v>
      </c>
      <c r="R45" s="580"/>
      <c r="S45" s="63">
        <v>0.16388888888888886</v>
      </c>
      <c r="T45" s="63">
        <v>0.24652777777777773</v>
      </c>
      <c r="U45" s="405">
        <f t="shared" ref="U45:U50" si="34">(S45-T44)*24*60</f>
        <v>27.999999999999979</v>
      </c>
      <c r="V45" s="413">
        <f t="shared" si="33"/>
        <v>118.99999999999997</v>
      </c>
      <c r="W45" s="64"/>
      <c r="X45" s="64"/>
      <c r="Y45" s="569"/>
      <c r="Z45" s="570"/>
      <c r="AA45" s="61">
        <f t="shared" si="8"/>
        <v>-140.16806722689034</v>
      </c>
      <c r="AB45" s="406">
        <f t="shared" si="9"/>
        <v>0.95327731092436985</v>
      </c>
      <c r="AC45" s="580"/>
    </row>
    <row r="46" spans="1:29" ht="15.75" customHeight="1">
      <c r="A46" s="577" t="s">
        <v>1901</v>
      </c>
      <c r="B46" s="57" t="s">
        <v>31</v>
      </c>
      <c r="C46" s="567" t="s">
        <v>36</v>
      </c>
      <c r="D46" s="568"/>
      <c r="E46" s="57">
        <v>36.14</v>
      </c>
      <c r="F46" s="414">
        <v>1088</v>
      </c>
      <c r="G46" s="405">
        <f t="shared" si="31"/>
        <v>39320.32</v>
      </c>
      <c r="H46" s="416" t="s">
        <v>5</v>
      </c>
      <c r="I46" s="412">
        <v>9</v>
      </c>
      <c r="J46" s="58">
        <v>3000</v>
      </c>
      <c r="K46" s="59">
        <f t="shared" si="1"/>
        <v>333.33333333333331</v>
      </c>
      <c r="L46" s="412">
        <v>9</v>
      </c>
      <c r="M46" s="60">
        <f t="shared" si="32"/>
        <v>2967.272727272727</v>
      </c>
      <c r="N46" s="60">
        <f t="shared" si="3"/>
        <v>329.69696969696969</v>
      </c>
      <c r="O46" s="61">
        <f t="shared" si="4"/>
        <v>0</v>
      </c>
      <c r="P46" s="62">
        <f t="shared" si="5"/>
        <v>-3.636363636363626</v>
      </c>
      <c r="Q46" s="406">
        <f t="shared" si="6"/>
        <v>0.98909090909090913</v>
      </c>
      <c r="R46" s="580"/>
      <c r="S46" s="63">
        <v>0.25138888888888883</v>
      </c>
      <c r="T46" s="63">
        <v>0.26666666666666661</v>
      </c>
      <c r="U46" s="405">
        <f t="shared" si="34"/>
        <v>6.9999999999999751</v>
      </c>
      <c r="V46" s="413">
        <f t="shared" si="33"/>
        <v>22</v>
      </c>
      <c r="W46" s="64"/>
      <c r="X46" s="64"/>
      <c r="Y46" s="569"/>
      <c r="Z46" s="570"/>
      <c r="AA46" s="61">
        <f t="shared" si="8"/>
        <v>-32.727272727272975</v>
      </c>
      <c r="AB46" s="406">
        <f t="shared" si="9"/>
        <v>0.98909090909090902</v>
      </c>
      <c r="AC46" s="580"/>
    </row>
    <row r="47" spans="1:29" ht="15.75" customHeight="1">
      <c r="A47" s="577" t="s">
        <v>1901</v>
      </c>
      <c r="B47" s="57" t="s">
        <v>31</v>
      </c>
      <c r="C47" s="567" t="s">
        <v>34</v>
      </c>
      <c r="D47" s="568"/>
      <c r="E47" s="57">
        <v>35.119999999999997</v>
      </c>
      <c r="F47" s="414">
        <v>3518</v>
      </c>
      <c r="G47" s="405">
        <f t="shared" si="31"/>
        <v>123552.15999999999</v>
      </c>
      <c r="H47" s="416" t="s">
        <v>5</v>
      </c>
      <c r="I47" s="412">
        <v>10</v>
      </c>
      <c r="J47" s="58">
        <v>3000</v>
      </c>
      <c r="K47" s="59">
        <f t="shared" si="1"/>
        <v>300</v>
      </c>
      <c r="L47" s="412">
        <v>10</v>
      </c>
      <c r="M47" s="60">
        <f t="shared" si="32"/>
        <v>2852.4324324324339</v>
      </c>
      <c r="N47" s="60">
        <f t="shared" si="3"/>
        <v>285.2432432432434</v>
      </c>
      <c r="O47" s="61">
        <f t="shared" si="4"/>
        <v>0</v>
      </c>
      <c r="P47" s="62">
        <f t="shared" si="5"/>
        <v>-14.756756756756602</v>
      </c>
      <c r="Q47" s="406">
        <f t="shared" si="6"/>
        <v>0.95081081081081131</v>
      </c>
      <c r="R47" s="580"/>
      <c r="S47" s="63">
        <v>0.27222222222222214</v>
      </c>
      <c r="T47" s="63">
        <v>0.32361111111111102</v>
      </c>
      <c r="U47" s="405">
        <f t="shared" si="34"/>
        <v>7.9999999999999716</v>
      </c>
      <c r="V47" s="413">
        <f t="shared" si="33"/>
        <v>73.999999999999972</v>
      </c>
      <c r="W47" s="64"/>
      <c r="X47" s="64"/>
      <c r="Y47" s="569"/>
      <c r="Z47" s="570"/>
      <c r="AA47" s="61">
        <f t="shared" si="8"/>
        <v>-147.56756756756613</v>
      </c>
      <c r="AB47" s="406">
        <f t="shared" si="9"/>
        <v>0.95081081081081131</v>
      </c>
      <c r="AC47" s="580"/>
    </row>
    <row r="48" spans="1:29" ht="15.75" customHeight="1">
      <c r="A48" s="577" t="s">
        <v>1901</v>
      </c>
      <c r="B48" s="57" t="s">
        <v>31</v>
      </c>
      <c r="C48" s="567" t="s">
        <v>71</v>
      </c>
      <c r="D48" s="568"/>
      <c r="E48" s="57">
        <v>31</v>
      </c>
      <c r="F48" s="414">
        <v>1751</v>
      </c>
      <c r="G48" s="405">
        <f t="shared" si="31"/>
        <v>54281</v>
      </c>
      <c r="H48" s="416" t="s">
        <v>5</v>
      </c>
      <c r="I48" s="412">
        <v>13</v>
      </c>
      <c r="J48" s="58">
        <v>2000</v>
      </c>
      <c r="K48" s="59">
        <f t="shared" si="1"/>
        <v>153.84615384615384</v>
      </c>
      <c r="L48" s="412">
        <v>13</v>
      </c>
      <c r="M48" s="60">
        <f t="shared" si="32"/>
        <v>1910.1818181818194</v>
      </c>
      <c r="N48" s="60">
        <f t="shared" si="3"/>
        <v>146.93706293706302</v>
      </c>
      <c r="O48" s="61">
        <f t="shared" si="4"/>
        <v>0</v>
      </c>
      <c r="P48" s="62">
        <f t="shared" si="5"/>
        <v>-6.9090909090908212</v>
      </c>
      <c r="Q48" s="406">
        <f t="shared" si="6"/>
        <v>0.95509090909090966</v>
      </c>
      <c r="R48" s="580"/>
      <c r="S48" s="63">
        <v>0.32777777777777767</v>
      </c>
      <c r="T48" s="63">
        <v>0.36597222222222209</v>
      </c>
      <c r="U48" s="405">
        <f t="shared" si="34"/>
        <v>5.9999999999999787</v>
      </c>
      <c r="V48" s="413">
        <f t="shared" si="33"/>
        <v>54.999999999999964</v>
      </c>
      <c r="W48" s="64"/>
      <c r="X48" s="64"/>
      <c r="Y48" s="569"/>
      <c r="Z48" s="570"/>
      <c r="AA48" s="61">
        <f t="shared" si="8"/>
        <v>-89.818181818180619</v>
      </c>
      <c r="AB48" s="406">
        <f t="shared" si="9"/>
        <v>0.95509090909090966</v>
      </c>
      <c r="AC48" s="580"/>
    </row>
    <row r="49" spans="1:29" ht="15.75" customHeight="1">
      <c r="A49" s="577" t="s">
        <v>1901</v>
      </c>
      <c r="B49" s="57" t="s">
        <v>31</v>
      </c>
      <c r="C49" s="567" t="s">
        <v>659</v>
      </c>
      <c r="D49" s="568"/>
      <c r="E49" s="57">
        <v>37.880000000000003</v>
      </c>
      <c r="F49" s="414">
        <v>1875</v>
      </c>
      <c r="G49" s="405">
        <f t="shared" si="31"/>
        <v>71025</v>
      </c>
      <c r="H49" s="416" t="s">
        <v>5</v>
      </c>
      <c r="I49" s="412">
        <v>14</v>
      </c>
      <c r="J49" s="58">
        <v>2000</v>
      </c>
      <c r="K49" s="59">
        <f t="shared" si="1"/>
        <v>142.85714285714286</v>
      </c>
      <c r="L49" s="412">
        <v>14</v>
      </c>
      <c r="M49" s="60">
        <f t="shared" si="32"/>
        <v>1906.7796610169482</v>
      </c>
      <c r="N49" s="60">
        <f t="shared" si="3"/>
        <v>136.19854721549629</v>
      </c>
      <c r="O49" s="61">
        <f t="shared" si="4"/>
        <v>0</v>
      </c>
      <c r="P49" s="62">
        <f t="shared" si="5"/>
        <v>-6.6585956416465706</v>
      </c>
      <c r="Q49" s="406">
        <f t="shared" si="6"/>
        <v>0.95338983050847403</v>
      </c>
      <c r="R49" s="580"/>
      <c r="S49" s="63">
        <v>0.37013888888888874</v>
      </c>
      <c r="T49" s="63">
        <v>0.41111111111111098</v>
      </c>
      <c r="U49" s="405">
        <f t="shared" si="34"/>
        <v>5.9999999999999787</v>
      </c>
      <c r="V49" s="413">
        <f t="shared" si="33"/>
        <v>59.000000000000028</v>
      </c>
      <c r="W49" s="64"/>
      <c r="X49" s="64"/>
      <c r="Y49" s="569"/>
      <c r="Z49" s="570"/>
      <c r="AA49" s="61">
        <f t="shared" si="8"/>
        <v>-93.220338983051761</v>
      </c>
      <c r="AB49" s="406">
        <f t="shared" si="9"/>
        <v>0.95338983050847415</v>
      </c>
      <c r="AC49" s="580"/>
    </row>
    <row r="50" spans="1:29" ht="15.75" customHeight="1">
      <c r="A50" s="577" t="s">
        <v>1901</v>
      </c>
      <c r="B50" s="57" t="s">
        <v>31</v>
      </c>
      <c r="C50" s="567" t="s">
        <v>1778</v>
      </c>
      <c r="D50" s="568"/>
      <c r="E50" s="57">
        <v>30.6</v>
      </c>
      <c r="F50" s="414">
        <v>5817</v>
      </c>
      <c r="G50" s="405">
        <f t="shared" si="31"/>
        <v>178000.2</v>
      </c>
      <c r="H50" s="416" t="s">
        <v>5</v>
      </c>
      <c r="I50" s="412">
        <v>11</v>
      </c>
      <c r="J50" s="58">
        <v>3000</v>
      </c>
      <c r="K50" s="59">
        <f t="shared" si="1"/>
        <v>272.72727272727275</v>
      </c>
      <c r="L50" s="412">
        <v>11</v>
      </c>
      <c r="M50" s="60">
        <f t="shared" si="32"/>
        <v>2860.8196721311483</v>
      </c>
      <c r="N50" s="60">
        <f t="shared" si="3"/>
        <v>260.07451564828619</v>
      </c>
      <c r="O50" s="61">
        <f t="shared" si="4"/>
        <v>0</v>
      </c>
      <c r="P50" s="62">
        <f t="shared" si="5"/>
        <v>-12.652757078986554</v>
      </c>
      <c r="Q50" s="406">
        <f t="shared" si="6"/>
        <v>0.95360655737704936</v>
      </c>
      <c r="R50" s="580"/>
      <c r="S50" s="63">
        <v>0.41458333333333319</v>
      </c>
      <c r="T50" s="63">
        <v>0.49930555555555539</v>
      </c>
      <c r="U50" s="405">
        <f t="shared" si="34"/>
        <v>4.9999999999999822</v>
      </c>
      <c r="V50" s="413">
        <f t="shared" si="33"/>
        <v>121.99999999999997</v>
      </c>
      <c r="W50" s="64"/>
      <c r="X50" s="64"/>
      <c r="Y50" s="569"/>
      <c r="Z50" s="570"/>
      <c r="AA50" s="61">
        <f t="shared" si="8"/>
        <v>-139.18032786885169</v>
      </c>
      <c r="AB50" s="406">
        <f t="shared" si="9"/>
        <v>0.95360655737704947</v>
      </c>
      <c r="AC50" s="580"/>
    </row>
    <row r="51" spans="1:29" ht="15.75" customHeight="1">
      <c r="A51" s="578" t="s">
        <v>1901</v>
      </c>
      <c r="B51" s="57" t="s">
        <v>1893</v>
      </c>
      <c r="C51" s="561"/>
      <c r="D51" s="562"/>
      <c r="E51" s="404"/>
      <c r="F51" s="414"/>
      <c r="G51" s="405"/>
      <c r="H51" s="414"/>
      <c r="I51" s="67">
        <v>11</v>
      </c>
      <c r="J51" s="58">
        <v>2714.2857142857142</v>
      </c>
      <c r="K51" s="59">
        <f t="shared" si="1"/>
        <v>246.75324675324674</v>
      </c>
      <c r="L51" s="67">
        <v>11</v>
      </c>
      <c r="M51" s="60">
        <f>AVERAGE(M44:M50)</f>
        <v>2604.1623465180528</v>
      </c>
      <c r="N51" s="59">
        <f t="shared" si="3"/>
        <v>236.74203150164115</v>
      </c>
      <c r="O51" s="61">
        <f t="shared" si="4"/>
        <v>0</v>
      </c>
      <c r="P51" s="62">
        <f t="shared" si="5"/>
        <v>-10.011215251605591</v>
      </c>
      <c r="Q51" s="406">
        <f t="shared" si="6"/>
        <v>0.95942823292770363</v>
      </c>
      <c r="R51" s="581"/>
      <c r="S51" s="63"/>
      <c r="T51" s="63"/>
      <c r="U51" s="405"/>
      <c r="V51" s="413"/>
      <c r="W51" s="64"/>
      <c r="X51" s="64"/>
      <c r="Y51" s="569"/>
      <c r="Z51" s="570"/>
      <c r="AA51" s="61">
        <f t="shared" si="8"/>
        <v>-110.12336776766142</v>
      </c>
      <c r="AB51" s="406">
        <f t="shared" si="9"/>
        <v>0.95942823292770374</v>
      </c>
      <c r="AC51" s="581"/>
    </row>
    <row r="52" spans="1:29" ht="15.75" customHeight="1">
      <c r="A52" s="574" t="s">
        <v>1902</v>
      </c>
      <c r="B52" s="57" t="s">
        <v>10</v>
      </c>
      <c r="C52" s="560" t="s">
        <v>37</v>
      </c>
      <c r="D52" s="560"/>
      <c r="E52" s="57">
        <v>46</v>
      </c>
      <c r="F52" s="69">
        <v>1774</v>
      </c>
      <c r="G52" s="405">
        <f t="shared" ref="G52:G58" si="35">E52*F52</f>
        <v>81604</v>
      </c>
      <c r="H52" s="416" t="s">
        <v>5</v>
      </c>
      <c r="I52" s="412">
        <v>17</v>
      </c>
      <c r="J52" s="58">
        <v>2000</v>
      </c>
      <c r="K52" s="59">
        <f t="shared" si="1"/>
        <v>117.64705882352941</v>
      </c>
      <c r="L52" s="412">
        <v>17</v>
      </c>
      <c r="M52" s="60">
        <f t="shared" ref="M52:M58" si="36">F52/V52*60</f>
        <v>1935.272727272727</v>
      </c>
      <c r="N52" s="60">
        <f t="shared" si="3"/>
        <v>113.83957219251336</v>
      </c>
      <c r="O52" s="61">
        <f t="shared" si="4"/>
        <v>0</v>
      </c>
      <c r="P52" s="62">
        <f t="shared" si="5"/>
        <v>-3.8074866310160473</v>
      </c>
      <c r="Q52" s="406">
        <f t="shared" si="6"/>
        <v>0.96763636363636363</v>
      </c>
      <c r="R52" s="566">
        <f>Q59</f>
        <v>0.87890505097924154</v>
      </c>
      <c r="S52" s="63">
        <v>0.20833333333333334</v>
      </c>
      <c r="T52" s="63">
        <v>0.24652777777777779</v>
      </c>
      <c r="U52" s="68"/>
      <c r="V52" s="413">
        <f t="shared" ref="V52:V58" si="37">(T52-S52)*24*60</f>
        <v>55.000000000000007</v>
      </c>
      <c r="W52" s="68"/>
      <c r="X52" s="68"/>
      <c r="Y52" s="559"/>
      <c r="Z52" s="559"/>
      <c r="AA52" s="61">
        <f t="shared" si="8"/>
        <v>-64.727272727272975</v>
      </c>
      <c r="AB52" s="406">
        <f t="shared" si="9"/>
        <v>0.96763636363636352</v>
      </c>
      <c r="AC52" s="566">
        <f>AB59</f>
        <v>0.87890505097924165</v>
      </c>
    </row>
    <row r="53" spans="1:29" ht="15.75" customHeight="1">
      <c r="A53" s="574" t="s">
        <v>1902</v>
      </c>
      <c r="B53" s="57" t="s">
        <v>10</v>
      </c>
      <c r="C53" s="560" t="s">
        <v>38</v>
      </c>
      <c r="D53" s="560"/>
      <c r="E53" s="57">
        <v>46</v>
      </c>
      <c r="F53" s="69">
        <v>1885</v>
      </c>
      <c r="G53" s="405">
        <f t="shared" si="35"/>
        <v>86710</v>
      </c>
      <c r="H53" s="416" t="s">
        <v>5</v>
      </c>
      <c r="I53" s="412">
        <v>17</v>
      </c>
      <c r="J53" s="58">
        <v>2000</v>
      </c>
      <c r="K53" s="59">
        <f t="shared" si="1"/>
        <v>117.64705882352941</v>
      </c>
      <c r="L53" s="412">
        <v>17</v>
      </c>
      <c r="M53" s="60">
        <f t="shared" si="36"/>
        <v>1916.9491525423718</v>
      </c>
      <c r="N53" s="60">
        <f t="shared" si="3"/>
        <v>112.76171485543364</v>
      </c>
      <c r="O53" s="61">
        <f t="shared" si="4"/>
        <v>0</v>
      </c>
      <c r="P53" s="62">
        <f t="shared" si="5"/>
        <v>-4.8853439680957678</v>
      </c>
      <c r="Q53" s="406">
        <f t="shared" si="6"/>
        <v>0.95847457627118593</v>
      </c>
      <c r="R53" s="566"/>
      <c r="S53" s="63">
        <v>0.25138888888888888</v>
      </c>
      <c r="T53" s="63">
        <v>0.29236111111111113</v>
      </c>
      <c r="U53" s="405">
        <f t="shared" ref="U53:U58" si="38">IF(S53=TIME(17,0,0),"",(S53-T52)*24*60)</f>
        <v>6.9999999999999751</v>
      </c>
      <c r="V53" s="413">
        <f t="shared" si="37"/>
        <v>59.000000000000028</v>
      </c>
      <c r="W53" s="64"/>
      <c r="X53" s="64"/>
      <c r="Y53" s="559"/>
      <c r="Z53" s="559"/>
      <c r="AA53" s="61">
        <f t="shared" si="8"/>
        <v>-83.050847457628151</v>
      </c>
      <c r="AB53" s="406">
        <f t="shared" si="9"/>
        <v>0.95847457627118593</v>
      </c>
      <c r="AC53" s="566"/>
    </row>
    <row r="54" spans="1:29" ht="15.75" customHeight="1">
      <c r="A54" s="574" t="s">
        <v>1902</v>
      </c>
      <c r="B54" s="57" t="s">
        <v>6</v>
      </c>
      <c r="C54" s="567" t="s">
        <v>1181</v>
      </c>
      <c r="D54" s="568"/>
      <c r="E54" s="57">
        <v>51.86</v>
      </c>
      <c r="F54" s="69">
        <v>1271</v>
      </c>
      <c r="G54" s="405">
        <f t="shared" si="35"/>
        <v>65914.06</v>
      </c>
      <c r="H54" s="416" t="s">
        <v>5</v>
      </c>
      <c r="I54" s="412">
        <v>25</v>
      </c>
      <c r="J54" s="58">
        <v>2000</v>
      </c>
      <c r="K54" s="59">
        <f t="shared" si="1"/>
        <v>80</v>
      </c>
      <c r="L54" s="412">
        <v>25</v>
      </c>
      <c r="M54" s="60">
        <f t="shared" si="36"/>
        <v>1250.1639344262289</v>
      </c>
      <c r="N54" s="60">
        <f t="shared" si="3"/>
        <v>50.006557377049155</v>
      </c>
      <c r="O54" s="61">
        <f t="shared" si="4"/>
        <v>0</v>
      </c>
      <c r="P54" s="62">
        <f t="shared" si="5"/>
        <v>-29.993442622950845</v>
      </c>
      <c r="Q54" s="406">
        <f t="shared" si="6"/>
        <v>0.62508196721311449</v>
      </c>
      <c r="R54" s="566"/>
      <c r="S54" s="63">
        <v>0.29583333333333334</v>
      </c>
      <c r="T54" s="63">
        <v>0.33819444444444446</v>
      </c>
      <c r="U54" s="405">
        <f t="shared" si="38"/>
        <v>4.9999999999999822</v>
      </c>
      <c r="V54" s="413">
        <f t="shared" si="37"/>
        <v>61.000000000000021</v>
      </c>
      <c r="W54" s="64"/>
      <c r="X54" s="64"/>
      <c r="Y54" s="409"/>
      <c r="Z54" s="410"/>
      <c r="AA54" s="61">
        <f t="shared" si="8"/>
        <v>-749.83606557377107</v>
      </c>
      <c r="AB54" s="406">
        <f t="shared" si="9"/>
        <v>0.62508196721311449</v>
      </c>
      <c r="AC54" s="566"/>
    </row>
    <row r="55" spans="1:29" ht="15.75" customHeight="1">
      <c r="A55" s="574" t="s">
        <v>1902</v>
      </c>
      <c r="B55" s="57" t="s">
        <v>6</v>
      </c>
      <c r="C55" s="407" t="s">
        <v>1182</v>
      </c>
      <c r="D55" s="408"/>
      <c r="E55" s="57">
        <v>56.43</v>
      </c>
      <c r="F55" s="69">
        <v>2079</v>
      </c>
      <c r="G55" s="405">
        <f t="shared" si="35"/>
        <v>117317.97</v>
      </c>
      <c r="H55" s="416" t="s">
        <v>5</v>
      </c>
      <c r="I55" s="412">
        <v>22</v>
      </c>
      <c r="J55" s="58">
        <v>2000</v>
      </c>
      <c r="K55" s="59">
        <f t="shared" si="1"/>
        <v>90.909090909090907</v>
      </c>
      <c r="L55" s="412">
        <v>22</v>
      </c>
      <c r="M55" s="60">
        <f t="shared" si="36"/>
        <v>1433.7931034482758</v>
      </c>
      <c r="N55" s="60">
        <f t="shared" si="3"/>
        <v>65.172413793103445</v>
      </c>
      <c r="O55" s="61">
        <f t="shared" si="4"/>
        <v>0</v>
      </c>
      <c r="P55" s="62">
        <f t="shared" si="5"/>
        <v>-25.736677115987462</v>
      </c>
      <c r="Q55" s="406">
        <f t="shared" si="6"/>
        <v>0.71689655172413791</v>
      </c>
      <c r="R55" s="566"/>
      <c r="S55" s="63">
        <v>0.34166666666666667</v>
      </c>
      <c r="T55" s="63">
        <v>0.40208333333333335</v>
      </c>
      <c r="U55" s="405">
        <f t="shared" si="38"/>
        <v>4.9999999999999822</v>
      </c>
      <c r="V55" s="413">
        <f t="shared" si="37"/>
        <v>87.000000000000014</v>
      </c>
      <c r="W55" s="64"/>
      <c r="X55" s="64"/>
      <c r="Y55" s="409"/>
      <c r="Z55" s="410"/>
      <c r="AA55" s="61">
        <f t="shared" si="8"/>
        <v>-566.20689655172418</v>
      </c>
      <c r="AB55" s="406">
        <f t="shared" si="9"/>
        <v>0.71689655172413791</v>
      </c>
      <c r="AC55" s="566"/>
    </row>
    <row r="56" spans="1:29" ht="15.75" customHeight="1">
      <c r="A56" s="574" t="s">
        <v>1902</v>
      </c>
      <c r="B56" s="57" t="s">
        <v>6</v>
      </c>
      <c r="C56" s="407" t="s">
        <v>39</v>
      </c>
      <c r="D56" s="408"/>
      <c r="E56" s="57">
        <v>55.56</v>
      </c>
      <c r="F56" s="69">
        <v>1700</v>
      </c>
      <c r="G56" s="405">
        <f t="shared" si="35"/>
        <v>94452</v>
      </c>
      <c r="H56" s="416" t="s">
        <v>5</v>
      </c>
      <c r="I56" s="412">
        <v>17</v>
      </c>
      <c r="J56" s="58">
        <v>2000</v>
      </c>
      <c r="K56" s="59">
        <f t="shared" si="1"/>
        <v>117.64705882352941</v>
      </c>
      <c r="L56" s="412">
        <v>17</v>
      </c>
      <c r="M56" s="60">
        <f t="shared" si="36"/>
        <v>1924.5283018867935</v>
      </c>
      <c r="N56" s="60">
        <f t="shared" si="3"/>
        <v>113.20754716981139</v>
      </c>
      <c r="O56" s="61">
        <f t="shared" si="4"/>
        <v>0</v>
      </c>
      <c r="P56" s="62">
        <f t="shared" si="5"/>
        <v>-4.4395116537180144</v>
      </c>
      <c r="Q56" s="406">
        <f t="shared" si="6"/>
        <v>0.9622641509433969</v>
      </c>
      <c r="R56" s="566"/>
      <c r="S56" s="63">
        <v>0.70833333333333337</v>
      </c>
      <c r="T56" s="63">
        <v>0.74513888888888891</v>
      </c>
      <c r="U56" s="405" t="str">
        <f t="shared" si="38"/>
        <v/>
      </c>
      <c r="V56" s="413">
        <f t="shared" si="37"/>
        <v>52.999999999999972</v>
      </c>
      <c r="W56" s="64"/>
      <c r="X56" s="64"/>
      <c r="Y56" s="409"/>
      <c r="Z56" s="410"/>
      <c r="AA56" s="61">
        <f t="shared" si="8"/>
        <v>-75.471698113206457</v>
      </c>
      <c r="AB56" s="406">
        <f t="shared" si="9"/>
        <v>0.96226415094339679</v>
      </c>
      <c r="AC56" s="566"/>
    </row>
    <row r="57" spans="1:29" ht="15.75" customHeight="1">
      <c r="A57" s="574" t="s">
        <v>1902</v>
      </c>
      <c r="B57" s="57" t="s">
        <v>6</v>
      </c>
      <c r="C57" s="567" t="s">
        <v>40</v>
      </c>
      <c r="D57" s="568"/>
      <c r="E57" s="57">
        <v>55.32</v>
      </c>
      <c r="F57" s="69">
        <v>1240</v>
      </c>
      <c r="G57" s="405">
        <f t="shared" si="35"/>
        <v>68596.800000000003</v>
      </c>
      <c r="H57" s="416" t="s">
        <v>5</v>
      </c>
      <c r="I57" s="412">
        <v>15</v>
      </c>
      <c r="J57" s="58">
        <v>2000</v>
      </c>
      <c r="K57" s="59">
        <f t="shared" si="1"/>
        <v>133.33333333333334</v>
      </c>
      <c r="L57" s="412">
        <v>15</v>
      </c>
      <c r="M57" s="60">
        <f t="shared" si="36"/>
        <v>1907.6923076923067</v>
      </c>
      <c r="N57" s="60">
        <f t="shared" si="3"/>
        <v>127.17948717948711</v>
      </c>
      <c r="O57" s="61">
        <f t="shared" si="4"/>
        <v>0</v>
      </c>
      <c r="P57" s="62">
        <f t="shared" si="5"/>
        <v>-6.1538461538462315</v>
      </c>
      <c r="Q57" s="406">
        <f t="shared" si="6"/>
        <v>0.95384615384615323</v>
      </c>
      <c r="R57" s="566"/>
      <c r="S57" s="63">
        <v>0.75</v>
      </c>
      <c r="T57" s="63">
        <v>0.77708333333333335</v>
      </c>
      <c r="U57" s="405">
        <f t="shared" si="38"/>
        <v>6.9999999999999751</v>
      </c>
      <c r="V57" s="413">
        <f t="shared" si="37"/>
        <v>39.000000000000021</v>
      </c>
      <c r="W57" s="64"/>
      <c r="X57" s="64"/>
      <c r="Y57" s="569"/>
      <c r="Z57" s="570"/>
      <c r="AA57" s="61">
        <f t="shared" si="8"/>
        <v>-92.307692307693287</v>
      </c>
      <c r="AB57" s="406">
        <f t="shared" si="9"/>
        <v>0.95384615384615334</v>
      </c>
      <c r="AC57" s="566"/>
    </row>
    <row r="58" spans="1:29" ht="15.75" customHeight="1">
      <c r="A58" s="574" t="s">
        <v>1902</v>
      </c>
      <c r="B58" s="57" t="s">
        <v>6</v>
      </c>
      <c r="C58" s="567" t="s">
        <v>94</v>
      </c>
      <c r="D58" s="568"/>
      <c r="E58" s="57">
        <v>57.3</v>
      </c>
      <c r="F58" s="69">
        <v>1904</v>
      </c>
      <c r="G58" s="405">
        <f t="shared" si="35"/>
        <v>109099.2</v>
      </c>
      <c r="H58" s="416" t="s">
        <v>5</v>
      </c>
      <c r="I58" s="412">
        <v>13</v>
      </c>
      <c r="J58" s="58">
        <v>2000</v>
      </c>
      <c r="K58" s="59">
        <f t="shared" si="1"/>
        <v>153.84615384615384</v>
      </c>
      <c r="L58" s="412">
        <v>13</v>
      </c>
      <c r="M58" s="60">
        <f t="shared" si="36"/>
        <v>1936.2711864406797</v>
      </c>
      <c r="N58" s="60">
        <f t="shared" si="3"/>
        <v>148.94393741851383</v>
      </c>
      <c r="O58" s="61">
        <f t="shared" si="4"/>
        <v>0</v>
      </c>
      <c r="P58" s="62">
        <f t="shared" si="5"/>
        <v>-4.9022164276400133</v>
      </c>
      <c r="Q58" s="406">
        <f t="shared" si="6"/>
        <v>0.96813559322033993</v>
      </c>
      <c r="R58" s="566"/>
      <c r="S58" s="63">
        <v>0.78055555555555556</v>
      </c>
      <c r="T58" s="63">
        <v>0.82152777777777775</v>
      </c>
      <c r="U58" s="405">
        <f t="shared" si="38"/>
        <v>4.9999999999999822</v>
      </c>
      <c r="V58" s="413">
        <f t="shared" si="37"/>
        <v>58.99999999999995</v>
      </c>
      <c r="W58" s="64"/>
      <c r="X58" s="64"/>
      <c r="Y58" s="569"/>
      <c r="Z58" s="570"/>
      <c r="AA58" s="61">
        <f t="shared" si="8"/>
        <v>-63.728813559320315</v>
      </c>
      <c r="AB58" s="406">
        <f t="shared" si="9"/>
        <v>0.96813559322033982</v>
      </c>
      <c r="AC58" s="566"/>
    </row>
    <row r="59" spans="1:29">
      <c r="A59" s="575" t="s">
        <v>1902</v>
      </c>
      <c r="B59" s="57" t="s">
        <v>1893</v>
      </c>
      <c r="C59" s="571"/>
      <c r="D59" s="571"/>
      <c r="E59" s="411"/>
      <c r="F59" s="66"/>
      <c r="G59" s="59"/>
      <c r="H59" s="414"/>
      <c r="I59" s="67">
        <v>18</v>
      </c>
      <c r="J59" s="58">
        <v>2000</v>
      </c>
      <c r="K59" s="59">
        <f t="shared" si="1"/>
        <v>111.11111111111111</v>
      </c>
      <c r="L59" s="67">
        <v>18</v>
      </c>
      <c r="M59" s="60">
        <f>AVERAGE(M52:M58)</f>
        <v>1757.8101019584833</v>
      </c>
      <c r="N59" s="59">
        <f t="shared" si="3"/>
        <v>97.65611677547129</v>
      </c>
      <c r="O59" s="61">
        <f t="shared" si="4"/>
        <v>0</v>
      </c>
      <c r="P59" s="62">
        <f t="shared" si="5"/>
        <v>-13.454994335639824</v>
      </c>
      <c r="Q59" s="406">
        <f t="shared" si="6"/>
        <v>0.87890505097924154</v>
      </c>
      <c r="R59" s="566"/>
      <c r="S59" s="70"/>
      <c r="T59" s="63"/>
      <c r="U59" s="59"/>
      <c r="V59" s="413"/>
      <c r="W59" s="59"/>
      <c r="X59" s="59"/>
      <c r="Y59" s="559"/>
      <c r="Z59" s="559"/>
      <c r="AA59" s="61">
        <f t="shared" si="8"/>
        <v>-242.1898980415167</v>
      </c>
      <c r="AB59" s="406">
        <f t="shared" si="9"/>
        <v>0.87890505097924165</v>
      </c>
      <c r="AC59" s="566"/>
    </row>
    <row r="60" spans="1:29" ht="15.75" customHeight="1">
      <c r="A60" s="572" t="s">
        <v>1903</v>
      </c>
      <c r="B60" s="414" t="s">
        <v>10</v>
      </c>
      <c r="C60" s="560" t="s">
        <v>42</v>
      </c>
      <c r="D60" s="560"/>
      <c r="E60" s="57">
        <v>26.97</v>
      </c>
      <c r="F60" s="69">
        <v>2383</v>
      </c>
      <c r="G60" s="405">
        <f t="shared" ref="G60:G65" si="39">E60*F60</f>
        <v>64269.509999999995</v>
      </c>
      <c r="H60" s="416" t="s">
        <v>5</v>
      </c>
      <c r="I60" s="412">
        <v>8</v>
      </c>
      <c r="J60" s="58">
        <v>1500</v>
      </c>
      <c r="K60" s="59">
        <f t="shared" si="1"/>
        <v>187.5</v>
      </c>
      <c r="L60" s="412">
        <v>8</v>
      </c>
      <c r="M60" s="60">
        <f t="shared" ref="M60:M65" si="40">F60/V60*60</f>
        <v>1429.8</v>
      </c>
      <c r="N60" s="59">
        <f t="shared" si="3"/>
        <v>178.72499999999999</v>
      </c>
      <c r="O60" s="61">
        <f t="shared" si="4"/>
        <v>0</v>
      </c>
      <c r="P60" s="62">
        <f t="shared" si="5"/>
        <v>-8.7750000000000057</v>
      </c>
      <c r="Q60" s="406">
        <f t="shared" si="6"/>
        <v>0.95319999999999994</v>
      </c>
      <c r="R60" s="566">
        <f>Q66</f>
        <v>0.95778402281339103</v>
      </c>
      <c r="S60" s="63">
        <v>0.20833333333333334</v>
      </c>
      <c r="T60" s="63">
        <v>0.27777777777777779</v>
      </c>
      <c r="U60" s="405"/>
      <c r="V60" s="413">
        <f t="shared" ref="V60:V65" si="41">(T60-S60)*24*60</f>
        <v>100</v>
      </c>
      <c r="W60" s="68"/>
      <c r="X60" s="68"/>
      <c r="Y60" s="559"/>
      <c r="Z60" s="559"/>
      <c r="AA60" s="61">
        <f t="shared" si="8"/>
        <v>-70.200000000000045</v>
      </c>
      <c r="AB60" s="406">
        <f t="shared" si="9"/>
        <v>0.95319999999999994</v>
      </c>
      <c r="AC60" s="566">
        <f>AB66</f>
        <v>0.95778402281339103</v>
      </c>
    </row>
    <row r="61" spans="1:29" ht="15.75" customHeight="1">
      <c r="A61" s="572" t="s">
        <v>1903</v>
      </c>
      <c r="B61" s="414" t="s">
        <v>31</v>
      </c>
      <c r="C61" s="560" t="s">
        <v>41</v>
      </c>
      <c r="D61" s="560"/>
      <c r="E61" s="57">
        <v>26.78</v>
      </c>
      <c r="F61" s="69">
        <v>2377</v>
      </c>
      <c r="G61" s="405">
        <f t="shared" si="39"/>
        <v>63656.060000000005</v>
      </c>
      <c r="H61" s="416" t="s">
        <v>5</v>
      </c>
      <c r="I61" s="412">
        <v>10</v>
      </c>
      <c r="J61" s="58">
        <v>3000</v>
      </c>
      <c r="K61" s="59">
        <f t="shared" si="1"/>
        <v>300</v>
      </c>
      <c r="L61" s="412">
        <v>10</v>
      </c>
      <c r="M61" s="60">
        <f t="shared" si="40"/>
        <v>2852.400000000001</v>
      </c>
      <c r="N61" s="59">
        <f t="shared" si="3"/>
        <v>285.24000000000012</v>
      </c>
      <c r="O61" s="61">
        <f t="shared" si="4"/>
        <v>0</v>
      </c>
      <c r="P61" s="62">
        <f t="shared" si="5"/>
        <v>-14.759999999999877</v>
      </c>
      <c r="Q61" s="406">
        <f t="shared" si="6"/>
        <v>0.95080000000000042</v>
      </c>
      <c r="R61" s="566"/>
      <c r="S61" s="63">
        <v>0.28125</v>
      </c>
      <c r="T61" s="63">
        <v>0.31597222222222221</v>
      </c>
      <c r="U61" s="405">
        <f t="shared" ref="U61:U65" si="42">(S61-T60)*24*60</f>
        <v>4.9999999999999822</v>
      </c>
      <c r="V61" s="413">
        <f t="shared" si="41"/>
        <v>49.999999999999986</v>
      </c>
      <c r="W61" s="405"/>
      <c r="X61" s="405"/>
      <c r="Y61" s="559"/>
      <c r="Z61" s="559"/>
      <c r="AA61" s="61">
        <f t="shared" si="8"/>
        <v>-147.599999999999</v>
      </c>
      <c r="AB61" s="406">
        <f t="shared" si="9"/>
        <v>0.95080000000000031</v>
      </c>
      <c r="AC61" s="566"/>
    </row>
    <row r="62" spans="1:29" ht="15.75" customHeight="1">
      <c r="A62" s="572" t="s">
        <v>1903</v>
      </c>
      <c r="B62" s="414" t="s">
        <v>31</v>
      </c>
      <c r="C62" s="560" t="s">
        <v>64</v>
      </c>
      <c r="D62" s="560"/>
      <c r="E62" s="57">
        <v>37.880000000000003</v>
      </c>
      <c r="F62" s="69">
        <v>2200</v>
      </c>
      <c r="G62" s="405">
        <f t="shared" si="39"/>
        <v>83336</v>
      </c>
      <c r="H62" s="416" t="s">
        <v>5</v>
      </c>
      <c r="I62" s="412">
        <v>10</v>
      </c>
      <c r="J62" s="58">
        <v>3000</v>
      </c>
      <c r="K62" s="59">
        <f t="shared" si="1"/>
        <v>300</v>
      </c>
      <c r="L62" s="412">
        <v>10</v>
      </c>
      <c r="M62" s="60">
        <f t="shared" si="40"/>
        <v>2869.5652173913045</v>
      </c>
      <c r="N62" s="59">
        <f t="shared" si="3"/>
        <v>286.95652173913044</v>
      </c>
      <c r="O62" s="61">
        <f t="shared" si="4"/>
        <v>0</v>
      </c>
      <c r="P62" s="62">
        <f t="shared" si="5"/>
        <v>-13.043478260869563</v>
      </c>
      <c r="Q62" s="406">
        <f t="shared" si="6"/>
        <v>0.95652173913043481</v>
      </c>
      <c r="R62" s="566"/>
      <c r="S62" s="63">
        <v>0.32013888888888886</v>
      </c>
      <c r="T62" s="63">
        <v>0.3520833333333333</v>
      </c>
      <c r="U62" s="405">
        <f t="shared" si="42"/>
        <v>5.9999999999999787</v>
      </c>
      <c r="V62" s="413">
        <f t="shared" si="41"/>
        <v>46</v>
      </c>
      <c r="W62" s="405"/>
      <c r="X62" s="405"/>
      <c r="Y62" s="559"/>
      <c r="Z62" s="559"/>
      <c r="AA62" s="61">
        <f t="shared" si="8"/>
        <v>-130.43478260869551</v>
      </c>
      <c r="AB62" s="406">
        <f t="shared" si="9"/>
        <v>0.95652173913043481</v>
      </c>
      <c r="AC62" s="566"/>
    </row>
    <row r="63" spans="1:29" ht="15.75" customHeight="1">
      <c r="A63" s="572" t="s">
        <v>1903</v>
      </c>
      <c r="B63" s="414" t="s">
        <v>31</v>
      </c>
      <c r="C63" s="560" t="s">
        <v>72</v>
      </c>
      <c r="D63" s="560"/>
      <c r="E63" s="57">
        <v>40.51</v>
      </c>
      <c r="F63" s="69">
        <v>2021</v>
      </c>
      <c r="G63" s="405">
        <f t="shared" si="39"/>
        <v>81870.709999999992</v>
      </c>
      <c r="H63" s="416" t="s">
        <v>5</v>
      </c>
      <c r="I63" s="412">
        <v>8</v>
      </c>
      <c r="J63" s="58">
        <v>3000</v>
      </c>
      <c r="K63" s="59">
        <f t="shared" si="1"/>
        <v>375</v>
      </c>
      <c r="L63" s="412">
        <v>8</v>
      </c>
      <c r="M63" s="60">
        <f t="shared" si="40"/>
        <v>2887.1428571428564</v>
      </c>
      <c r="N63" s="59">
        <f t="shared" si="3"/>
        <v>360.89285714285705</v>
      </c>
      <c r="O63" s="61">
        <f t="shared" si="4"/>
        <v>0</v>
      </c>
      <c r="P63" s="62">
        <f t="shared" si="5"/>
        <v>-14.107142857142946</v>
      </c>
      <c r="Q63" s="406">
        <f t="shared" si="6"/>
        <v>0.96238095238095211</v>
      </c>
      <c r="R63" s="566"/>
      <c r="S63" s="63">
        <v>0.35763888888888884</v>
      </c>
      <c r="T63" s="63">
        <v>0.38680555555555551</v>
      </c>
      <c r="U63" s="405">
        <f t="shared" si="42"/>
        <v>7.9999999999999716</v>
      </c>
      <c r="V63" s="413">
        <f t="shared" si="41"/>
        <v>42.000000000000014</v>
      </c>
      <c r="W63" s="405"/>
      <c r="X63" s="405"/>
      <c r="Y63" s="559"/>
      <c r="Z63" s="559"/>
      <c r="AA63" s="61">
        <f t="shared" si="8"/>
        <v>-112.85714285714357</v>
      </c>
      <c r="AB63" s="406">
        <f t="shared" si="9"/>
        <v>0.96238095238095211</v>
      </c>
      <c r="AC63" s="566"/>
    </row>
    <row r="64" spans="1:29">
      <c r="A64" s="573" t="s">
        <v>1903</v>
      </c>
      <c r="B64" s="414" t="s">
        <v>31</v>
      </c>
      <c r="C64" s="560" t="s">
        <v>35</v>
      </c>
      <c r="D64" s="560"/>
      <c r="E64" s="57">
        <v>35.869999999999997</v>
      </c>
      <c r="F64" s="69">
        <v>2548</v>
      </c>
      <c r="G64" s="405">
        <f t="shared" si="39"/>
        <v>91396.76</v>
      </c>
      <c r="H64" s="416" t="s">
        <v>5</v>
      </c>
      <c r="I64" s="412">
        <v>9</v>
      </c>
      <c r="J64" s="58">
        <v>3000</v>
      </c>
      <c r="K64" s="59">
        <f t="shared" si="1"/>
        <v>333.33333333333331</v>
      </c>
      <c r="L64" s="412">
        <v>9</v>
      </c>
      <c r="M64" s="60">
        <f t="shared" si="40"/>
        <v>2884.528301886794</v>
      </c>
      <c r="N64" s="59">
        <f t="shared" si="3"/>
        <v>320.5031446540882</v>
      </c>
      <c r="O64" s="61">
        <f t="shared" si="4"/>
        <v>0</v>
      </c>
      <c r="P64" s="62">
        <f t="shared" si="5"/>
        <v>-12.830188679245111</v>
      </c>
      <c r="Q64" s="406">
        <f t="shared" si="6"/>
        <v>0.96150943396226463</v>
      </c>
      <c r="R64" s="566"/>
      <c r="S64" s="63">
        <v>0.39027777777777772</v>
      </c>
      <c r="T64" s="63">
        <v>0.42708333333333326</v>
      </c>
      <c r="U64" s="405">
        <f t="shared" si="42"/>
        <v>4.9999999999999822</v>
      </c>
      <c r="V64" s="413">
        <f t="shared" si="41"/>
        <v>52.999999999999972</v>
      </c>
      <c r="W64" s="64"/>
      <c r="X64" s="64"/>
      <c r="Y64" s="559"/>
      <c r="Z64" s="559"/>
      <c r="AA64" s="61">
        <f t="shared" si="8"/>
        <v>-115.471698113206</v>
      </c>
      <c r="AB64" s="406">
        <f t="shared" si="9"/>
        <v>0.96150943396226463</v>
      </c>
      <c r="AC64" s="566"/>
    </row>
    <row r="65" spans="1:29" ht="15" customHeight="1">
      <c r="A65" s="573" t="s">
        <v>1903</v>
      </c>
      <c r="B65" s="414" t="s">
        <v>31</v>
      </c>
      <c r="C65" s="567" t="s">
        <v>63</v>
      </c>
      <c r="D65" s="568"/>
      <c r="E65" s="57">
        <v>34.36</v>
      </c>
      <c r="F65" s="69">
        <v>1584</v>
      </c>
      <c r="G65" s="405">
        <f t="shared" si="39"/>
        <v>54426.239999999998</v>
      </c>
      <c r="H65" s="416" t="s">
        <v>5</v>
      </c>
      <c r="I65" s="412">
        <v>10</v>
      </c>
      <c r="J65" s="58">
        <v>3000</v>
      </c>
      <c r="K65" s="59">
        <f t="shared" si="1"/>
        <v>300</v>
      </c>
      <c r="L65" s="412">
        <v>10</v>
      </c>
      <c r="M65" s="60">
        <f t="shared" si="40"/>
        <v>2879.9999999999964</v>
      </c>
      <c r="N65" s="59">
        <f t="shared" si="3"/>
        <v>287.99999999999966</v>
      </c>
      <c r="O65" s="61">
        <f t="shared" si="4"/>
        <v>0</v>
      </c>
      <c r="P65" s="62">
        <f t="shared" si="5"/>
        <v>-12.000000000000341</v>
      </c>
      <c r="Q65" s="406">
        <f t="shared" si="6"/>
        <v>0.95999999999999885</v>
      </c>
      <c r="R65" s="566"/>
      <c r="S65" s="63">
        <v>0.4326388888888888</v>
      </c>
      <c r="T65" s="63">
        <v>0.45555555555555549</v>
      </c>
      <c r="U65" s="405">
        <f t="shared" si="42"/>
        <v>7.9999999999999716</v>
      </c>
      <c r="V65" s="413">
        <f t="shared" si="41"/>
        <v>33.000000000000043</v>
      </c>
      <c r="W65" s="405"/>
      <c r="X65" s="405"/>
      <c r="Y65" s="569"/>
      <c r="Z65" s="570"/>
      <c r="AA65" s="61">
        <f t="shared" si="8"/>
        <v>-120.00000000000364</v>
      </c>
      <c r="AB65" s="406">
        <f t="shared" si="9"/>
        <v>0.95999999999999874</v>
      </c>
      <c r="AC65" s="566"/>
    </row>
    <row r="66" spans="1:29">
      <c r="A66" s="573" t="s">
        <v>1903</v>
      </c>
      <c r="B66" s="57" t="s">
        <v>1893</v>
      </c>
      <c r="C66" s="571"/>
      <c r="D66" s="571"/>
      <c r="E66" s="411"/>
      <c r="F66" s="66"/>
      <c r="G66" s="59"/>
      <c r="H66" s="414"/>
      <c r="I66" s="67">
        <v>9.1666666666666661</v>
      </c>
      <c r="J66" s="58">
        <v>2750</v>
      </c>
      <c r="K66" s="59">
        <f t="shared" si="1"/>
        <v>300</v>
      </c>
      <c r="L66" s="67">
        <v>9.1666666666666661</v>
      </c>
      <c r="M66" s="60">
        <f>AVERAGE(M60:M65)</f>
        <v>2633.9060627368253</v>
      </c>
      <c r="N66" s="59">
        <f t="shared" si="3"/>
        <v>287.33520684401731</v>
      </c>
      <c r="O66" s="61">
        <f t="shared" si="4"/>
        <v>0</v>
      </c>
      <c r="P66" s="62">
        <f t="shared" si="5"/>
        <v>-12.664793155982693</v>
      </c>
      <c r="Q66" s="406">
        <f t="shared" si="6"/>
        <v>0.95778402281339103</v>
      </c>
      <c r="R66" s="566"/>
      <c r="S66" s="63"/>
      <c r="T66" s="63"/>
      <c r="U66" s="59"/>
      <c r="V66" s="413"/>
      <c r="W66" s="59"/>
      <c r="X66" s="59"/>
      <c r="Y66" s="559"/>
      <c r="Z66" s="559"/>
      <c r="AA66" s="61">
        <f t="shared" si="8"/>
        <v>-116.09393726317467</v>
      </c>
      <c r="AB66" s="406">
        <f t="shared" si="9"/>
        <v>0.95778402281339103</v>
      </c>
      <c r="AC66" s="566"/>
    </row>
    <row r="67" spans="1:29" ht="15.75" customHeight="1">
      <c r="A67" s="563" t="s">
        <v>1904</v>
      </c>
      <c r="B67" s="414" t="s">
        <v>15</v>
      </c>
      <c r="C67" s="560" t="s">
        <v>43</v>
      </c>
      <c r="D67" s="560"/>
      <c r="E67" s="57">
        <v>20.2</v>
      </c>
      <c r="F67" s="414">
        <v>2269</v>
      </c>
      <c r="G67" s="405">
        <f t="shared" ref="G67:G72" si="43">E67*F67</f>
        <v>45833.799999999996</v>
      </c>
      <c r="H67" s="416" t="s">
        <v>5</v>
      </c>
      <c r="I67" s="412">
        <v>19</v>
      </c>
      <c r="J67" s="58">
        <v>2400</v>
      </c>
      <c r="K67" s="59">
        <f t="shared" si="1"/>
        <v>126.31578947368421</v>
      </c>
      <c r="L67" s="412">
        <v>19</v>
      </c>
      <c r="M67" s="60">
        <f t="shared" ref="M67:M72" si="44">F67/V67*60</f>
        <v>2307.4576271186438</v>
      </c>
      <c r="N67" s="59">
        <f t="shared" si="3"/>
        <v>121.44513826940231</v>
      </c>
      <c r="O67" s="61">
        <f t="shared" si="4"/>
        <v>0</v>
      </c>
      <c r="P67" s="62">
        <f t="shared" si="5"/>
        <v>-4.8706512042818986</v>
      </c>
      <c r="Q67" s="406">
        <f t="shared" si="6"/>
        <v>0.96144067796610166</v>
      </c>
      <c r="R67" s="566">
        <f>Q73</f>
        <v>0.95551214333510504</v>
      </c>
      <c r="S67" s="63">
        <v>8.3333333333333329E-2</v>
      </c>
      <c r="T67" s="63">
        <v>0.12430555555555556</v>
      </c>
      <c r="U67" s="68"/>
      <c r="V67" s="413">
        <f t="shared" ref="V67:V72" si="45">(T67-S67)*24*60</f>
        <v>59.000000000000007</v>
      </c>
      <c r="W67" s="64">
        <f>T67</f>
        <v>0.12430555555555556</v>
      </c>
      <c r="X67" s="64">
        <f>S68</f>
        <v>0.1451388888888889</v>
      </c>
      <c r="Y67" s="559"/>
      <c r="Z67" s="559"/>
      <c r="AA67" s="61">
        <f t="shared" si="8"/>
        <v>-92.542372881356187</v>
      </c>
      <c r="AB67" s="406">
        <f t="shared" si="9"/>
        <v>0.96144067796610155</v>
      </c>
      <c r="AC67" s="566">
        <f>AB73</f>
        <v>0.95551214333510515</v>
      </c>
    </row>
    <row r="68" spans="1:29" ht="15.75" customHeight="1">
      <c r="A68" s="564" t="s">
        <v>1904</v>
      </c>
      <c r="B68" s="414" t="s">
        <v>15</v>
      </c>
      <c r="C68" s="560" t="s">
        <v>24</v>
      </c>
      <c r="D68" s="560"/>
      <c r="E68" s="57">
        <v>20.52</v>
      </c>
      <c r="F68" s="414">
        <v>3145</v>
      </c>
      <c r="G68" s="405">
        <f t="shared" si="43"/>
        <v>64535.4</v>
      </c>
      <c r="H68" s="416" t="s">
        <v>5</v>
      </c>
      <c r="I68" s="412">
        <v>18</v>
      </c>
      <c r="J68" s="58">
        <v>2400</v>
      </c>
      <c r="K68" s="59">
        <f t="shared" si="1"/>
        <v>133.33333333333334</v>
      </c>
      <c r="L68" s="412">
        <v>18</v>
      </c>
      <c r="M68" s="60">
        <f t="shared" si="44"/>
        <v>2301.2195121951222</v>
      </c>
      <c r="N68" s="59">
        <f t="shared" si="3"/>
        <v>127.84552845528457</v>
      </c>
      <c r="O68" s="61">
        <f t="shared" si="4"/>
        <v>0</v>
      </c>
      <c r="P68" s="62">
        <f t="shared" si="5"/>
        <v>-5.4878048780487774</v>
      </c>
      <c r="Q68" s="406">
        <f t="shared" si="6"/>
        <v>0.95884146341463417</v>
      </c>
      <c r="R68" s="566"/>
      <c r="S68" s="63">
        <v>0.1451388888888889</v>
      </c>
      <c r="T68" s="63">
        <v>0.20208333333333334</v>
      </c>
      <c r="U68" s="405">
        <f t="shared" ref="U68:U72" si="46">(S68-T67)*24*60</f>
        <v>30.000000000000014</v>
      </c>
      <c r="V68" s="413">
        <f t="shared" si="45"/>
        <v>81.999999999999986</v>
      </c>
      <c r="W68" s="64"/>
      <c r="X68" s="64"/>
      <c r="Y68" s="559"/>
      <c r="Z68" s="559"/>
      <c r="AA68" s="61">
        <f t="shared" si="8"/>
        <v>-98.780487804877794</v>
      </c>
      <c r="AB68" s="406">
        <f t="shared" si="9"/>
        <v>0.95884146341463428</v>
      </c>
      <c r="AC68" s="566"/>
    </row>
    <row r="69" spans="1:29" ht="15.75" customHeight="1">
      <c r="A69" s="564" t="s">
        <v>1904</v>
      </c>
      <c r="B69" s="414" t="s">
        <v>15</v>
      </c>
      <c r="C69" s="560" t="s">
        <v>29</v>
      </c>
      <c r="D69" s="560"/>
      <c r="E69" s="57">
        <v>24.43</v>
      </c>
      <c r="F69" s="414">
        <v>6209</v>
      </c>
      <c r="G69" s="405">
        <f t="shared" si="43"/>
        <v>151685.87</v>
      </c>
      <c r="H69" s="416" t="s">
        <v>5</v>
      </c>
      <c r="I69" s="412">
        <v>14</v>
      </c>
      <c r="J69" s="58">
        <v>2400</v>
      </c>
      <c r="K69" s="59">
        <f t="shared" ref="K69:K73" si="47">J69/I69</f>
        <v>171.42857142857142</v>
      </c>
      <c r="L69" s="412">
        <v>14</v>
      </c>
      <c r="M69" s="60">
        <f t="shared" si="44"/>
        <v>2285.5214723926379</v>
      </c>
      <c r="N69" s="59">
        <f t="shared" ref="N69:N73" si="48">M69/L69</f>
        <v>163.25153374233128</v>
      </c>
      <c r="O69" s="61">
        <f t="shared" ref="O69:O73" si="49">L69-I69</f>
        <v>0</v>
      </c>
      <c r="P69" s="62">
        <f t="shared" ref="P69:P73" si="50">N69-K69</f>
        <v>-8.1770376862401406</v>
      </c>
      <c r="Q69" s="406">
        <f t="shared" ref="Q69:Q73" si="51">N69/K69</f>
        <v>0.95230061349693251</v>
      </c>
      <c r="R69" s="566"/>
      <c r="S69" s="63">
        <v>0.2076388888888889</v>
      </c>
      <c r="T69" s="63">
        <v>0.32083333333333336</v>
      </c>
      <c r="U69" s="405">
        <f t="shared" si="46"/>
        <v>8.0000000000000107</v>
      </c>
      <c r="V69" s="413">
        <f t="shared" si="45"/>
        <v>163</v>
      </c>
      <c r="W69" s="64"/>
      <c r="X69" s="64"/>
      <c r="Y69" s="559"/>
      <c r="Z69" s="559"/>
      <c r="AA69" s="61">
        <f t="shared" ref="AA69:AA73" si="52">M69-J69</f>
        <v>-114.47852760736214</v>
      </c>
      <c r="AB69" s="406">
        <f t="shared" ref="AB69:AB73" si="53">M69/J69</f>
        <v>0.9523006134969324</v>
      </c>
      <c r="AC69" s="566"/>
    </row>
    <row r="70" spans="1:29" ht="15.75" customHeight="1">
      <c r="A70" s="564" t="s">
        <v>1904</v>
      </c>
      <c r="B70" s="414" t="s">
        <v>15</v>
      </c>
      <c r="C70" s="560" t="s">
        <v>1183</v>
      </c>
      <c r="D70" s="560"/>
      <c r="E70" s="57">
        <v>20.21</v>
      </c>
      <c r="F70" s="414">
        <v>5044</v>
      </c>
      <c r="G70" s="405">
        <f t="shared" si="43"/>
        <v>101939.24</v>
      </c>
      <c r="H70" s="416" t="s">
        <v>5</v>
      </c>
      <c r="I70" s="412">
        <v>16</v>
      </c>
      <c r="J70" s="58">
        <v>2400</v>
      </c>
      <c r="K70" s="59">
        <f t="shared" si="47"/>
        <v>150</v>
      </c>
      <c r="L70" s="412">
        <v>16</v>
      </c>
      <c r="M70" s="60">
        <f t="shared" si="44"/>
        <v>2292.7272727272725</v>
      </c>
      <c r="N70" s="59">
        <f t="shared" si="48"/>
        <v>143.29545454545453</v>
      </c>
      <c r="O70" s="61">
        <f t="shared" si="49"/>
        <v>0</v>
      </c>
      <c r="P70" s="62">
        <f t="shared" si="50"/>
        <v>-6.7045454545454675</v>
      </c>
      <c r="Q70" s="406">
        <f t="shared" si="51"/>
        <v>0.95530303030303021</v>
      </c>
      <c r="R70" s="566"/>
      <c r="S70" s="63">
        <v>0.32430555555555557</v>
      </c>
      <c r="T70" s="63">
        <v>0.41597222222222224</v>
      </c>
      <c r="U70" s="405">
        <f t="shared" si="46"/>
        <v>4.9999999999999822</v>
      </c>
      <c r="V70" s="413">
        <f t="shared" si="45"/>
        <v>132</v>
      </c>
      <c r="W70" s="64"/>
      <c r="X70" s="64"/>
      <c r="Y70" s="559"/>
      <c r="Z70" s="559"/>
      <c r="AA70" s="61">
        <f t="shared" si="52"/>
        <v>-107.27272727272748</v>
      </c>
      <c r="AB70" s="406">
        <f t="shared" si="53"/>
        <v>0.95530303030303021</v>
      </c>
      <c r="AC70" s="566"/>
    </row>
    <row r="71" spans="1:29" ht="15.75" customHeight="1">
      <c r="A71" s="564" t="s">
        <v>1904</v>
      </c>
      <c r="B71" s="414" t="s">
        <v>15</v>
      </c>
      <c r="C71" s="560" t="s">
        <v>44</v>
      </c>
      <c r="D71" s="560"/>
      <c r="E71" s="57">
        <v>19.02</v>
      </c>
      <c r="F71" s="414">
        <v>4800</v>
      </c>
      <c r="G71" s="405">
        <f t="shared" si="43"/>
        <v>91296</v>
      </c>
      <c r="H71" s="416">
        <v>2</v>
      </c>
      <c r="I71" s="412">
        <v>15</v>
      </c>
      <c r="J71" s="58">
        <v>2400</v>
      </c>
      <c r="K71" s="59">
        <f t="shared" si="47"/>
        <v>160</v>
      </c>
      <c r="L71" s="412">
        <v>15</v>
      </c>
      <c r="M71" s="60">
        <f t="shared" si="44"/>
        <v>2285.7142857142867</v>
      </c>
      <c r="N71" s="59">
        <f t="shared" si="48"/>
        <v>152.38095238095244</v>
      </c>
      <c r="O71" s="61">
        <f t="shared" si="49"/>
        <v>0</v>
      </c>
      <c r="P71" s="62">
        <f t="shared" si="50"/>
        <v>-7.6190476190475636</v>
      </c>
      <c r="Q71" s="406">
        <f t="shared" si="51"/>
        <v>0.95238095238095277</v>
      </c>
      <c r="R71" s="566"/>
      <c r="S71" s="63">
        <v>0.41944444444444445</v>
      </c>
      <c r="T71" s="63">
        <v>0.50694444444444442</v>
      </c>
      <c r="U71" s="405">
        <f t="shared" si="46"/>
        <v>4.9999999999999822</v>
      </c>
      <c r="V71" s="413">
        <f t="shared" si="45"/>
        <v>125.99999999999996</v>
      </c>
      <c r="W71" s="64">
        <f>T71</f>
        <v>0.50694444444444442</v>
      </c>
      <c r="X71" s="64">
        <f>S72</f>
        <v>0.54652777777777772</v>
      </c>
      <c r="Y71" s="559"/>
      <c r="Z71" s="559"/>
      <c r="AA71" s="61">
        <f t="shared" si="52"/>
        <v>-114.28571428571331</v>
      </c>
      <c r="AB71" s="406">
        <f t="shared" si="53"/>
        <v>0.95238095238095277</v>
      </c>
      <c r="AC71" s="566"/>
    </row>
    <row r="72" spans="1:29" ht="15.75" customHeight="1">
      <c r="A72" s="564" t="s">
        <v>1904</v>
      </c>
      <c r="B72" s="414" t="s">
        <v>15</v>
      </c>
      <c r="C72" s="560" t="s">
        <v>44</v>
      </c>
      <c r="D72" s="560"/>
      <c r="E72" s="57">
        <v>19.02</v>
      </c>
      <c r="F72" s="414">
        <v>3735</v>
      </c>
      <c r="G72" s="405">
        <f t="shared" si="43"/>
        <v>71039.7</v>
      </c>
      <c r="H72" s="416" t="s">
        <v>5</v>
      </c>
      <c r="I72" s="412">
        <v>15</v>
      </c>
      <c r="J72" s="58">
        <v>2400</v>
      </c>
      <c r="K72" s="59">
        <f t="shared" si="47"/>
        <v>160</v>
      </c>
      <c r="L72" s="412">
        <v>15</v>
      </c>
      <c r="M72" s="60">
        <f t="shared" si="44"/>
        <v>2286.7346938775518</v>
      </c>
      <c r="N72" s="59">
        <f t="shared" si="48"/>
        <v>152.44897959183677</v>
      </c>
      <c r="O72" s="61">
        <f t="shared" si="49"/>
        <v>0</v>
      </c>
      <c r="P72" s="62">
        <f t="shared" si="50"/>
        <v>-7.5510204081632253</v>
      </c>
      <c r="Q72" s="406">
        <f t="shared" si="51"/>
        <v>0.95280612244897989</v>
      </c>
      <c r="R72" s="566"/>
      <c r="S72" s="63">
        <v>0.54652777777777772</v>
      </c>
      <c r="T72" s="63">
        <v>0.61458333333333326</v>
      </c>
      <c r="U72" s="405">
        <f t="shared" si="46"/>
        <v>56.999999999999957</v>
      </c>
      <c r="V72" s="413">
        <f t="shared" si="45"/>
        <v>97.999999999999972</v>
      </c>
      <c r="W72" s="64"/>
      <c r="X72" s="64"/>
      <c r="Y72" s="559"/>
      <c r="Z72" s="559"/>
      <c r="AA72" s="61">
        <f t="shared" si="52"/>
        <v>-113.26530612244824</v>
      </c>
      <c r="AB72" s="406">
        <f t="shared" si="53"/>
        <v>0.95280612244897989</v>
      </c>
      <c r="AC72" s="566"/>
    </row>
    <row r="73" spans="1:29" ht="16.5" customHeight="1">
      <c r="A73" s="565" t="s">
        <v>1904</v>
      </c>
      <c r="B73" s="57" t="s">
        <v>1893</v>
      </c>
      <c r="C73" s="561"/>
      <c r="D73" s="562"/>
      <c r="E73" s="411"/>
      <c r="F73" s="66"/>
      <c r="G73" s="59"/>
      <c r="H73" s="414"/>
      <c r="I73" s="67">
        <v>16.166666666666668</v>
      </c>
      <c r="J73" s="58">
        <v>2400</v>
      </c>
      <c r="K73" s="59">
        <f t="shared" si="47"/>
        <v>148.45360824742266</v>
      </c>
      <c r="L73" s="67">
        <v>16.166666666666668</v>
      </c>
      <c r="M73" s="60">
        <f>AVERAGE(M67:M72)</f>
        <v>2293.2291440042522</v>
      </c>
      <c r="N73" s="59">
        <f t="shared" si="48"/>
        <v>141.84922540232486</v>
      </c>
      <c r="O73" s="61">
        <f t="shared" si="49"/>
        <v>0</v>
      </c>
      <c r="P73" s="62">
        <f t="shared" si="50"/>
        <v>-6.6043828450978026</v>
      </c>
      <c r="Q73" s="406">
        <f t="shared" si="51"/>
        <v>0.95551214333510504</v>
      </c>
      <c r="R73" s="566"/>
      <c r="S73" s="63"/>
      <c r="T73" s="63"/>
      <c r="U73" s="59"/>
      <c r="V73" s="413"/>
      <c r="W73" s="59"/>
      <c r="X73" s="59"/>
      <c r="Y73" s="559"/>
      <c r="Z73" s="559"/>
      <c r="AA73" s="61">
        <f t="shared" si="52"/>
        <v>-106.77085599574775</v>
      </c>
      <c r="AB73" s="406">
        <f t="shared" si="53"/>
        <v>0.95551214333510515</v>
      </c>
      <c r="AC73" s="566"/>
    </row>
    <row r="74" spans="1:29">
      <c r="D74" s="122"/>
      <c r="E74" s="122"/>
      <c r="H74" s="73"/>
    </row>
    <row r="75" spans="1:29">
      <c r="H75" s="73"/>
    </row>
  </sheetData>
  <mergeCells count="194">
    <mergeCell ref="I1:K2"/>
    <mergeCell ref="L1:N2"/>
    <mergeCell ref="O1:R2"/>
    <mergeCell ref="S1:X2"/>
    <mergeCell ref="Y1:Z2"/>
    <mergeCell ref="AA1:AC2"/>
    <mergeCell ref="J3:J4"/>
    <mergeCell ref="K3:K4"/>
    <mergeCell ref="L3:L4"/>
    <mergeCell ref="M3:M4"/>
    <mergeCell ref="P3:P4"/>
    <mergeCell ref="Q3:Q4"/>
    <mergeCell ref="R3:R4"/>
    <mergeCell ref="S3:T3"/>
    <mergeCell ref="A3:A4"/>
    <mergeCell ref="B3:B4"/>
    <mergeCell ref="C3:D4"/>
    <mergeCell ref="E3:E4"/>
    <mergeCell ref="F3:F4"/>
    <mergeCell ref="G3:G4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H3:H4"/>
    <mergeCell ref="I3:I4"/>
    <mergeCell ref="A12:A18"/>
    <mergeCell ref="C12:D12"/>
    <mergeCell ref="R12:R18"/>
    <mergeCell ref="Y12:Z12"/>
    <mergeCell ref="AC12:AC18"/>
    <mergeCell ref="C8:D8"/>
    <mergeCell ref="Y8:Z8"/>
    <mergeCell ref="A9:A11"/>
    <mergeCell ref="C9:D9"/>
    <mergeCell ref="R9:R11"/>
    <mergeCell ref="Y9:Z9"/>
    <mergeCell ref="C13:D13"/>
    <mergeCell ref="Y13:Z13"/>
    <mergeCell ref="C14:D14"/>
    <mergeCell ref="Y14:Z14"/>
    <mergeCell ref="C15:D15"/>
    <mergeCell ref="Y15:Z15"/>
    <mergeCell ref="AC9:AC11"/>
    <mergeCell ref="C10:D10"/>
    <mergeCell ref="Y10:Z10"/>
    <mergeCell ref="C11:D11"/>
    <mergeCell ref="Y11:Z11"/>
    <mergeCell ref="AC19:AC27"/>
    <mergeCell ref="C20:D20"/>
    <mergeCell ref="Y20:Z20"/>
    <mergeCell ref="C21:D21"/>
    <mergeCell ref="Y21:Z21"/>
    <mergeCell ref="C22:D22"/>
    <mergeCell ref="C16:D16"/>
    <mergeCell ref="Y16:Z16"/>
    <mergeCell ref="C17:D17"/>
    <mergeCell ref="Y17:Z17"/>
    <mergeCell ref="C18:D18"/>
    <mergeCell ref="Y18:Z18"/>
    <mergeCell ref="Y22:Z22"/>
    <mergeCell ref="C23:D23"/>
    <mergeCell ref="Y23:Z23"/>
    <mergeCell ref="C24:D24"/>
    <mergeCell ref="Y24:Z24"/>
    <mergeCell ref="C25:D25"/>
    <mergeCell ref="Y25:Z25"/>
    <mergeCell ref="A19:A27"/>
    <mergeCell ref="C19:D19"/>
    <mergeCell ref="R19:R27"/>
    <mergeCell ref="Y19:Z19"/>
    <mergeCell ref="C26:D26"/>
    <mergeCell ref="Y26:Z26"/>
    <mergeCell ref="C27:D27"/>
    <mergeCell ref="Y27:Z27"/>
    <mergeCell ref="A28:A35"/>
    <mergeCell ref="C28:D28"/>
    <mergeCell ref="R28:R35"/>
    <mergeCell ref="Y28:Z28"/>
    <mergeCell ref="Y33:Z33"/>
    <mergeCell ref="C34:D34"/>
    <mergeCell ref="AC28:AC35"/>
    <mergeCell ref="C29:D29"/>
    <mergeCell ref="Y29:Z29"/>
    <mergeCell ref="C30:D30"/>
    <mergeCell ref="Y30:Z30"/>
    <mergeCell ref="C31:D31"/>
    <mergeCell ref="Y31:Z31"/>
    <mergeCell ref="C32:D32"/>
    <mergeCell ref="Y32:Z32"/>
    <mergeCell ref="C33:D33"/>
    <mergeCell ref="Y34:Z34"/>
    <mergeCell ref="C35:D35"/>
    <mergeCell ref="Y35:Z35"/>
    <mergeCell ref="A36:A43"/>
    <mergeCell ref="C36:D36"/>
    <mergeCell ref="R36:R43"/>
    <mergeCell ref="Y36:Z36"/>
    <mergeCell ref="Y41:Z41"/>
    <mergeCell ref="C42:D42"/>
    <mergeCell ref="Y42:Z42"/>
    <mergeCell ref="AC36:AC43"/>
    <mergeCell ref="C37:D37"/>
    <mergeCell ref="Y37:Z37"/>
    <mergeCell ref="C38:D38"/>
    <mergeCell ref="Y38:Z38"/>
    <mergeCell ref="C39:D39"/>
    <mergeCell ref="Y39:Z39"/>
    <mergeCell ref="C40:D40"/>
    <mergeCell ref="Y40:Z40"/>
    <mergeCell ref="C41:D41"/>
    <mergeCell ref="C43:D43"/>
    <mergeCell ref="Y43:Z43"/>
    <mergeCell ref="A44:A51"/>
    <mergeCell ref="C44:D44"/>
    <mergeCell ref="R44:R51"/>
    <mergeCell ref="Y44:Z44"/>
    <mergeCell ref="Y49:Z49"/>
    <mergeCell ref="C50:D50"/>
    <mergeCell ref="Y50:Z50"/>
    <mergeCell ref="C51:D51"/>
    <mergeCell ref="Y51:Z51"/>
    <mergeCell ref="A52:A59"/>
    <mergeCell ref="C52:D52"/>
    <mergeCell ref="R52:R59"/>
    <mergeCell ref="Y52:Z52"/>
    <mergeCell ref="AC52:AC59"/>
    <mergeCell ref="C53:D53"/>
    <mergeCell ref="Y53:Z53"/>
    <mergeCell ref="C54:D54"/>
    <mergeCell ref="C57:D57"/>
    <mergeCell ref="Y57:Z57"/>
    <mergeCell ref="C58:D58"/>
    <mergeCell ref="Y58:Z58"/>
    <mergeCell ref="C59:D59"/>
    <mergeCell ref="Y59:Z59"/>
    <mergeCell ref="AC44:AC51"/>
    <mergeCell ref="C45:D45"/>
    <mergeCell ref="Y45:Z45"/>
    <mergeCell ref="C46:D46"/>
    <mergeCell ref="Y46:Z46"/>
    <mergeCell ref="C47:D47"/>
    <mergeCell ref="Y47:Z47"/>
    <mergeCell ref="C48:D48"/>
    <mergeCell ref="Y48:Z48"/>
    <mergeCell ref="C49:D49"/>
    <mergeCell ref="A60:A66"/>
    <mergeCell ref="C60:D60"/>
    <mergeCell ref="R60:R66"/>
    <mergeCell ref="Y60:Z60"/>
    <mergeCell ref="Y65:Z65"/>
    <mergeCell ref="AC60:AC66"/>
    <mergeCell ref="C61:D61"/>
    <mergeCell ref="Y61:Z61"/>
    <mergeCell ref="C62:D62"/>
    <mergeCell ref="Y62:Z62"/>
    <mergeCell ref="C63:D63"/>
    <mergeCell ref="Y63:Z63"/>
    <mergeCell ref="C64:D64"/>
    <mergeCell ref="Y64:Z64"/>
    <mergeCell ref="C65:D65"/>
    <mergeCell ref="C66:D66"/>
    <mergeCell ref="Y66:Z66"/>
    <mergeCell ref="A67:A73"/>
    <mergeCell ref="C67:D67"/>
    <mergeCell ref="R67:R73"/>
    <mergeCell ref="Y67:Z67"/>
    <mergeCell ref="Y72:Z72"/>
    <mergeCell ref="C73:D73"/>
    <mergeCell ref="Y73:Z73"/>
    <mergeCell ref="AC67:AC73"/>
    <mergeCell ref="C68:D68"/>
    <mergeCell ref="Y68:Z68"/>
    <mergeCell ref="C69:D69"/>
    <mergeCell ref="Y69:Z69"/>
    <mergeCell ref="C70:D70"/>
    <mergeCell ref="Y70:Z70"/>
    <mergeCell ref="C71:D71"/>
    <mergeCell ref="Y71:Z71"/>
    <mergeCell ref="C72:D72"/>
  </mergeCells>
  <phoneticPr fontId="3" type="noConversion"/>
  <conditionalFormatting sqref="O59:O60 O63:O73 O5:O9 O11:O13 O51:O57 O18:O49">
    <cfRule type="cellIs" dxfId="1665" priority="50" operator="greaterThan">
      <formula>0</formula>
    </cfRule>
  </conditionalFormatting>
  <conditionalFormatting sqref="P5:P7 P63:P65 AA63:AA65 P67:P72 P28:P34 P60 P9 P11:P13 P19:P26 P52:P57 P36:P49 AA5:AA60 AA67:AA73">
    <cfRule type="cellIs" dxfId="1664" priority="54" operator="lessThan">
      <formula>0</formula>
    </cfRule>
  </conditionalFormatting>
  <conditionalFormatting sqref="AB63:AB65 Q59:Q60 Q63:Q73 Q5:Q9 Q11:Q13 Q51:Q57 Q18:Q49 AB5:AB60 AB67:AB73">
    <cfRule type="cellIs" dxfId="1663" priority="51" operator="greaterThan">
      <formula>1</formula>
    </cfRule>
    <cfRule type="cellIs" dxfId="1662" priority="52" operator="lessThan">
      <formula>0.8</formula>
    </cfRule>
  </conditionalFormatting>
  <conditionalFormatting sqref="AC12:AC13 R12:R13 AC63 R18:R24 AC18:AC24 AC59:AC60 R59:R60 R63:R73 AC5:AC9 R5:R9 R27:R49 AC27:AC49 AC51:AC57 R51:R57">
    <cfRule type="cellIs" dxfId="1661" priority="56" operator="lessThan">
      <formula>0.8</formula>
    </cfRule>
  </conditionalFormatting>
  <conditionalFormatting sqref="AC44">
    <cfRule type="cellIs" dxfId="1660" priority="58" operator="lessThan">
      <formula>0.8</formula>
    </cfRule>
  </conditionalFormatting>
  <conditionalFormatting sqref="AC19:AC24">
    <cfRule type="cellIs" dxfId="1659" priority="55" operator="lessThan">
      <formula>0.8</formula>
    </cfRule>
  </conditionalFormatting>
  <conditionalFormatting sqref="AC28">
    <cfRule type="cellIs" dxfId="1658" priority="57" operator="lessThan">
      <formula>0.8</formula>
    </cfRule>
  </conditionalFormatting>
  <conditionalFormatting sqref="AC36:AC42">
    <cfRule type="cellIs" dxfId="1657" priority="53" operator="lessThan">
      <formula>0.8</formula>
    </cfRule>
  </conditionalFormatting>
  <conditionalFormatting sqref="AA66">
    <cfRule type="cellIs" dxfId="1656" priority="49" operator="lessThan">
      <formula>0</formula>
    </cfRule>
  </conditionalFormatting>
  <conditionalFormatting sqref="AB66">
    <cfRule type="cellIs" dxfId="1655" priority="47" operator="greaterThan">
      <formula>1</formula>
    </cfRule>
    <cfRule type="cellIs" dxfId="1654" priority="48" operator="lessThan">
      <formula>0.8</formula>
    </cfRule>
  </conditionalFormatting>
  <conditionalFormatting sqref="O14:O15">
    <cfRule type="cellIs" dxfId="1653" priority="42" operator="greaterThan">
      <formula>0</formula>
    </cfRule>
  </conditionalFormatting>
  <conditionalFormatting sqref="P14:P15">
    <cfRule type="cellIs" dxfId="1652" priority="45" operator="lessThan">
      <formula>0</formula>
    </cfRule>
  </conditionalFormatting>
  <conditionalFormatting sqref="Q14:Q15">
    <cfRule type="cellIs" dxfId="1651" priority="43" operator="greaterThan">
      <formula>1</formula>
    </cfRule>
    <cfRule type="cellIs" dxfId="1650" priority="44" operator="lessThan">
      <formula>0.8</formula>
    </cfRule>
  </conditionalFormatting>
  <conditionalFormatting sqref="R14:R15 AC14:AC15">
    <cfRule type="cellIs" dxfId="1649" priority="46" operator="lessThan">
      <formula>0.8</formula>
    </cfRule>
  </conditionalFormatting>
  <conditionalFormatting sqref="O10">
    <cfRule type="cellIs" dxfId="1648" priority="38" operator="greaterThan">
      <formula>0</formula>
    </cfRule>
  </conditionalFormatting>
  <conditionalFormatting sqref="P10">
    <cfRule type="cellIs" dxfId="1647" priority="41" operator="lessThan">
      <formula>0</formula>
    </cfRule>
  </conditionalFormatting>
  <conditionalFormatting sqref="Q10">
    <cfRule type="cellIs" dxfId="1646" priority="39" operator="greaterThan">
      <formula>1</formula>
    </cfRule>
    <cfRule type="cellIs" dxfId="1645" priority="40" operator="lessThan">
      <formula>0.8</formula>
    </cfRule>
  </conditionalFormatting>
  <conditionalFormatting sqref="O58">
    <cfRule type="cellIs" dxfId="1644" priority="33" operator="greaterThan">
      <formula>0</formula>
    </cfRule>
  </conditionalFormatting>
  <conditionalFormatting sqref="P58">
    <cfRule type="cellIs" dxfId="1643" priority="36" operator="lessThan">
      <formula>0</formula>
    </cfRule>
  </conditionalFormatting>
  <conditionalFormatting sqref="Q58">
    <cfRule type="cellIs" dxfId="1642" priority="34" operator="greaterThan">
      <formula>1</formula>
    </cfRule>
    <cfRule type="cellIs" dxfId="1641" priority="35" operator="lessThan">
      <formula>0.8</formula>
    </cfRule>
  </conditionalFormatting>
  <conditionalFormatting sqref="R58 AC58">
    <cfRule type="cellIs" dxfId="1640" priority="37" operator="lessThan">
      <formula>0.8</formula>
    </cfRule>
  </conditionalFormatting>
  <conditionalFormatting sqref="AC26 R26">
    <cfRule type="cellIs" dxfId="1639" priority="32" operator="lessThan">
      <formula>0.8</formula>
    </cfRule>
  </conditionalFormatting>
  <conditionalFormatting sqref="O62">
    <cfRule type="cellIs" dxfId="1638" priority="27" operator="greaterThan">
      <formula>0</formula>
    </cfRule>
  </conditionalFormatting>
  <conditionalFormatting sqref="P62 AA62">
    <cfRule type="cellIs" dxfId="1637" priority="30" operator="lessThan">
      <formula>0</formula>
    </cfRule>
  </conditionalFormatting>
  <conditionalFormatting sqref="Q62 AB62">
    <cfRule type="cellIs" dxfId="1636" priority="28" operator="greaterThan">
      <formula>1</formula>
    </cfRule>
    <cfRule type="cellIs" dxfId="1635" priority="29" operator="lessThan">
      <formula>0.8</formula>
    </cfRule>
  </conditionalFormatting>
  <conditionalFormatting sqref="R62 AC62">
    <cfRule type="cellIs" dxfId="1634" priority="31" operator="lessThan">
      <formula>0.8</formula>
    </cfRule>
  </conditionalFormatting>
  <conditionalFormatting sqref="O16:O17">
    <cfRule type="cellIs" dxfId="1633" priority="22" operator="greaterThan">
      <formula>0</formula>
    </cfRule>
  </conditionalFormatting>
  <conditionalFormatting sqref="P16:P17">
    <cfRule type="cellIs" dxfId="1632" priority="25" operator="lessThan">
      <formula>0</formula>
    </cfRule>
  </conditionalFormatting>
  <conditionalFormatting sqref="Q16:Q17">
    <cfRule type="cellIs" dxfId="1631" priority="23" operator="greaterThan">
      <formula>1</formula>
    </cfRule>
    <cfRule type="cellIs" dxfId="1630" priority="24" operator="lessThan">
      <formula>0.8</formula>
    </cfRule>
  </conditionalFormatting>
  <conditionalFormatting sqref="R16:R17 AC16:AC17">
    <cfRule type="cellIs" dxfId="1629" priority="26" operator="lessThan">
      <formula>0.8</formula>
    </cfRule>
  </conditionalFormatting>
  <conditionalFormatting sqref="O50">
    <cfRule type="cellIs" dxfId="1628" priority="16" operator="greaterThan">
      <formula>0</formula>
    </cfRule>
  </conditionalFormatting>
  <conditionalFormatting sqref="P50">
    <cfRule type="cellIs" dxfId="1627" priority="20" operator="lessThan">
      <formula>0</formula>
    </cfRule>
  </conditionalFormatting>
  <conditionalFormatting sqref="Q50">
    <cfRule type="cellIs" dxfId="1626" priority="17" operator="greaterThan">
      <formula>1</formula>
    </cfRule>
    <cfRule type="cellIs" dxfId="1625" priority="18" operator="lessThan">
      <formula>0.8</formula>
    </cfRule>
  </conditionalFormatting>
  <conditionalFormatting sqref="R50 AC50">
    <cfRule type="cellIs" dxfId="1624" priority="21" operator="lessThan">
      <formula>0.8</formula>
    </cfRule>
  </conditionalFormatting>
  <conditionalFormatting sqref="AC50">
    <cfRule type="cellIs" dxfId="1623" priority="19" operator="lessThan">
      <formula>0.8</formula>
    </cfRule>
  </conditionalFormatting>
  <conditionalFormatting sqref="R25 AC25">
    <cfRule type="cellIs" dxfId="1622" priority="15" operator="lessThan">
      <formula>0.8</formula>
    </cfRule>
  </conditionalFormatting>
  <conditionalFormatting sqref="AC25">
    <cfRule type="cellIs" dxfId="1621" priority="14" operator="lessThan">
      <formula>0.8</formula>
    </cfRule>
  </conditionalFormatting>
  <conditionalFormatting sqref="O61">
    <cfRule type="cellIs" dxfId="1620" priority="9" operator="greaterThan">
      <formula>0</formula>
    </cfRule>
  </conditionalFormatting>
  <conditionalFormatting sqref="P61 AA61">
    <cfRule type="cellIs" dxfId="1619" priority="12" operator="lessThan">
      <formula>0</formula>
    </cfRule>
  </conditionalFormatting>
  <conditionalFormatting sqref="Q61 AB61">
    <cfRule type="cellIs" dxfId="1618" priority="10" operator="greaterThan">
      <formula>1</formula>
    </cfRule>
    <cfRule type="cellIs" dxfId="1617" priority="11" operator="lessThan">
      <formula>0.8</formula>
    </cfRule>
  </conditionalFormatting>
  <conditionalFormatting sqref="R61 AC61">
    <cfRule type="cellIs" dxfId="1616" priority="13" operator="lessThan">
      <formula>0.8</formula>
    </cfRule>
  </conditionalFormatting>
  <conditionalFormatting sqref="P8">
    <cfRule type="cellIs" dxfId="1615" priority="8" operator="lessThan">
      <formula>0</formula>
    </cfRule>
  </conditionalFormatting>
  <conditionalFormatting sqref="P18">
    <cfRule type="cellIs" dxfId="1614" priority="7" operator="lessThan">
      <formula>0</formula>
    </cfRule>
  </conditionalFormatting>
  <conditionalFormatting sqref="P27">
    <cfRule type="cellIs" dxfId="1613" priority="6" operator="lessThan">
      <formula>0</formula>
    </cfRule>
  </conditionalFormatting>
  <conditionalFormatting sqref="P35">
    <cfRule type="cellIs" dxfId="1612" priority="5" operator="lessThan">
      <formula>0</formula>
    </cfRule>
  </conditionalFormatting>
  <conditionalFormatting sqref="P51">
    <cfRule type="cellIs" dxfId="1611" priority="4" operator="lessThan">
      <formula>0</formula>
    </cfRule>
  </conditionalFormatting>
  <conditionalFormatting sqref="P59">
    <cfRule type="cellIs" dxfId="1610" priority="3" operator="lessThan">
      <formula>0</formula>
    </cfRule>
  </conditionalFormatting>
  <conditionalFormatting sqref="P66">
    <cfRule type="cellIs" dxfId="1609" priority="2" operator="lessThan">
      <formula>0</formula>
    </cfRule>
  </conditionalFormatting>
  <conditionalFormatting sqref="P73">
    <cfRule type="cellIs" dxfId="1608" priority="1" operator="lessThan">
      <formula>0</formula>
    </cfRule>
  </conditionalFormatting>
  <dataValidations count="1">
    <dataValidation type="list" allowBlank="1" showInputMessage="1" showErrorMessage="1" sqref="Z8 Z64:Z65 Y5:Z7 Y8:Y65 Z10:Z60 Y66:Z73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topLeftCell="A6" zoomScale="85" zoomScaleNormal="85" workbookViewId="0">
      <selection activeCell="B20" sqref="B20:D20"/>
    </sheetView>
  </sheetViews>
  <sheetFormatPr defaultColWidth="8.75" defaultRowHeight="15.75"/>
  <cols>
    <col min="1" max="1" width="8.75" style="2"/>
    <col min="2" max="2" width="17.875" style="2" customWidth="1"/>
    <col min="3" max="3" width="9.25" style="9" customWidth="1"/>
    <col min="4" max="13" width="12.625" style="2" customWidth="1"/>
    <col min="14" max="14" width="11" style="2" bestFit="1" customWidth="1"/>
    <col min="15" max="15" width="17.75" style="2" bestFit="1" customWidth="1"/>
    <col min="16" max="16" width="12.25" style="2" bestFit="1" customWidth="1"/>
    <col min="17" max="22" width="9.25" style="2" customWidth="1"/>
    <col min="23" max="23" width="10.75" style="2" customWidth="1"/>
    <col min="24" max="24" width="11" style="2" customWidth="1"/>
    <col min="25" max="16384" width="8.75" style="2"/>
  </cols>
  <sheetData>
    <row r="1" spans="2:17" ht="27.75" customHeight="1">
      <c r="B1" s="546" t="s">
        <v>1788</v>
      </c>
      <c r="C1" s="546"/>
      <c r="D1" s="546"/>
      <c r="E1" s="546"/>
      <c r="F1" s="546"/>
      <c r="G1" s="546"/>
      <c r="H1" s="546"/>
      <c r="I1" s="546"/>
      <c r="J1" s="546"/>
      <c r="K1" s="1"/>
      <c r="L1" s="1"/>
      <c r="M1" s="1"/>
      <c r="N1" s="1"/>
      <c r="O1" s="1"/>
      <c r="P1" s="1"/>
    </row>
    <row r="2" spans="2:17" ht="27.75" customHeight="1">
      <c r="B2" s="547"/>
      <c r="C2" s="547"/>
      <c r="D2" s="547"/>
      <c r="E2" s="547"/>
      <c r="F2" s="547"/>
      <c r="G2" s="547"/>
      <c r="H2" s="547"/>
      <c r="I2" s="547"/>
      <c r="J2" s="547"/>
      <c r="K2" s="3"/>
      <c r="L2" s="3"/>
      <c r="M2" s="3"/>
      <c r="N2" s="1"/>
      <c r="O2" s="1"/>
      <c r="P2" s="1"/>
    </row>
    <row r="3" spans="2:17" ht="46.5" customHeight="1">
      <c r="B3" s="4" t="s">
        <v>1789</v>
      </c>
      <c r="C3" s="548" t="str">
        <f>TEXT('1224 4度C'!A2,"yyyy.mm.ddaaaa")</f>
        <v>2025.12.24星期三</v>
      </c>
      <c r="D3" s="549"/>
      <c r="E3" s="4" t="s">
        <v>1790</v>
      </c>
      <c r="F3" s="550">
        <f>'1224 4度C'!D1</f>
        <v>133292</v>
      </c>
      <c r="G3" s="551"/>
      <c r="H3" s="4" t="s">
        <v>454</v>
      </c>
      <c r="I3" s="552">
        <f>'1224 4度C'!F1</f>
        <v>4635340.5599999996</v>
      </c>
      <c r="J3" s="553"/>
      <c r="K3" s="5"/>
      <c r="L3" s="6"/>
      <c r="M3" s="7"/>
      <c r="N3" s="7"/>
    </row>
    <row r="4" spans="2:17" ht="28.5" customHeight="1">
      <c r="B4" s="554" t="s">
        <v>1791</v>
      </c>
      <c r="C4" s="536" t="s">
        <v>1792</v>
      </c>
      <c r="D4" s="537"/>
      <c r="E4" s="557" t="s">
        <v>1793</v>
      </c>
      <c r="F4" s="558"/>
      <c r="G4" s="557" t="s">
        <v>1794</v>
      </c>
      <c r="H4" s="558"/>
      <c r="I4" s="557" t="s">
        <v>1795</v>
      </c>
      <c r="J4" s="558"/>
      <c r="L4" s="7"/>
      <c r="M4" s="7"/>
      <c r="N4" s="7"/>
    </row>
    <row r="5" spans="2:17" ht="28.5" customHeight="1">
      <c r="B5" s="555"/>
      <c r="C5" s="536" t="s">
        <v>1796</v>
      </c>
      <c r="D5" s="537"/>
      <c r="E5" s="536" t="s">
        <v>1797</v>
      </c>
      <c r="F5" s="537"/>
      <c r="G5" s="538" t="s">
        <v>1798</v>
      </c>
      <c r="H5" s="539"/>
      <c r="I5" s="540" t="s">
        <v>1799</v>
      </c>
      <c r="J5" s="541"/>
      <c r="K5" s="7"/>
      <c r="L5" s="7"/>
      <c r="M5" s="7"/>
      <c r="N5" s="7"/>
    </row>
    <row r="6" spans="2:17" ht="28.5" customHeight="1">
      <c r="B6" s="555"/>
      <c r="C6" s="536" t="s">
        <v>46</v>
      </c>
      <c r="D6" s="537"/>
      <c r="E6" s="542">
        <f>AVERAGE(D13:M13)</f>
        <v>148.64008279311292</v>
      </c>
      <c r="F6" s="543">
        <f>AVERAGE(D27:O27,D13:J13)</f>
        <v>152.92661637365376</v>
      </c>
      <c r="G6" s="544">
        <f>AVERAGE(D13:J13)</f>
        <v>152.92661637365376</v>
      </c>
      <c r="H6" s="545"/>
      <c r="I6" s="544">
        <f>AVERAGE(K13:M13)</f>
        <v>138.63817110518434</v>
      </c>
      <c r="J6" s="545"/>
      <c r="K6" s="7"/>
      <c r="L6" s="7"/>
      <c r="M6" s="7"/>
      <c r="N6" s="7"/>
    </row>
    <row r="7" spans="2:17" ht="28.5" customHeight="1">
      <c r="B7" s="555"/>
      <c r="C7" s="526" t="s">
        <v>47</v>
      </c>
      <c r="D7" s="527"/>
      <c r="E7" s="528">
        <f>AVERAGE(D14:M14)</f>
        <v>141.54783403375367</v>
      </c>
      <c r="F7" s="529">
        <f>AVERAGE(D28:O28,D14:J14)</f>
        <v>145.46143311336198</v>
      </c>
      <c r="G7" s="530">
        <f>AVERAGE(D14:J14)</f>
        <v>145.46143311336198</v>
      </c>
      <c r="H7" s="531"/>
      <c r="I7" s="530">
        <f>AVERAGE(K14:M14)</f>
        <v>132.41610284800097</v>
      </c>
      <c r="J7" s="531"/>
      <c r="K7" s="7"/>
      <c r="L7" s="7"/>
      <c r="M7" s="7"/>
      <c r="N7" s="7"/>
    </row>
    <row r="8" spans="2:17" ht="28.5" customHeight="1">
      <c r="B8" s="556"/>
      <c r="C8" s="526" t="s">
        <v>48</v>
      </c>
      <c r="D8" s="527"/>
      <c r="E8" s="532">
        <f>AVERAGE(D15:M15)</f>
        <v>0.95022373479925282</v>
      </c>
      <c r="F8" s="533">
        <f>AVERAGE(D15:J15,D29:O29)</f>
        <v>0.94811674629981957</v>
      </c>
      <c r="G8" s="534">
        <f>AVERAGE(D15:J15)</f>
        <v>0.94811674629981957</v>
      </c>
      <c r="H8" s="535"/>
      <c r="I8" s="534">
        <f>AVERAGE(K15:M15)</f>
        <v>0.95514004129793006</v>
      </c>
      <c r="J8" s="535"/>
      <c r="K8" s="8" t="s">
        <v>1800</v>
      </c>
      <c r="L8" s="7"/>
      <c r="M8" s="7"/>
      <c r="N8" s="7"/>
    </row>
    <row r="9" spans="2:17" ht="28.5" customHeight="1" thickBot="1">
      <c r="H9" s="10"/>
      <c r="N9" s="7"/>
      <c r="O9" s="7"/>
      <c r="P9" s="7"/>
      <c r="Q9" s="7"/>
    </row>
    <row r="10" spans="2:17" ht="30" customHeight="1">
      <c r="B10" s="509" t="s">
        <v>1801</v>
      </c>
      <c r="C10" s="510"/>
      <c r="D10" s="511" t="s">
        <v>1802</v>
      </c>
      <c r="E10" s="512"/>
      <c r="F10" s="512"/>
      <c r="G10" s="512"/>
      <c r="H10" s="512"/>
      <c r="I10" s="512"/>
      <c r="J10" s="513"/>
      <c r="K10" s="514" t="s">
        <v>1803</v>
      </c>
      <c r="L10" s="515"/>
      <c r="M10" s="516"/>
      <c r="P10" s="11"/>
      <c r="Q10" s="11"/>
    </row>
    <row r="11" spans="2:17" ht="17.25" customHeight="1">
      <c r="B11" s="517" t="s">
        <v>1804</v>
      </c>
      <c r="C11" s="518"/>
      <c r="D11" s="12">
        <v>1</v>
      </c>
      <c r="E11" s="13">
        <v>2</v>
      </c>
      <c r="F11" s="13">
        <v>3</v>
      </c>
      <c r="G11" s="13">
        <v>4</v>
      </c>
      <c r="H11" s="13">
        <v>5</v>
      </c>
      <c r="I11" s="13">
        <v>6</v>
      </c>
      <c r="J11" s="14">
        <v>7</v>
      </c>
      <c r="K11" s="12">
        <v>1</v>
      </c>
      <c r="L11" s="13">
        <v>2</v>
      </c>
      <c r="M11" s="14">
        <v>3</v>
      </c>
      <c r="P11" s="11"/>
      <c r="Q11" s="11"/>
    </row>
    <row r="12" spans="2:17" ht="34.15" customHeight="1">
      <c r="B12" s="519"/>
      <c r="C12" s="520"/>
      <c r="D12" s="15" t="s">
        <v>49</v>
      </c>
      <c r="E12" s="16" t="s">
        <v>50</v>
      </c>
      <c r="F12" s="16" t="s">
        <v>51</v>
      </c>
      <c r="G12" s="16" t="s">
        <v>52</v>
      </c>
      <c r="H12" s="16" t="s">
        <v>53</v>
      </c>
      <c r="I12" s="16" t="s">
        <v>54</v>
      </c>
      <c r="J12" s="17" t="s">
        <v>55</v>
      </c>
      <c r="K12" s="15" t="s">
        <v>56</v>
      </c>
      <c r="L12" s="16" t="s">
        <v>57</v>
      </c>
      <c r="M12" s="17" t="s">
        <v>58</v>
      </c>
    </row>
    <row r="13" spans="2:17" ht="40.15" customHeight="1">
      <c r="B13" s="521" t="s">
        <v>1805</v>
      </c>
      <c r="C13" s="18" t="s">
        <v>1806</v>
      </c>
      <c r="D13" s="19">
        <f>SUMIFS('1224 4度C'!$K:$K,'1224 4度C'!$A:$A,"新豐6線",'1224 4度C'!$B:$B,"平均")</f>
        <v>115.38461538461539</v>
      </c>
      <c r="E13" s="20">
        <f>SUMIFS('1224 4度C'!$K:$K,'1224 4度C'!$A:$A,"新豐2線",'1224 4度C'!$B:$B,"平均")</f>
        <v>83.333333333333329</v>
      </c>
      <c r="F13" s="21">
        <f>SUMIFS('1224 4度C'!$K:$K,'1224 4度C'!$A:$A,"新豐5線",'1224 4度C'!$B:$B,"平均")</f>
        <v>93.45794392523365</v>
      </c>
      <c r="G13" s="21">
        <f>SUMIFS('1224 4度C'!$K:$K,'1224 4度C'!$A:$A,"新豐7線",'1224 4度C'!$B:$B,"平均")</f>
        <v>118.88111888111888</v>
      </c>
      <c r="H13" s="21">
        <f>SUMIFS('1224 4度C'!$K:$K,'1224 4度C'!$A:$A,"新豐3線",'1224 4度C'!$B:$B,"平均")</f>
        <v>246.75324675324674</v>
      </c>
      <c r="I13" s="21">
        <f>SUMIFS('1224 4度C'!$K:$K,'1224 4度C'!$A:$A,"新豐1線",'1224 4度C'!$B:$B,"平均")</f>
        <v>112.67605633802818</v>
      </c>
      <c r="J13" s="22">
        <f>SUMIFS('1224 4度C'!$K:$K,'1224 4度C'!$A:$A,"新豐10線",'1224 4度C'!$B:$B,"平均")</f>
        <v>300</v>
      </c>
      <c r="K13" s="23">
        <f>SUMIFS('1224 4度C'!$K:$K,'1224 4度C'!$A:$A,"新豐8線",'1224 4度C'!$B:$B,"平均")</f>
        <v>131.86813186813188</v>
      </c>
      <c r="L13" s="24">
        <f>SUMIFS('1224 4度C'!$K:$K,'1224 4度C'!$A:$A,"新豐9線",'1224 4度C'!$B:$B,"平均")</f>
        <v>137.70491803278691</v>
      </c>
      <c r="M13" s="22">
        <f>SUMIFS('1224 4度C'!$K:$K,'1224 4度C'!$A:$A,"新豐4線",'1224 4度C'!$B:$B,"平均")</f>
        <v>146.34146341463415</v>
      </c>
    </row>
    <row r="14" spans="2:17" ht="39.6" customHeight="1">
      <c r="B14" s="522"/>
      <c r="C14" s="25" t="s">
        <v>1807</v>
      </c>
      <c r="D14" s="26">
        <f>SUMIFS('1224 4度C'!$N:$N,'1224 4度C'!$A:$A,"新豐6線",'1224 4度C'!$B:$B,"平均")</f>
        <v>110.53550295857987</v>
      </c>
      <c r="E14" s="27">
        <f>SUMIFS('1224 4度C'!$N:$N,'1224 4度C'!$A:$A,"新豐2線",'1224 4度C'!$B:$B,"平均")</f>
        <v>79.434756570140223</v>
      </c>
      <c r="F14" s="27">
        <f>SUMIFS('1224 4度C'!$N:$N,'1224 4度C'!$A:$A,"新豐5線",'1224 4度C'!$B:$B,"平均")</f>
        <v>89.401851829499179</v>
      </c>
      <c r="G14" s="27">
        <f>SUMIFS('1224 4度C'!$N:$N,'1224 4度C'!$A:$A,"新豐7線",'1224 4度C'!$B:$B,"平均")</f>
        <v>114.71225103390941</v>
      </c>
      <c r="H14" s="27">
        <f>SUMIFS('1224 4度C'!$N:$N,'1224 4度C'!$A:$A,"新豐3線",'1224 4度C'!$B:$B,"平均")</f>
        <v>236.61917486022946</v>
      </c>
      <c r="I14" s="27">
        <f>SUMIFS('1224 4度C'!$N:$N,'1224 4度C'!$A:$A,"新豐1線",'1224 4度C'!$B:$B,"平均")</f>
        <v>99.863131145998935</v>
      </c>
      <c r="J14" s="28">
        <f>SUMIFS('1224 4度C'!$N:$N,'1224 4度C'!$A:$A,"新豐10線",'1224 4度C'!$B:$B,"平均")</f>
        <v>287.6633633951767</v>
      </c>
      <c r="K14" s="29">
        <f>SUMIFS('1224 4度C'!$N:$N,'1224 4度C'!$A:$A,"新豐8線",'1224 4度C'!$B:$B,"平均")</f>
        <v>125.87447176586372</v>
      </c>
      <c r="L14" s="30">
        <f>SUMIFS('1224 4度C'!$N:$N,'1224 4度C'!$A:$A,"新豐9線",'1224 4度C'!$B:$B,"平均")</f>
        <v>131.7963772658704</v>
      </c>
      <c r="M14" s="28">
        <f>SUMIFS('1224 4度C'!$N:$N,'1224 4度C'!$A:$A,"新豐4線",'1224 4度C'!$B:$B,"平均")</f>
        <v>139.57745951226877</v>
      </c>
    </row>
    <row r="15" spans="2:17" ht="40.15" customHeight="1">
      <c r="B15" s="523"/>
      <c r="C15" s="31" t="s">
        <v>1808</v>
      </c>
      <c r="D15" s="32">
        <f t="shared" ref="D15:M15" si="0">D14/D13</f>
        <v>0.9579743589743589</v>
      </c>
      <c r="E15" s="33">
        <f t="shared" si="0"/>
        <v>0.95321707884168272</v>
      </c>
      <c r="F15" s="33">
        <f t="shared" si="0"/>
        <v>0.95659981457564114</v>
      </c>
      <c r="G15" s="33">
        <f t="shared" si="0"/>
        <v>0.96493246457935566</v>
      </c>
      <c r="H15" s="33">
        <f t="shared" si="0"/>
        <v>0.95893034022303525</v>
      </c>
      <c r="I15" s="33">
        <f t="shared" si="0"/>
        <v>0.88628528892074054</v>
      </c>
      <c r="J15" s="34">
        <f t="shared" si="0"/>
        <v>0.95887787798392232</v>
      </c>
      <c r="K15" s="32">
        <f t="shared" si="0"/>
        <v>0.9545480775577998</v>
      </c>
      <c r="L15" s="33">
        <f t="shared" si="0"/>
        <v>0.95709273966882069</v>
      </c>
      <c r="M15" s="34">
        <f t="shared" si="0"/>
        <v>0.95377930666716992</v>
      </c>
    </row>
    <row r="16" spans="2:17" ht="17.25" customHeight="1">
      <c r="B16" s="524" t="s">
        <v>473</v>
      </c>
      <c r="C16" s="35" t="s">
        <v>1809</v>
      </c>
      <c r="D16" s="49">
        <f>VLOOKUP("新豐6線",'1224 4度C'!$A:$T,19,0)</f>
        <v>0.70833333333333337</v>
      </c>
      <c r="E16" s="50">
        <f>VLOOKUP("新豐2線",'1224 4度C'!$A:$T,19,0)</f>
        <v>0.16666666666666666</v>
      </c>
      <c r="F16" s="50">
        <f>VLOOKUP("新豐5線",'1224 4度C'!$A:$T,19,0)</f>
        <v>0.20833333333333334</v>
      </c>
      <c r="G16" s="50">
        <f>VLOOKUP("新豐7線",'1224 4度C'!$A:$T,19,0)</f>
        <v>0.20833333333333334</v>
      </c>
      <c r="H16" s="50">
        <f>VLOOKUP("新豐3線",'1224 4度C'!$A:$T,19,0)</f>
        <v>8.3333333333333329E-2</v>
      </c>
      <c r="I16" s="50">
        <f>VLOOKUP("新豐1線",'1224 4度C'!$A:$T,19,0)</f>
        <v>0.20833333333333334</v>
      </c>
      <c r="J16" s="51">
        <f>VLOOKUP("新豐10線",'1224 4度C'!$A:$T,19,0)</f>
        <v>0.20833333333333334</v>
      </c>
      <c r="K16" s="36">
        <f>VLOOKUP("新豐8線",'1224 4度C'!$A:$T,19,0)</f>
        <v>8.3333333333333329E-2</v>
      </c>
      <c r="L16" s="37">
        <f>VLOOKUP("新豐9線",'1224 4度C'!$A:$T,19,0)</f>
        <v>8.3333333333333329E-2</v>
      </c>
      <c r="M16" s="38">
        <f>VLOOKUP("新豐4線",'1224 4度C'!$A:$T,19,0)</f>
        <v>8.3333333333333329E-2</v>
      </c>
    </row>
    <row r="17" spans="2:13" ht="17.25" customHeight="1">
      <c r="B17" s="525"/>
      <c r="C17" s="35" t="s">
        <v>1810</v>
      </c>
      <c r="D17" s="36">
        <f>LOOKUP(2,1/(('1224 4度C'!$A:$A="新豐6線")*('1224 4度C'!$T:$T&lt;&gt;"")),'1224 4度C'!$T:$T)</f>
        <v>0.84027777777777779</v>
      </c>
      <c r="E17" s="50">
        <f>LOOKUP(2,1/(('1224 4度C'!$A:$A="新豐2線")*('1224 4度C'!$T:$T&lt;&gt;"")),'1224 4度C'!$T:$T)</f>
        <v>0.38124999999999998</v>
      </c>
      <c r="F17" s="50">
        <f>LOOKUP(2,1/(('1224 4度C'!$A:$A="新豐5線")*('1224 4度C'!$T:$T&lt;&gt;"")),'1224 4度C'!$T:$T)</f>
        <v>0.84513888888888877</v>
      </c>
      <c r="G17" s="50">
        <f>LOOKUP(2,1/(('1224 4度C'!$A:$A="新豐7線")*('1224 4度C'!$T:$T&lt;&gt;"")),'1224 4度C'!$T:$T)</f>
        <v>0.84583333333333321</v>
      </c>
      <c r="H17" s="50">
        <f>LOOKUP(2,1/(('1224 4度C'!$A:$A="新豐3線")*('1224 4度C'!$T:$T&lt;&gt;"")),'1224 4度C'!$T:$T)</f>
        <v>0.44305555555555548</v>
      </c>
      <c r="I17" s="50">
        <f>LOOKUP(2,1/(('1224 4度C'!$A:$A="新豐1線")*('1224 4度C'!$T:$T&lt;&gt;"")),'1224 4度C'!$T:$T)</f>
        <v>0.84375</v>
      </c>
      <c r="J17" s="51">
        <f>LOOKUP(2,1/(('1224 4度C'!$A:$A="新豐10線")*('1224 4度C'!$T:$T&lt;&gt;"")),'1224 4度C'!$T:$T)</f>
        <v>0.42708333333333331</v>
      </c>
      <c r="K17" s="49">
        <f>LOOKUP(2,1/(('1224 4度C'!$A:$A="新豐8線")*('1224 4度C'!$T:$T&lt;&gt;"")),'1224 4度C'!$T:$T)</f>
        <v>0.46458333333333335</v>
      </c>
      <c r="L17" s="50">
        <f>LOOKUP(2,1/(('1224 4度C'!$A:$A="新豐9線")*('1224 4度C'!$T:$T&lt;&gt;"")),'1224 4度C'!$T:$T)</f>
        <v>0.42986111111111108</v>
      </c>
      <c r="M17" s="51">
        <f>LOOKUP(2,1/(('1224 4度C'!$A:$A="新豐4線")*('1224 4度C'!$T:$T&lt;&gt;"")),'1224 4度C'!$T:$T)</f>
        <v>0.46875</v>
      </c>
    </row>
    <row r="18" spans="2:13" ht="17.25" customHeight="1">
      <c r="B18" s="503" t="s">
        <v>1811</v>
      </c>
      <c r="C18" s="504"/>
      <c r="D18" s="39">
        <f>SUMIFS('1224 4度C'!$I:$I,'1224 4度C'!$A:$A,"新豐6線",'1224 4度C'!$B:$B,"平均")</f>
        <v>17.333333333333332</v>
      </c>
      <c r="E18" s="40">
        <f>SUMIFS('1224 4度C'!$I:$I,'1224 4度C'!$A:$A,"新豐2線",'1224 4度C'!$B:$B,"平均")</f>
        <v>18</v>
      </c>
      <c r="F18" s="40">
        <f>SUMIFS('1224 4度C'!$I:$I,'1224 4度C'!$A:$A,"新豐5線",'1224 4度C'!$B:$B,"平均")</f>
        <v>17.833333333333332</v>
      </c>
      <c r="G18" s="40">
        <f>SUMIFS('1224 4度C'!$I:$I,'1224 4度C'!$A:$A,"新豐7線",'1224 4度C'!$B:$B,"平均")</f>
        <v>15.888888888888889</v>
      </c>
      <c r="H18" s="40">
        <f>SUMIFS('1224 4度C'!$I:$I,'1224 4度C'!$A:$A,"新豐3線",'1224 4度C'!$B:$B,"平均")</f>
        <v>11</v>
      </c>
      <c r="I18" s="40">
        <f>SUMIFS('1224 4度C'!$I:$I,'1224 4度C'!$A:$A,"新豐1線",'1224 4度C'!$B:$B,"平均")</f>
        <v>17.75</v>
      </c>
      <c r="J18" s="41">
        <f>SUMIFS('1224 4度C'!$I:$I,'1224 4度C'!$A:$A,"新豐10線",'1224 4度C'!$B:$B,"平均")</f>
        <v>9.1666666666666661</v>
      </c>
      <c r="K18" s="39">
        <f>SUMIFS('1224 4度C'!$I:$I,'1224 4度C'!$A:$A,"新豐8線",'1224 4度C'!$B:$B,"平均")</f>
        <v>18.2</v>
      </c>
      <c r="L18" s="40">
        <f>SUMIFS('1224 4度C'!$I:$I,'1224 4度C'!$A:$A,"新豐9線",'1224 4度C'!$B:$B,"平均")</f>
        <v>17.428571428571427</v>
      </c>
      <c r="M18" s="41">
        <f>SUMIFS('1224 4度C'!$I:$I,'1224 4度C'!$A:$A,"新豐4線",'1224 4度C'!$B:$B,"平均")</f>
        <v>16.399999999999999</v>
      </c>
    </row>
    <row r="19" spans="2:13" ht="17.25" customHeight="1">
      <c r="B19" s="503" t="s">
        <v>1812</v>
      </c>
      <c r="C19" s="504"/>
      <c r="D19" s="42" t="s">
        <v>59</v>
      </c>
      <c r="E19" s="43" t="s">
        <v>60</v>
      </c>
      <c r="F19" s="43" t="s">
        <v>1813</v>
      </c>
      <c r="G19" s="43" t="s">
        <v>1813</v>
      </c>
      <c r="H19" s="43" t="s">
        <v>61</v>
      </c>
      <c r="I19" s="43" t="s">
        <v>59</v>
      </c>
      <c r="J19" s="44" t="s">
        <v>61</v>
      </c>
      <c r="K19" s="42" t="s">
        <v>1814</v>
      </c>
      <c r="L19" s="43" t="s">
        <v>1814</v>
      </c>
      <c r="M19" s="44" t="s">
        <v>1814</v>
      </c>
    </row>
    <row r="20" spans="2:13" ht="17.25" customHeight="1">
      <c r="B20" s="503" t="s">
        <v>1815</v>
      </c>
      <c r="C20" s="504"/>
      <c r="D20" s="42"/>
      <c r="E20" s="43"/>
      <c r="F20" s="43" t="s">
        <v>1816</v>
      </c>
      <c r="G20" s="43" t="s">
        <v>59</v>
      </c>
      <c r="H20" s="43"/>
      <c r="I20" s="43"/>
      <c r="J20" s="44"/>
      <c r="K20" s="42"/>
      <c r="L20" s="43"/>
      <c r="M20" s="44"/>
    </row>
    <row r="21" spans="2:13" ht="17.25" customHeight="1" thickBot="1">
      <c r="B21" s="505" t="s">
        <v>1817</v>
      </c>
      <c r="C21" s="506"/>
      <c r="D21" s="45"/>
      <c r="E21" s="46" t="s">
        <v>1818</v>
      </c>
      <c r="F21" s="507" t="s">
        <v>1819</v>
      </c>
      <c r="G21" s="508"/>
      <c r="H21" s="46" t="s">
        <v>1820</v>
      </c>
      <c r="I21" s="46" t="s">
        <v>1821</v>
      </c>
      <c r="J21" s="47" t="s">
        <v>1822</v>
      </c>
      <c r="K21" s="48"/>
      <c r="L21" s="46"/>
      <c r="M21" s="4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20:C20"/>
    <mergeCell ref="B21:C21"/>
    <mergeCell ref="F21:G21"/>
    <mergeCell ref="K10:M10"/>
    <mergeCell ref="B11:C12"/>
    <mergeCell ref="B13:B15"/>
    <mergeCell ref="B18:C18"/>
    <mergeCell ref="B19:C19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1607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C73"/>
  <sheetViews>
    <sheetView topLeftCell="J1" zoomScale="80" zoomScaleNormal="80" workbookViewId="0">
      <pane ySplit="4" topLeftCell="A55" activePane="bottomLeft" state="frozen"/>
      <selection activeCell="B4" sqref="B4:B8"/>
      <selection pane="bottomLeft" activeCell="W67" sqref="W67:X67"/>
    </sheetView>
  </sheetViews>
  <sheetFormatPr defaultColWidth="8" defaultRowHeight="15.75"/>
  <cols>
    <col min="1" max="1" width="15.125" style="54" customWidth="1"/>
    <col min="2" max="2" width="19.375" style="54" customWidth="1"/>
    <col min="3" max="3" width="15.25" style="54" customWidth="1"/>
    <col min="4" max="4" width="17.5" style="54" customWidth="1"/>
    <col min="5" max="5" width="7.5" style="54" bestFit="1" customWidth="1"/>
    <col min="6" max="6" width="14.375" style="54" bestFit="1" customWidth="1"/>
    <col min="7" max="7" width="14.375" style="54" customWidth="1"/>
    <col min="8" max="8" width="8" style="54" customWidth="1"/>
    <col min="9" max="9" width="5.875" style="54" customWidth="1"/>
    <col min="10" max="10" width="10.625" style="54" customWidth="1"/>
    <col min="11" max="11" width="14.625" style="54" customWidth="1"/>
    <col min="12" max="12" width="7.25" style="54" bestFit="1" customWidth="1"/>
    <col min="13" max="13" width="8" style="54" customWidth="1"/>
    <col min="14" max="14" width="12" style="54" customWidth="1"/>
    <col min="15" max="15" width="6" style="54" customWidth="1"/>
    <col min="16" max="16" width="9.25" style="54" customWidth="1"/>
    <col min="17" max="17" width="11.5" style="54" customWidth="1"/>
    <col min="18" max="18" width="8.5" style="54" customWidth="1"/>
    <col min="19" max="19" width="10.125" style="73" bestFit="1" customWidth="1"/>
    <col min="20" max="20" width="7.625" style="73" bestFit="1" customWidth="1"/>
    <col min="21" max="21" width="10.25" style="54" bestFit="1" customWidth="1"/>
    <col min="22" max="22" width="8.75" style="71" customWidth="1"/>
    <col min="23" max="23" width="7.375" style="54" customWidth="1"/>
    <col min="24" max="24" width="6.875" style="54" bestFit="1" customWidth="1"/>
    <col min="25" max="25" width="12.75" style="54" customWidth="1"/>
    <col min="26" max="26" width="18.875" style="54" customWidth="1"/>
    <col min="27" max="27" width="13.125" style="54" bestFit="1" customWidth="1"/>
    <col min="28" max="28" width="10.375" style="54" customWidth="1"/>
    <col min="29" max="29" width="9.375" style="54" customWidth="1"/>
    <col min="30" max="30" width="8" style="54"/>
    <col min="31" max="31" width="24.625" style="54" bestFit="1" customWidth="1"/>
    <col min="32" max="16384" width="8" style="54"/>
  </cols>
  <sheetData>
    <row r="1" spans="1:29" ht="26.25" customHeight="1">
      <c r="A1" s="52" t="s">
        <v>487</v>
      </c>
      <c r="B1" s="52"/>
      <c r="C1" s="117" t="s">
        <v>488</v>
      </c>
      <c r="D1" s="118">
        <f>SUM(F5:F72)</f>
        <v>133292</v>
      </c>
      <c r="E1" s="391" t="s">
        <v>489</v>
      </c>
      <c r="F1" s="52">
        <f>SUM(G5:G72)</f>
        <v>4635340.5599999996</v>
      </c>
      <c r="G1" s="52" t="s">
        <v>490</v>
      </c>
      <c r="H1" s="53">
        <f>L8+L11+L50+L59+L18+L66+L34+L42+L28+L72</f>
        <v>159.00079365079367</v>
      </c>
      <c r="I1" s="607" t="s">
        <v>76</v>
      </c>
      <c r="J1" s="607"/>
      <c r="K1" s="607"/>
      <c r="L1" s="607" t="s">
        <v>108</v>
      </c>
      <c r="M1" s="607"/>
      <c r="N1" s="607"/>
      <c r="O1" s="607" t="s">
        <v>91</v>
      </c>
      <c r="P1" s="607"/>
      <c r="Q1" s="607"/>
      <c r="R1" s="607"/>
      <c r="S1" s="607" t="s">
        <v>109</v>
      </c>
      <c r="T1" s="607"/>
      <c r="U1" s="607"/>
      <c r="V1" s="607"/>
      <c r="W1" s="607"/>
      <c r="X1" s="607"/>
      <c r="Y1" s="607" t="s">
        <v>77</v>
      </c>
      <c r="Z1" s="607"/>
      <c r="AA1" s="607" t="s">
        <v>110</v>
      </c>
      <c r="AB1" s="608"/>
      <c r="AC1" s="608"/>
    </row>
    <row r="2" spans="1:29" ht="26.25" customHeight="1">
      <c r="A2" s="55">
        <v>46015</v>
      </c>
      <c r="B2" s="56" t="s">
        <v>295</v>
      </c>
      <c r="C2" s="117" t="s">
        <v>498</v>
      </c>
      <c r="D2" s="119">
        <f>AVERAGE(N8,N11,N50,N59,N18,N66,N28,N34,N42,N72)</f>
        <v>141.54783403375367</v>
      </c>
      <c r="E2" s="120" t="s">
        <v>0</v>
      </c>
      <c r="F2" s="121">
        <f>F1/D1</f>
        <v>34.77583470875971</v>
      </c>
      <c r="G2" s="52" t="s">
        <v>92</v>
      </c>
      <c r="H2" s="402">
        <f>COUNT(H5:H72)</f>
        <v>2</v>
      </c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8"/>
      <c r="AB2" s="608"/>
      <c r="AC2" s="608"/>
    </row>
    <row r="3" spans="1:29" ht="23.25" customHeight="1">
      <c r="A3" s="559" t="s">
        <v>500</v>
      </c>
      <c r="B3" s="559" t="s">
        <v>623</v>
      </c>
      <c r="C3" s="559" t="s">
        <v>624</v>
      </c>
      <c r="D3" s="559"/>
      <c r="E3" s="605" t="s">
        <v>111</v>
      </c>
      <c r="F3" s="559" t="s">
        <v>79</v>
      </c>
      <c r="G3" s="605" t="s">
        <v>80</v>
      </c>
      <c r="H3" s="598" t="s">
        <v>81</v>
      </c>
      <c r="I3" s="596" t="s">
        <v>629</v>
      </c>
      <c r="J3" s="601" t="s">
        <v>83</v>
      </c>
      <c r="K3" s="603" t="s">
        <v>498</v>
      </c>
      <c r="L3" s="596" t="s">
        <v>629</v>
      </c>
      <c r="M3" s="601" t="s">
        <v>83</v>
      </c>
      <c r="N3" s="603" t="s">
        <v>498</v>
      </c>
      <c r="O3" s="596" t="s">
        <v>629</v>
      </c>
      <c r="P3" s="603" t="s">
        <v>498</v>
      </c>
      <c r="Q3" s="602" t="s">
        <v>84</v>
      </c>
      <c r="R3" s="574" t="s">
        <v>634</v>
      </c>
      <c r="S3" s="604" t="s">
        <v>1</v>
      </c>
      <c r="T3" s="604"/>
      <c r="U3" s="598" t="s">
        <v>2</v>
      </c>
      <c r="V3" s="598" t="s">
        <v>1823</v>
      </c>
      <c r="W3" s="559" t="s">
        <v>112</v>
      </c>
      <c r="X3" s="559"/>
      <c r="Y3" s="599" t="s">
        <v>1824</v>
      </c>
      <c r="Z3" s="600"/>
      <c r="AA3" s="601" t="s">
        <v>83</v>
      </c>
      <c r="AB3" s="602" t="s">
        <v>1825</v>
      </c>
      <c r="AC3" s="574" t="s">
        <v>634</v>
      </c>
    </row>
    <row r="4" spans="1:29">
      <c r="A4" s="559"/>
      <c r="B4" s="559"/>
      <c r="C4" s="559"/>
      <c r="D4" s="559"/>
      <c r="E4" s="606"/>
      <c r="F4" s="559"/>
      <c r="G4" s="606"/>
      <c r="H4" s="598"/>
      <c r="I4" s="596"/>
      <c r="J4" s="601"/>
      <c r="K4" s="603"/>
      <c r="L4" s="596"/>
      <c r="M4" s="601"/>
      <c r="N4" s="603"/>
      <c r="O4" s="596"/>
      <c r="P4" s="603"/>
      <c r="Q4" s="602"/>
      <c r="R4" s="574"/>
      <c r="S4" s="401" t="s">
        <v>3</v>
      </c>
      <c r="T4" s="401" t="s">
        <v>4</v>
      </c>
      <c r="U4" s="598"/>
      <c r="V4" s="598"/>
      <c r="W4" s="391" t="s">
        <v>1826</v>
      </c>
      <c r="X4" s="391" t="s">
        <v>1827</v>
      </c>
      <c r="Y4" s="600"/>
      <c r="Z4" s="600"/>
      <c r="AA4" s="601"/>
      <c r="AB4" s="602"/>
      <c r="AC4" s="574"/>
    </row>
    <row r="5" spans="1:29">
      <c r="A5" s="595" t="s">
        <v>116</v>
      </c>
      <c r="B5" s="57" t="s">
        <v>6</v>
      </c>
      <c r="C5" s="597" t="s">
        <v>9</v>
      </c>
      <c r="D5" s="597"/>
      <c r="E5" s="57">
        <v>50.67</v>
      </c>
      <c r="F5" s="401">
        <v>1244</v>
      </c>
      <c r="G5" s="391">
        <f t="shared" ref="G5:G7" si="0">E5*F5</f>
        <v>63033.48</v>
      </c>
      <c r="H5" s="403" t="s">
        <v>5</v>
      </c>
      <c r="I5" s="399">
        <v>17</v>
      </c>
      <c r="J5" s="58">
        <v>2000</v>
      </c>
      <c r="K5" s="59">
        <f t="shared" ref="K5:K68" si="1">J5/I5</f>
        <v>117.64705882352941</v>
      </c>
      <c r="L5" s="399">
        <v>17</v>
      </c>
      <c r="M5" s="60">
        <f t="shared" ref="M5:M7" si="2">F5/V5*60</f>
        <v>1913.8461538461529</v>
      </c>
      <c r="N5" s="59">
        <f t="shared" ref="N5:N68" si="3">M5/L5</f>
        <v>112.57918552036193</v>
      </c>
      <c r="O5" s="61">
        <f t="shared" ref="O5:O68" si="4">L5-I5</f>
        <v>0</v>
      </c>
      <c r="P5" s="62">
        <f t="shared" ref="P5:P68" si="5">N5-K5</f>
        <v>-5.0678733031674739</v>
      </c>
      <c r="Q5" s="392">
        <f t="shared" ref="Q5:Q68" si="6">N5/K5</f>
        <v>0.95692307692307643</v>
      </c>
      <c r="R5" s="566">
        <f>Q8</f>
        <v>0.9579743589743589</v>
      </c>
      <c r="S5" s="63">
        <v>0.70833333333333337</v>
      </c>
      <c r="T5" s="63">
        <v>0.73541666666666672</v>
      </c>
      <c r="U5" s="391"/>
      <c r="V5" s="400">
        <f t="shared" ref="V5:V7" si="7">(T5-S5)*24*60</f>
        <v>39.000000000000021</v>
      </c>
      <c r="W5" s="64"/>
      <c r="X5" s="65"/>
      <c r="Y5" s="559"/>
      <c r="Z5" s="559"/>
      <c r="AA5" s="61">
        <f t="shared" ref="AA5:AA68" si="8">M5-J5</f>
        <v>-86.153846153847098</v>
      </c>
      <c r="AB5" s="392">
        <f t="shared" ref="AB5:AB68" si="9">M5/J5</f>
        <v>0.95692307692307643</v>
      </c>
      <c r="AC5" s="566">
        <f>AB8</f>
        <v>0.95797435897435879</v>
      </c>
    </row>
    <row r="6" spans="1:29">
      <c r="A6" s="596" t="s">
        <v>116</v>
      </c>
      <c r="B6" s="57" t="s">
        <v>6</v>
      </c>
      <c r="C6" s="597" t="s">
        <v>22</v>
      </c>
      <c r="D6" s="597"/>
      <c r="E6" s="57">
        <v>54.09</v>
      </c>
      <c r="F6" s="401">
        <v>1276</v>
      </c>
      <c r="G6" s="391">
        <f t="shared" si="0"/>
        <v>69018.840000000011</v>
      </c>
      <c r="H6" s="403" t="s">
        <v>5</v>
      </c>
      <c r="I6" s="399">
        <v>19</v>
      </c>
      <c r="J6" s="58">
        <v>2000</v>
      </c>
      <c r="K6" s="59">
        <f t="shared" si="1"/>
        <v>105.26315789473684</v>
      </c>
      <c r="L6" s="399">
        <v>19</v>
      </c>
      <c r="M6" s="60">
        <f t="shared" si="2"/>
        <v>1913.9999999999993</v>
      </c>
      <c r="N6" s="59">
        <f t="shared" si="3"/>
        <v>100.73684210526312</v>
      </c>
      <c r="O6" s="61">
        <f t="shared" si="4"/>
        <v>0</v>
      </c>
      <c r="P6" s="62">
        <f t="shared" si="5"/>
        <v>-4.5263157894737134</v>
      </c>
      <c r="Q6" s="392">
        <f t="shared" si="6"/>
        <v>0.95699999999999974</v>
      </c>
      <c r="R6" s="566"/>
      <c r="S6" s="63">
        <v>0.73888888888888893</v>
      </c>
      <c r="T6" s="63">
        <v>0.76666666666666672</v>
      </c>
      <c r="U6" s="391">
        <f t="shared" ref="U6:U7" si="10">IF(S6=TIME(17,0,0),"",(S6-T5)*24*60)</f>
        <v>4.9999999999999822</v>
      </c>
      <c r="V6" s="400">
        <f t="shared" si="7"/>
        <v>40.000000000000014</v>
      </c>
      <c r="W6" s="64"/>
      <c r="X6" s="64"/>
      <c r="Y6" s="559"/>
      <c r="Z6" s="559"/>
      <c r="AA6" s="61">
        <f t="shared" si="8"/>
        <v>-86.000000000000682</v>
      </c>
      <c r="AB6" s="392">
        <f t="shared" si="9"/>
        <v>0.95699999999999963</v>
      </c>
      <c r="AC6" s="566"/>
    </row>
    <row r="7" spans="1:29">
      <c r="A7" s="596" t="s">
        <v>116</v>
      </c>
      <c r="B7" s="57" t="s">
        <v>6</v>
      </c>
      <c r="C7" s="590" t="s">
        <v>1619</v>
      </c>
      <c r="D7" s="591"/>
      <c r="E7" s="57">
        <v>47.98</v>
      </c>
      <c r="F7" s="401">
        <v>3200</v>
      </c>
      <c r="G7" s="391">
        <f t="shared" si="0"/>
        <v>153536</v>
      </c>
      <c r="H7" s="403">
        <v>2</v>
      </c>
      <c r="I7" s="399">
        <v>16</v>
      </c>
      <c r="J7" s="58">
        <v>2000</v>
      </c>
      <c r="K7" s="59">
        <f t="shared" si="1"/>
        <v>125</v>
      </c>
      <c r="L7" s="399">
        <v>16</v>
      </c>
      <c r="M7" s="60">
        <f t="shared" si="2"/>
        <v>1920.0000000000005</v>
      </c>
      <c r="N7" s="59">
        <f t="shared" si="3"/>
        <v>120.00000000000003</v>
      </c>
      <c r="O7" s="61">
        <f t="shared" si="4"/>
        <v>0</v>
      </c>
      <c r="P7" s="62">
        <f t="shared" si="5"/>
        <v>-4.9999999999999716</v>
      </c>
      <c r="Q7" s="392">
        <f t="shared" si="6"/>
        <v>0.96000000000000019</v>
      </c>
      <c r="R7" s="566"/>
      <c r="S7" s="63">
        <v>0.77083333333333337</v>
      </c>
      <c r="T7" s="63">
        <v>0.84027777777777779</v>
      </c>
      <c r="U7" s="391">
        <f t="shared" si="10"/>
        <v>5.9999999999999787</v>
      </c>
      <c r="V7" s="400">
        <f t="shared" si="7"/>
        <v>99.999999999999972</v>
      </c>
      <c r="W7" s="64"/>
      <c r="X7" s="64"/>
      <c r="Y7" s="569"/>
      <c r="Z7" s="570"/>
      <c r="AA7" s="61">
        <f t="shared" si="8"/>
        <v>-79.999999999999545</v>
      </c>
      <c r="AB7" s="392">
        <f t="shared" si="9"/>
        <v>0.96000000000000019</v>
      </c>
      <c r="AC7" s="566"/>
    </row>
    <row r="8" spans="1:29">
      <c r="A8" s="596" t="s">
        <v>116</v>
      </c>
      <c r="B8" s="57" t="s">
        <v>67</v>
      </c>
      <c r="C8" s="571"/>
      <c r="D8" s="571"/>
      <c r="E8" s="393"/>
      <c r="F8" s="66"/>
      <c r="G8" s="59"/>
      <c r="H8" s="401"/>
      <c r="I8" s="67">
        <v>17.333333333333332</v>
      </c>
      <c r="J8" s="58">
        <v>2000</v>
      </c>
      <c r="K8" s="59">
        <f t="shared" si="1"/>
        <v>115.38461538461539</v>
      </c>
      <c r="L8" s="67">
        <v>17.333333333333332</v>
      </c>
      <c r="M8" s="60">
        <f>AVERAGE(M5:M7)</f>
        <v>1915.9487179487176</v>
      </c>
      <c r="N8" s="59">
        <f t="shared" si="3"/>
        <v>110.53550295857987</v>
      </c>
      <c r="O8" s="61">
        <f t="shared" si="4"/>
        <v>0</v>
      </c>
      <c r="P8" s="62">
        <f t="shared" si="5"/>
        <v>-4.8491124260355178</v>
      </c>
      <c r="Q8" s="392">
        <f t="shared" si="6"/>
        <v>0.9579743589743589</v>
      </c>
      <c r="R8" s="566"/>
      <c r="S8" s="63"/>
      <c r="T8" s="63"/>
      <c r="U8" s="391"/>
      <c r="V8" s="400"/>
      <c r="W8" s="59"/>
      <c r="X8" s="59"/>
      <c r="Y8" s="559"/>
      <c r="Z8" s="559"/>
      <c r="AA8" s="61">
        <f t="shared" si="8"/>
        <v>-84.051282051282442</v>
      </c>
      <c r="AB8" s="392">
        <f t="shared" si="9"/>
        <v>0.95797435897435879</v>
      </c>
      <c r="AC8" s="566"/>
    </row>
    <row r="9" spans="1:29" ht="15.75" customHeight="1">
      <c r="A9" s="594" t="s">
        <v>85</v>
      </c>
      <c r="B9" s="57" t="s">
        <v>10</v>
      </c>
      <c r="C9" s="590" t="s">
        <v>14</v>
      </c>
      <c r="D9" s="591"/>
      <c r="E9" s="57">
        <v>39.619999999999997</v>
      </c>
      <c r="F9" s="401">
        <v>2720</v>
      </c>
      <c r="G9" s="391">
        <f t="shared" ref="G9:G10" si="11">E9*F9</f>
        <v>107766.39999999999</v>
      </c>
      <c r="H9" s="403" t="s">
        <v>5</v>
      </c>
      <c r="I9" s="399">
        <v>19</v>
      </c>
      <c r="J9" s="58">
        <v>1500</v>
      </c>
      <c r="K9" s="59">
        <f t="shared" si="1"/>
        <v>78.94736842105263</v>
      </c>
      <c r="L9" s="399">
        <v>19</v>
      </c>
      <c r="M9" s="60">
        <f t="shared" ref="M9:M10" si="12">F9/V9*60</f>
        <v>1431.578947368421</v>
      </c>
      <c r="N9" s="59">
        <f t="shared" si="3"/>
        <v>75.34626038781164</v>
      </c>
      <c r="O9" s="61">
        <f t="shared" si="4"/>
        <v>0</v>
      </c>
      <c r="P9" s="62">
        <f t="shared" si="5"/>
        <v>-3.6011080332409904</v>
      </c>
      <c r="Q9" s="392">
        <f t="shared" si="6"/>
        <v>0.95438596491228078</v>
      </c>
      <c r="R9" s="566">
        <f>Q11</f>
        <v>0.95321707884168272</v>
      </c>
      <c r="S9" s="63">
        <v>0.16666666666666666</v>
      </c>
      <c r="T9" s="63">
        <v>0.24583333333333332</v>
      </c>
      <c r="U9" s="391"/>
      <c r="V9" s="400">
        <f t="shared" ref="V9:V10" si="13">(T9-S9)*24*60</f>
        <v>114</v>
      </c>
      <c r="W9" s="64">
        <f>T9</f>
        <v>0.24583333333333332</v>
      </c>
      <c r="X9" s="64">
        <f>S10</f>
        <v>0.26597222222222222</v>
      </c>
      <c r="Y9" s="559"/>
      <c r="Z9" s="559"/>
      <c r="AA9" s="61">
        <f t="shared" si="8"/>
        <v>-68.421052631578959</v>
      </c>
      <c r="AB9" s="392">
        <f t="shared" si="9"/>
        <v>0.95438596491228067</v>
      </c>
      <c r="AC9" s="566">
        <f>AB11</f>
        <v>0.95321707884168261</v>
      </c>
    </row>
    <row r="10" spans="1:29" ht="15.75" customHeight="1">
      <c r="A10" s="594" t="s">
        <v>85</v>
      </c>
      <c r="B10" s="57" t="s">
        <v>10</v>
      </c>
      <c r="C10" s="590" t="s">
        <v>11</v>
      </c>
      <c r="D10" s="591"/>
      <c r="E10" s="57">
        <v>39.799999999999997</v>
      </c>
      <c r="F10" s="401">
        <v>3951</v>
      </c>
      <c r="G10" s="391">
        <f t="shared" si="11"/>
        <v>157249.79999999999</v>
      </c>
      <c r="H10" s="403" t="s">
        <v>5</v>
      </c>
      <c r="I10" s="399">
        <v>17</v>
      </c>
      <c r="J10" s="58">
        <v>1500</v>
      </c>
      <c r="K10" s="59">
        <f t="shared" si="1"/>
        <v>88.235294117647058</v>
      </c>
      <c r="L10" s="399">
        <v>17</v>
      </c>
      <c r="M10" s="60">
        <f t="shared" si="12"/>
        <v>1428.0722891566268</v>
      </c>
      <c r="N10" s="59">
        <f t="shared" si="3"/>
        <v>84.004252303330986</v>
      </c>
      <c r="O10" s="61">
        <f t="shared" si="4"/>
        <v>0</v>
      </c>
      <c r="P10" s="62">
        <f t="shared" si="5"/>
        <v>-4.2310418143160717</v>
      </c>
      <c r="Q10" s="392">
        <f t="shared" si="6"/>
        <v>0.95204819277108454</v>
      </c>
      <c r="R10" s="566"/>
      <c r="S10" s="63">
        <v>0.26597222222222222</v>
      </c>
      <c r="T10" s="63">
        <v>0.38124999999999998</v>
      </c>
      <c r="U10" s="391">
        <f t="shared" ref="U10" si="14">IF(S10=TIME(17,0,0),"",(S10-T9)*24*60)</f>
        <v>29.000000000000018</v>
      </c>
      <c r="V10" s="400">
        <f t="shared" si="13"/>
        <v>165.99999999999997</v>
      </c>
      <c r="W10" s="64"/>
      <c r="X10" s="64"/>
      <c r="Y10" s="559"/>
      <c r="Z10" s="559"/>
      <c r="AA10" s="61">
        <f t="shared" si="8"/>
        <v>-71.927710843373234</v>
      </c>
      <c r="AB10" s="392">
        <f t="shared" si="9"/>
        <v>0.95204819277108454</v>
      </c>
      <c r="AC10" s="566"/>
    </row>
    <row r="11" spans="1:29" ht="16.5" customHeight="1">
      <c r="A11" s="594" t="s">
        <v>85</v>
      </c>
      <c r="B11" s="57" t="s">
        <v>67</v>
      </c>
      <c r="C11" s="571"/>
      <c r="D11" s="571"/>
      <c r="E11" s="393"/>
      <c r="F11" s="58"/>
      <c r="G11" s="60"/>
      <c r="H11" s="401"/>
      <c r="I11" s="67">
        <v>18</v>
      </c>
      <c r="J11" s="58">
        <v>1500</v>
      </c>
      <c r="K11" s="59">
        <f t="shared" si="1"/>
        <v>83.333333333333329</v>
      </c>
      <c r="L11" s="67">
        <v>18</v>
      </c>
      <c r="M11" s="60">
        <f>AVERAGE(M9:M10)</f>
        <v>1429.8256182625239</v>
      </c>
      <c r="N11" s="59">
        <f t="shared" si="3"/>
        <v>79.434756570140223</v>
      </c>
      <c r="O11" s="61">
        <f t="shared" si="4"/>
        <v>0</v>
      </c>
      <c r="P11" s="62">
        <f t="shared" si="5"/>
        <v>-3.8985767631931054</v>
      </c>
      <c r="Q11" s="392">
        <f t="shared" si="6"/>
        <v>0.95321707884168272</v>
      </c>
      <c r="R11" s="566"/>
      <c r="S11" s="63"/>
      <c r="T11" s="63"/>
      <c r="U11" s="59"/>
      <c r="V11" s="400"/>
      <c r="W11" s="59"/>
      <c r="X11" s="59"/>
      <c r="Y11" s="559"/>
      <c r="Z11" s="559"/>
      <c r="AA11" s="61">
        <f t="shared" si="8"/>
        <v>-70.174381737476097</v>
      </c>
      <c r="AB11" s="392">
        <f t="shared" si="9"/>
        <v>0.95321707884168261</v>
      </c>
      <c r="AC11" s="566"/>
    </row>
    <row r="12" spans="1:29" ht="16.5" customHeight="1">
      <c r="A12" s="592" t="s">
        <v>443</v>
      </c>
      <c r="B12" s="401" t="s">
        <v>12</v>
      </c>
      <c r="C12" s="584" t="s">
        <v>13</v>
      </c>
      <c r="D12" s="584"/>
      <c r="E12" s="57">
        <v>41</v>
      </c>
      <c r="F12" s="401">
        <v>1647</v>
      </c>
      <c r="G12" s="391">
        <f t="shared" ref="G12:G17" si="15">E12*F12</f>
        <v>67527</v>
      </c>
      <c r="H12" s="403" t="s">
        <v>5</v>
      </c>
      <c r="I12" s="399">
        <v>26</v>
      </c>
      <c r="J12" s="58">
        <v>1500</v>
      </c>
      <c r="K12" s="59">
        <f t="shared" si="1"/>
        <v>57.692307692307693</v>
      </c>
      <c r="L12" s="399">
        <v>26</v>
      </c>
      <c r="M12" s="60">
        <f t="shared" ref="M12:M17" si="16">F12/V12*60</f>
        <v>1432.1739130434792</v>
      </c>
      <c r="N12" s="59">
        <f t="shared" si="3"/>
        <v>55.083612040133815</v>
      </c>
      <c r="O12" s="61">
        <f t="shared" si="4"/>
        <v>0</v>
      </c>
      <c r="P12" s="62">
        <f t="shared" si="5"/>
        <v>-2.6086956521738784</v>
      </c>
      <c r="Q12" s="392">
        <f t="shared" si="6"/>
        <v>0.95478260869565279</v>
      </c>
      <c r="R12" s="566">
        <f>Q18</f>
        <v>0.95659981457564114</v>
      </c>
      <c r="S12" s="63">
        <v>0.20833333333333334</v>
      </c>
      <c r="T12" s="63">
        <v>0.25624999999999998</v>
      </c>
      <c r="U12" s="391"/>
      <c r="V12" s="400">
        <f t="shared" ref="V12:V17" si="17">(T12-S12)*24*60</f>
        <v>68.999999999999957</v>
      </c>
      <c r="W12" s="68"/>
      <c r="X12" s="68"/>
      <c r="Y12" s="559"/>
      <c r="Z12" s="559"/>
      <c r="AA12" s="61">
        <f t="shared" si="8"/>
        <v>-67.82608695652084</v>
      </c>
      <c r="AB12" s="392">
        <f t="shared" si="9"/>
        <v>0.95478260869565279</v>
      </c>
      <c r="AC12" s="566">
        <f>AB18</f>
        <v>0.95659981457564114</v>
      </c>
    </row>
    <row r="13" spans="1:29" ht="16.5" customHeight="1">
      <c r="A13" s="593" t="s">
        <v>443</v>
      </c>
      <c r="B13" s="401" t="s">
        <v>657</v>
      </c>
      <c r="C13" s="584" t="s">
        <v>236</v>
      </c>
      <c r="D13" s="584"/>
      <c r="E13" s="57">
        <v>72.400000000000006</v>
      </c>
      <c r="F13" s="401">
        <v>792</v>
      </c>
      <c r="G13" s="391">
        <f t="shared" si="15"/>
        <v>57340.800000000003</v>
      </c>
      <c r="H13" s="403" t="s">
        <v>5</v>
      </c>
      <c r="I13" s="399">
        <v>18</v>
      </c>
      <c r="J13" s="58">
        <v>1500</v>
      </c>
      <c r="K13" s="59">
        <f t="shared" si="1"/>
        <v>83.333333333333329</v>
      </c>
      <c r="L13" s="399">
        <v>18</v>
      </c>
      <c r="M13" s="60">
        <f t="shared" si="16"/>
        <v>1439.9999999999982</v>
      </c>
      <c r="N13" s="59">
        <f t="shared" si="3"/>
        <v>79.999999999999901</v>
      </c>
      <c r="O13" s="61">
        <f t="shared" si="4"/>
        <v>0</v>
      </c>
      <c r="P13" s="62">
        <f t="shared" si="5"/>
        <v>-3.3333333333334281</v>
      </c>
      <c r="Q13" s="392">
        <f t="shared" si="6"/>
        <v>0.95999999999999885</v>
      </c>
      <c r="R13" s="566"/>
      <c r="S13" s="63">
        <v>0.26111111111111107</v>
      </c>
      <c r="T13" s="63">
        <v>0.28402777777777777</v>
      </c>
      <c r="U13" s="391">
        <f t="shared" ref="U13:U17" si="18">IF(S13=TIME(17,0,0),"",(S13-T12)*24*60)</f>
        <v>6.9999999999999751</v>
      </c>
      <c r="V13" s="400">
        <f t="shared" si="17"/>
        <v>33.000000000000043</v>
      </c>
      <c r="W13" s="64"/>
      <c r="X13" s="64"/>
      <c r="Y13" s="559"/>
      <c r="Z13" s="559"/>
      <c r="AA13" s="61">
        <f t="shared" si="8"/>
        <v>-60.000000000001819</v>
      </c>
      <c r="AB13" s="392">
        <f t="shared" si="9"/>
        <v>0.95999999999999874</v>
      </c>
      <c r="AC13" s="566"/>
    </row>
    <row r="14" spans="1:29" ht="16.5" customHeight="1">
      <c r="A14" s="593" t="s">
        <v>443</v>
      </c>
      <c r="B14" s="401" t="s">
        <v>65</v>
      </c>
      <c r="C14" s="584" t="s">
        <v>1765</v>
      </c>
      <c r="D14" s="584"/>
      <c r="E14" s="57">
        <v>48.36</v>
      </c>
      <c r="F14" s="401">
        <v>2277</v>
      </c>
      <c r="G14" s="391">
        <f t="shared" si="15"/>
        <v>110115.72</v>
      </c>
      <c r="H14" s="403" t="s">
        <v>5</v>
      </c>
      <c r="I14" s="399">
        <v>16</v>
      </c>
      <c r="J14" s="58">
        <v>1500</v>
      </c>
      <c r="K14" s="59">
        <f t="shared" si="1"/>
        <v>93.75</v>
      </c>
      <c r="L14" s="399">
        <v>16</v>
      </c>
      <c r="M14" s="60">
        <f t="shared" si="16"/>
        <v>1438.105263157895</v>
      </c>
      <c r="N14" s="59">
        <f t="shared" si="3"/>
        <v>89.881578947368439</v>
      </c>
      <c r="O14" s="61">
        <f t="shared" si="4"/>
        <v>0</v>
      </c>
      <c r="P14" s="62">
        <f t="shared" si="5"/>
        <v>-3.868421052631561</v>
      </c>
      <c r="Q14" s="392">
        <f t="shared" si="6"/>
        <v>0.95873684210526333</v>
      </c>
      <c r="R14" s="566"/>
      <c r="S14" s="63">
        <v>0.28819444444444442</v>
      </c>
      <c r="T14" s="63">
        <v>0.35416666666666663</v>
      </c>
      <c r="U14" s="391">
        <f t="shared" si="18"/>
        <v>5.9999999999999787</v>
      </c>
      <c r="V14" s="400">
        <f t="shared" si="17"/>
        <v>94.999999999999986</v>
      </c>
      <c r="W14" s="64"/>
      <c r="X14" s="64"/>
      <c r="Y14" s="559"/>
      <c r="Z14" s="559"/>
      <c r="AA14" s="61">
        <f t="shared" si="8"/>
        <v>-61.894736842104976</v>
      </c>
      <c r="AB14" s="392">
        <f t="shared" si="9"/>
        <v>0.95873684210526333</v>
      </c>
      <c r="AC14" s="566"/>
    </row>
    <row r="15" spans="1:29" ht="16.5" customHeight="1">
      <c r="A15" s="593" t="s">
        <v>443</v>
      </c>
      <c r="B15" s="401" t="s">
        <v>6</v>
      </c>
      <c r="C15" s="584" t="s">
        <v>95</v>
      </c>
      <c r="D15" s="584"/>
      <c r="E15" s="57">
        <v>50.98</v>
      </c>
      <c r="F15" s="401">
        <v>1916</v>
      </c>
      <c r="G15" s="391">
        <f t="shared" si="15"/>
        <v>97677.68</v>
      </c>
      <c r="H15" s="403" t="s">
        <v>5</v>
      </c>
      <c r="I15" s="399">
        <v>16</v>
      </c>
      <c r="J15" s="58">
        <v>2000</v>
      </c>
      <c r="K15" s="59">
        <f t="shared" si="1"/>
        <v>125</v>
      </c>
      <c r="L15" s="399">
        <v>16</v>
      </c>
      <c r="M15" s="60">
        <f t="shared" si="16"/>
        <v>1916.0000000000018</v>
      </c>
      <c r="N15" s="59">
        <f t="shared" si="3"/>
        <v>119.75000000000011</v>
      </c>
      <c r="O15" s="61">
        <f t="shared" si="4"/>
        <v>0</v>
      </c>
      <c r="P15" s="62">
        <f t="shared" si="5"/>
        <v>-5.2499999999998863</v>
      </c>
      <c r="Q15" s="392">
        <f t="shared" si="6"/>
        <v>0.95800000000000096</v>
      </c>
      <c r="R15" s="566"/>
      <c r="S15" s="63">
        <v>0.70833333333333337</v>
      </c>
      <c r="T15" s="63">
        <v>0.75</v>
      </c>
      <c r="U15" s="391" t="str">
        <f t="shared" si="18"/>
        <v/>
      </c>
      <c r="V15" s="400">
        <f t="shared" si="17"/>
        <v>59.999999999999943</v>
      </c>
      <c r="W15" s="64"/>
      <c r="X15" s="64"/>
      <c r="Y15" s="559"/>
      <c r="Z15" s="559"/>
      <c r="AA15" s="61">
        <f t="shared" si="8"/>
        <v>-83.999999999998181</v>
      </c>
      <c r="AB15" s="392">
        <f t="shared" si="9"/>
        <v>0.95800000000000096</v>
      </c>
      <c r="AC15" s="566"/>
    </row>
    <row r="16" spans="1:29" ht="16.5" customHeight="1">
      <c r="A16" s="593" t="s">
        <v>443</v>
      </c>
      <c r="B16" s="401" t="s">
        <v>6</v>
      </c>
      <c r="C16" s="584" t="s">
        <v>18</v>
      </c>
      <c r="D16" s="584"/>
      <c r="E16" s="57">
        <v>50.92</v>
      </c>
      <c r="F16" s="401">
        <v>1943</v>
      </c>
      <c r="G16" s="391">
        <f t="shared" si="15"/>
        <v>98937.56</v>
      </c>
      <c r="H16" s="403" t="s">
        <v>5</v>
      </c>
      <c r="I16" s="399">
        <v>15</v>
      </c>
      <c r="J16" s="58">
        <v>2000</v>
      </c>
      <c r="K16" s="59">
        <f t="shared" si="1"/>
        <v>133.33333333333334</v>
      </c>
      <c r="L16" s="399">
        <v>15</v>
      </c>
      <c r="M16" s="60">
        <f t="shared" si="16"/>
        <v>1911.1475409836082</v>
      </c>
      <c r="N16" s="59">
        <f t="shared" si="3"/>
        <v>127.40983606557388</v>
      </c>
      <c r="O16" s="61">
        <f t="shared" si="4"/>
        <v>0</v>
      </c>
      <c r="P16" s="62">
        <f t="shared" si="5"/>
        <v>-5.9234972677594584</v>
      </c>
      <c r="Q16" s="392">
        <f t="shared" si="6"/>
        <v>0.95557377049180403</v>
      </c>
      <c r="R16" s="566"/>
      <c r="S16" s="63">
        <v>0.75347222222222221</v>
      </c>
      <c r="T16" s="63">
        <v>0.79583333333333328</v>
      </c>
      <c r="U16" s="391">
        <f t="shared" si="18"/>
        <v>4.9999999999999822</v>
      </c>
      <c r="V16" s="400">
        <f t="shared" si="17"/>
        <v>60.999999999999943</v>
      </c>
      <c r="W16" s="64"/>
      <c r="X16" s="64"/>
      <c r="Y16" s="559"/>
      <c r="Z16" s="559"/>
      <c r="AA16" s="61">
        <f t="shared" si="8"/>
        <v>-88.852459016391776</v>
      </c>
      <c r="AB16" s="392">
        <f t="shared" si="9"/>
        <v>0.95557377049180414</v>
      </c>
      <c r="AC16" s="566"/>
    </row>
    <row r="17" spans="1:29" ht="16.5" customHeight="1">
      <c r="A17" s="593" t="s">
        <v>443</v>
      </c>
      <c r="B17" s="401" t="s">
        <v>6</v>
      </c>
      <c r="C17" s="585" t="s">
        <v>99</v>
      </c>
      <c r="D17" s="586"/>
      <c r="E17" s="57">
        <v>53.68</v>
      </c>
      <c r="F17" s="401">
        <v>1500</v>
      </c>
      <c r="G17" s="391">
        <f t="shared" si="15"/>
        <v>80520</v>
      </c>
      <c r="H17" s="403">
        <v>2</v>
      </c>
      <c r="I17" s="399">
        <v>16</v>
      </c>
      <c r="J17" s="58">
        <v>1500</v>
      </c>
      <c r="K17" s="59">
        <f t="shared" si="1"/>
        <v>93.75</v>
      </c>
      <c r="L17" s="399">
        <v>16</v>
      </c>
      <c r="M17" s="60">
        <f t="shared" si="16"/>
        <v>1428.57142857143</v>
      </c>
      <c r="N17" s="59">
        <f t="shared" si="3"/>
        <v>89.285714285714377</v>
      </c>
      <c r="O17" s="61">
        <f t="shared" si="4"/>
        <v>0</v>
      </c>
      <c r="P17" s="62">
        <f t="shared" si="5"/>
        <v>-4.4642857142856229</v>
      </c>
      <c r="Q17" s="392">
        <f t="shared" si="6"/>
        <v>0.95238095238095333</v>
      </c>
      <c r="R17" s="566"/>
      <c r="S17" s="63">
        <v>0.80138888888888882</v>
      </c>
      <c r="T17" s="63">
        <v>0.84513888888888877</v>
      </c>
      <c r="U17" s="391">
        <f t="shared" si="18"/>
        <v>7.9999999999999716</v>
      </c>
      <c r="V17" s="400">
        <f t="shared" si="17"/>
        <v>62.999999999999936</v>
      </c>
      <c r="W17" s="64"/>
      <c r="X17" s="64"/>
      <c r="Y17" s="569"/>
      <c r="Z17" s="570"/>
      <c r="AA17" s="61">
        <f t="shared" si="8"/>
        <v>-71.428571428569967</v>
      </c>
      <c r="AB17" s="392">
        <f t="shared" si="9"/>
        <v>0.95238095238095333</v>
      </c>
      <c r="AC17" s="566"/>
    </row>
    <row r="18" spans="1:29" ht="16.5" customHeight="1">
      <c r="A18" s="593" t="s">
        <v>443</v>
      </c>
      <c r="B18" s="57" t="s">
        <v>67</v>
      </c>
      <c r="C18" s="571"/>
      <c r="D18" s="571"/>
      <c r="E18" s="393"/>
      <c r="F18" s="66"/>
      <c r="G18" s="59"/>
      <c r="H18" s="401"/>
      <c r="I18" s="67">
        <v>17.833333333333332</v>
      </c>
      <c r="J18" s="58">
        <v>1666.6666666666667</v>
      </c>
      <c r="K18" s="59">
        <f t="shared" si="1"/>
        <v>93.45794392523365</v>
      </c>
      <c r="L18" s="67">
        <v>17.833333333333332</v>
      </c>
      <c r="M18" s="60">
        <f>AVERAGE(M12:M17)</f>
        <v>1594.3330242927352</v>
      </c>
      <c r="N18" s="59">
        <f t="shared" si="3"/>
        <v>89.401851829499179</v>
      </c>
      <c r="O18" s="61">
        <f t="shared" si="4"/>
        <v>0</v>
      </c>
      <c r="P18" s="62">
        <f t="shared" si="5"/>
        <v>-4.0560920957344706</v>
      </c>
      <c r="Q18" s="392">
        <f t="shared" si="6"/>
        <v>0.95659981457564114</v>
      </c>
      <c r="R18" s="566"/>
      <c r="S18" s="63"/>
      <c r="T18" s="63"/>
      <c r="U18" s="391"/>
      <c r="V18" s="400"/>
      <c r="W18" s="59"/>
      <c r="X18" s="59"/>
      <c r="Y18" s="559"/>
      <c r="Z18" s="559"/>
      <c r="AA18" s="61">
        <f t="shared" si="8"/>
        <v>-72.333642373931525</v>
      </c>
      <c r="AB18" s="392">
        <f t="shared" si="9"/>
        <v>0.95659981457564114</v>
      </c>
      <c r="AC18" s="566"/>
    </row>
    <row r="19" spans="1:29" ht="15.75" customHeight="1">
      <c r="A19" s="588" t="s">
        <v>86</v>
      </c>
      <c r="B19" s="57" t="s">
        <v>12</v>
      </c>
      <c r="C19" s="584" t="s">
        <v>19</v>
      </c>
      <c r="D19" s="584"/>
      <c r="E19" s="57">
        <v>43.14</v>
      </c>
      <c r="F19" s="401">
        <v>885</v>
      </c>
      <c r="G19" s="391">
        <f t="shared" ref="G19:G27" si="19">E19*F19</f>
        <v>38178.9</v>
      </c>
      <c r="H19" s="403" t="s">
        <v>5</v>
      </c>
      <c r="I19" s="399">
        <v>17</v>
      </c>
      <c r="J19" s="58">
        <v>2000</v>
      </c>
      <c r="K19" s="59">
        <f t="shared" si="1"/>
        <v>117.64705882352941</v>
      </c>
      <c r="L19" s="399">
        <v>17</v>
      </c>
      <c r="M19" s="60">
        <f t="shared" ref="M19:M27" si="20">F19/V19*60</f>
        <v>1966.6666666666677</v>
      </c>
      <c r="N19" s="59">
        <f t="shared" si="3"/>
        <v>115.68627450980398</v>
      </c>
      <c r="O19" s="61">
        <f t="shared" si="4"/>
        <v>0</v>
      </c>
      <c r="P19" s="62">
        <f t="shared" si="5"/>
        <v>-1.9607843137254264</v>
      </c>
      <c r="Q19" s="392">
        <f t="shared" si="6"/>
        <v>0.98333333333333384</v>
      </c>
      <c r="R19" s="566">
        <f>Q28</f>
        <v>0.96493246457935566</v>
      </c>
      <c r="S19" s="63">
        <v>0.20833333333333334</v>
      </c>
      <c r="T19" s="63">
        <v>0.22708333333333333</v>
      </c>
      <c r="U19" s="391"/>
      <c r="V19" s="400">
        <f t="shared" ref="V19:V27" si="21">(T19-S19)*24*60</f>
        <v>26.999999999999986</v>
      </c>
      <c r="W19" s="68"/>
      <c r="X19" s="68"/>
      <c r="Y19" s="559"/>
      <c r="Z19" s="559"/>
      <c r="AA19" s="61">
        <f t="shared" si="8"/>
        <v>-33.333333333332348</v>
      </c>
      <c r="AB19" s="392">
        <f t="shared" si="9"/>
        <v>0.98333333333333384</v>
      </c>
      <c r="AC19" s="566">
        <f>AB28</f>
        <v>0.96493246457935566</v>
      </c>
    </row>
    <row r="20" spans="1:29" ht="15.75" customHeight="1">
      <c r="A20" s="589" t="s">
        <v>86</v>
      </c>
      <c r="B20" s="57" t="s">
        <v>65</v>
      </c>
      <c r="C20" s="584" t="s">
        <v>97</v>
      </c>
      <c r="D20" s="584"/>
      <c r="E20" s="57">
        <v>49.9</v>
      </c>
      <c r="F20" s="401">
        <v>1049</v>
      </c>
      <c r="G20" s="391">
        <f t="shared" si="19"/>
        <v>52345.1</v>
      </c>
      <c r="H20" s="403" t="s">
        <v>5</v>
      </c>
      <c r="I20" s="399">
        <v>17</v>
      </c>
      <c r="J20" s="58">
        <v>2000</v>
      </c>
      <c r="K20" s="59">
        <f t="shared" si="1"/>
        <v>117.64705882352941</v>
      </c>
      <c r="L20" s="399">
        <v>17</v>
      </c>
      <c r="M20" s="60">
        <f t="shared" si="20"/>
        <v>1907.2727272727273</v>
      </c>
      <c r="N20" s="59">
        <f t="shared" si="3"/>
        <v>112.19251336898395</v>
      </c>
      <c r="O20" s="61">
        <f t="shared" si="4"/>
        <v>0</v>
      </c>
      <c r="P20" s="62">
        <f t="shared" si="5"/>
        <v>-5.4545454545454533</v>
      </c>
      <c r="Q20" s="392">
        <f t="shared" si="6"/>
        <v>0.95363636363636362</v>
      </c>
      <c r="R20" s="566"/>
      <c r="S20" s="63">
        <v>0.23055555555555554</v>
      </c>
      <c r="T20" s="63">
        <v>0.25347222222222221</v>
      </c>
      <c r="U20" s="391">
        <f t="shared" ref="U20:U27" si="22">IF(S20=TIME(17,0,0),"",(S20-T19)*24*60)</f>
        <v>4.9999999999999822</v>
      </c>
      <c r="V20" s="400">
        <f t="shared" si="21"/>
        <v>33</v>
      </c>
      <c r="W20" s="64"/>
      <c r="X20" s="391"/>
      <c r="Y20" s="559"/>
      <c r="Z20" s="559"/>
      <c r="AA20" s="61">
        <f t="shared" si="8"/>
        <v>-92.727272727272748</v>
      </c>
      <c r="AB20" s="392">
        <f t="shared" si="9"/>
        <v>0.95363636363636362</v>
      </c>
      <c r="AC20" s="566"/>
    </row>
    <row r="21" spans="1:29" ht="15.75" customHeight="1">
      <c r="A21" s="589" t="s">
        <v>86</v>
      </c>
      <c r="B21" s="57" t="s">
        <v>6</v>
      </c>
      <c r="C21" s="584" t="s">
        <v>20</v>
      </c>
      <c r="D21" s="584"/>
      <c r="E21" s="57">
        <v>57.73</v>
      </c>
      <c r="F21" s="401">
        <v>2134</v>
      </c>
      <c r="G21" s="391">
        <f t="shared" si="19"/>
        <v>123195.81999999999</v>
      </c>
      <c r="H21" s="403" t="s">
        <v>5</v>
      </c>
      <c r="I21" s="399">
        <v>14</v>
      </c>
      <c r="J21" s="58">
        <v>2000</v>
      </c>
      <c r="K21" s="59">
        <f t="shared" si="1"/>
        <v>142.85714285714286</v>
      </c>
      <c r="L21" s="399">
        <v>14</v>
      </c>
      <c r="M21" s="60">
        <f t="shared" si="20"/>
        <v>1911.044776119403</v>
      </c>
      <c r="N21" s="59">
        <f t="shared" si="3"/>
        <v>136.50319829424308</v>
      </c>
      <c r="O21" s="61">
        <f t="shared" si="4"/>
        <v>0</v>
      </c>
      <c r="P21" s="62">
        <f t="shared" si="5"/>
        <v>-6.3539445628997839</v>
      </c>
      <c r="Q21" s="392">
        <f t="shared" si="6"/>
        <v>0.95552238805970147</v>
      </c>
      <c r="R21" s="566"/>
      <c r="S21" s="63">
        <v>0.25763888888888886</v>
      </c>
      <c r="T21" s="63">
        <v>0.30416666666666664</v>
      </c>
      <c r="U21" s="391">
        <f t="shared" si="22"/>
        <v>5.9999999999999787</v>
      </c>
      <c r="V21" s="400">
        <f t="shared" si="21"/>
        <v>67</v>
      </c>
      <c r="W21" s="64"/>
      <c r="X21" s="391"/>
      <c r="Y21" s="559"/>
      <c r="Z21" s="559"/>
      <c r="AA21" s="61">
        <f t="shared" si="8"/>
        <v>-88.955223880597032</v>
      </c>
      <c r="AB21" s="392">
        <f t="shared" si="9"/>
        <v>0.95552238805970147</v>
      </c>
      <c r="AC21" s="566"/>
    </row>
    <row r="22" spans="1:29" ht="15.75" customHeight="1">
      <c r="A22" s="589" t="s">
        <v>86</v>
      </c>
      <c r="B22" s="57" t="s">
        <v>6</v>
      </c>
      <c r="C22" s="584" t="s">
        <v>21</v>
      </c>
      <c r="D22" s="584"/>
      <c r="E22" s="57">
        <v>53.68</v>
      </c>
      <c r="F22" s="401">
        <v>1458</v>
      </c>
      <c r="G22" s="391">
        <f t="shared" si="19"/>
        <v>78265.440000000002</v>
      </c>
      <c r="H22" s="403" t="s">
        <v>5</v>
      </c>
      <c r="I22" s="399">
        <v>16</v>
      </c>
      <c r="J22" s="58">
        <v>2000</v>
      </c>
      <c r="K22" s="59">
        <f t="shared" si="1"/>
        <v>125</v>
      </c>
      <c r="L22" s="399">
        <v>16</v>
      </c>
      <c r="M22" s="60">
        <f t="shared" si="20"/>
        <v>1901.7391304347825</v>
      </c>
      <c r="N22" s="59">
        <f t="shared" si="3"/>
        <v>118.85869565217391</v>
      </c>
      <c r="O22" s="61">
        <f t="shared" si="4"/>
        <v>0</v>
      </c>
      <c r="P22" s="62">
        <f t="shared" si="5"/>
        <v>-6.1413043478260931</v>
      </c>
      <c r="Q22" s="392">
        <f t="shared" si="6"/>
        <v>0.9508695652173913</v>
      </c>
      <c r="R22" s="566"/>
      <c r="S22" s="63">
        <v>0.30972222222222218</v>
      </c>
      <c r="T22" s="63">
        <v>0.34166666666666662</v>
      </c>
      <c r="U22" s="391">
        <f t="shared" si="22"/>
        <v>7.9999999999999716</v>
      </c>
      <c r="V22" s="400">
        <f t="shared" si="21"/>
        <v>46</v>
      </c>
      <c r="W22" s="64"/>
      <c r="X22" s="391"/>
      <c r="Y22" s="559"/>
      <c r="Z22" s="559"/>
      <c r="AA22" s="61">
        <f t="shared" si="8"/>
        <v>-98.26086956521749</v>
      </c>
      <c r="AB22" s="392">
        <f t="shared" si="9"/>
        <v>0.9508695652173913</v>
      </c>
      <c r="AC22" s="566"/>
    </row>
    <row r="23" spans="1:29" ht="15.75" customHeight="1">
      <c r="A23" s="589" t="s">
        <v>86</v>
      </c>
      <c r="B23" s="57" t="s">
        <v>6</v>
      </c>
      <c r="C23" s="584" t="s">
        <v>96</v>
      </c>
      <c r="D23" s="584"/>
      <c r="E23" s="57">
        <v>49.91</v>
      </c>
      <c r="F23" s="401">
        <v>946</v>
      </c>
      <c r="G23" s="391">
        <f t="shared" si="19"/>
        <v>47214.859999999993</v>
      </c>
      <c r="H23" s="403" t="s">
        <v>5</v>
      </c>
      <c r="I23" s="399">
        <v>17</v>
      </c>
      <c r="J23" s="58">
        <v>2000</v>
      </c>
      <c r="K23" s="59">
        <f t="shared" si="1"/>
        <v>117.64705882352941</v>
      </c>
      <c r="L23" s="399">
        <v>17</v>
      </c>
      <c r="M23" s="60">
        <f t="shared" si="20"/>
        <v>1957.2413793103465</v>
      </c>
      <c r="N23" s="59">
        <f t="shared" si="3"/>
        <v>115.13184584178509</v>
      </c>
      <c r="O23" s="61">
        <f t="shared" si="4"/>
        <v>0</v>
      </c>
      <c r="P23" s="62">
        <f t="shared" si="5"/>
        <v>-2.5152129817443125</v>
      </c>
      <c r="Q23" s="392">
        <f t="shared" si="6"/>
        <v>0.97862068965517335</v>
      </c>
      <c r="R23" s="566"/>
      <c r="S23" s="63">
        <v>0.34513888888888883</v>
      </c>
      <c r="T23" s="63">
        <v>0.3652777777777777</v>
      </c>
      <c r="U23" s="391">
        <f t="shared" si="22"/>
        <v>4.9999999999999822</v>
      </c>
      <c r="V23" s="400">
        <f t="shared" si="21"/>
        <v>28.999999999999979</v>
      </c>
      <c r="W23" s="64"/>
      <c r="X23" s="391"/>
      <c r="Y23" s="559"/>
      <c r="Z23" s="559"/>
      <c r="AA23" s="61">
        <f t="shared" si="8"/>
        <v>-42.758620689653526</v>
      </c>
      <c r="AB23" s="392">
        <f t="shared" si="9"/>
        <v>0.97862068965517324</v>
      </c>
      <c r="AC23" s="566"/>
    </row>
    <row r="24" spans="1:29" ht="15.75" customHeight="1">
      <c r="A24" s="589" t="s">
        <v>86</v>
      </c>
      <c r="B24" s="57" t="s">
        <v>6</v>
      </c>
      <c r="C24" s="584" t="s">
        <v>8</v>
      </c>
      <c r="D24" s="584"/>
      <c r="E24" s="57">
        <v>50.49</v>
      </c>
      <c r="F24" s="401">
        <v>1807</v>
      </c>
      <c r="G24" s="391">
        <f t="shared" si="19"/>
        <v>91235.430000000008</v>
      </c>
      <c r="H24" s="403" t="s">
        <v>5</v>
      </c>
      <c r="I24" s="399">
        <v>15</v>
      </c>
      <c r="J24" s="58">
        <v>2000</v>
      </c>
      <c r="K24" s="59">
        <f t="shared" si="1"/>
        <v>133.33333333333334</v>
      </c>
      <c r="L24" s="399">
        <v>15</v>
      </c>
      <c r="M24" s="60">
        <f t="shared" si="20"/>
        <v>1936.07142857143</v>
      </c>
      <c r="N24" s="59">
        <f t="shared" si="3"/>
        <v>129.07142857142867</v>
      </c>
      <c r="O24" s="61">
        <f t="shared" si="4"/>
        <v>0</v>
      </c>
      <c r="P24" s="62">
        <f t="shared" si="5"/>
        <v>-4.2619047619046739</v>
      </c>
      <c r="Q24" s="392">
        <f t="shared" si="6"/>
        <v>0.968035714285715</v>
      </c>
      <c r="R24" s="566"/>
      <c r="S24" s="63">
        <v>0.70833333333333337</v>
      </c>
      <c r="T24" s="63">
        <v>0.74722222222222223</v>
      </c>
      <c r="U24" s="391" t="str">
        <f t="shared" si="22"/>
        <v/>
      </c>
      <c r="V24" s="400">
        <f t="shared" si="21"/>
        <v>55.999999999999957</v>
      </c>
      <c r="W24" s="64"/>
      <c r="X24" s="68"/>
      <c r="Y24" s="559"/>
      <c r="Z24" s="559"/>
      <c r="AA24" s="61">
        <f t="shared" si="8"/>
        <v>-63.928571428569967</v>
      </c>
      <c r="AB24" s="392">
        <f t="shared" si="9"/>
        <v>0.968035714285715</v>
      </c>
      <c r="AC24" s="566"/>
    </row>
    <row r="25" spans="1:29" ht="15.75" customHeight="1">
      <c r="A25" s="589" t="s">
        <v>86</v>
      </c>
      <c r="B25" s="57" t="s">
        <v>6</v>
      </c>
      <c r="C25" s="584" t="s">
        <v>69</v>
      </c>
      <c r="D25" s="584"/>
      <c r="E25" s="57">
        <v>57.73</v>
      </c>
      <c r="F25" s="401">
        <v>1261</v>
      </c>
      <c r="G25" s="391">
        <f t="shared" si="19"/>
        <v>72797.53</v>
      </c>
      <c r="H25" s="403" t="s">
        <v>5</v>
      </c>
      <c r="I25" s="399">
        <v>16</v>
      </c>
      <c r="J25" s="58">
        <v>1500</v>
      </c>
      <c r="K25" s="59">
        <f t="shared" si="1"/>
        <v>93.75</v>
      </c>
      <c r="L25" s="399">
        <v>16</v>
      </c>
      <c r="M25" s="60">
        <f t="shared" si="20"/>
        <v>1455.0000000000009</v>
      </c>
      <c r="N25" s="59">
        <f t="shared" si="3"/>
        <v>90.937500000000057</v>
      </c>
      <c r="O25" s="61">
        <f t="shared" si="4"/>
        <v>0</v>
      </c>
      <c r="P25" s="62">
        <f t="shared" si="5"/>
        <v>-2.8124999999999432</v>
      </c>
      <c r="Q25" s="392">
        <f t="shared" si="6"/>
        <v>0.97000000000000064</v>
      </c>
      <c r="R25" s="566"/>
      <c r="S25" s="63">
        <v>0.75277777777777777</v>
      </c>
      <c r="T25" s="63">
        <v>0.78888888888888886</v>
      </c>
      <c r="U25" s="391">
        <f t="shared" si="22"/>
        <v>7.9999999999999716</v>
      </c>
      <c r="V25" s="400">
        <f t="shared" si="21"/>
        <v>51.999999999999972</v>
      </c>
      <c r="W25" s="64"/>
      <c r="X25" s="68"/>
      <c r="Y25" s="569"/>
      <c r="Z25" s="570"/>
      <c r="AA25" s="61">
        <f t="shared" si="8"/>
        <v>-44.999999999999091</v>
      </c>
      <c r="AB25" s="392">
        <f t="shared" si="9"/>
        <v>0.97000000000000064</v>
      </c>
      <c r="AC25" s="566"/>
    </row>
    <row r="26" spans="1:29" ht="15.75" customHeight="1">
      <c r="A26" s="589" t="s">
        <v>86</v>
      </c>
      <c r="B26" s="57" t="s">
        <v>6</v>
      </c>
      <c r="C26" s="585" t="s">
        <v>68</v>
      </c>
      <c r="D26" s="586"/>
      <c r="E26" s="57">
        <v>50.67</v>
      </c>
      <c r="F26" s="401">
        <v>1538</v>
      </c>
      <c r="G26" s="391">
        <f t="shared" si="19"/>
        <v>77930.460000000006</v>
      </c>
      <c r="H26" s="403" t="s">
        <v>5</v>
      </c>
      <c r="I26" s="399">
        <v>15</v>
      </c>
      <c r="J26" s="58">
        <v>2000</v>
      </c>
      <c r="K26" s="59">
        <f t="shared" si="1"/>
        <v>133.33333333333334</v>
      </c>
      <c r="L26" s="399">
        <v>15</v>
      </c>
      <c r="M26" s="60">
        <f t="shared" si="20"/>
        <v>1922.5000000000007</v>
      </c>
      <c r="N26" s="59">
        <f t="shared" si="3"/>
        <v>128.16666666666671</v>
      </c>
      <c r="O26" s="61">
        <f t="shared" si="4"/>
        <v>0</v>
      </c>
      <c r="P26" s="62">
        <f t="shared" si="5"/>
        <v>-5.1666666666666288</v>
      </c>
      <c r="Q26" s="392">
        <f t="shared" si="6"/>
        <v>0.96125000000000027</v>
      </c>
      <c r="R26" s="566"/>
      <c r="S26" s="63">
        <v>0.7944444444444444</v>
      </c>
      <c r="T26" s="63">
        <v>0.82777777777777772</v>
      </c>
      <c r="U26" s="391">
        <f t="shared" si="22"/>
        <v>7.9999999999999716</v>
      </c>
      <c r="V26" s="400">
        <f t="shared" si="21"/>
        <v>47.999999999999986</v>
      </c>
      <c r="W26" s="64"/>
      <c r="X26" s="64"/>
      <c r="Y26" s="569"/>
      <c r="Z26" s="570"/>
      <c r="AA26" s="61">
        <f t="shared" si="8"/>
        <v>-77.499999999999318</v>
      </c>
      <c r="AB26" s="392">
        <f t="shared" si="9"/>
        <v>0.96125000000000038</v>
      </c>
      <c r="AC26" s="566"/>
    </row>
    <row r="27" spans="1:29" ht="15.75" customHeight="1">
      <c r="A27" s="589" t="s">
        <v>86</v>
      </c>
      <c r="B27" s="57" t="s">
        <v>6</v>
      </c>
      <c r="C27" s="585" t="s">
        <v>99</v>
      </c>
      <c r="D27" s="586"/>
      <c r="E27" s="57">
        <v>53.68</v>
      </c>
      <c r="F27" s="401">
        <v>458</v>
      </c>
      <c r="G27" s="391">
        <f t="shared" si="19"/>
        <v>24585.439999999999</v>
      </c>
      <c r="H27" s="403" t="s">
        <v>5</v>
      </c>
      <c r="I27" s="399">
        <v>16</v>
      </c>
      <c r="J27" s="58">
        <v>1500</v>
      </c>
      <c r="K27" s="59">
        <f t="shared" si="1"/>
        <v>93.75</v>
      </c>
      <c r="L27" s="399">
        <v>16</v>
      </c>
      <c r="M27" s="60">
        <f t="shared" si="20"/>
        <v>1446.3157894736894</v>
      </c>
      <c r="N27" s="59">
        <f t="shared" si="3"/>
        <v>90.394736842105587</v>
      </c>
      <c r="O27" s="61">
        <f t="shared" si="4"/>
        <v>0</v>
      </c>
      <c r="P27" s="62">
        <f t="shared" si="5"/>
        <v>-3.355263157894413</v>
      </c>
      <c r="Q27" s="392">
        <f t="shared" si="6"/>
        <v>0.96421052631579296</v>
      </c>
      <c r="R27" s="566"/>
      <c r="S27" s="63">
        <v>0.83263888888888882</v>
      </c>
      <c r="T27" s="63">
        <v>0.84583333333333321</v>
      </c>
      <c r="U27" s="391">
        <f t="shared" si="22"/>
        <v>6.9999999999999751</v>
      </c>
      <c r="V27" s="400">
        <f t="shared" si="21"/>
        <v>18.999999999999932</v>
      </c>
      <c r="W27" s="64"/>
      <c r="X27" s="64"/>
      <c r="Y27" s="569"/>
      <c r="Z27" s="570"/>
      <c r="AA27" s="61">
        <f t="shared" si="8"/>
        <v>-53.684210526310608</v>
      </c>
      <c r="AB27" s="392">
        <f t="shared" si="9"/>
        <v>0.96421052631579296</v>
      </c>
      <c r="AC27" s="566"/>
    </row>
    <row r="28" spans="1:29" ht="15.75" customHeight="1">
      <c r="A28" s="589" t="s">
        <v>86</v>
      </c>
      <c r="B28" s="57" t="s">
        <v>67</v>
      </c>
      <c r="C28" s="571"/>
      <c r="D28" s="571"/>
      <c r="E28" s="393"/>
      <c r="F28" s="401"/>
      <c r="G28" s="391"/>
      <c r="H28" s="401"/>
      <c r="I28" s="67">
        <v>15.888888888888889</v>
      </c>
      <c r="J28" s="58">
        <v>1888.8888888888889</v>
      </c>
      <c r="K28" s="59">
        <f t="shared" si="1"/>
        <v>118.88111888111888</v>
      </c>
      <c r="L28" s="67">
        <v>15.888888888888889</v>
      </c>
      <c r="M28" s="60">
        <f>AVERAGE(M19:M27)</f>
        <v>1822.6502108721163</v>
      </c>
      <c r="N28" s="59">
        <f t="shared" si="3"/>
        <v>114.71225103390941</v>
      </c>
      <c r="O28" s="61">
        <f t="shared" si="4"/>
        <v>0</v>
      </c>
      <c r="P28" s="62">
        <f t="shared" si="5"/>
        <v>-4.1688678472094693</v>
      </c>
      <c r="Q28" s="392">
        <f t="shared" si="6"/>
        <v>0.96493246457935566</v>
      </c>
      <c r="R28" s="566"/>
      <c r="S28" s="63"/>
      <c r="T28" s="63"/>
      <c r="U28" s="59"/>
      <c r="V28" s="400"/>
      <c r="W28" s="59"/>
      <c r="X28" s="59"/>
      <c r="Y28" s="559"/>
      <c r="Z28" s="559"/>
      <c r="AA28" s="61">
        <f t="shared" si="8"/>
        <v>-66.23867801677261</v>
      </c>
      <c r="AB28" s="392">
        <f t="shared" si="9"/>
        <v>0.96493246457935566</v>
      </c>
      <c r="AC28" s="566"/>
    </row>
    <row r="29" spans="1:29" ht="15.75" customHeight="1">
      <c r="A29" s="587" t="s">
        <v>87</v>
      </c>
      <c r="B29" s="57" t="s">
        <v>15</v>
      </c>
      <c r="C29" s="584" t="s">
        <v>26</v>
      </c>
      <c r="D29" s="584"/>
      <c r="E29" s="57">
        <v>31.29</v>
      </c>
      <c r="F29" s="401">
        <v>5629</v>
      </c>
      <c r="G29" s="391">
        <f t="shared" ref="G29:G33" si="23">E29*F29</f>
        <v>176131.41</v>
      </c>
      <c r="H29" s="403" t="s">
        <v>5</v>
      </c>
      <c r="I29" s="399">
        <v>18</v>
      </c>
      <c r="J29" s="58">
        <v>2400</v>
      </c>
      <c r="K29" s="59">
        <f t="shared" si="1"/>
        <v>133.33333333333334</v>
      </c>
      <c r="L29" s="399">
        <v>18</v>
      </c>
      <c r="M29" s="60">
        <f t="shared" ref="M29:M33" si="24">F29/V29*60</f>
        <v>2297.5510204081629</v>
      </c>
      <c r="N29" s="59">
        <f t="shared" si="3"/>
        <v>127.64172335600905</v>
      </c>
      <c r="O29" s="61">
        <f t="shared" si="4"/>
        <v>0</v>
      </c>
      <c r="P29" s="62">
        <f t="shared" si="5"/>
        <v>-5.6916099773242905</v>
      </c>
      <c r="Q29" s="392">
        <f t="shared" si="6"/>
        <v>0.95731292517006783</v>
      </c>
      <c r="R29" s="566">
        <f>Q34</f>
        <v>0.9545480775577998</v>
      </c>
      <c r="S29" s="63">
        <v>8.3333333333333329E-2</v>
      </c>
      <c r="T29" s="63">
        <v>0.18541666666666667</v>
      </c>
      <c r="U29" s="391"/>
      <c r="V29" s="400">
        <f t="shared" ref="V29:V33" si="25">(T29-S29)*24*60</f>
        <v>147</v>
      </c>
      <c r="W29" s="64">
        <f>T29</f>
        <v>0.18541666666666667</v>
      </c>
      <c r="X29" s="64">
        <f>S30</f>
        <v>0.20486111111111113</v>
      </c>
      <c r="Y29" s="559"/>
      <c r="Z29" s="559"/>
      <c r="AA29" s="61">
        <f t="shared" si="8"/>
        <v>-102.44897959183709</v>
      </c>
      <c r="AB29" s="392">
        <f t="shared" si="9"/>
        <v>0.95731292517006783</v>
      </c>
      <c r="AC29" s="566">
        <f>AB34</f>
        <v>0.9545480775577998</v>
      </c>
    </row>
    <row r="30" spans="1:29" ht="15.75" customHeight="1">
      <c r="A30" s="587" t="s">
        <v>87</v>
      </c>
      <c r="B30" s="57" t="s">
        <v>15</v>
      </c>
      <c r="C30" s="584" t="s">
        <v>23</v>
      </c>
      <c r="D30" s="584"/>
      <c r="E30" s="57">
        <v>26.2</v>
      </c>
      <c r="F30" s="401">
        <v>3744</v>
      </c>
      <c r="G30" s="391">
        <f t="shared" si="23"/>
        <v>98092.800000000003</v>
      </c>
      <c r="H30" s="403" t="s">
        <v>5</v>
      </c>
      <c r="I30" s="399">
        <v>20</v>
      </c>
      <c r="J30" s="58">
        <v>2400</v>
      </c>
      <c r="K30" s="59">
        <f t="shared" si="1"/>
        <v>120</v>
      </c>
      <c r="L30" s="399">
        <v>20</v>
      </c>
      <c r="M30" s="60">
        <f t="shared" si="24"/>
        <v>2292.2448979591836</v>
      </c>
      <c r="N30" s="59">
        <f t="shared" si="3"/>
        <v>114.61224489795919</v>
      </c>
      <c r="O30" s="61">
        <f t="shared" si="4"/>
        <v>0</v>
      </c>
      <c r="P30" s="62">
        <f t="shared" si="5"/>
        <v>-5.3877551020408134</v>
      </c>
      <c r="Q30" s="392">
        <f t="shared" si="6"/>
        <v>0.95510204081632655</v>
      </c>
      <c r="R30" s="566"/>
      <c r="S30" s="63">
        <v>0.20486111111111113</v>
      </c>
      <c r="T30" s="63">
        <v>0.2729166666666667</v>
      </c>
      <c r="U30" s="391">
        <f t="shared" ref="U30:U33" si="26">(S30-T29)*24*60</f>
        <v>28.000000000000021</v>
      </c>
      <c r="V30" s="400">
        <f t="shared" si="25"/>
        <v>98.000000000000014</v>
      </c>
      <c r="W30" s="64"/>
      <c r="X30" s="64"/>
      <c r="Y30" s="559"/>
      <c r="Z30" s="559"/>
      <c r="AA30" s="61">
        <f t="shared" si="8"/>
        <v>-107.75510204081638</v>
      </c>
      <c r="AB30" s="392">
        <f t="shared" si="9"/>
        <v>0.95510204081632655</v>
      </c>
      <c r="AC30" s="566"/>
    </row>
    <row r="31" spans="1:29" ht="15.75" customHeight="1">
      <c r="A31" s="587" t="s">
        <v>87</v>
      </c>
      <c r="B31" s="57" t="s">
        <v>15</v>
      </c>
      <c r="C31" s="584" t="s">
        <v>70</v>
      </c>
      <c r="D31" s="584"/>
      <c r="E31" s="57">
        <v>25.99</v>
      </c>
      <c r="F31" s="401">
        <v>3537</v>
      </c>
      <c r="G31" s="391">
        <f t="shared" si="23"/>
        <v>91926.62999999999</v>
      </c>
      <c r="H31" s="403" t="s">
        <v>5</v>
      </c>
      <c r="I31" s="399">
        <v>14</v>
      </c>
      <c r="J31" s="58">
        <v>2400</v>
      </c>
      <c r="K31" s="59">
        <f t="shared" si="1"/>
        <v>171.42857142857142</v>
      </c>
      <c r="L31" s="399">
        <v>14</v>
      </c>
      <c r="M31" s="60">
        <f t="shared" si="24"/>
        <v>2281.9354838709683</v>
      </c>
      <c r="N31" s="59">
        <f t="shared" si="3"/>
        <v>162.99539170506915</v>
      </c>
      <c r="O31" s="61">
        <f t="shared" si="4"/>
        <v>0</v>
      </c>
      <c r="P31" s="62">
        <f t="shared" si="5"/>
        <v>-8.4331797235022634</v>
      </c>
      <c r="Q31" s="392">
        <f t="shared" si="6"/>
        <v>0.95080645161290345</v>
      </c>
      <c r="R31" s="566"/>
      <c r="S31" s="63">
        <v>0.27777777777777779</v>
      </c>
      <c r="T31" s="63">
        <v>0.34236111111111112</v>
      </c>
      <c r="U31" s="391">
        <f t="shared" si="26"/>
        <v>6.9999999999999751</v>
      </c>
      <c r="V31" s="400">
        <f t="shared" si="25"/>
        <v>92.999999999999986</v>
      </c>
      <c r="W31" s="64"/>
      <c r="X31" s="64"/>
      <c r="Y31" s="559"/>
      <c r="Z31" s="559"/>
      <c r="AA31" s="61">
        <f t="shared" si="8"/>
        <v>-118.06451612903174</v>
      </c>
      <c r="AB31" s="392">
        <f t="shared" si="9"/>
        <v>0.95080645161290345</v>
      </c>
      <c r="AC31" s="566"/>
    </row>
    <row r="32" spans="1:29" ht="15.75" customHeight="1">
      <c r="A32" s="587" t="s">
        <v>87</v>
      </c>
      <c r="B32" s="57" t="s">
        <v>15</v>
      </c>
      <c r="C32" s="584" t="s">
        <v>45</v>
      </c>
      <c r="D32" s="584"/>
      <c r="E32" s="57">
        <v>20.52</v>
      </c>
      <c r="F32" s="401">
        <v>3129</v>
      </c>
      <c r="G32" s="391">
        <f t="shared" si="23"/>
        <v>64207.08</v>
      </c>
      <c r="H32" s="403" t="s">
        <v>5</v>
      </c>
      <c r="I32" s="399">
        <v>18</v>
      </c>
      <c r="J32" s="58">
        <v>2400</v>
      </c>
      <c r="K32" s="59">
        <f t="shared" si="1"/>
        <v>133.33333333333334</v>
      </c>
      <c r="L32" s="399">
        <v>18</v>
      </c>
      <c r="M32" s="60">
        <f t="shared" si="24"/>
        <v>2289.5121951219503</v>
      </c>
      <c r="N32" s="59">
        <f t="shared" si="3"/>
        <v>127.19512195121946</v>
      </c>
      <c r="O32" s="61">
        <f t="shared" si="4"/>
        <v>0</v>
      </c>
      <c r="P32" s="62">
        <f t="shared" si="5"/>
        <v>-6.1382113821138802</v>
      </c>
      <c r="Q32" s="392">
        <f t="shared" si="6"/>
        <v>0.95396341463414591</v>
      </c>
      <c r="R32" s="566"/>
      <c r="S32" s="63">
        <v>0.34583333333333333</v>
      </c>
      <c r="T32" s="63">
        <v>0.40277777777777779</v>
      </c>
      <c r="U32" s="391">
        <f t="shared" si="26"/>
        <v>4.9999999999999822</v>
      </c>
      <c r="V32" s="400">
        <f t="shared" si="25"/>
        <v>82.000000000000028</v>
      </c>
      <c r="W32" s="64"/>
      <c r="X32" s="64"/>
      <c r="Y32" s="559"/>
      <c r="Z32" s="559"/>
      <c r="AA32" s="61">
        <f t="shared" si="8"/>
        <v>-110.4878048780497</v>
      </c>
      <c r="AB32" s="392">
        <f t="shared" si="9"/>
        <v>0.95396341463414591</v>
      </c>
      <c r="AC32" s="566"/>
    </row>
    <row r="33" spans="1:29" ht="15.75" customHeight="1">
      <c r="A33" s="587" t="s">
        <v>87</v>
      </c>
      <c r="B33" s="57" t="s">
        <v>15</v>
      </c>
      <c r="C33" s="584" t="s">
        <v>98</v>
      </c>
      <c r="D33" s="584"/>
      <c r="E33" s="57">
        <v>25.98</v>
      </c>
      <c r="F33" s="401">
        <v>3096</v>
      </c>
      <c r="G33" s="391">
        <f t="shared" si="23"/>
        <v>80434.080000000002</v>
      </c>
      <c r="H33" s="403" t="s">
        <v>5</v>
      </c>
      <c r="I33" s="399">
        <v>21</v>
      </c>
      <c r="J33" s="58">
        <v>2400</v>
      </c>
      <c r="K33" s="59">
        <f t="shared" si="1"/>
        <v>114.28571428571429</v>
      </c>
      <c r="L33" s="399">
        <v>21</v>
      </c>
      <c r="M33" s="60">
        <f t="shared" si="24"/>
        <v>2293.3333333333326</v>
      </c>
      <c r="N33" s="59">
        <f t="shared" si="3"/>
        <v>109.20634920634917</v>
      </c>
      <c r="O33" s="61">
        <f t="shared" si="4"/>
        <v>0</v>
      </c>
      <c r="P33" s="62">
        <f t="shared" si="5"/>
        <v>-5.0793650793651182</v>
      </c>
      <c r="Q33" s="392">
        <f t="shared" si="6"/>
        <v>0.95555555555555527</v>
      </c>
      <c r="R33" s="566"/>
      <c r="S33" s="63">
        <v>0.40833333333333333</v>
      </c>
      <c r="T33" s="63">
        <v>0.46458333333333335</v>
      </c>
      <c r="U33" s="391">
        <f t="shared" si="26"/>
        <v>7.9999999999999716</v>
      </c>
      <c r="V33" s="400">
        <f t="shared" si="25"/>
        <v>81.000000000000028</v>
      </c>
      <c r="W33" s="64"/>
      <c r="X33" s="64"/>
      <c r="Y33" s="559"/>
      <c r="Z33" s="559"/>
      <c r="AA33" s="61">
        <f t="shared" si="8"/>
        <v>-106.66666666666742</v>
      </c>
      <c r="AB33" s="392">
        <f t="shared" si="9"/>
        <v>0.95555555555555527</v>
      </c>
      <c r="AC33" s="566"/>
    </row>
    <row r="34" spans="1:29" ht="15.75" customHeight="1">
      <c r="A34" s="587" t="s">
        <v>87</v>
      </c>
      <c r="B34" s="57" t="s">
        <v>67</v>
      </c>
      <c r="C34" s="571"/>
      <c r="D34" s="571"/>
      <c r="E34" s="393"/>
      <c r="F34" s="401"/>
      <c r="G34" s="391"/>
      <c r="H34" s="401"/>
      <c r="I34" s="67">
        <v>18.2</v>
      </c>
      <c r="J34" s="58">
        <v>2400</v>
      </c>
      <c r="K34" s="59">
        <f t="shared" si="1"/>
        <v>131.86813186813188</v>
      </c>
      <c r="L34" s="67">
        <v>18.2</v>
      </c>
      <c r="M34" s="60">
        <f>AVERAGE(M29:M33)</f>
        <v>2290.9153861387194</v>
      </c>
      <c r="N34" s="59">
        <f t="shared" si="3"/>
        <v>125.87447176586372</v>
      </c>
      <c r="O34" s="61">
        <f t="shared" si="4"/>
        <v>0</v>
      </c>
      <c r="P34" s="62">
        <f t="shared" si="5"/>
        <v>-5.9936601022681657</v>
      </c>
      <c r="Q34" s="392">
        <f t="shared" si="6"/>
        <v>0.9545480775577998</v>
      </c>
      <c r="R34" s="566"/>
      <c r="S34" s="63"/>
      <c r="T34" s="63"/>
      <c r="U34" s="391"/>
      <c r="V34" s="400"/>
      <c r="W34" s="391"/>
      <c r="X34" s="391"/>
      <c r="Y34" s="559"/>
      <c r="Z34" s="559"/>
      <c r="AA34" s="61">
        <f t="shared" si="8"/>
        <v>-109.08461386128056</v>
      </c>
      <c r="AB34" s="392">
        <f t="shared" si="9"/>
        <v>0.9545480775577998</v>
      </c>
      <c r="AC34" s="566"/>
    </row>
    <row r="35" spans="1:29" ht="15.75" customHeight="1">
      <c r="A35" s="582" t="s">
        <v>88</v>
      </c>
      <c r="B35" s="57" t="s">
        <v>15</v>
      </c>
      <c r="C35" s="560" t="s">
        <v>101</v>
      </c>
      <c r="D35" s="560"/>
      <c r="E35" s="57">
        <v>22.69</v>
      </c>
      <c r="F35" s="401">
        <v>890</v>
      </c>
      <c r="G35" s="391">
        <f t="shared" ref="G35:G41" si="27">E35*F35</f>
        <v>20194.100000000002</v>
      </c>
      <c r="H35" s="403" t="s">
        <v>5</v>
      </c>
      <c r="I35" s="399">
        <v>15</v>
      </c>
      <c r="J35" s="58">
        <v>2400</v>
      </c>
      <c r="K35" s="59">
        <f t="shared" si="1"/>
        <v>160</v>
      </c>
      <c r="L35" s="399">
        <v>15</v>
      </c>
      <c r="M35" s="60">
        <f t="shared" ref="M35:M41" si="28">F35/V35*60</f>
        <v>2321.739130434783</v>
      </c>
      <c r="N35" s="59">
        <f t="shared" si="3"/>
        <v>154.78260869565219</v>
      </c>
      <c r="O35" s="61">
        <f t="shared" si="4"/>
        <v>0</v>
      </c>
      <c r="P35" s="62">
        <f t="shared" si="5"/>
        <v>-5.2173913043478137</v>
      </c>
      <c r="Q35" s="392">
        <f t="shared" si="6"/>
        <v>0.96739130434782616</v>
      </c>
      <c r="R35" s="566">
        <f>Q42</f>
        <v>0.95709273966882069</v>
      </c>
      <c r="S35" s="63">
        <v>8.3333333333333329E-2</v>
      </c>
      <c r="T35" s="63">
        <v>9.930555555555555E-2</v>
      </c>
      <c r="U35" s="391"/>
      <c r="V35" s="400">
        <f t="shared" ref="V35:V41" si="29">(T35-S35)*24*60</f>
        <v>23</v>
      </c>
      <c r="W35" s="68">
        <f>T35</f>
        <v>9.930555555555555E-2</v>
      </c>
      <c r="X35" s="68">
        <f>S36</f>
        <v>0.11874999999999999</v>
      </c>
      <c r="Y35" s="559"/>
      <c r="Z35" s="559"/>
      <c r="AA35" s="61">
        <f t="shared" si="8"/>
        <v>-78.260869565217035</v>
      </c>
      <c r="AB35" s="392">
        <f t="shared" si="9"/>
        <v>0.96739130434782628</v>
      </c>
      <c r="AC35" s="566">
        <f>AB42</f>
        <v>0.95709273966882069</v>
      </c>
    </row>
    <row r="36" spans="1:29" ht="15.75" customHeight="1">
      <c r="A36" s="582" t="s">
        <v>88</v>
      </c>
      <c r="B36" s="57" t="s">
        <v>15</v>
      </c>
      <c r="C36" s="560" t="s">
        <v>27</v>
      </c>
      <c r="D36" s="560"/>
      <c r="E36" s="57">
        <v>26.2</v>
      </c>
      <c r="F36" s="401">
        <v>4512</v>
      </c>
      <c r="G36" s="391">
        <f t="shared" si="27"/>
        <v>118214.39999999999</v>
      </c>
      <c r="H36" s="403" t="s">
        <v>5</v>
      </c>
      <c r="I36" s="399">
        <v>18</v>
      </c>
      <c r="J36" s="58">
        <v>2400</v>
      </c>
      <c r="K36" s="59">
        <f t="shared" si="1"/>
        <v>133.33333333333334</v>
      </c>
      <c r="L36" s="399">
        <v>18</v>
      </c>
      <c r="M36" s="60">
        <f t="shared" si="28"/>
        <v>2294.2372881355932</v>
      </c>
      <c r="N36" s="59">
        <f t="shared" si="3"/>
        <v>127.45762711864407</v>
      </c>
      <c r="O36" s="61">
        <f t="shared" si="4"/>
        <v>0</v>
      </c>
      <c r="P36" s="62">
        <f t="shared" si="5"/>
        <v>-5.8757062146892736</v>
      </c>
      <c r="Q36" s="392">
        <f t="shared" si="6"/>
        <v>0.95593220338983043</v>
      </c>
      <c r="R36" s="566"/>
      <c r="S36" s="63">
        <v>0.11874999999999999</v>
      </c>
      <c r="T36" s="63">
        <v>0.20069444444444445</v>
      </c>
      <c r="U36" s="391">
        <f t="shared" ref="U36:U41" si="30">(S36-T35)*24*60</f>
        <v>28</v>
      </c>
      <c r="V36" s="400">
        <f t="shared" si="29"/>
        <v>118.00000000000001</v>
      </c>
      <c r="W36" s="391"/>
      <c r="X36" s="391"/>
      <c r="Y36" s="559"/>
      <c r="Z36" s="559"/>
      <c r="AA36" s="61">
        <f t="shared" si="8"/>
        <v>-105.76271186440681</v>
      </c>
      <c r="AB36" s="392">
        <f t="shared" si="9"/>
        <v>0.95593220338983054</v>
      </c>
      <c r="AC36" s="566"/>
    </row>
    <row r="37" spans="1:29">
      <c r="A37" s="583" t="s">
        <v>88</v>
      </c>
      <c r="B37" s="57" t="s">
        <v>15</v>
      </c>
      <c r="C37" s="560" t="s">
        <v>25</v>
      </c>
      <c r="D37" s="560"/>
      <c r="E37" s="57">
        <v>26.18</v>
      </c>
      <c r="F37" s="401">
        <v>1977</v>
      </c>
      <c r="G37" s="391">
        <f t="shared" si="27"/>
        <v>51757.86</v>
      </c>
      <c r="H37" s="403" t="s">
        <v>5</v>
      </c>
      <c r="I37" s="399">
        <v>19</v>
      </c>
      <c r="J37" s="58">
        <v>2400</v>
      </c>
      <c r="K37" s="59">
        <f t="shared" si="1"/>
        <v>126.31578947368421</v>
      </c>
      <c r="L37" s="399">
        <v>19</v>
      </c>
      <c r="M37" s="60">
        <f t="shared" si="28"/>
        <v>2281.1538461538457</v>
      </c>
      <c r="N37" s="59">
        <f t="shared" si="3"/>
        <v>120.06072874493925</v>
      </c>
      <c r="O37" s="61">
        <f t="shared" si="4"/>
        <v>0</v>
      </c>
      <c r="P37" s="62">
        <f t="shared" si="5"/>
        <v>-6.2550607287449509</v>
      </c>
      <c r="Q37" s="392">
        <f t="shared" si="6"/>
        <v>0.95048076923076918</v>
      </c>
      <c r="R37" s="566"/>
      <c r="S37" s="63">
        <v>0.20486111111111113</v>
      </c>
      <c r="T37" s="63">
        <v>0.24097222222222225</v>
      </c>
      <c r="U37" s="391">
        <f t="shared" si="30"/>
        <v>6.0000000000000187</v>
      </c>
      <c r="V37" s="400">
        <f t="shared" si="29"/>
        <v>52.000000000000014</v>
      </c>
      <c r="W37" s="391"/>
      <c r="X37" s="391"/>
      <c r="Y37" s="559"/>
      <c r="Z37" s="559"/>
      <c r="AA37" s="61">
        <f t="shared" si="8"/>
        <v>-118.84615384615427</v>
      </c>
      <c r="AB37" s="392">
        <f t="shared" si="9"/>
        <v>0.95048076923076907</v>
      </c>
      <c r="AC37" s="566"/>
    </row>
    <row r="38" spans="1:29">
      <c r="A38" s="583" t="s">
        <v>88</v>
      </c>
      <c r="B38" s="57" t="s">
        <v>15</v>
      </c>
      <c r="C38" s="560" t="s">
        <v>28</v>
      </c>
      <c r="D38" s="560"/>
      <c r="E38" s="57">
        <v>26.39</v>
      </c>
      <c r="F38" s="401">
        <v>4365</v>
      </c>
      <c r="G38" s="391">
        <f t="shared" si="27"/>
        <v>115192.35</v>
      </c>
      <c r="H38" s="403" t="s">
        <v>5</v>
      </c>
      <c r="I38" s="399">
        <v>19</v>
      </c>
      <c r="J38" s="58">
        <v>2400</v>
      </c>
      <c r="K38" s="59">
        <f t="shared" si="1"/>
        <v>126.31578947368421</v>
      </c>
      <c r="L38" s="399">
        <v>19</v>
      </c>
      <c r="M38" s="60">
        <f t="shared" si="28"/>
        <v>2297.3684210526317</v>
      </c>
      <c r="N38" s="59">
        <f t="shared" si="3"/>
        <v>120.91412742382272</v>
      </c>
      <c r="O38" s="61">
        <f t="shared" si="4"/>
        <v>0</v>
      </c>
      <c r="P38" s="62">
        <f t="shared" si="5"/>
        <v>-5.4016620498614856</v>
      </c>
      <c r="Q38" s="392">
        <f t="shared" si="6"/>
        <v>0.95723684210526327</v>
      </c>
      <c r="R38" s="566"/>
      <c r="S38" s="63">
        <v>0.24444444444444446</v>
      </c>
      <c r="T38" s="63">
        <v>0.32361111111111113</v>
      </c>
      <c r="U38" s="391">
        <f t="shared" si="30"/>
        <v>4.9999999999999822</v>
      </c>
      <c r="V38" s="400">
        <f t="shared" si="29"/>
        <v>114</v>
      </c>
      <c r="W38" s="64"/>
      <c r="X38" s="64"/>
      <c r="Y38" s="559"/>
      <c r="Z38" s="559"/>
      <c r="AA38" s="61">
        <f t="shared" si="8"/>
        <v>-102.63157894736833</v>
      </c>
      <c r="AB38" s="392">
        <f t="shared" si="9"/>
        <v>0.95723684210526316</v>
      </c>
      <c r="AC38" s="566"/>
    </row>
    <row r="39" spans="1:29">
      <c r="A39" s="583" t="s">
        <v>88</v>
      </c>
      <c r="B39" s="57" t="s">
        <v>15</v>
      </c>
      <c r="C39" s="560" t="s">
        <v>658</v>
      </c>
      <c r="D39" s="560"/>
      <c r="E39" s="57">
        <v>22.69</v>
      </c>
      <c r="F39" s="401">
        <v>2678</v>
      </c>
      <c r="G39" s="391">
        <f t="shared" si="27"/>
        <v>60763.820000000007</v>
      </c>
      <c r="H39" s="403" t="s">
        <v>5</v>
      </c>
      <c r="I39" s="399">
        <v>15</v>
      </c>
      <c r="J39" s="58">
        <v>2400</v>
      </c>
      <c r="K39" s="59">
        <f t="shared" si="1"/>
        <v>160</v>
      </c>
      <c r="L39" s="399">
        <v>15</v>
      </c>
      <c r="M39" s="60">
        <f t="shared" si="28"/>
        <v>2295.428571428572</v>
      </c>
      <c r="N39" s="59">
        <f t="shared" si="3"/>
        <v>153.02857142857147</v>
      </c>
      <c r="O39" s="61">
        <f t="shared" si="4"/>
        <v>0</v>
      </c>
      <c r="P39" s="62">
        <f t="shared" si="5"/>
        <v>-6.9714285714285325</v>
      </c>
      <c r="Q39" s="392">
        <f t="shared" si="6"/>
        <v>0.95642857142857163</v>
      </c>
      <c r="R39" s="566"/>
      <c r="S39" s="63">
        <v>0.32777777777777778</v>
      </c>
      <c r="T39" s="63">
        <v>0.37638888888888888</v>
      </c>
      <c r="U39" s="391">
        <f t="shared" si="30"/>
        <v>5.9999999999999787</v>
      </c>
      <c r="V39" s="400">
        <f t="shared" si="29"/>
        <v>69.999999999999986</v>
      </c>
      <c r="W39" s="64"/>
      <c r="X39" s="64"/>
      <c r="Y39" s="559"/>
      <c r="Z39" s="559"/>
      <c r="AA39" s="61">
        <f t="shared" si="8"/>
        <v>-104.57142857142799</v>
      </c>
      <c r="AB39" s="392">
        <f t="shared" si="9"/>
        <v>0.95642857142857163</v>
      </c>
      <c r="AC39" s="566"/>
    </row>
    <row r="40" spans="1:29">
      <c r="A40" s="583" t="s">
        <v>88</v>
      </c>
      <c r="B40" s="57" t="s">
        <v>15</v>
      </c>
      <c r="C40" s="560" t="s">
        <v>16</v>
      </c>
      <c r="D40" s="560"/>
      <c r="E40" s="57">
        <v>24.45</v>
      </c>
      <c r="F40" s="401">
        <v>1984</v>
      </c>
      <c r="G40" s="391">
        <f t="shared" si="27"/>
        <v>48508.799999999996</v>
      </c>
      <c r="H40" s="403" t="s">
        <v>5</v>
      </c>
      <c r="I40" s="399">
        <v>20</v>
      </c>
      <c r="J40" s="58">
        <v>2400</v>
      </c>
      <c r="K40" s="59">
        <f t="shared" si="1"/>
        <v>120</v>
      </c>
      <c r="L40" s="399">
        <v>20</v>
      </c>
      <c r="M40" s="60">
        <f t="shared" si="28"/>
        <v>2289.2307692307704</v>
      </c>
      <c r="N40" s="59">
        <f t="shared" si="3"/>
        <v>114.46153846153852</v>
      </c>
      <c r="O40" s="61">
        <f t="shared" si="4"/>
        <v>0</v>
      </c>
      <c r="P40" s="62">
        <f t="shared" si="5"/>
        <v>-5.5384615384614762</v>
      </c>
      <c r="Q40" s="392">
        <f t="shared" si="6"/>
        <v>0.95384615384615434</v>
      </c>
      <c r="R40" s="566"/>
      <c r="S40" s="63">
        <v>0.37986111111111109</v>
      </c>
      <c r="T40" s="63">
        <v>0.41597222222222219</v>
      </c>
      <c r="U40" s="391">
        <f t="shared" si="30"/>
        <v>4.9999999999999822</v>
      </c>
      <c r="V40" s="400">
        <f t="shared" si="29"/>
        <v>51.999999999999972</v>
      </c>
      <c r="W40" s="64"/>
      <c r="X40" s="64"/>
      <c r="Y40" s="559"/>
      <c r="Z40" s="559"/>
      <c r="AA40" s="61">
        <f t="shared" si="8"/>
        <v>-110.76923076922958</v>
      </c>
      <c r="AB40" s="392">
        <f t="shared" si="9"/>
        <v>0.95384615384615434</v>
      </c>
      <c r="AC40" s="566"/>
    </row>
    <row r="41" spans="1:29">
      <c r="A41" s="583" t="s">
        <v>88</v>
      </c>
      <c r="B41" s="57" t="s">
        <v>15</v>
      </c>
      <c r="C41" s="560" t="s">
        <v>100</v>
      </c>
      <c r="D41" s="560"/>
      <c r="E41" s="57">
        <v>28.51</v>
      </c>
      <c r="F41" s="401">
        <v>460</v>
      </c>
      <c r="G41" s="391">
        <f t="shared" si="27"/>
        <v>13114.6</v>
      </c>
      <c r="H41" s="403" t="s">
        <v>5</v>
      </c>
      <c r="I41" s="399">
        <v>16</v>
      </c>
      <c r="J41" s="58">
        <v>2400</v>
      </c>
      <c r="K41" s="59">
        <f t="shared" si="1"/>
        <v>150</v>
      </c>
      <c r="L41" s="399">
        <v>16</v>
      </c>
      <c r="M41" s="60">
        <f t="shared" si="28"/>
        <v>2299.9999999999927</v>
      </c>
      <c r="N41" s="59">
        <f t="shared" si="3"/>
        <v>143.74999999999955</v>
      </c>
      <c r="O41" s="61">
        <f t="shared" si="4"/>
        <v>0</v>
      </c>
      <c r="P41" s="62">
        <f t="shared" si="5"/>
        <v>-6.2500000000004547</v>
      </c>
      <c r="Q41" s="392">
        <f t="shared" si="6"/>
        <v>0.95833333333333026</v>
      </c>
      <c r="R41" s="566"/>
      <c r="S41" s="63">
        <v>0.42152777777777772</v>
      </c>
      <c r="T41" s="63">
        <v>0.42986111111111108</v>
      </c>
      <c r="U41" s="391">
        <f t="shared" si="30"/>
        <v>7.9999999999999716</v>
      </c>
      <c r="V41" s="400">
        <f t="shared" si="29"/>
        <v>12.000000000000037</v>
      </c>
      <c r="W41" s="64"/>
      <c r="X41" s="64"/>
      <c r="Y41" s="569"/>
      <c r="Z41" s="570"/>
      <c r="AA41" s="61">
        <f t="shared" si="8"/>
        <v>-100.00000000000728</v>
      </c>
      <c r="AB41" s="392">
        <f t="shared" si="9"/>
        <v>0.95833333333333026</v>
      </c>
      <c r="AC41" s="566"/>
    </row>
    <row r="42" spans="1:29">
      <c r="A42" s="583" t="s">
        <v>88</v>
      </c>
      <c r="B42" s="66" t="s">
        <v>67</v>
      </c>
      <c r="C42" s="571"/>
      <c r="D42" s="571"/>
      <c r="E42" s="393"/>
      <c r="F42" s="66"/>
      <c r="G42" s="59"/>
      <c r="H42" s="401"/>
      <c r="I42" s="67">
        <v>17.428571428571427</v>
      </c>
      <c r="J42" s="58">
        <v>2400</v>
      </c>
      <c r="K42" s="59">
        <f t="shared" si="1"/>
        <v>137.70491803278691</v>
      </c>
      <c r="L42" s="67">
        <v>17.428571428571427</v>
      </c>
      <c r="M42" s="60">
        <f>AVERAGE(M35:M41)</f>
        <v>2297.0225752051697</v>
      </c>
      <c r="N42" s="59">
        <f t="shared" si="3"/>
        <v>131.7963772658704</v>
      </c>
      <c r="O42" s="61">
        <f t="shared" si="4"/>
        <v>0</v>
      </c>
      <c r="P42" s="62">
        <f t="shared" si="5"/>
        <v>-5.9085407669165022</v>
      </c>
      <c r="Q42" s="392">
        <f t="shared" si="6"/>
        <v>0.95709273966882069</v>
      </c>
      <c r="R42" s="566"/>
      <c r="S42" s="63"/>
      <c r="T42" s="63"/>
      <c r="U42" s="59"/>
      <c r="V42" s="400"/>
      <c r="W42" s="59"/>
      <c r="X42" s="59"/>
      <c r="Y42" s="559"/>
      <c r="Z42" s="559"/>
      <c r="AA42" s="61">
        <f t="shared" si="8"/>
        <v>-102.97742479483031</v>
      </c>
      <c r="AB42" s="392">
        <f t="shared" si="9"/>
        <v>0.95709273966882069</v>
      </c>
      <c r="AC42" s="566"/>
    </row>
    <row r="43" spans="1:29" ht="15.75" customHeight="1">
      <c r="A43" s="576" t="s">
        <v>89</v>
      </c>
      <c r="B43" s="57" t="s">
        <v>31</v>
      </c>
      <c r="C43" s="567" t="s">
        <v>32</v>
      </c>
      <c r="D43" s="568"/>
      <c r="E43" s="57">
        <v>21.13</v>
      </c>
      <c r="F43" s="401">
        <v>3506</v>
      </c>
      <c r="G43" s="391">
        <f t="shared" ref="G43:G49" si="31">E43*F43</f>
        <v>74081.78</v>
      </c>
      <c r="H43" s="403" t="s">
        <v>5</v>
      </c>
      <c r="I43" s="399">
        <v>10</v>
      </c>
      <c r="J43" s="58">
        <v>3000</v>
      </c>
      <c r="K43" s="59">
        <f t="shared" si="1"/>
        <v>300</v>
      </c>
      <c r="L43" s="399">
        <v>10</v>
      </c>
      <c r="M43" s="60">
        <f t="shared" ref="M43:M49" si="32">F43/V43*60</f>
        <v>2881.6438356164381</v>
      </c>
      <c r="N43" s="60">
        <f t="shared" si="3"/>
        <v>288.16438356164383</v>
      </c>
      <c r="O43" s="61">
        <f t="shared" si="4"/>
        <v>0</v>
      </c>
      <c r="P43" s="62">
        <f t="shared" si="5"/>
        <v>-11.835616438356169</v>
      </c>
      <c r="Q43" s="392">
        <f t="shared" si="6"/>
        <v>0.96054794520547948</v>
      </c>
      <c r="R43" s="579">
        <f>Q50</f>
        <v>0.95893034022303525</v>
      </c>
      <c r="S43" s="63">
        <v>8.3333333333333329E-2</v>
      </c>
      <c r="T43" s="63">
        <v>0.13402777777777777</v>
      </c>
      <c r="U43" s="68"/>
      <c r="V43" s="400">
        <f t="shared" ref="V43:V49" si="33">(T43-S43)*24*60</f>
        <v>73</v>
      </c>
      <c r="W43" s="64">
        <f>T43</f>
        <v>0.13402777777777777</v>
      </c>
      <c r="X43" s="64">
        <f>S44</f>
        <v>0.15277777777777776</v>
      </c>
      <c r="Y43" s="569"/>
      <c r="Z43" s="570"/>
      <c r="AA43" s="61">
        <f t="shared" si="8"/>
        <v>-118.35616438356192</v>
      </c>
      <c r="AB43" s="392">
        <f t="shared" si="9"/>
        <v>0.96054794520547937</v>
      </c>
      <c r="AC43" s="579">
        <f>AB50</f>
        <v>0.95893034022303514</v>
      </c>
    </row>
    <row r="44" spans="1:29" ht="15.75" customHeight="1">
      <c r="A44" s="577" t="s">
        <v>89</v>
      </c>
      <c r="B44" s="57" t="s">
        <v>31</v>
      </c>
      <c r="C44" s="567" t="s">
        <v>33</v>
      </c>
      <c r="D44" s="568"/>
      <c r="E44" s="57">
        <v>27.17</v>
      </c>
      <c r="F44" s="401">
        <v>4502</v>
      </c>
      <c r="G44" s="391">
        <f t="shared" si="31"/>
        <v>122319.34000000001</v>
      </c>
      <c r="H44" s="403" t="s">
        <v>5</v>
      </c>
      <c r="I44" s="399">
        <v>10</v>
      </c>
      <c r="J44" s="58">
        <v>3000</v>
      </c>
      <c r="K44" s="59">
        <f t="shared" si="1"/>
        <v>300</v>
      </c>
      <c r="L44" s="399">
        <v>10</v>
      </c>
      <c r="M44" s="60">
        <f t="shared" si="32"/>
        <v>2873.6170212765951</v>
      </c>
      <c r="N44" s="60">
        <f t="shared" si="3"/>
        <v>287.3617021276595</v>
      </c>
      <c r="O44" s="61">
        <f t="shared" si="4"/>
        <v>0</v>
      </c>
      <c r="P44" s="62">
        <f t="shared" si="5"/>
        <v>-12.638297872340502</v>
      </c>
      <c r="Q44" s="392">
        <f t="shared" si="6"/>
        <v>0.95787234042553171</v>
      </c>
      <c r="R44" s="580"/>
      <c r="S44" s="63">
        <v>0.15277777777777776</v>
      </c>
      <c r="T44" s="63">
        <v>0.21805555555555556</v>
      </c>
      <c r="U44" s="391">
        <f t="shared" ref="U44:U49" si="34">(S44-T43)*24*60</f>
        <v>26.999999999999986</v>
      </c>
      <c r="V44" s="400">
        <f t="shared" si="33"/>
        <v>94.000000000000028</v>
      </c>
      <c r="W44" s="64"/>
      <c r="X44" s="64"/>
      <c r="Y44" s="569"/>
      <c r="Z44" s="570"/>
      <c r="AA44" s="61">
        <f t="shared" si="8"/>
        <v>-126.3829787234049</v>
      </c>
      <c r="AB44" s="392">
        <f t="shared" si="9"/>
        <v>0.95787234042553171</v>
      </c>
      <c r="AC44" s="580"/>
    </row>
    <row r="45" spans="1:29" ht="15.75" customHeight="1">
      <c r="A45" s="577" t="s">
        <v>89</v>
      </c>
      <c r="B45" s="57" t="s">
        <v>31</v>
      </c>
      <c r="C45" s="567" t="s">
        <v>36</v>
      </c>
      <c r="D45" s="568"/>
      <c r="E45" s="57">
        <v>36.14</v>
      </c>
      <c r="F45" s="401">
        <v>963</v>
      </c>
      <c r="G45" s="391">
        <f t="shared" si="31"/>
        <v>34802.82</v>
      </c>
      <c r="H45" s="403" t="s">
        <v>5</v>
      </c>
      <c r="I45" s="399">
        <v>9</v>
      </c>
      <c r="J45" s="58">
        <v>3000</v>
      </c>
      <c r="K45" s="59">
        <f t="shared" si="1"/>
        <v>333.33333333333331</v>
      </c>
      <c r="L45" s="399">
        <v>9</v>
      </c>
      <c r="M45" s="60">
        <f t="shared" si="32"/>
        <v>2888.9999999999991</v>
      </c>
      <c r="N45" s="60">
        <f t="shared" si="3"/>
        <v>320.99999999999989</v>
      </c>
      <c r="O45" s="61">
        <f t="shared" si="4"/>
        <v>0</v>
      </c>
      <c r="P45" s="62">
        <f t="shared" si="5"/>
        <v>-12.333333333333428</v>
      </c>
      <c r="Q45" s="392">
        <f t="shared" si="6"/>
        <v>0.96299999999999975</v>
      </c>
      <c r="R45" s="580"/>
      <c r="S45" s="63">
        <v>0.22152777777777777</v>
      </c>
      <c r="T45" s="63">
        <v>0.23541666666666666</v>
      </c>
      <c r="U45" s="391">
        <f t="shared" si="34"/>
        <v>4.9999999999999822</v>
      </c>
      <c r="V45" s="400">
        <f t="shared" si="33"/>
        <v>20.000000000000007</v>
      </c>
      <c r="W45" s="64"/>
      <c r="X45" s="64"/>
      <c r="Y45" s="569"/>
      <c r="Z45" s="570"/>
      <c r="AA45" s="61">
        <f t="shared" si="8"/>
        <v>-111.00000000000091</v>
      </c>
      <c r="AB45" s="392">
        <f t="shared" si="9"/>
        <v>0.96299999999999975</v>
      </c>
      <c r="AC45" s="580"/>
    </row>
    <row r="46" spans="1:29" ht="15.75" customHeight="1">
      <c r="A46" s="577" t="s">
        <v>89</v>
      </c>
      <c r="B46" s="57" t="s">
        <v>31</v>
      </c>
      <c r="C46" s="567" t="s">
        <v>34</v>
      </c>
      <c r="D46" s="568"/>
      <c r="E46" s="57">
        <v>35.119999999999997</v>
      </c>
      <c r="F46" s="401">
        <v>3063</v>
      </c>
      <c r="G46" s="391">
        <f t="shared" si="31"/>
        <v>107572.56</v>
      </c>
      <c r="H46" s="403" t="s">
        <v>5</v>
      </c>
      <c r="I46" s="399">
        <v>10</v>
      </c>
      <c r="J46" s="58">
        <v>3000</v>
      </c>
      <c r="K46" s="59">
        <f t="shared" si="1"/>
        <v>300</v>
      </c>
      <c r="L46" s="399">
        <v>10</v>
      </c>
      <c r="M46" s="60">
        <f t="shared" si="32"/>
        <v>2871.5625000000014</v>
      </c>
      <c r="N46" s="60">
        <f t="shared" si="3"/>
        <v>287.15625000000011</v>
      </c>
      <c r="O46" s="61">
        <f t="shared" si="4"/>
        <v>0</v>
      </c>
      <c r="P46" s="62">
        <f t="shared" si="5"/>
        <v>-12.843749999999886</v>
      </c>
      <c r="Q46" s="392">
        <f t="shared" si="6"/>
        <v>0.95718750000000041</v>
      </c>
      <c r="R46" s="580"/>
      <c r="S46" s="63">
        <v>0.24027777777777778</v>
      </c>
      <c r="T46" s="63">
        <v>0.28472222222222221</v>
      </c>
      <c r="U46" s="391">
        <f t="shared" si="34"/>
        <v>7.0000000000000151</v>
      </c>
      <c r="V46" s="400">
        <f t="shared" si="33"/>
        <v>63.999999999999972</v>
      </c>
      <c r="W46" s="64"/>
      <c r="X46" s="64"/>
      <c r="Y46" s="569"/>
      <c r="Z46" s="570"/>
      <c r="AA46" s="61">
        <f t="shared" si="8"/>
        <v>-128.43749999999864</v>
      </c>
      <c r="AB46" s="392">
        <f t="shared" si="9"/>
        <v>0.95718750000000041</v>
      </c>
      <c r="AC46" s="580"/>
    </row>
    <row r="47" spans="1:29" ht="15.75" customHeight="1">
      <c r="A47" s="577" t="s">
        <v>89</v>
      </c>
      <c r="B47" s="57" t="s">
        <v>31</v>
      </c>
      <c r="C47" s="567" t="s">
        <v>71</v>
      </c>
      <c r="D47" s="568"/>
      <c r="E47" s="57">
        <v>31</v>
      </c>
      <c r="F47" s="401">
        <v>1441</v>
      </c>
      <c r="G47" s="391">
        <f t="shared" si="31"/>
        <v>44671</v>
      </c>
      <c r="H47" s="403" t="s">
        <v>5</v>
      </c>
      <c r="I47" s="399">
        <v>13</v>
      </c>
      <c r="J47" s="58">
        <v>2000</v>
      </c>
      <c r="K47" s="59">
        <f t="shared" si="1"/>
        <v>153.84615384615384</v>
      </c>
      <c r="L47" s="399">
        <v>13</v>
      </c>
      <c r="M47" s="60">
        <f t="shared" si="32"/>
        <v>1921.3333333333335</v>
      </c>
      <c r="N47" s="60">
        <f t="shared" si="3"/>
        <v>147.7948717948718</v>
      </c>
      <c r="O47" s="61">
        <f t="shared" si="4"/>
        <v>0</v>
      </c>
      <c r="P47" s="62">
        <f t="shared" si="5"/>
        <v>-6.051282051282044</v>
      </c>
      <c r="Q47" s="392">
        <f t="shared" si="6"/>
        <v>0.96066666666666667</v>
      </c>
      <c r="R47" s="580"/>
      <c r="S47" s="63">
        <v>0.28888888888888886</v>
      </c>
      <c r="T47" s="63">
        <v>0.32013888888888886</v>
      </c>
      <c r="U47" s="391">
        <f t="shared" si="34"/>
        <v>5.9999999999999787</v>
      </c>
      <c r="V47" s="400">
        <f t="shared" si="33"/>
        <v>45</v>
      </c>
      <c r="W47" s="64"/>
      <c r="X47" s="64"/>
      <c r="Y47" s="569"/>
      <c r="Z47" s="570"/>
      <c r="AA47" s="61">
        <f t="shared" si="8"/>
        <v>-78.666666666666515</v>
      </c>
      <c r="AB47" s="392">
        <f t="shared" si="9"/>
        <v>0.96066666666666678</v>
      </c>
      <c r="AC47" s="580"/>
    </row>
    <row r="48" spans="1:29" ht="15.75" customHeight="1">
      <c r="A48" s="577" t="s">
        <v>89</v>
      </c>
      <c r="B48" s="57" t="s">
        <v>31</v>
      </c>
      <c r="C48" s="567" t="s">
        <v>659</v>
      </c>
      <c r="D48" s="568"/>
      <c r="E48" s="57">
        <v>37.880000000000003</v>
      </c>
      <c r="F48" s="401">
        <v>1441</v>
      </c>
      <c r="G48" s="391">
        <f t="shared" si="31"/>
        <v>54585.08</v>
      </c>
      <c r="H48" s="403" t="s">
        <v>5</v>
      </c>
      <c r="I48" s="399">
        <v>14</v>
      </c>
      <c r="J48" s="58">
        <v>2000</v>
      </c>
      <c r="K48" s="59">
        <f t="shared" si="1"/>
        <v>142.85714285714286</v>
      </c>
      <c r="L48" s="399">
        <v>14</v>
      </c>
      <c r="M48" s="60">
        <f t="shared" si="32"/>
        <v>1921.3333333333335</v>
      </c>
      <c r="N48" s="60">
        <f t="shared" si="3"/>
        <v>137.23809523809524</v>
      </c>
      <c r="O48" s="61">
        <f t="shared" si="4"/>
        <v>0</v>
      </c>
      <c r="P48" s="62">
        <f t="shared" si="5"/>
        <v>-5.6190476190476204</v>
      </c>
      <c r="Q48" s="392">
        <f t="shared" si="6"/>
        <v>0.96066666666666667</v>
      </c>
      <c r="R48" s="580"/>
      <c r="S48" s="63">
        <v>0.3256944444444444</v>
      </c>
      <c r="T48" s="63">
        <v>0.3569444444444444</v>
      </c>
      <c r="U48" s="391">
        <f t="shared" si="34"/>
        <v>7.9999999999999716</v>
      </c>
      <c r="V48" s="400">
        <f t="shared" si="33"/>
        <v>45</v>
      </c>
      <c r="W48" s="64"/>
      <c r="X48" s="64"/>
      <c r="Y48" s="569"/>
      <c r="Z48" s="570"/>
      <c r="AA48" s="61">
        <f t="shared" si="8"/>
        <v>-78.666666666666515</v>
      </c>
      <c r="AB48" s="392">
        <f t="shared" si="9"/>
        <v>0.96066666666666678</v>
      </c>
      <c r="AC48" s="580"/>
    </row>
    <row r="49" spans="1:29" ht="15.75" customHeight="1">
      <c r="A49" s="577" t="s">
        <v>89</v>
      </c>
      <c r="B49" s="57" t="s">
        <v>31</v>
      </c>
      <c r="C49" s="567" t="s">
        <v>1778</v>
      </c>
      <c r="D49" s="568"/>
      <c r="E49" s="57">
        <v>30.6</v>
      </c>
      <c r="F49" s="401">
        <v>5627</v>
      </c>
      <c r="G49" s="391">
        <f t="shared" si="31"/>
        <v>172186.2</v>
      </c>
      <c r="H49" s="403" t="s">
        <v>5</v>
      </c>
      <c r="I49" s="399">
        <v>11</v>
      </c>
      <c r="J49" s="58">
        <v>3000</v>
      </c>
      <c r="K49" s="59">
        <f t="shared" si="1"/>
        <v>272.72727272727275</v>
      </c>
      <c r="L49" s="399">
        <v>11</v>
      </c>
      <c r="M49" s="60">
        <f t="shared" si="32"/>
        <v>2861.1864406779669</v>
      </c>
      <c r="N49" s="60">
        <f t="shared" si="3"/>
        <v>260.10785824345152</v>
      </c>
      <c r="O49" s="61">
        <f t="shared" si="4"/>
        <v>0</v>
      </c>
      <c r="P49" s="62">
        <f t="shared" si="5"/>
        <v>-12.619414483821231</v>
      </c>
      <c r="Q49" s="392">
        <f t="shared" si="6"/>
        <v>0.95372881355932215</v>
      </c>
      <c r="R49" s="580"/>
      <c r="S49" s="63">
        <v>0.36111111111111105</v>
      </c>
      <c r="T49" s="63">
        <v>0.44305555555555548</v>
      </c>
      <c r="U49" s="391">
        <f t="shared" si="34"/>
        <v>5.9999999999999787</v>
      </c>
      <c r="V49" s="400">
        <f t="shared" si="33"/>
        <v>117.99999999999999</v>
      </c>
      <c r="W49" s="64"/>
      <c r="X49" s="64"/>
      <c r="Y49" s="569"/>
      <c r="Z49" s="570"/>
      <c r="AA49" s="61">
        <f t="shared" si="8"/>
        <v>-138.81355932203314</v>
      </c>
      <c r="AB49" s="392">
        <f t="shared" si="9"/>
        <v>0.95372881355932226</v>
      </c>
      <c r="AC49" s="580"/>
    </row>
    <row r="50" spans="1:29" ht="15.75" customHeight="1">
      <c r="A50" s="578" t="s">
        <v>89</v>
      </c>
      <c r="B50" s="57" t="s">
        <v>67</v>
      </c>
      <c r="C50" s="561"/>
      <c r="D50" s="562"/>
      <c r="E50" s="396"/>
      <c r="F50" s="401"/>
      <c r="G50" s="391"/>
      <c r="H50" s="401"/>
      <c r="I50" s="67">
        <v>11</v>
      </c>
      <c r="J50" s="58">
        <v>2714.2857142857142</v>
      </c>
      <c r="K50" s="59">
        <f t="shared" si="1"/>
        <v>246.75324675324674</v>
      </c>
      <c r="L50" s="67">
        <v>11</v>
      </c>
      <c r="M50" s="60">
        <f>AVERAGE(M43:M49)</f>
        <v>2602.810923462524</v>
      </c>
      <c r="N50" s="59">
        <f t="shared" si="3"/>
        <v>236.61917486022946</v>
      </c>
      <c r="O50" s="61">
        <f t="shared" si="4"/>
        <v>0</v>
      </c>
      <c r="P50" s="62">
        <f t="shared" si="5"/>
        <v>-10.134071893017278</v>
      </c>
      <c r="Q50" s="392">
        <f t="shared" si="6"/>
        <v>0.95893034022303525</v>
      </c>
      <c r="R50" s="581"/>
      <c r="S50" s="63"/>
      <c r="T50" s="63"/>
      <c r="U50" s="391"/>
      <c r="V50" s="400"/>
      <c r="W50" s="64"/>
      <c r="X50" s="64"/>
      <c r="Y50" s="569"/>
      <c r="Z50" s="570"/>
      <c r="AA50" s="61">
        <f t="shared" si="8"/>
        <v>-111.47479082319023</v>
      </c>
      <c r="AB50" s="392">
        <f t="shared" si="9"/>
        <v>0.95893034022303514</v>
      </c>
      <c r="AC50" s="581"/>
    </row>
    <row r="51" spans="1:29" ht="15.75" customHeight="1">
      <c r="A51" s="574" t="s">
        <v>117</v>
      </c>
      <c r="B51" s="57" t="s">
        <v>10</v>
      </c>
      <c r="C51" s="560" t="s">
        <v>37</v>
      </c>
      <c r="D51" s="560"/>
      <c r="E51" s="57">
        <v>46</v>
      </c>
      <c r="F51" s="69">
        <v>1480</v>
      </c>
      <c r="G51" s="391">
        <f t="shared" ref="G51:G58" si="35">E51*F51</f>
        <v>68080</v>
      </c>
      <c r="H51" s="403" t="s">
        <v>5</v>
      </c>
      <c r="I51" s="399">
        <v>17</v>
      </c>
      <c r="J51" s="58">
        <v>2000</v>
      </c>
      <c r="K51" s="59">
        <f t="shared" si="1"/>
        <v>117.64705882352941</v>
      </c>
      <c r="L51" s="399">
        <v>17</v>
      </c>
      <c r="M51" s="60">
        <f t="shared" ref="M51:M58" si="36">F51/V51*60</f>
        <v>1930.4347826086955</v>
      </c>
      <c r="N51" s="60">
        <f t="shared" si="3"/>
        <v>113.5549872122762</v>
      </c>
      <c r="O51" s="61">
        <f t="shared" si="4"/>
        <v>0</v>
      </c>
      <c r="P51" s="62">
        <f t="shared" si="5"/>
        <v>-4.0920716112532034</v>
      </c>
      <c r="Q51" s="392">
        <f t="shared" si="6"/>
        <v>0.9652173913043478</v>
      </c>
      <c r="R51" s="566">
        <f>Q59</f>
        <v>0.88628528892074054</v>
      </c>
      <c r="S51" s="63">
        <v>0.20833333333333334</v>
      </c>
      <c r="T51" s="63">
        <v>0.24027777777777778</v>
      </c>
      <c r="U51" s="68"/>
      <c r="V51" s="400">
        <f t="shared" ref="V51:V58" si="37">(T51-S51)*24*60</f>
        <v>46</v>
      </c>
      <c r="W51" s="68"/>
      <c r="X51" s="68"/>
      <c r="Y51" s="559"/>
      <c r="Z51" s="559"/>
      <c r="AA51" s="61">
        <f t="shared" si="8"/>
        <v>-69.565217391304486</v>
      </c>
      <c r="AB51" s="392">
        <f t="shared" si="9"/>
        <v>0.9652173913043478</v>
      </c>
      <c r="AC51" s="566">
        <f>AB59</f>
        <v>0.88628528892074054</v>
      </c>
    </row>
    <row r="52" spans="1:29" ht="15.75" customHeight="1">
      <c r="A52" s="574" t="s">
        <v>117</v>
      </c>
      <c r="B52" s="57" t="s">
        <v>10</v>
      </c>
      <c r="C52" s="560" t="s">
        <v>38</v>
      </c>
      <c r="D52" s="560"/>
      <c r="E52" s="57">
        <v>46</v>
      </c>
      <c r="F52" s="69">
        <v>1619</v>
      </c>
      <c r="G52" s="391">
        <f t="shared" si="35"/>
        <v>74474</v>
      </c>
      <c r="H52" s="403" t="s">
        <v>5</v>
      </c>
      <c r="I52" s="399">
        <v>17</v>
      </c>
      <c r="J52" s="58">
        <v>2000</v>
      </c>
      <c r="K52" s="59">
        <f t="shared" si="1"/>
        <v>117.64705882352941</v>
      </c>
      <c r="L52" s="399">
        <v>17</v>
      </c>
      <c r="M52" s="60">
        <f t="shared" si="36"/>
        <v>1904.7058823529403</v>
      </c>
      <c r="N52" s="60">
        <f t="shared" si="3"/>
        <v>112.04152249134943</v>
      </c>
      <c r="O52" s="61">
        <f t="shared" si="4"/>
        <v>0</v>
      </c>
      <c r="P52" s="62">
        <f t="shared" si="5"/>
        <v>-5.6055363321799803</v>
      </c>
      <c r="Q52" s="392">
        <f t="shared" si="6"/>
        <v>0.95235294117647018</v>
      </c>
      <c r="R52" s="566"/>
      <c r="S52" s="63">
        <v>0.24374999999999999</v>
      </c>
      <c r="T52" s="63">
        <v>0.27916666666666667</v>
      </c>
      <c r="U52" s="391">
        <f t="shared" ref="U52:U58" si="38">IF(S52=TIME(17,0,0),"",(S52-T51)*24*60)</f>
        <v>4.9999999999999822</v>
      </c>
      <c r="V52" s="400">
        <f t="shared" si="37"/>
        <v>51.000000000000021</v>
      </c>
      <c r="W52" s="64"/>
      <c r="X52" s="64"/>
      <c r="Y52" s="559"/>
      <c r="Z52" s="559"/>
      <c r="AA52" s="61">
        <f t="shared" si="8"/>
        <v>-95.294117647059693</v>
      </c>
      <c r="AB52" s="392">
        <f t="shared" si="9"/>
        <v>0.95235294117647018</v>
      </c>
      <c r="AC52" s="566"/>
    </row>
    <row r="53" spans="1:29" ht="15.75" customHeight="1">
      <c r="A53" s="574" t="s">
        <v>117</v>
      </c>
      <c r="B53" s="57" t="s">
        <v>6</v>
      </c>
      <c r="C53" s="567" t="s">
        <v>1181</v>
      </c>
      <c r="D53" s="568"/>
      <c r="E53" s="57">
        <v>51.86</v>
      </c>
      <c r="F53" s="69">
        <v>1185</v>
      </c>
      <c r="G53" s="391">
        <f t="shared" si="35"/>
        <v>61454.1</v>
      </c>
      <c r="H53" s="403" t="s">
        <v>5</v>
      </c>
      <c r="I53" s="399">
        <v>25</v>
      </c>
      <c r="J53" s="58">
        <v>2000</v>
      </c>
      <c r="K53" s="59">
        <f t="shared" si="1"/>
        <v>80</v>
      </c>
      <c r="L53" s="399">
        <v>25</v>
      </c>
      <c r="M53" s="60">
        <f t="shared" si="36"/>
        <v>1205.0847457627112</v>
      </c>
      <c r="N53" s="60">
        <f t="shared" si="3"/>
        <v>48.203389830508449</v>
      </c>
      <c r="O53" s="61">
        <f t="shared" si="4"/>
        <v>0</v>
      </c>
      <c r="P53" s="62">
        <f t="shared" si="5"/>
        <v>-31.796610169491551</v>
      </c>
      <c r="Q53" s="392">
        <f t="shared" si="6"/>
        <v>0.60254237288135559</v>
      </c>
      <c r="R53" s="566"/>
      <c r="S53" s="63">
        <v>0.28402777777777777</v>
      </c>
      <c r="T53" s="63">
        <v>0.32500000000000001</v>
      </c>
      <c r="U53" s="391">
        <f t="shared" si="38"/>
        <v>6.9999999999999751</v>
      </c>
      <c r="V53" s="400">
        <f t="shared" si="37"/>
        <v>59.000000000000028</v>
      </c>
      <c r="W53" s="64"/>
      <c r="X53" s="64"/>
      <c r="Y53" s="394"/>
      <c r="Z53" s="395"/>
      <c r="AA53" s="61">
        <f t="shared" si="8"/>
        <v>-794.91525423728876</v>
      </c>
      <c r="AB53" s="392">
        <f t="shared" si="9"/>
        <v>0.60254237288135559</v>
      </c>
      <c r="AC53" s="566"/>
    </row>
    <row r="54" spans="1:29" ht="15.75" customHeight="1">
      <c r="A54" s="574" t="s">
        <v>117</v>
      </c>
      <c r="B54" s="57" t="s">
        <v>6</v>
      </c>
      <c r="C54" s="397" t="s">
        <v>1182</v>
      </c>
      <c r="D54" s="398"/>
      <c r="E54" s="57">
        <v>56.43</v>
      </c>
      <c r="F54" s="69">
        <v>1977</v>
      </c>
      <c r="G54" s="391">
        <f t="shared" si="35"/>
        <v>111562.11</v>
      </c>
      <c r="H54" s="403" t="s">
        <v>5</v>
      </c>
      <c r="I54" s="399">
        <v>22</v>
      </c>
      <c r="J54" s="58">
        <v>2000</v>
      </c>
      <c r="K54" s="59">
        <f t="shared" si="1"/>
        <v>90.909090909090907</v>
      </c>
      <c r="L54" s="399">
        <v>22</v>
      </c>
      <c r="M54" s="60">
        <f t="shared" si="36"/>
        <v>1446.585365853658</v>
      </c>
      <c r="N54" s="60">
        <f t="shared" si="3"/>
        <v>65.75388026607537</v>
      </c>
      <c r="O54" s="61">
        <f t="shared" si="4"/>
        <v>0</v>
      </c>
      <c r="P54" s="62">
        <f t="shared" si="5"/>
        <v>-25.155210643015536</v>
      </c>
      <c r="Q54" s="392">
        <f t="shared" si="6"/>
        <v>0.72329268292682913</v>
      </c>
      <c r="R54" s="566"/>
      <c r="S54" s="63">
        <v>0.3298611111111111</v>
      </c>
      <c r="T54" s="63">
        <v>0.38680555555555557</v>
      </c>
      <c r="U54" s="391">
        <f t="shared" si="38"/>
        <v>6.9999999999999751</v>
      </c>
      <c r="V54" s="400">
        <f t="shared" si="37"/>
        <v>82.000000000000028</v>
      </c>
      <c r="W54" s="64"/>
      <c r="X54" s="64"/>
      <c r="Y54" s="394"/>
      <c r="Z54" s="395"/>
      <c r="AA54" s="61">
        <f t="shared" si="8"/>
        <v>-553.414634146342</v>
      </c>
      <c r="AB54" s="392">
        <f t="shared" si="9"/>
        <v>0.72329268292682902</v>
      </c>
      <c r="AC54" s="566"/>
    </row>
    <row r="55" spans="1:29" ht="15.75" customHeight="1">
      <c r="A55" s="574" t="s">
        <v>117</v>
      </c>
      <c r="B55" s="57" t="s">
        <v>6</v>
      </c>
      <c r="C55" s="397" t="s">
        <v>39</v>
      </c>
      <c r="D55" s="398"/>
      <c r="E55" s="57">
        <v>55.56</v>
      </c>
      <c r="F55" s="69">
        <v>1652</v>
      </c>
      <c r="G55" s="391">
        <f t="shared" si="35"/>
        <v>91785.12000000001</v>
      </c>
      <c r="H55" s="403" t="s">
        <v>5</v>
      </c>
      <c r="I55" s="399">
        <v>17</v>
      </c>
      <c r="J55" s="58">
        <v>2000</v>
      </c>
      <c r="K55" s="59">
        <f t="shared" si="1"/>
        <v>117.64705882352941</v>
      </c>
      <c r="L55" s="399">
        <v>17</v>
      </c>
      <c r="M55" s="60">
        <f t="shared" si="36"/>
        <v>1906.1538461538473</v>
      </c>
      <c r="N55" s="60">
        <f t="shared" si="3"/>
        <v>112.12669683257926</v>
      </c>
      <c r="O55" s="61">
        <f t="shared" si="4"/>
        <v>0</v>
      </c>
      <c r="P55" s="62">
        <f t="shared" si="5"/>
        <v>-5.5203619909501498</v>
      </c>
      <c r="Q55" s="392">
        <f t="shared" si="6"/>
        <v>0.95307692307692371</v>
      </c>
      <c r="R55" s="566"/>
      <c r="S55" s="63">
        <v>0.70833333333333337</v>
      </c>
      <c r="T55" s="63">
        <v>0.74444444444444446</v>
      </c>
      <c r="U55" s="391" t="str">
        <f t="shared" si="38"/>
        <v/>
      </c>
      <c r="V55" s="400">
        <f t="shared" si="37"/>
        <v>51.999999999999972</v>
      </c>
      <c r="W55" s="64"/>
      <c r="X55" s="64"/>
      <c r="Y55" s="394"/>
      <c r="Z55" s="395"/>
      <c r="AA55" s="61">
        <f t="shared" si="8"/>
        <v>-93.846153846152674</v>
      </c>
      <c r="AB55" s="392">
        <f t="shared" si="9"/>
        <v>0.95307692307692371</v>
      </c>
      <c r="AC55" s="566"/>
    </row>
    <row r="56" spans="1:29" ht="15.75" customHeight="1">
      <c r="A56" s="574" t="s">
        <v>117</v>
      </c>
      <c r="B56" s="57" t="s">
        <v>6</v>
      </c>
      <c r="C56" s="567" t="s">
        <v>40</v>
      </c>
      <c r="D56" s="568"/>
      <c r="E56" s="57">
        <v>55.32</v>
      </c>
      <c r="F56" s="69">
        <v>1294</v>
      </c>
      <c r="G56" s="391">
        <f t="shared" si="35"/>
        <v>71584.08</v>
      </c>
      <c r="H56" s="403" t="s">
        <v>5</v>
      </c>
      <c r="I56" s="399">
        <v>15</v>
      </c>
      <c r="J56" s="58">
        <v>2000</v>
      </c>
      <c r="K56" s="59">
        <f t="shared" si="1"/>
        <v>133.33333333333334</v>
      </c>
      <c r="L56" s="399">
        <v>15</v>
      </c>
      <c r="M56" s="60">
        <f t="shared" si="36"/>
        <v>1940.9999999999993</v>
      </c>
      <c r="N56" s="60">
        <f t="shared" si="3"/>
        <v>129.39999999999995</v>
      </c>
      <c r="O56" s="61">
        <f t="shared" si="4"/>
        <v>0</v>
      </c>
      <c r="P56" s="62">
        <f t="shared" si="5"/>
        <v>-3.933333333333394</v>
      </c>
      <c r="Q56" s="392">
        <f t="shared" si="6"/>
        <v>0.97049999999999959</v>
      </c>
      <c r="R56" s="566"/>
      <c r="S56" s="63">
        <v>0.75</v>
      </c>
      <c r="T56" s="63">
        <v>0.77777777777777779</v>
      </c>
      <c r="U56" s="391">
        <f t="shared" si="38"/>
        <v>7.9999999999999716</v>
      </c>
      <c r="V56" s="400">
        <f t="shared" si="37"/>
        <v>40.000000000000014</v>
      </c>
      <c r="W56" s="64"/>
      <c r="X56" s="64"/>
      <c r="Y56" s="569"/>
      <c r="Z56" s="570"/>
      <c r="AA56" s="61">
        <f t="shared" si="8"/>
        <v>-59.000000000000682</v>
      </c>
      <c r="AB56" s="392">
        <f t="shared" si="9"/>
        <v>0.9704999999999997</v>
      </c>
      <c r="AC56" s="566"/>
    </row>
    <row r="57" spans="1:29" ht="15.75" customHeight="1">
      <c r="A57" s="574" t="s">
        <v>117</v>
      </c>
      <c r="B57" s="57" t="s">
        <v>6</v>
      </c>
      <c r="C57" s="567" t="s">
        <v>94</v>
      </c>
      <c r="D57" s="568"/>
      <c r="E57" s="57">
        <v>57.3</v>
      </c>
      <c r="F57" s="69">
        <v>1917</v>
      </c>
      <c r="G57" s="391">
        <f t="shared" si="35"/>
        <v>109844.09999999999</v>
      </c>
      <c r="H57" s="403" t="s">
        <v>5</v>
      </c>
      <c r="I57" s="399">
        <v>13</v>
      </c>
      <c r="J57" s="58">
        <v>2000</v>
      </c>
      <c r="K57" s="59">
        <f t="shared" si="1"/>
        <v>153.84615384615384</v>
      </c>
      <c r="L57" s="399">
        <v>13</v>
      </c>
      <c r="M57" s="60">
        <f t="shared" si="36"/>
        <v>1917.0000000000018</v>
      </c>
      <c r="N57" s="60">
        <f t="shared" si="3"/>
        <v>147.46153846153859</v>
      </c>
      <c r="O57" s="61">
        <f t="shared" si="4"/>
        <v>0</v>
      </c>
      <c r="P57" s="62">
        <f t="shared" si="5"/>
        <v>-6.3846153846152447</v>
      </c>
      <c r="Q57" s="392">
        <f t="shared" si="6"/>
        <v>0.95850000000000091</v>
      </c>
      <c r="R57" s="566"/>
      <c r="S57" s="63">
        <v>0.78125</v>
      </c>
      <c r="T57" s="63">
        <v>0.82291666666666663</v>
      </c>
      <c r="U57" s="391">
        <f t="shared" si="38"/>
        <v>4.9999999999999822</v>
      </c>
      <c r="V57" s="400">
        <f t="shared" si="37"/>
        <v>59.999999999999943</v>
      </c>
      <c r="W57" s="64"/>
      <c r="X57" s="64"/>
      <c r="Y57" s="569"/>
      <c r="Z57" s="570"/>
      <c r="AA57" s="61">
        <f t="shared" si="8"/>
        <v>-82.999999999998181</v>
      </c>
      <c r="AB57" s="392">
        <f t="shared" si="9"/>
        <v>0.95850000000000091</v>
      </c>
      <c r="AC57" s="566"/>
    </row>
    <row r="58" spans="1:29" ht="15.75" customHeight="1">
      <c r="A58" s="574" t="s">
        <v>117</v>
      </c>
      <c r="B58" s="57" t="s">
        <v>6</v>
      </c>
      <c r="C58" s="567" t="s">
        <v>1619</v>
      </c>
      <c r="D58" s="568"/>
      <c r="E58" s="57">
        <v>47.98</v>
      </c>
      <c r="F58" s="69">
        <v>804</v>
      </c>
      <c r="G58" s="391">
        <f t="shared" si="35"/>
        <v>38575.919999999998</v>
      </c>
      <c r="H58" s="403" t="s">
        <v>5</v>
      </c>
      <c r="I58" s="399">
        <v>16</v>
      </c>
      <c r="J58" s="58">
        <v>2000</v>
      </c>
      <c r="K58" s="59">
        <f t="shared" si="1"/>
        <v>125</v>
      </c>
      <c r="L58" s="399">
        <v>16</v>
      </c>
      <c r="M58" s="60">
        <f t="shared" si="36"/>
        <v>1929.5999999999947</v>
      </c>
      <c r="N58" s="60">
        <f t="shared" si="3"/>
        <v>120.59999999999967</v>
      </c>
      <c r="O58" s="61">
        <f t="shared" si="4"/>
        <v>0</v>
      </c>
      <c r="P58" s="62">
        <f t="shared" si="5"/>
        <v>-4.4000000000003325</v>
      </c>
      <c r="Q58" s="392">
        <f t="shared" si="6"/>
        <v>0.96479999999999733</v>
      </c>
      <c r="R58" s="566"/>
      <c r="S58" s="63">
        <v>0.82638888888888884</v>
      </c>
      <c r="T58" s="63">
        <v>0.84375</v>
      </c>
      <c r="U58" s="391">
        <f t="shared" si="38"/>
        <v>4.9999999999999822</v>
      </c>
      <c r="V58" s="400">
        <f t="shared" si="37"/>
        <v>25.000000000000071</v>
      </c>
      <c r="W58" s="64"/>
      <c r="X58" s="64"/>
      <c r="Y58" s="569"/>
      <c r="Z58" s="570"/>
      <c r="AA58" s="61">
        <f t="shared" si="8"/>
        <v>-70.400000000005321</v>
      </c>
      <c r="AB58" s="392">
        <f t="shared" si="9"/>
        <v>0.96479999999999733</v>
      </c>
      <c r="AC58" s="566"/>
    </row>
    <row r="59" spans="1:29">
      <c r="A59" s="575" t="s">
        <v>117</v>
      </c>
      <c r="B59" s="57" t="s">
        <v>67</v>
      </c>
      <c r="C59" s="571"/>
      <c r="D59" s="571"/>
      <c r="E59" s="393"/>
      <c r="F59" s="66"/>
      <c r="G59" s="59"/>
      <c r="H59" s="401"/>
      <c r="I59" s="67">
        <v>17.75</v>
      </c>
      <c r="J59" s="58">
        <v>2000</v>
      </c>
      <c r="K59" s="59">
        <f t="shared" si="1"/>
        <v>112.67605633802818</v>
      </c>
      <c r="L59" s="67">
        <v>17.75</v>
      </c>
      <c r="M59" s="60">
        <f>AVERAGE(M51:M58)</f>
        <v>1772.5705778414811</v>
      </c>
      <c r="N59" s="59">
        <f t="shared" si="3"/>
        <v>99.863131145998935</v>
      </c>
      <c r="O59" s="61">
        <f t="shared" si="4"/>
        <v>0</v>
      </c>
      <c r="P59" s="62">
        <f t="shared" si="5"/>
        <v>-12.81292519202924</v>
      </c>
      <c r="Q59" s="392">
        <f t="shared" si="6"/>
        <v>0.88628528892074054</v>
      </c>
      <c r="R59" s="566"/>
      <c r="S59" s="70"/>
      <c r="T59" s="63"/>
      <c r="U59" s="59"/>
      <c r="V59" s="400"/>
      <c r="W59" s="59"/>
      <c r="X59" s="59"/>
      <c r="Y59" s="559"/>
      <c r="Z59" s="559"/>
      <c r="AA59" s="61">
        <f t="shared" si="8"/>
        <v>-227.42942215851895</v>
      </c>
      <c r="AB59" s="392">
        <f t="shared" si="9"/>
        <v>0.88628528892074054</v>
      </c>
      <c r="AC59" s="566"/>
    </row>
    <row r="60" spans="1:29" ht="15.75" customHeight="1">
      <c r="A60" s="572" t="s">
        <v>93</v>
      </c>
      <c r="B60" s="401" t="s">
        <v>10</v>
      </c>
      <c r="C60" s="560" t="s">
        <v>42</v>
      </c>
      <c r="D60" s="560"/>
      <c r="E60" s="57">
        <v>26.97</v>
      </c>
      <c r="F60" s="69">
        <v>2175</v>
      </c>
      <c r="G60" s="391">
        <f t="shared" ref="G60:G65" si="39">E60*F60</f>
        <v>58659.75</v>
      </c>
      <c r="H60" s="403" t="s">
        <v>5</v>
      </c>
      <c r="I60" s="399">
        <v>8</v>
      </c>
      <c r="J60" s="58">
        <v>1500</v>
      </c>
      <c r="K60" s="59">
        <f t="shared" si="1"/>
        <v>187.5</v>
      </c>
      <c r="L60" s="399">
        <v>8</v>
      </c>
      <c r="M60" s="60">
        <f t="shared" ref="M60:M65" si="40">F60/V60*60</f>
        <v>1434.0659340659336</v>
      </c>
      <c r="N60" s="59">
        <f t="shared" si="3"/>
        <v>179.2582417582417</v>
      </c>
      <c r="O60" s="61">
        <f t="shared" si="4"/>
        <v>0</v>
      </c>
      <c r="P60" s="62">
        <f t="shared" si="5"/>
        <v>-8.2417582417583048</v>
      </c>
      <c r="Q60" s="392">
        <f t="shared" si="6"/>
        <v>0.95604395604395576</v>
      </c>
      <c r="R60" s="566">
        <f>Q66</f>
        <v>0.95887787798392232</v>
      </c>
      <c r="S60" s="63">
        <v>0.20833333333333334</v>
      </c>
      <c r="T60" s="63">
        <v>0.27152777777777781</v>
      </c>
      <c r="U60" s="391"/>
      <c r="V60" s="400">
        <f t="shared" ref="V60:V65" si="41">(T60-S60)*24*60</f>
        <v>91.000000000000043</v>
      </c>
      <c r="W60" s="68"/>
      <c r="X60" s="68"/>
      <c r="Y60" s="559"/>
      <c r="Z60" s="559"/>
      <c r="AA60" s="61">
        <f t="shared" si="8"/>
        <v>-65.934065934066439</v>
      </c>
      <c r="AB60" s="392">
        <f t="shared" si="9"/>
        <v>0.95604395604395576</v>
      </c>
      <c r="AC60" s="566">
        <f>AB66</f>
        <v>0.95887787798392232</v>
      </c>
    </row>
    <row r="61" spans="1:29" ht="15.75" customHeight="1">
      <c r="A61" s="572" t="s">
        <v>93</v>
      </c>
      <c r="B61" s="401" t="s">
        <v>31</v>
      </c>
      <c r="C61" s="560" t="s">
        <v>41</v>
      </c>
      <c r="D61" s="560"/>
      <c r="E61" s="57">
        <v>26.78</v>
      </c>
      <c r="F61" s="69">
        <v>1915</v>
      </c>
      <c r="G61" s="391">
        <f t="shared" si="39"/>
        <v>51283.700000000004</v>
      </c>
      <c r="H61" s="403" t="s">
        <v>5</v>
      </c>
      <c r="I61" s="399">
        <v>10</v>
      </c>
      <c r="J61" s="58">
        <v>3000</v>
      </c>
      <c r="K61" s="59">
        <f t="shared" si="1"/>
        <v>300</v>
      </c>
      <c r="L61" s="399">
        <v>10</v>
      </c>
      <c r="M61" s="60">
        <f t="shared" si="40"/>
        <v>2872.4999999999991</v>
      </c>
      <c r="N61" s="59">
        <f t="shared" si="3"/>
        <v>287.24999999999989</v>
      </c>
      <c r="O61" s="61">
        <f t="shared" si="4"/>
        <v>0</v>
      </c>
      <c r="P61" s="62">
        <f t="shared" si="5"/>
        <v>-12.750000000000114</v>
      </c>
      <c r="Q61" s="392">
        <f t="shared" si="6"/>
        <v>0.95749999999999957</v>
      </c>
      <c r="R61" s="566"/>
      <c r="S61" s="63">
        <v>0.27500000000000002</v>
      </c>
      <c r="T61" s="63">
        <v>0.30277777777777781</v>
      </c>
      <c r="U61" s="391">
        <f t="shared" ref="U61:U65" si="42">(S61-T60)*24*60</f>
        <v>4.9999999999999822</v>
      </c>
      <c r="V61" s="400">
        <f t="shared" si="41"/>
        <v>40.000000000000014</v>
      </c>
      <c r="W61" s="391"/>
      <c r="X61" s="391"/>
      <c r="Y61" s="559"/>
      <c r="Z61" s="559"/>
      <c r="AA61" s="61">
        <f t="shared" si="8"/>
        <v>-127.50000000000091</v>
      </c>
      <c r="AB61" s="392">
        <f t="shared" si="9"/>
        <v>0.95749999999999968</v>
      </c>
      <c r="AC61" s="566"/>
    </row>
    <row r="62" spans="1:29" ht="15.75" customHeight="1">
      <c r="A62" s="572" t="s">
        <v>93</v>
      </c>
      <c r="B62" s="401" t="s">
        <v>31</v>
      </c>
      <c r="C62" s="560" t="s">
        <v>64</v>
      </c>
      <c r="D62" s="560"/>
      <c r="E62" s="57">
        <v>37.880000000000003</v>
      </c>
      <c r="F62" s="69">
        <v>1951</v>
      </c>
      <c r="G62" s="391">
        <f t="shared" si="39"/>
        <v>73903.88</v>
      </c>
      <c r="H62" s="403" t="s">
        <v>5</v>
      </c>
      <c r="I62" s="399">
        <v>10</v>
      </c>
      <c r="J62" s="58">
        <v>3000</v>
      </c>
      <c r="K62" s="59">
        <f t="shared" si="1"/>
        <v>300</v>
      </c>
      <c r="L62" s="399">
        <v>10</v>
      </c>
      <c r="M62" s="60">
        <f t="shared" si="40"/>
        <v>2855.1219512195112</v>
      </c>
      <c r="N62" s="59">
        <f t="shared" si="3"/>
        <v>285.51219512195109</v>
      </c>
      <c r="O62" s="61">
        <f t="shared" si="4"/>
        <v>0</v>
      </c>
      <c r="P62" s="62">
        <f t="shared" si="5"/>
        <v>-14.487804878048905</v>
      </c>
      <c r="Q62" s="392">
        <f t="shared" si="6"/>
        <v>0.95170731707317036</v>
      </c>
      <c r="R62" s="566"/>
      <c r="S62" s="63">
        <v>0.30625000000000002</v>
      </c>
      <c r="T62" s="63">
        <v>0.33472222222222225</v>
      </c>
      <c r="U62" s="391">
        <f t="shared" si="42"/>
        <v>4.9999999999999822</v>
      </c>
      <c r="V62" s="400">
        <f t="shared" si="41"/>
        <v>41.000000000000014</v>
      </c>
      <c r="W62" s="391"/>
      <c r="X62" s="391"/>
      <c r="Y62" s="559"/>
      <c r="Z62" s="559"/>
      <c r="AA62" s="61">
        <f t="shared" si="8"/>
        <v>-144.87804878048883</v>
      </c>
      <c r="AB62" s="392">
        <f t="shared" si="9"/>
        <v>0.95170731707317036</v>
      </c>
      <c r="AC62" s="566"/>
    </row>
    <row r="63" spans="1:29" ht="15.75" customHeight="1">
      <c r="A63" s="572" t="s">
        <v>93</v>
      </c>
      <c r="B63" s="401" t="s">
        <v>31</v>
      </c>
      <c r="C63" s="560" t="s">
        <v>72</v>
      </c>
      <c r="D63" s="560"/>
      <c r="E63" s="57">
        <v>40.51</v>
      </c>
      <c r="F63" s="69">
        <v>1916</v>
      </c>
      <c r="G63" s="391">
        <f t="shared" si="39"/>
        <v>77617.159999999989</v>
      </c>
      <c r="H63" s="403" t="s">
        <v>5</v>
      </c>
      <c r="I63" s="399">
        <v>8</v>
      </c>
      <c r="J63" s="58">
        <v>3000</v>
      </c>
      <c r="K63" s="59">
        <f t="shared" si="1"/>
        <v>375</v>
      </c>
      <c r="L63" s="399">
        <v>8</v>
      </c>
      <c r="M63" s="60">
        <f t="shared" si="40"/>
        <v>2873.9999999999991</v>
      </c>
      <c r="N63" s="59">
        <f t="shared" si="3"/>
        <v>359.24999999999989</v>
      </c>
      <c r="O63" s="61">
        <f t="shared" si="4"/>
        <v>0</v>
      </c>
      <c r="P63" s="62">
        <f t="shared" si="5"/>
        <v>-15.750000000000114</v>
      </c>
      <c r="Q63" s="392">
        <f t="shared" si="6"/>
        <v>0.95799999999999974</v>
      </c>
      <c r="R63" s="566"/>
      <c r="S63" s="63">
        <v>0.34027777777777779</v>
      </c>
      <c r="T63" s="63">
        <v>0.36805555555555558</v>
      </c>
      <c r="U63" s="391">
        <f t="shared" si="42"/>
        <v>7.9999999999999716</v>
      </c>
      <c r="V63" s="400">
        <f t="shared" si="41"/>
        <v>40.000000000000014</v>
      </c>
      <c r="W63" s="391"/>
      <c r="X63" s="391"/>
      <c r="Y63" s="559"/>
      <c r="Z63" s="559"/>
      <c r="AA63" s="61">
        <f t="shared" si="8"/>
        <v>-126.00000000000091</v>
      </c>
      <c r="AB63" s="392">
        <f t="shared" si="9"/>
        <v>0.95799999999999974</v>
      </c>
      <c r="AC63" s="566"/>
    </row>
    <row r="64" spans="1:29">
      <c r="A64" s="573" t="s">
        <v>93</v>
      </c>
      <c r="B64" s="401" t="s">
        <v>31</v>
      </c>
      <c r="C64" s="560" t="s">
        <v>35</v>
      </c>
      <c r="D64" s="560"/>
      <c r="E64" s="57">
        <v>35.869999999999997</v>
      </c>
      <c r="F64" s="69">
        <v>2192</v>
      </c>
      <c r="G64" s="391">
        <f t="shared" si="39"/>
        <v>78627.039999999994</v>
      </c>
      <c r="H64" s="403" t="s">
        <v>5</v>
      </c>
      <c r="I64" s="399">
        <v>9</v>
      </c>
      <c r="J64" s="58">
        <v>3000</v>
      </c>
      <c r="K64" s="59">
        <f t="shared" si="1"/>
        <v>333.33333333333331</v>
      </c>
      <c r="L64" s="399">
        <v>9</v>
      </c>
      <c r="M64" s="60">
        <f t="shared" si="40"/>
        <v>2859.1304347826085</v>
      </c>
      <c r="N64" s="59">
        <f t="shared" si="3"/>
        <v>317.68115942028982</v>
      </c>
      <c r="O64" s="61">
        <f t="shared" si="4"/>
        <v>0</v>
      </c>
      <c r="P64" s="62">
        <f t="shared" si="5"/>
        <v>-15.652173913043498</v>
      </c>
      <c r="Q64" s="392">
        <f t="shared" si="6"/>
        <v>0.95304347826086955</v>
      </c>
      <c r="R64" s="566"/>
      <c r="S64" s="63">
        <v>0.37291666666666667</v>
      </c>
      <c r="T64" s="63">
        <v>0.40486111111111112</v>
      </c>
      <c r="U64" s="391">
        <f t="shared" si="42"/>
        <v>6.9999999999999751</v>
      </c>
      <c r="V64" s="400">
        <f t="shared" si="41"/>
        <v>46</v>
      </c>
      <c r="W64" s="64"/>
      <c r="X64" s="64"/>
      <c r="Y64" s="559"/>
      <c r="Z64" s="559"/>
      <c r="AA64" s="61">
        <f t="shared" si="8"/>
        <v>-140.86956521739148</v>
      </c>
      <c r="AB64" s="392">
        <f t="shared" si="9"/>
        <v>0.95304347826086955</v>
      </c>
      <c r="AC64" s="566"/>
    </row>
    <row r="65" spans="1:29" ht="15" customHeight="1">
      <c r="A65" s="573" t="s">
        <v>93</v>
      </c>
      <c r="B65" s="401" t="s">
        <v>31</v>
      </c>
      <c r="C65" s="567" t="s">
        <v>63</v>
      </c>
      <c r="D65" s="568"/>
      <c r="E65" s="57">
        <v>34.36</v>
      </c>
      <c r="F65" s="69">
        <v>1317</v>
      </c>
      <c r="G65" s="391">
        <f t="shared" si="39"/>
        <v>45252.12</v>
      </c>
      <c r="H65" s="403" t="s">
        <v>5</v>
      </c>
      <c r="I65" s="399">
        <v>10</v>
      </c>
      <c r="J65" s="58">
        <v>3000</v>
      </c>
      <c r="K65" s="59">
        <f t="shared" si="1"/>
        <v>300</v>
      </c>
      <c r="L65" s="399">
        <v>10</v>
      </c>
      <c r="M65" s="60">
        <f t="shared" si="40"/>
        <v>2926.6666666666683</v>
      </c>
      <c r="N65" s="59">
        <f t="shared" si="3"/>
        <v>292.66666666666686</v>
      </c>
      <c r="O65" s="61">
        <f t="shared" si="4"/>
        <v>0</v>
      </c>
      <c r="P65" s="62">
        <f t="shared" si="5"/>
        <v>-7.3333333333331439</v>
      </c>
      <c r="Q65" s="392">
        <f t="shared" si="6"/>
        <v>0.97555555555555618</v>
      </c>
      <c r="R65" s="566"/>
      <c r="S65" s="63">
        <v>0.40833333333333333</v>
      </c>
      <c r="T65" s="63">
        <v>0.42708333333333331</v>
      </c>
      <c r="U65" s="391">
        <f t="shared" si="42"/>
        <v>4.9999999999999822</v>
      </c>
      <c r="V65" s="400">
        <f t="shared" si="41"/>
        <v>26.999999999999986</v>
      </c>
      <c r="W65" s="391"/>
      <c r="X65" s="391"/>
      <c r="Y65" s="569"/>
      <c r="Z65" s="570"/>
      <c r="AA65" s="61">
        <f t="shared" si="8"/>
        <v>-73.333333333331666</v>
      </c>
      <c r="AB65" s="392">
        <f t="shared" si="9"/>
        <v>0.97555555555555606</v>
      </c>
      <c r="AC65" s="566"/>
    </row>
    <row r="66" spans="1:29">
      <c r="A66" s="573" t="s">
        <v>93</v>
      </c>
      <c r="B66" s="57" t="s">
        <v>67</v>
      </c>
      <c r="C66" s="571"/>
      <c r="D66" s="571"/>
      <c r="E66" s="393"/>
      <c r="F66" s="66"/>
      <c r="G66" s="59"/>
      <c r="H66" s="401"/>
      <c r="I66" s="67">
        <v>9.1666666666666661</v>
      </c>
      <c r="J66" s="58">
        <v>2750</v>
      </c>
      <c r="K66" s="59">
        <f t="shared" si="1"/>
        <v>300</v>
      </c>
      <c r="L66" s="67">
        <v>9.1666666666666661</v>
      </c>
      <c r="M66" s="60">
        <f>AVERAGE(M60:M65)</f>
        <v>2636.9141644557862</v>
      </c>
      <c r="N66" s="59">
        <f t="shared" si="3"/>
        <v>287.6633633951767</v>
      </c>
      <c r="O66" s="61">
        <f t="shared" si="4"/>
        <v>0</v>
      </c>
      <c r="P66" s="62">
        <f t="shared" si="5"/>
        <v>-12.336636604823298</v>
      </c>
      <c r="Q66" s="392">
        <f t="shared" si="6"/>
        <v>0.95887787798392232</v>
      </c>
      <c r="R66" s="566"/>
      <c r="S66" s="63"/>
      <c r="T66" s="63"/>
      <c r="U66" s="59"/>
      <c r="V66" s="400"/>
      <c r="W66" s="59"/>
      <c r="X66" s="59"/>
      <c r="Y66" s="559"/>
      <c r="Z66" s="559"/>
      <c r="AA66" s="61">
        <f t="shared" si="8"/>
        <v>-113.08583554421375</v>
      </c>
      <c r="AB66" s="392">
        <f t="shared" si="9"/>
        <v>0.95887787798392232</v>
      </c>
      <c r="AC66" s="566"/>
    </row>
    <row r="67" spans="1:29" ht="15.75" customHeight="1">
      <c r="A67" s="563" t="s">
        <v>90</v>
      </c>
      <c r="B67" s="401" t="s">
        <v>15</v>
      </c>
      <c r="C67" s="560" t="s">
        <v>43</v>
      </c>
      <c r="D67" s="560"/>
      <c r="E67" s="57">
        <v>20.2</v>
      </c>
      <c r="F67" s="401">
        <v>1635</v>
      </c>
      <c r="G67" s="391">
        <f t="shared" ref="G67:G71" si="43">E67*F67</f>
        <v>33027</v>
      </c>
      <c r="H67" s="403" t="s">
        <v>5</v>
      </c>
      <c r="I67" s="399">
        <v>19</v>
      </c>
      <c r="J67" s="58">
        <v>2400</v>
      </c>
      <c r="K67" s="59">
        <f t="shared" si="1"/>
        <v>126.31578947368421</v>
      </c>
      <c r="L67" s="399">
        <v>19</v>
      </c>
      <c r="M67" s="60">
        <f t="shared" ref="M67:M71" si="44">F67/V67*60</f>
        <v>2281.395348837209</v>
      </c>
      <c r="N67" s="59">
        <f t="shared" si="3"/>
        <v>120.07343941248469</v>
      </c>
      <c r="O67" s="61">
        <f t="shared" si="4"/>
        <v>0</v>
      </c>
      <c r="P67" s="62">
        <f t="shared" si="5"/>
        <v>-6.2423500611995166</v>
      </c>
      <c r="Q67" s="392">
        <f t="shared" si="6"/>
        <v>0.95058139534883712</v>
      </c>
      <c r="R67" s="566">
        <f>Q72</f>
        <v>0.95377930666716992</v>
      </c>
      <c r="S67" s="63">
        <v>8.3333333333333329E-2</v>
      </c>
      <c r="T67" s="63">
        <v>0.11319444444444444</v>
      </c>
      <c r="U67" s="68"/>
      <c r="V67" s="400">
        <f t="shared" ref="V67:V71" si="45">(T67-S67)*24*60</f>
        <v>43.000000000000007</v>
      </c>
      <c r="W67" s="64">
        <f>T67</f>
        <v>0.11319444444444444</v>
      </c>
      <c r="X67" s="64">
        <f>S68</f>
        <v>0.13333333333333333</v>
      </c>
      <c r="Y67" s="559"/>
      <c r="Z67" s="559"/>
      <c r="AA67" s="61">
        <f t="shared" si="8"/>
        <v>-118.60465116279101</v>
      </c>
      <c r="AB67" s="392">
        <f t="shared" si="9"/>
        <v>0.95058139534883712</v>
      </c>
      <c r="AC67" s="566">
        <f>AB72</f>
        <v>0.95377930666716981</v>
      </c>
    </row>
    <row r="68" spans="1:29" ht="15.75" customHeight="1">
      <c r="A68" s="564" t="s">
        <v>90</v>
      </c>
      <c r="B68" s="401" t="s">
        <v>15</v>
      </c>
      <c r="C68" s="560" t="s">
        <v>24</v>
      </c>
      <c r="D68" s="560"/>
      <c r="E68" s="57">
        <v>20.52</v>
      </c>
      <c r="F68" s="401">
        <v>2453</v>
      </c>
      <c r="G68" s="391">
        <f t="shared" si="43"/>
        <v>50335.56</v>
      </c>
      <c r="H68" s="403" t="s">
        <v>5</v>
      </c>
      <c r="I68" s="399">
        <v>18</v>
      </c>
      <c r="J68" s="58">
        <v>2400</v>
      </c>
      <c r="K68" s="59">
        <f t="shared" si="1"/>
        <v>133.33333333333334</v>
      </c>
      <c r="L68" s="399">
        <v>18</v>
      </c>
      <c r="M68" s="60">
        <f t="shared" si="44"/>
        <v>2299.6874999999995</v>
      </c>
      <c r="N68" s="59">
        <f t="shared" si="3"/>
        <v>127.76041666666664</v>
      </c>
      <c r="O68" s="61">
        <f t="shared" si="4"/>
        <v>0</v>
      </c>
      <c r="P68" s="62">
        <f t="shared" si="5"/>
        <v>-5.5729166666666998</v>
      </c>
      <c r="Q68" s="392">
        <f t="shared" si="6"/>
        <v>0.95820312499999971</v>
      </c>
      <c r="R68" s="566"/>
      <c r="S68" s="63">
        <v>0.13333333333333333</v>
      </c>
      <c r="T68" s="63">
        <v>0.17777777777777778</v>
      </c>
      <c r="U68" s="391">
        <f t="shared" ref="U68:U71" si="46">(S68-T67)*24*60</f>
        <v>28.999999999999996</v>
      </c>
      <c r="V68" s="400">
        <f t="shared" si="45"/>
        <v>64.000000000000014</v>
      </c>
      <c r="W68" s="64"/>
      <c r="X68" s="64"/>
      <c r="Y68" s="559"/>
      <c r="Z68" s="559"/>
      <c r="AA68" s="61">
        <f t="shared" si="8"/>
        <v>-100.31250000000045</v>
      </c>
      <c r="AB68" s="392">
        <f t="shared" si="9"/>
        <v>0.95820312499999982</v>
      </c>
      <c r="AC68" s="566"/>
    </row>
    <row r="69" spans="1:29" ht="15.75" customHeight="1">
      <c r="A69" s="564" t="s">
        <v>90</v>
      </c>
      <c r="B69" s="401" t="s">
        <v>15</v>
      </c>
      <c r="C69" s="560" t="s">
        <v>44</v>
      </c>
      <c r="D69" s="560"/>
      <c r="E69" s="57">
        <v>19.02</v>
      </c>
      <c r="F69" s="401">
        <v>6435</v>
      </c>
      <c r="G69" s="391">
        <f t="shared" si="43"/>
        <v>122393.7</v>
      </c>
      <c r="H69" s="403" t="s">
        <v>5</v>
      </c>
      <c r="I69" s="399">
        <v>15</v>
      </c>
      <c r="J69" s="58">
        <v>2400</v>
      </c>
      <c r="K69" s="59">
        <f t="shared" ref="K69:K72" si="47">J69/I69</f>
        <v>160</v>
      </c>
      <c r="L69" s="399">
        <v>15</v>
      </c>
      <c r="M69" s="60">
        <f t="shared" si="44"/>
        <v>2298.2142857142862</v>
      </c>
      <c r="N69" s="59">
        <f t="shared" ref="N69:N72" si="48">M69/L69</f>
        <v>153.21428571428575</v>
      </c>
      <c r="O69" s="61">
        <f t="shared" ref="O69:O72" si="49">L69-I69</f>
        <v>0</v>
      </c>
      <c r="P69" s="62">
        <f t="shared" ref="P69:P72" si="50">N69-K69</f>
        <v>-6.7857142857142492</v>
      </c>
      <c r="Q69" s="392">
        <f t="shared" ref="Q69:Q72" si="51">N69/K69</f>
        <v>0.95758928571428592</v>
      </c>
      <c r="R69" s="566"/>
      <c r="S69" s="63">
        <v>0.18194444444444446</v>
      </c>
      <c r="T69" s="63">
        <v>0.2986111111111111</v>
      </c>
      <c r="U69" s="391">
        <f t="shared" si="46"/>
        <v>6.0000000000000187</v>
      </c>
      <c r="V69" s="400">
        <f t="shared" si="45"/>
        <v>167.99999999999997</v>
      </c>
      <c r="W69" s="64"/>
      <c r="X69" s="64"/>
      <c r="Y69" s="559"/>
      <c r="Z69" s="559"/>
      <c r="AA69" s="61">
        <f t="shared" ref="AA69:AA72" si="52">M69-J69</f>
        <v>-101.78571428571377</v>
      </c>
      <c r="AB69" s="392">
        <f t="shared" ref="AB69:AB72" si="53">M69/J69</f>
        <v>0.95758928571428592</v>
      </c>
      <c r="AC69" s="566"/>
    </row>
    <row r="70" spans="1:29" ht="15.75" customHeight="1">
      <c r="A70" s="564" t="s">
        <v>90</v>
      </c>
      <c r="B70" s="401" t="s">
        <v>15</v>
      </c>
      <c r="C70" s="560" t="s">
        <v>29</v>
      </c>
      <c r="D70" s="560"/>
      <c r="E70" s="57">
        <v>24.43</v>
      </c>
      <c r="F70" s="401">
        <v>5028</v>
      </c>
      <c r="G70" s="391">
        <f t="shared" si="43"/>
        <v>122834.04</v>
      </c>
      <c r="H70" s="403" t="s">
        <v>5</v>
      </c>
      <c r="I70" s="399">
        <v>14</v>
      </c>
      <c r="J70" s="58">
        <v>2400</v>
      </c>
      <c r="K70" s="59">
        <f t="shared" si="47"/>
        <v>171.42857142857142</v>
      </c>
      <c r="L70" s="399">
        <v>14</v>
      </c>
      <c r="M70" s="60">
        <f t="shared" si="44"/>
        <v>2285.4545454545455</v>
      </c>
      <c r="N70" s="59">
        <f t="shared" si="48"/>
        <v>163.24675324675326</v>
      </c>
      <c r="O70" s="61">
        <f t="shared" si="49"/>
        <v>0</v>
      </c>
      <c r="P70" s="62">
        <f t="shared" si="50"/>
        <v>-8.1818181818181586</v>
      </c>
      <c r="Q70" s="392">
        <f t="shared" si="51"/>
        <v>0.95227272727272738</v>
      </c>
      <c r="R70" s="566"/>
      <c r="S70" s="63">
        <v>0.3034722222222222</v>
      </c>
      <c r="T70" s="63">
        <v>0.39513888888888887</v>
      </c>
      <c r="U70" s="391">
        <f t="shared" si="46"/>
        <v>6.9999999999999751</v>
      </c>
      <c r="V70" s="400">
        <f t="shared" si="45"/>
        <v>132</v>
      </c>
      <c r="W70" s="64"/>
      <c r="X70" s="64"/>
      <c r="Y70" s="559"/>
      <c r="Z70" s="559"/>
      <c r="AA70" s="61">
        <f t="shared" si="52"/>
        <v>-114.5454545454545</v>
      </c>
      <c r="AB70" s="392">
        <f t="shared" si="53"/>
        <v>0.95227272727272727</v>
      </c>
      <c r="AC70" s="566"/>
    </row>
    <row r="71" spans="1:29" ht="15.75" customHeight="1">
      <c r="A71" s="564" t="s">
        <v>90</v>
      </c>
      <c r="B71" s="401" t="s">
        <v>15</v>
      </c>
      <c r="C71" s="560" t="s">
        <v>1183</v>
      </c>
      <c r="D71" s="560"/>
      <c r="E71" s="57">
        <v>20.21</v>
      </c>
      <c r="F71" s="401">
        <v>3801</v>
      </c>
      <c r="G71" s="391">
        <f t="shared" si="43"/>
        <v>76818.210000000006</v>
      </c>
      <c r="H71" s="403" t="s">
        <v>5</v>
      </c>
      <c r="I71" s="399">
        <v>16</v>
      </c>
      <c r="J71" s="58">
        <v>2400</v>
      </c>
      <c r="K71" s="59">
        <f t="shared" si="47"/>
        <v>150</v>
      </c>
      <c r="L71" s="399">
        <v>16</v>
      </c>
      <c r="M71" s="60">
        <f t="shared" si="44"/>
        <v>2280.599999999999</v>
      </c>
      <c r="N71" s="59">
        <f t="shared" si="48"/>
        <v>142.53749999999994</v>
      </c>
      <c r="O71" s="61">
        <f t="shared" si="49"/>
        <v>0</v>
      </c>
      <c r="P71" s="62">
        <f t="shared" si="50"/>
        <v>-7.4625000000000625</v>
      </c>
      <c r="Q71" s="392">
        <f t="shared" si="51"/>
        <v>0.95024999999999959</v>
      </c>
      <c r="R71" s="566"/>
      <c r="S71" s="63">
        <v>0.39930555555555552</v>
      </c>
      <c r="T71" s="63">
        <v>0.46875</v>
      </c>
      <c r="U71" s="391">
        <f t="shared" si="46"/>
        <v>5.9999999999999787</v>
      </c>
      <c r="V71" s="400">
        <f t="shared" si="45"/>
        <v>100.00000000000004</v>
      </c>
      <c r="W71" s="64"/>
      <c r="X71" s="64"/>
      <c r="Y71" s="559"/>
      <c r="Z71" s="559"/>
      <c r="AA71" s="61">
        <f t="shared" si="52"/>
        <v>-119.400000000001</v>
      </c>
      <c r="AB71" s="392">
        <f t="shared" si="53"/>
        <v>0.95024999999999959</v>
      </c>
      <c r="AC71" s="566"/>
    </row>
    <row r="72" spans="1:29" ht="16.5" customHeight="1">
      <c r="A72" s="565" t="s">
        <v>90</v>
      </c>
      <c r="B72" s="57" t="s">
        <v>67</v>
      </c>
      <c r="C72" s="561"/>
      <c r="D72" s="562"/>
      <c r="E72" s="393"/>
      <c r="F72" s="66"/>
      <c r="G72" s="59"/>
      <c r="H72" s="401"/>
      <c r="I72" s="67">
        <v>16.399999999999999</v>
      </c>
      <c r="J72" s="58">
        <v>2400</v>
      </c>
      <c r="K72" s="59">
        <f t="shared" si="47"/>
        <v>146.34146341463415</v>
      </c>
      <c r="L72" s="67">
        <v>16.399999999999999</v>
      </c>
      <c r="M72" s="60">
        <f>AVERAGE(M67:M71)</f>
        <v>2289.0703360012076</v>
      </c>
      <c r="N72" s="59">
        <f t="shared" si="48"/>
        <v>139.57745951226877</v>
      </c>
      <c r="O72" s="61">
        <f t="shared" si="49"/>
        <v>0</v>
      </c>
      <c r="P72" s="62">
        <f t="shared" si="50"/>
        <v>-6.7640039023653742</v>
      </c>
      <c r="Q72" s="392">
        <f t="shared" si="51"/>
        <v>0.95377930666716992</v>
      </c>
      <c r="R72" s="566"/>
      <c r="S72" s="63"/>
      <c r="T72" s="63"/>
      <c r="U72" s="59"/>
      <c r="V72" s="400"/>
      <c r="W72" s="59"/>
      <c r="X72" s="59"/>
      <c r="Y72" s="559"/>
      <c r="Z72" s="559"/>
      <c r="AA72" s="61">
        <f t="shared" si="52"/>
        <v>-110.92966399879242</v>
      </c>
      <c r="AB72" s="392">
        <f t="shared" si="53"/>
        <v>0.95377930666716981</v>
      </c>
      <c r="AC72" s="566"/>
    </row>
    <row r="73" spans="1:29">
      <c r="D73" s="122"/>
      <c r="E73" s="122"/>
    </row>
  </sheetData>
  <mergeCells count="192">
    <mergeCell ref="Y70:Z70"/>
    <mergeCell ref="C71:D71"/>
    <mergeCell ref="Y71:Z71"/>
    <mergeCell ref="A67:A72"/>
    <mergeCell ref="C67:D67"/>
    <mergeCell ref="R67:R72"/>
    <mergeCell ref="Y67:Z67"/>
    <mergeCell ref="AC67:AC72"/>
    <mergeCell ref="C68:D68"/>
    <mergeCell ref="Y68:Z68"/>
    <mergeCell ref="C69:D69"/>
    <mergeCell ref="Y69:Z69"/>
    <mergeCell ref="C70:D70"/>
    <mergeCell ref="C72:D72"/>
    <mergeCell ref="Y72:Z72"/>
    <mergeCell ref="A60:A66"/>
    <mergeCell ref="C60:D60"/>
    <mergeCell ref="R60:R66"/>
    <mergeCell ref="Y60:Z60"/>
    <mergeCell ref="AC60:AC66"/>
    <mergeCell ref="C61:D61"/>
    <mergeCell ref="Y61:Z61"/>
    <mergeCell ref="C62:D62"/>
    <mergeCell ref="Y62:Z62"/>
    <mergeCell ref="C63:D63"/>
    <mergeCell ref="Y63:Z63"/>
    <mergeCell ref="C64:D64"/>
    <mergeCell ref="Y64:Z64"/>
    <mergeCell ref="C65:D65"/>
    <mergeCell ref="Y65:Z65"/>
    <mergeCell ref="C66:D66"/>
    <mergeCell ref="Y66:Z66"/>
    <mergeCell ref="A51:A59"/>
    <mergeCell ref="C51:D51"/>
    <mergeCell ref="R51:R59"/>
    <mergeCell ref="Y51:Z51"/>
    <mergeCell ref="C59:D59"/>
    <mergeCell ref="Y59:Z59"/>
    <mergeCell ref="AC51:AC59"/>
    <mergeCell ref="C52:D52"/>
    <mergeCell ref="Y52:Z52"/>
    <mergeCell ref="C53:D53"/>
    <mergeCell ref="C56:D56"/>
    <mergeCell ref="Y56:Z56"/>
    <mergeCell ref="C57:D57"/>
    <mergeCell ref="Y57:Z57"/>
    <mergeCell ref="C58:D58"/>
    <mergeCell ref="Y58:Z58"/>
    <mergeCell ref="A43:A50"/>
    <mergeCell ref="C43:D43"/>
    <mergeCell ref="R43:R50"/>
    <mergeCell ref="Y43:Z43"/>
    <mergeCell ref="Y48:Z48"/>
    <mergeCell ref="C49:D49"/>
    <mergeCell ref="AC43:AC50"/>
    <mergeCell ref="C44:D44"/>
    <mergeCell ref="Y44:Z44"/>
    <mergeCell ref="C45:D45"/>
    <mergeCell ref="Y45:Z45"/>
    <mergeCell ref="C46:D46"/>
    <mergeCell ref="Y46:Z46"/>
    <mergeCell ref="C47:D47"/>
    <mergeCell ref="Y47:Z47"/>
    <mergeCell ref="C48:D48"/>
    <mergeCell ref="Y49:Z49"/>
    <mergeCell ref="C50:D50"/>
    <mergeCell ref="Y50:Z50"/>
    <mergeCell ref="AC35:AC42"/>
    <mergeCell ref="C36:D36"/>
    <mergeCell ref="Y36:Z36"/>
    <mergeCell ref="C37:D37"/>
    <mergeCell ref="Y37:Z37"/>
    <mergeCell ref="C38:D38"/>
    <mergeCell ref="Y38:Z38"/>
    <mergeCell ref="C39:D39"/>
    <mergeCell ref="Y39:Z39"/>
    <mergeCell ref="C40:D40"/>
    <mergeCell ref="C41:D41"/>
    <mergeCell ref="Y41:Z41"/>
    <mergeCell ref="C42:D42"/>
    <mergeCell ref="Y42:Z42"/>
    <mergeCell ref="A35:A42"/>
    <mergeCell ref="C35:D35"/>
    <mergeCell ref="R35:R42"/>
    <mergeCell ref="Y35:Z35"/>
    <mergeCell ref="Y40:Z40"/>
    <mergeCell ref="A29:A34"/>
    <mergeCell ref="C29:D29"/>
    <mergeCell ref="R29:R34"/>
    <mergeCell ref="Y29:Z29"/>
    <mergeCell ref="AC29:AC34"/>
    <mergeCell ref="C30:D30"/>
    <mergeCell ref="Y30:Z30"/>
    <mergeCell ref="C31:D31"/>
    <mergeCell ref="Y31:Z31"/>
    <mergeCell ref="C32:D32"/>
    <mergeCell ref="C26:D26"/>
    <mergeCell ref="Y26:Z26"/>
    <mergeCell ref="C27:D27"/>
    <mergeCell ref="Y27:Z27"/>
    <mergeCell ref="C28:D28"/>
    <mergeCell ref="Y28:Z28"/>
    <mergeCell ref="AC19:AC28"/>
    <mergeCell ref="Y32:Z32"/>
    <mergeCell ref="C33:D33"/>
    <mergeCell ref="Y33:Z33"/>
    <mergeCell ref="C34:D34"/>
    <mergeCell ref="Y34:Z34"/>
    <mergeCell ref="Y22:Z22"/>
    <mergeCell ref="C23:D23"/>
    <mergeCell ref="Y23:Z23"/>
    <mergeCell ref="C24:D24"/>
    <mergeCell ref="Y24:Z24"/>
    <mergeCell ref="C25:D25"/>
    <mergeCell ref="Y25:Z25"/>
    <mergeCell ref="A19:A28"/>
    <mergeCell ref="C19:D19"/>
    <mergeCell ref="R19:R28"/>
    <mergeCell ref="Y19:Z19"/>
    <mergeCell ref="C20:D20"/>
    <mergeCell ref="Y20:Z20"/>
    <mergeCell ref="C21:D21"/>
    <mergeCell ref="Y21:Z21"/>
    <mergeCell ref="C22:D22"/>
    <mergeCell ref="AC9:AC11"/>
    <mergeCell ref="C10:D10"/>
    <mergeCell ref="Y10:Z10"/>
    <mergeCell ref="C11:D11"/>
    <mergeCell ref="Y11:Z11"/>
    <mergeCell ref="A12:A18"/>
    <mergeCell ref="C12:D12"/>
    <mergeCell ref="R12:R18"/>
    <mergeCell ref="Y12:Z12"/>
    <mergeCell ref="AC12:AC18"/>
    <mergeCell ref="C16:D16"/>
    <mergeCell ref="Y16:Z16"/>
    <mergeCell ref="C17:D17"/>
    <mergeCell ref="Y17:Z17"/>
    <mergeCell ref="C18:D18"/>
    <mergeCell ref="Y18:Z18"/>
    <mergeCell ref="C13:D13"/>
    <mergeCell ref="Y13:Z13"/>
    <mergeCell ref="C14:D14"/>
    <mergeCell ref="Y14:Z14"/>
    <mergeCell ref="C15:D15"/>
    <mergeCell ref="Y15:Z15"/>
    <mergeCell ref="C8:D8"/>
    <mergeCell ref="Y8:Z8"/>
    <mergeCell ref="A9:A11"/>
    <mergeCell ref="C9:D9"/>
    <mergeCell ref="R9:R11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</mergeCells>
  <phoneticPr fontId="3" type="noConversion"/>
  <conditionalFormatting sqref="O59:O60 O63:O72 O5:O9 O11:O13 O50:O56 O18:O48">
    <cfRule type="cellIs" dxfId="1606" priority="56" operator="greaterThan">
      <formula>0</formula>
    </cfRule>
  </conditionalFormatting>
  <conditionalFormatting sqref="P5:P7 P63:P65 AA63:AA65 P67:P71 P29:P33 P60 P9 P11:P13 P19:P27 P51:P56 P35:P48 AA5:AA60 AA67:AA72">
    <cfRule type="cellIs" dxfId="1605" priority="60" operator="lessThan">
      <formula>0</formula>
    </cfRule>
  </conditionalFormatting>
  <conditionalFormatting sqref="AB63:AB65 Q59:Q60 Q63:Q72 Q5:Q9 Q11:Q13 Q50:Q56 Q18:Q48 AB5:AB60 AB67:AB72">
    <cfRule type="cellIs" dxfId="1604" priority="57" operator="greaterThan">
      <formula>1</formula>
    </cfRule>
    <cfRule type="cellIs" dxfId="1603" priority="58" operator="lessThan">
      <formula>0.8</formula>
    </cfRule>
  </conditionalFormatting>
  <conditionalFormatting sqref="AC12:AC13 R12:R13 AC63 R18:R24 AC18:AC24 AC59:AC60 R59:R60 R63:R72 AC5:AC9 R5:R9 R28:R48 AC28:AC48 AC50:AC56 R50:R56">
    <cfRule type="cellIs" dxfId="1602" priority="62" operator="lessThan">
      <formula>0.8</formula>
    </cfRule>
  </conditionalFormatting>
  <conditionalFormatting sqref="AC43">
    <cfRule type="cellIs" dxfId="1601" priority="64" operator="lessThan">
      <formula>0.8</formula>
    </cfRule>
  </conditionalFormatting>
  <conditionalFormatting sqref="AC19:AC24">
    <cfRule type="cellIs" dxfId="1600" priority="61" operator="lessThan">
      <formula>0.8</formula>
    </cfRule>
  </conditionalFormatting>
  <conditionalFormatting sqref="AC29">
    <cfRule type="cellIs" dxfId="1599" priority="63" operator="lessThan">
      <formula>0.8</formula>
    </cfRule>
  </conditionalFormatting>
  <conditionalFormatting sqref="AC35:AC41">
    <cfRule type="cellIs" dxfId="1598" priority="59" operator="lessThan">
      <formula>0.8</formula>
    </cfRule>
  </conditionalFormatting>
  <conditionalFormatting sqref="AA66">
    <cfRule type="cellIs" dxfId="1597" priority="55" operator="lessThan">
      <formula>0</formula>
    </cfRule>
  </conditionalFormatting>
  <conditionalFormatting sqref="AB66">
    <cfRule type="cellIs" dxfId="1596" priority="53" operator="greaterThan">
      <formula>1</formula>
    </cfRule>
    <cfRule type="cellIs" dxfId="1595" priority="54" operator="lessThan">
      <formula>0.8</formula>
    </cfRule>
  </conditionalFormatting>
  <conditionalFormatting sqref="O14:O15">
    <cfRule type="cellIs" dxfId="1594" priority="48" operator="greaterThan">
      <formula>0</formula>
    </cfRule>
  </conditionalFormatting>
  <conditionalFormatting sqref="P14:P15">
    <cfRule type="cellIs" dxfId="1593" priority="51" operator="lessThan">
      <formula>0</formula>
    </cfRule>
  </conditionalFormatting>
  <conditionalFormatting sqref="Q14:Q15">
    <cfRule type="cellIs" dxfId="1592" priority="49" operator="greaterThan">
      <formula>1</formula>
    </cfRule>
    <cfRule type="cellIs" dxfId="1591" priority="50" operator="lessThan">
      <formula>0.8</formula>
    </cfRule>
  </conditionalFormatting>
  <conditionalFormatting sqref="R14:R15 AC14:AC15">
    <cfRule type="cellIs" dxfId="1590" priority="52" operator="lessThan">
      <formula>0.8</formula>
    </cfRule>
  </conditionalFormatting>
  <conditionalFormatting sqref="O10">
    <cfRule type="cellIs" dxfId="1589" priority="44" operator="greaterThan">
      <formula>0</formula>
    </cfRule>
  </conditionalFormatting>
  <conditionalFormatting sqref="P10">
    <cfRule type="cellIs" dxfId="1588" priority="47" operator="lessThan">
      <formula>0</formula>
    </cfRule>
  </conditionalFormatting>
  <conditionalFormatting sqref="Q10">
    <cfRule type="cellIs" dxfId="1587" priority="45" operator="greaterThan">
      <formula>1</formula>
    </cfRule>
    <cfRule type="cellIs" dxfId="1586" priority="46" operator="lessThan">
      <formula>0.8</formula>
    </cfRule>
  </conditionalFormatting>
  <conditionalFormatting sqref="O57">
    <cfRule type="cellIs" dxfId="1585" priority="39" operator="greaterThan">
      <formula>0</formula>
    </cfRule>
  </conditionalFormatting>
  <conditionalFormatting sqref="P57">
    <cfRule type="cellIs" dxfId="1584" priority="42" operator="lessThan">
      <formula>0</formula>
    </cfRule>
  </conditionalFormatting>
  <conditionalFormatting sqref="Q57">
    <cfRule type="cellIs" dxfId="1583" priority="40" operator="greaterThan">
      <formula>1</formula>
    </cfRule>
    <cfRule type="cellIs" dxfId="1582" priority="41" operator="lessThan">
      <formula>0.8</formula>
    </cfRule>
  </conditionalFormatting>
  <conditionalFormatting sqref="R57 AC57">
    <cfRule type="cellIs" dxfId="1581" priority="43" operator="lessThan">
      <formula>0.8</formula>
    </cfRule>
  </conditionalFormatting>
  <conditionalFormatting sqref="AC26 R26">
    <cfRule type="cellIs" dxfId="1580" priority="38" operator="lessThan">
      <formula>0.8</formula>
    </cfRule>
  </conditionalFormatting>
  <conditionalFormatting sqref="O62">
    <cfRule type="cellIs" dxfId="1579" priority="33" operator="greaterThan">
      <formula>0</formula>
    </cfRule>
  </conditionalFormatting>
  <conditionalFormatting sqref="P62 AA62">
    <cfRule type="cellIs" dxfId="1578" priority="36" operator="lessThan">
      <formula>0</formula>
    </cfRule>
  </conditionalFormatting>
  <conditionalFormatting sqref="Q62 AB62">
    <cfRule type="cellIs" dxfId="1577" priority="34" operator="greaterThan">
      <formula>1</formula>
    </cfRule>
    <cfRule type="cellIs" dxfId="1576" priority="35" operator="lessThan">
      <formula>0.8</formula>
    </cfRule>
  </conditionalFormatting>
  <conditionalFormatting sqref="R62 AC62">
    <cfRule type="cellIs" dxfId="1575" priority="37" operator="lessThan">
      <formula>0.8</formula>
    </cfRule>
  </conditionalFormatting>
  <conditionalFormatting sqref="O16:O17">
    <cfRule type="cellIs" dxfId="1574" priority="28" operator="greaterThan">
      <formula>0</formula>
    </cfRule>
  </conditionalFormatting>
  <conditionalFormatting sqref="P16:P17">
    <cfRule type="cellIs" dxfId="1573" priority="31" operator="lessThan">
      <formula>0</formula>
    </cfRule>
  </conditionalFormatting>
  <conditionalFormatting sqref="Q16:Q17">
    <cfRule type="cellIs" dxfId="1572" priority="29" operator="greaterThan">
      <formula>1</formula>
    </cfRule>
    <cfRule type="cellIs" dxfId="1571" priority="30" operator="lessThan">
      <formula>0.8</formula>
    </cfRule>
  </conditionalFormatting>
  <conditionalFormatting sqref="R16:R17 AC16:AC17">
    <cfRule type="cellIs" dxfId="1570" priority="32" operator="lessThan">
      <formula>0.8</formula>
    </cfRule>
  </conditionalFormatting>
  <conditionalFormatting sqref="O49">
    <cfRule type="cellIs" dxfId="1569" priority="22" operator="greaterThan">
      <formula>0</formula>
    </cfRule>
  </conditionalFormatting>
  <conditionalFormatting sqref="P49">
    <cfRule type="cellIs" dxfId="1568" priority="26" operator="lessThan">
      <formula>0</formula>
    </cfRule>
  </conditionalFormatting>
  <conditionalFormatting sqref="Q49">
    <cfRule type="cellIs" dxfId="1567" priority="23" operator="greaterThan">
      <formula>1</formula>
    </cfRule>
    <cfRule type="cellIs" dxfId="1566" priority="24" operator="lessThan">
      <formula>0.8</formula>
    </cfRule>
  </conditionalFormatting>
  <conditionalFormatting sqref="R49 AC49">
    <cfRule type="cellIs" dxfId="1565" priority="27" operator="lessThan">
      <formula>0.8</formula>
    </cfRule>
  </conditionalFormatting>
  <conditionalFormatting sqref="AC49">
    <cfRule type="cellIs" dxfId="1564" priority="25" operator="lessThan">
      <formula>0.8</formula>
    </cfRule>
  </conditionalFormatting>
  <conditionalFormatting sqref="O58">
    <cfRule type="cellIs" dxfId="1563" priority="17" operator="greaterThan">
      <formula>0</formula>
    </cfRule>
  </conditionalFormatting>
  <conditionalFormatting sqref="P58">
    <cfRule type="cellIs" dxfId="1562" priority="20" operator="lessThan">
      <formula>0</formula>
    </cfRule>
  </conditionalFormatting>
  <conditionalFormatting sqref="Q58">
    <cfRule type="cellIs" dxfId="1561" priority="18" operator="greaterThan">
      <formula>1</formula>
    </cfRule>
    <cfRule type="cellIs" dxfId="1560" priority="19" operator="lessThan">
      <formula>0.8</formula>
    </cfRule>
  </conditionalFormatting>
  <conditionalFormatting sqref="AC58 R58">
    <cfRule type="cellIs" dxfId="1559" priority="21" operator="lessThan">
      <formula>0.8</formula>
    </cfRule>
  </conditionalFormatting>
  <conditionalFormatting sqref="AC27 R27">
    <cfRule type="cellIs" dxfId="1558" priority="16" operator="lessThan">
      <formula>0.8</formula>
    </cfRule>
  </conditionalFormatting>
  <conditionalFormatting sqref="R25 AC25">
    <cfRule type="cellIs" dxfId="1557" priority="15" operator="lessThan">
      <formula>0.8</formula>
    </cfRule>
  </conditionalFormatting>
  <conditionalFormatting sqref="AC25">
    <cfRule type="cellIs" dxfId="1556" priority="14" operator="lessThan">
      <formula>0.8</formula>
    </cfRule>
  </conditionalFormatting>
  <conditionalFormatting sqref="O61">
    <cfRule type="cellIs" dxfId="1555" priority="9" operator="greaterThan">
      <formula>0</formula>
    </cfRule>
  </conditionalFormatting>
  <conditionalFormatting sqref="P61 AA61">
    <cfRule type="cellIs" dxfId="1554" priority="12" operator="lessThan">
      <formula>0</formula>
    </cfRule>
  </conditionalFormatting>
  <conditionalFormatting sqref="Q61 AB61">
    <cfRule type="cellIs" dxfId="1553" priority="10" operator="greaterThan">
      <formula>1</formula>
    </cfRule>
    <cfRule type="cellIs" dxfId="1552" priority="11" operator="lessThan">
      <formula>0.8</formula>
    </cfRule>
  </conditionalFormatting>
  <conditionalFormatting sqref="R61 AC61">
    <cfRule type="cellIs" dxfId="1551" priority="13" operator="lessThan">
      <formula>0.8</formula>
    </cfRule>
  </conditionalFormatting>
  <conditionalFormatting sqref="P8">
    <cfRule type="cellIs" dxfId="1550" priority="8" operator="lessThan">
      <formula>0</formula>
    </cfRule>
  </conditionalFormatting>
  <conditionalFormatting sqref="P18">
    <cfRule type="cellIs" dxfId="1549" priority="7" operator="lessThan">
      <formula>0</formula>
    </cfRule>
  </conditionalFormatting>
  <conditionalFormatting sqref="P28">
    <cfRule type="cellIs" dxfId="1548" priority="6" operator="lessThan">
      <formula>0</formula>
    </cfRule>
  </conditionalFormatting>
  <conditionalFormatting sqref="P34">
    <cfRule type="cellIs" dxfId="1547" priority="5" operator="lessThan">
      <formula>0</formula>
    </cfRule>
  </conditionalFormatting>
  <conditionalFormatting sqref="P50">
    <cfRule type="cellIs" dxfId="1546" priority="4" operator="lessThan">
      <formula>0</formula>
    </cfRule>
  </conditionalFormatting>
  <conditionalFormatting sqref="P59">
    <cfRule type="cellIs" dxfId="1545" priority="3" operator="lessThan">
      <formula>0</formula>
    </cfRule>
  </conditionalFormatting>
  <conditionalFormatting sqref="P66">
    <cfRule type="cellIs" dxfId="1544" priority="2" operator="lessThan">
      <formula>0</formula>
    </cfRule>
  </conditionalFormatting>
  <conditionalFormatting sqref="P72">
    <cfRule type="cellIs" dxfId="1543" priority="1" operator="lessThan">
      <formula>0</formula>
    </cfRule>
  </conditionalFormatting>
  <dataValidations count="1">
    <dataValidation type="list" allowBlank="1" showInputMessage="1" showErrorMessage="1" sqref="Z8 Z64:Z65 Y5:Z7 Y8:Y65 Z10:Z60 Y66:Z72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="85" zoomScaleNormal="85" workbookViewId="0">
      <selection activeCell="G23" sqref="G23"/>
    </sheetView>
  </sheetViews>
  <sheetFormatPr defaultColWidth="8.75" defaultRowHeight="15.75"/>
  <cols>
    <col min="1" max="1" width="8.75" style="2"/>
    <col min="2" max="2" width="17.875" style="2" customWidth="1"/>
    <col min="3" max="3" width="9.25" style="9" customWidth="1"/>
    <col min="4" max="13" width="12.625" style="2" customWidth="1"/>
    <col min="14" max="14" width="11" style="2" bestFit="1" customWidth="1"/>
    <col min="15" max="15" width="17.75" style="2" bestFit="1" customWidth="1"/>
    <col min="16" max="16" width="12.25" style="2" bestFit="1" customWidth="1"/>
    <col min="17" max="22" width="9.25" style="2" customWidth="1"/>
    <col min="23" max="23" width="10.75" style="2" customWidth="1"/>
    <col min="24" max="24" width="11" style="2" customWidth="1"/>
    <col min="25" max="16384" width="8.75" style="2"/>
  </cols>
  <sheetData>
    <row r="1" spans="2:17" ht="27.75" customHeight="1">
      <c r="B1" s="546" t="s">
        <v>1705</v>
      </c>
      <c r="C1" s="546"/>
      <c r="D1" s="546"/>
      <c r="E1" s="546"/>
      <c r="F1" s="546"/>
      <c r="G1" s="546"/>
      <c r="H1" s="546"/>
      <c r="I1" s="546"/>
      <c r="J1" s="546"/>
      <c r="K1" s="1"/>
      <c r="L1" s="1"/>
      <c r="M1" s="1"/>
      <c r="N1" s="1"/>
      <c r="O1" s="1"/>
      <c r="P1" s="1"/>
    </row>
    <row r="2" spans="2:17" ht="27.75" customHeight="1">
      <c r="B2" s="547"/>
      <c r="C2" s="547"/>
      <c r="D2" s="547"/>
      <c r="E2" s="547"/>
      <c r="F2" s="547"/>
      <c r="G2" s="547"/>
      <c r="H2" s="547"/>
      <c r="I2" s="547"/>
      <c r="J2" s="547"/>
      <c r="K2" s="3"/>
      <c r="L2" s="3"/>
      <c r="M2" s="3"/>
      <c r="N2" s="1"/>
      <c r="O2" s="1"/>
      <c r="P2" s="1"/>
    </row>
    <row r="3" spans="2:17" ht="46.5" customHeight="1">
      <c r="B3" s="4" t="s">
        <v>1706</v>
      </c>
      <c r="C3" s="548" t="str">
        <f>TEXT('1223 4度C'!A2,"yyyy.mm.ddaaaa")</f>
        <v>2025.12.23星期二</v>
      </c>
      <c r="D3" s="549"/>
      <c r="E3" s="4" t="s">
        <v>250</v>
      </c>
      <c r="F3" s="550">
        <f>'1223 4度C'!D1</f>
        <v>177064</v>
      </c>
      <c r="G3" s="551"/>
      <c r="H3" s="4" t="s">
        <v>1707</v>
      </c>
      <c r="I3" s="552">
        <f>'1223 4度C'!F1</f>
        <v>6052139.5300000003</v>
      </c>
      <c r="J3" s="553"/>
      <c r="K3" s="5"/>
      <c r="L3" s="6"/>
      <c r="M3" s="7"/>
      <c r="N3" s="7"/>
    </row>
    <row r="4" spans="2:17" ht="28.5" customHeight="1">
      <c r="B4" s="554" t="s">
        <v>1708</v>
      </c>
      <c r="C4" s="536" t="s">
        <v>1709</v>
      </c>
      <c r="D4" s="537"/>
      <c r="E4" s="557" t="s">
        <v>1710</v>
      </c>
      <c r="F4" s="558"/>
      <c r="G4" s="557" t="s">
        <v>1711</v>
      </c>
      <c r="H4" s="558"/>
      <c r="I4" s="557" t="s">
        <v>1712</v>
      </c>
      <c r="J4" s="558"/>
      <c r="L4" s="7"/>
      <c r="M4" s="7"/>
      <c r="N4" s="7"/>
    </row>
    <row r="5" spans="2:17" ht="28.5" customHeight="1">
      <c r="B5" s="555"/>
      <c r="C5" s="536" t="s">
        <v>1713</v>
      </c>
      <c r="D5" s="537"/>
      <c r="E5" s="536" t="s">
        <v>1714</v>
      </c>
      <c r="F5" s="537"/>
      <c r="G5" s="538" t="s">
        <v>123</v>
      </c>
      <c r="H5" s="539"/>
      <c r="I5" s="540" t="s">
        <v>1715</v>
      </c>
      <c r="J5" s="541"/>
      <c r="K5" s="7"/>
      <c r="L5" s="7"/>
      <c r="M5" s="7"/>
      <c r="N5" s="7"/>
    </row>
    <row r="6" spans="2:17" ht="28.5" customHeight="1">
      <c r="B6" s="555"/>
      <c r="C6" s="536" t="s">
        <v>46</v>
      </c>
      <c r="D6" s="537"/>
      <c r="E6" s="542">
        <f>AVERAGE(D13:M13)</f>
        <v>150.16038152443852</v>
      </c>
      <c r="F6" s="543">
        <f>AVERAGE(D27:O27,D13:J13)</f>
        <v>154.98390818424869</v>
      </c>
      <c r="G6" s="544">
        <f>AVERAGE(D13:J13)</f>
        <v>154.98390818424869</v>
      </c>
      <c r="H6" s="545"/>
      <c r="I6" s="544">
        <f>AVERAGE(K13:M13)</f>
        <v>138.90548598488149</v>
      </c>
      <c r="J6" s="545"/>
      <c r="K6" s="7"/>
      <c r="L6" s="7"/>
      <c r="M6" s="7"/>
      <c r="N6" s="7"/>
    </row>
    <row r="7" spans="2:17" ht="28.5" customHeight="1">
      <c r="B7" s="555"/>
      <c r="C7" s="526" t="s">
        <v>47</v>
      </c>
      <c r="D7" s="527"/>
      <c r="E7" s="528">
        <f>AVERAGE(D14:M14)</f>
        <v>143.04901523137167</v>
      </c>
      <c r="F7" s="529">
        <f>AVERAGE(D28:O28,D14:J14)</f>
        <v>147.34443608113477</v>
      </c>
      <c r="G7" s="530">
        <f>AVERAGE(D14:J14)</f>
        <v>147.34443608113477</v>
      </c>
      <c r="H7" s="531"/>
      <c r="I7" s="530">
        <f>AVERAGE(K14:M14)</f>
        <v>133.02636658192441</v>
      </c>
      <c r="J7" s="531"/>
      <c r="K7" s="7"/>
      <c r="L7" s="7"/>
      <c r="M7" s="7"/>
      <c r="N7" s="7"/>
    </row>
    <row r="8" spans="2:17" ht="28.5" customHeight="1">
      <c r="B8" s="556"/>
      <c r="C8" s="526" t="s">
        <v>48</v>
      </c>
      <c r="D8" s="527"/>
      <c r="E8" s="532">
        <f>AVERAGE(D15:M15)</f>
        <v>0.94998227788906786</v>
      </c>
      <c r="F8" s="533">
        <f>AVERAGE(D15:J15,D29:O29)</f>
        <v>0.94664306279287214</v>
      </c>
      <c r="G8" s="534">
        <f>AVERAGE(D15:J15)</f>
        <v>0.94664306279287214</v>
      </c>
      <c r="H8" s="535"/>
      <c r="I8" s="534">
        <f>AVERAGE(K15:M15)</f>
        <v>0.95777377978019107</v>
      </c>
      <c r="J8" s="535"/>
      <c r="K8" s="8" t="s">
        <v>1716</v>
      </c>
      <c r="L8" s="7"/>
      <c r="M8" s="7"/>
      <c r="N8" s="7"/>
    </row>
    <row r="9" spans="2:17" ht="28.5" customHeight="1" thickBot="1">
      <c r="H9" s="10"/>
      <c r="N9" s="7"/>
      <c r="O9" s="7"/>
      <c r="P9" s="7"/>
      <c r="Q9" s="7"/>
    </row>
    <row r="10" spans="2:17" ht="30" customHeight="1">
      <c r="B10" s="509" t="s">
        <v>1717</v>
      </c>
      <c r="C10" s="510"/>
      <c r="D10" s="511" t="s">
        <v>1718</v>
      </c>
      <c r="E10" s="512"/>
      <c r="F10" s="512"/>
      <c r="G10" s="512"/>
      <c r="H10" s="512"/>
      <c r="I10" s="512"/>
      <c r="J10" s="513"/>
      <c r="K10" s="514" t="s">
        <v>1719</v>
      </c>
      <c r="L10" s="515"/>
      <c r="M10" s="516"/>
      <c r="P10" s="11"/>
      <c r="Q10" s="11"/>
    </row>
    <row r="11" spans="2:17" ht="17.25" customHeight="1">
      <c r="B11" s="517" t="s">
        <v>1720</v>
      </c>
      <c r="C11" s="518"/>
      <c r="D11" s="12">
        <v>1</v>
      </c>
      <c r="E11" s="13">
        <v>2</v>
      </c>
      <c r="F11" s="13">
        <v>3</v>
      </c>
      <c r="G11" s="13">
        <v>4</v>
      </c>
      <c r="H11" s="13">
        <v>5</v>
      </c>
      <c r="I11" s="13">
        <v>6</v>
      </c>
      <c r="J11" s="14">
        <v>7</v>
      </c>
      <c r="K11" s="12">
        <v>1</v>
      </c>
      <c r="L11" s="13">
        <v>2</v>
      </c>
      <c r="M11" s="14">
        <v>3</v>
      </c>
      <c r="P11" s="11"/>
      <c r="Q11" s="11"/>
    </row>
    <row r="12" spans="2:17" ht="34.15" customHeight="1">
      <c r="B12" s="519"/>
      <c r="C12" s="520"/>
      <c r="D12" s="15" t="s">
        <v>49</v>
      </c>
      <c r="E12" s="16" t="s">
        <v>50</v>
      </c>
      <c r="F12" s="16" t="s">
        <v>51</v>
      </c>
      <c r="G12" s="16" t="s">
        <v>52</v>
      </c>
      <c r="H12" s="16" t="s">
        <v>53</v>
      </c>
      <c r="I12" s="16" t="s">
        <v>54</v>
      </c>
      <c r="J12" s="17" t="s">
        <v>55</v>
      </c>
      <c r="K12" s="15" t="s">
        <v>56</v>
      </c>
      <c r="L12" s="16" t="s">
        <v>57</v>
      </c>
      <c r="M12" s="17" t="s">
        <v>58</v>
      </c>
    </row>
    <row r="13" spans="2:17" ht="40.15" customHeight="1">
      <c r="B13" s="521" t="s">
        <v>1721</v>
      </c>
      <c r="C13" s="18" t="s">
        <v>1722</v>
      </c>
      <c r="D13" s="19">
        <f>SUMIFS('1223 4度C'!$K:$K,'1223 4度C'!$A:$A,"新豐6線",'1223 4度C'!$B:$B,"平均")</f>
        <v>125</v>
      </c>
      <c r="E13" s="20">
        <f>SUMIFS('1223 4度C'!$K:$K,'1223 4度C'!$A:$A,"新豐2線",'1223 4度C'!$B:$B,"平均")</f>
        <v>83.333333333333329</v>
      </c>
      <c r="F13" s="21">
        <f>SUMIFS('1223 4度C'!$K:$K,'1223 4度C'!$A:$A,"新豐5線",'1223 4度C'!$B:$B,"平均")</f>
        <v>97.122302158273385</v>
      </c>
      <c r="G13" s="21">
        <f>SUMIFS('1223 4度C'!$K:$K,'1223 4度C'!$A:$A,"新豐7線",'1223 4度C'!$B:$B,"平均")</f>
        <v>118.32061068702291</v>
      </c>
      <c r="H13" s="21">
        <f>SUMIFS('1223 4度C'!$K:$K,'1223 4度C'!$A:$A,"新豐3線",'1223 4度C'!$B:$B,"平均")</f>
        <v>250</v>
      </c>
      <c r="I13" s="21">
        <f>SUMIFS('1223 4度C'!$K:$K,'1223 4度C'!$A:$A,"新豐1線",'1223 4度C'!$B:$B,"平均")</f>
        <v>111.11111111111111</v>
      </c>
      <c r="J13" s="22">
        <f>SUMIFS('1223 4度C'!$K:$K,'1223 4度C'!$A:$A,"新豐10線",'1223 4度C'!$B:$B,"平均")</f>
        <v>300</v>
      </c>
      <c r="K13" s="23">
        <f>SUMIFS('1223 4度C'!$K:$K,'1223 4度C'!$A:$A,"新豐8線",'1223 4度C'!$B:$B,"平均")</f>
        <v>132.41379310344828</v>
      </c>
      <c r="L13" s="24">
        <f>SUMIFS('1223 4度C'!$K:$K,'1223 4度C'!$A:$A,"新豐9線",'1223 4度C'!$B:$B,"平均")</f>
        <v>135.84905660377356</v>
      </c>
      <c r="M13" s="22">
        <f>SUMIFS('1223 4度C'!$K:$K,'1223 4度C'!$A:$A,"新豐4線",'1223 4度C'!$B:$B,"平均")</f>
        <v>148.45360824742266</v>
      </c>
    </row>
    <row r="14" spans="2:17" ht="39.6" customHeight="1">
      <c r="B14" s="522"/>
      <c r="C14" s="25" t="s">
        <v>1723</v>
      </c>
      <c r="D14" s="26">
        <f>SUMIFS('1223 4度C'!$N:$N,'1223 4度C'!$A:$A,"新豐6線",'1223 4度C'!$B:$B,"平均")</f>
        <v>119.81696382232354</v>
      </c>
      <c r="E14" s="27">
        <f>SUMIFS('1223 4度C'!$N:$N,'1223 4度C'!$A:$A,"新豐2線",'1223 4度C'!$B:$B,"平均")</f>
        <v>79.41705529646903</v>
      </c>
      <c r="F14" s="27">
        <f>SUMIFS('1223 4度C'!$N:$N,'1223 4度C'!$A:$A,"新豐5線",'1223 4度C'!$B:$B,"平均")</f>
        <v>93.294397823792991</v>
      </c>
      <c r="G14" s="27">
        <f>SUMIFS('1223 4度C'!$N:$N,'1223 4度C'!$A:$A,"新豐7線",'1223 4度C'!$B:$B,"平均")</f>
        <v>113.59612601888732</v>
      </c>
      <c r="H14" s="27">
        <f>SUMIFS('1223 4度C'!$N:$N,'1223 4度C'!$A:$A,"新豐3線",'1223 4度C'!$B:$B,"平均")</f>
        <v>239.29906737218425</v>
      </c>
      <c r="I14" s="27">
        <f>SUMIFS('1223 4度C'!$N:$N,'1223 4度C'!$A:$A,"新豐1線",'1223 4度C'!$B:$B,"平均")</f>
        <v>97.144013167327842</v>
      </c>
      <c r="J14" s="28">
        <f>SUMIFS('1223 4度C'!$N:$N,'1223 4度C'!$A:$A,"新豐10線",'1223 4度C'!$B:$B,"平均")</f>
        <v>288.84342906695855</v>
      </c>
      <c r="K14" s="29">
        <f>SUMIFS('1223 4度C'!$N:$N,'1223 4度C'!$A:$A,"新豐8線",'1223 4度C'!$B:$B,"平均")</f>
        <v>127.08699498272046</v>
      </c>
      <c r="L14" s="30">
        <f>SUMIFS('1223 4度C'!$N:$N,'1223 4度C'!$A:$A,"新豐9線",'1223 4度C'!$B:$B,"平均")</f>
        <v>130.20915779081037</v>
      </c>
      <c r="M14" s="28">
        <f>SUMIFS('1223 4度C'!$N:$N,'1223 4度C'!$A:$A,"新豐4線",'1223 4度C'!$B:$B,"平均")</f>
        <v>141.78294697224234</v>
      </c>
    </row>
    <row r="15" spans="2:17" ht="40.15" customHeight="1">
      <c r="B15" s="523"/>
      <c r="C15" s="31" t="s">
        <v>1724</v>
      </c>
      <c r="D15" s="32">
        <f t="shared" ref="D15:M15" si="0">D14/D13</f>
        <v>0.95853571057858833</v>
      </c>
      <c r="E15" s="33">
        <f t="shared" si="0"/>
        <v>0.95300466355762836</v>
      </c>
      <c r="F15" s="33">
        <f t="shared" si="0"/>
        <v>0.96058676277831301</v>
      </c>
      <c r="G15" s="33">
        <f t="shared" si="0"/>
        <v>0.96007048441769283</v>
      </c>
      <c r="H15" s="33">
        <f t="shared" si="0"/>
        <v>0.95719626948873704</v>
      </c>
      <c r="I15" s="33">
        <f t="shared" si="0"/>
        <v>0.87429611850595057</v>
      </c>
      <c r="J15" s="34">
        <f t="shared" si="0"/>
        <v>0.96281143022319515</v>
      </c>
      <c r="K15" s="32">
        <f t="shared" si="0"/>
        <v>0.95977157669242008</v>
      </c>
      <c r="L15" s="33">
        <f t="shared" si="0"/>
        <v>0.95848407818235426</v>
      </c>
      <c r="M15" s="34">
        <f t="shared" si="0"/>
        <v>0.9550656844657992</v>
      </c>
    </row>
    <row r="16" spans="2:17" ht="17.25" customHeight="1">
      <c r="B16" s="524" t="s">
        <v>1725</v>
      </c>
      <c r="C16" s="35" t="s">
        <v>1726</v>
      </c>
      <c r="D16" s="49">
        <f>VLOOKUP("新豐6線",'1223 4度C'!$A:$T,19,0)</f>
        <v>0.70833333333333337</v>
      </c>
      <c r="E16" s="50">
        <f>VLOOKUP("新豐2線",'1223 4度C'!$A:$T,19,0)</f>
        <v>0.16666666666666666</v>
      </c>
      <c r="F16" s="50">
        <f>VLOOKUP("新豐5線",'1223 4度C'!$A:$T,19,0)</f>
        <v>0.20833333333333334</v>
      </c>
      <c r="G16" s="50">
        <f>VLOOKUP("新豐7線",'1223 4度C'!$A:$T,19,0)</f>
        <v>0.20833333333333334</v>
      </c>
      <c r="H16" s="50">
        <f>VLOOKUP("新豐3線",'1223 4度C'!$A:$T,19,0)</f>
        <v>8.3333333333333329E-2</v>
      </c>
      <c r="I16" s="50">
        <f>VLOOKUP("新豐1線",'1223 4度C'!$A:$T,19,0)</f>
        <v>0.20833333333333334</v>
      </c>
      <c r="J16" s="51">
        <f>VLOOKUP("新豐10線",'1223 4度C'!$A:$T,19,0)</f>
        <v>0.20833333333333334</v>
      </c>
      <c r="K16" s="36">
        <f>VLOOKUP("新豐8線",'1223 4度C'!$A:$T,19,0)</f>
        <v>8.3333333333333329E-2</v>
      </c>
      <c r="L16" s="37">
        <f>VLOOKUP("新豐9線",'1223 4度C'!$A:$T,19,0)</f>
        <v>8.3333333333333329E-2</v>
      </c>
      <c r="M16" s="38">
        <f>VLOOKUP("新豐4線",'1223 4度C'!$A:$T,19,0)</f>
        <v>8.3333333333333329E-2</v>
      </c>
    </row>
    <row r="17" spans="2:13" ht="17.25" customHeight="1">
      <c r="B17" s="525"/>
      <c r="C17" s="35" t="s">
        <v>1727</v>
      </c>
      <c r="D17" s="36">
        <f>LOOKUP(2,1/(('1223 4度C'!$A:$A="新豐6線")*('1223 4度C'!$T:$T&lt;&gt;"")),'1223 4度C'!$T:$T)</f>
        <v>0.92847222222222214</v>
      </c>
      <c r="E17" s="50">
        <f>LOOKUP(2,1/(('1223 4度C'!$A:$A="新豐2線")*('1223 4度C'!$T:$T&lt;&gt;"")),'1223 4度C'!$T:$T)</f>
        <v>0.45694444444444438</v>
      </c>
      <c r="F17" s="50">
        <f>LOOKUP(2,1/(('1223 4度C'!$A:$A="新豐5線")*('1223 4度C'!$T:$T&lt;&gt;"")),'1223 4度C'!$T:$T)</f>
        <v>0.9291666666666667</v>
      </c>
      <c r="G17" s="50">
        <f>LOOKUP(2,1/(('1223 4度C'!$A:$A="新豐7線")*('1223 4度C'!$T:$T&lt;&gt;"")),'1223 4度C'!$T:$T)</f>
        <v>0.8208333333333333</v>
      </c>
      <c r="H17" s="50">
        <f>LOOKUP(2,1/(('1223 4度C'!$A:$A="新豐3線")*('1223 4度C'!$T:$T&lt;&gt;"")),'1223 4度C'!$T:$T)</f>
        <v>0.63333333333333319</v>
      </c>
      <c r="I17" s="50">
        <f>LOOKUP(2,1/(('1223 4度C'!$A:$A="新豐1線")*('1223 4度C'!$T:$T&lt;&gt;"")),'1223 4度C'!$T:$T)</f>
        <v>0.83749999999999991</v>
      </c>
      <c r="J17" s="51">
        <f>LOOKUP(2,1/(('1223 4度C'!$A:$A="新豐10線")*('1223 4度C'!$T:$T&lt;&gt;"")),'1223 4度C'!$T:$T)</f>
        <v>0.47361111111111098</v>
      </c>
      <c r="K17" s="49">
        <f>LOOKUP(2,1/(('1223 4度C'!$A:$A="新豐8線")*('1223 4度C'!$T:$T&lt;&gt;"")),'1223 4度C'!$T:$T)</f>
        <v>0.67083333333333328</v>
      </c>
      <c r="L17" s="50">
        <f>LOOKUP(2,1/(('1223 4度C'!$A:$A="新豐9線")*('1223 4度C'!$T:$T&lt;&gt;"")),'1223 4度C'!$T:$T)</f>
        <v>0.52847222222222212</v>
      </c>
      <c r="M17" s="51">
        <f>LOOKUP(2,1/(('1223 4度C'!$A:$A="新豐4線")*('1223 4度C'!$T:$T&lt;&gt;"")),'1223 4度C'!$T:$T)</f>
        <v>0.62569444444444444</v>
      </c>
    </row>
    <row r="18" spans="2:13" ht="17.25" customHeight="1">
      <c r="B18" s="503" t="s">
        <v>1728</v>
      </c>
      <c r="C18" s="504"/>
      <c r="D18" s="39">
        <f>SUMIFS('1223 4度C'!$I:$I,'1223 4度C'!$A:$A,"新豐6線",'1223 4度C'!$B:$B,"平均")</f>
        <v>16</v>
      </c>
      <c r="E18" s="40">
        <f>SUMIFS('1223 4度C'!$I:$I,'1223 4度C'!$A:$A,"新豐2線",'1223 4度C'!$B:$B,"平均")</f>
        <v>18</v>
      </c>
      <c r="F18" s="40">
        <f>SUMIFS('1223 4度C'!$I:$I,'1223 4度C'!$A:$A,"新豐5線",'1223 4度C'!$B:$B,"平均")</f>
        <v>17.375</v>
      </c>
      <c r="G18" s="40">
        <f>SUMIFS('1223 4度C'!$I:$I,'1223 4度C'!$A:$A,"新豐7線",'1223 4度C'!$B:$B,"平均")</f>
        <v>16.375</v>
      </c>
      <c r="H18" s="40">
        <f>SUMIFS('1223 4度C'!$I:$I,'1223 4度C'!$A:$A,"新豐3線",'1223 4度C'!$B:$B,"平均")</f>
        <v>11</v>
      </c>
      <c r="I18" s="40">
        <f>SUMIFS('1223 4度C'!$I:$I,'1223 4度C'!$A:$A,"新豐1線",'1223 4度C'!$B:$B,"平均")</f>
        <v>18</v>
      </c>
      <c r="J18" s="41">
        <f>SUMIFS('1223 4度C'!$I:$I,'1223 4度C'!$A:$A,"新豐10線",'1223 4度C'!$B:$B,"平均")</f>
        <v>9.1666666666666661</v>
      </c>
      <c r="K18" s="39">
        <f>SUMIFS('1223 4度C'!$I:$I,'1223 4度C'!$A:$A,"新豐8線",'1223 4度C'!$B:$B,"平均")</f>
        <v>18.125</v>
      </c>
      <c r="L18" s="40">
        <f>SUMIFS('1223 4度C'!$I:$I,'1223 4度C'!$A:$A,"新豐9線",'1223 4度C'!$B:$B,"平均")</f>
        <v>17.666666666666668</v>
      </c>
      <c r="M18" s="41">
        <f>SUMIFS('1223 4度C'!$I:$I,'1223 4度C'!$A:$A,"新豐4線",'1223 4度C'!$B:$B,"平均")</f>
        <v>16.166666666666668</v>
      </c>
    </row>
    <row r="19" spans="2:13" ht="17.25" customHeight="1">
      <c r="B19" s="503" t="s">
        <v>1729</v>
      </c>
      <c r="C19" s="504"/>
      <c r="D19" s="42" t="s">
        <v>59</v>
      </c>
      <c r="E19" s="43" t="s">
        <v>60</v>
      </c>
      <c r="F19" s="43" t="s">
        <v>1730</v>
      </c>
      <c r="G19" s="43" t="s">
        <v>1730</v>
      </c>
      <c r="H19" s="43" t="s">
        <v>61</v>
      </c>
      <c r="I19" s="43" t="s">
        <v>59</v>
      </c>
      <c r="J19" s="44" t="s">
        <v>61</v>
      </c>
      <c r="K19" s="42" t="s">
        <v>1731</v>
      </c>
      <c r="L19" s="43" t="s">
        <v>1731</v>
      </c>
      <c r="M19" s="44" t="s">
        <v>1731</v>
      </c>
    </row>
    <row r="20" spans="2:13" ht="17.25" customHeight="1">
      <c r="B20" s="503" t="s">
        <v>1732</v>
      </c>
      <c r="C20" s="504"/>
      <c r="D20" s="42"/>
      <c r="E20" s="43"/>
      <c r="F20" s="43" t="s">
        <v>1733</v>
      </c>
      <c r="G20" s="43" t="s">
        <v>59</v>
      </c>
      <c r="H20" s="43"/>
      <c r="I20" s="43"/>
      <c r="J20" s="44"/>
      <c r="K20" s="42"/>
      <c r="L20" s="43"/>
      <c r="M20" s="44"/>
    </row>
    <row r="21" spans="2:13" ht="17.25" customHeight="1" thickBot="1">
      <c r="B21" s="505" t="s">
        <v>1734</v>
      </c>
      <c r="C21" s="506"/>
      <c r="D21" s="45"/>
      <c r="E21" s="46" t="s">
        <v>1735</v>
      </c>
      <c r="F21" s="507" t="s">
        <v>1736</v>
      </c>
      <c r="G21" s="508"/>
      <c r="H21" s="46" t="s">
        <v>1737</v>
      </c>
      <c r="I21" s="46" t="s">
        <v>1738</v>
      </c>
      <c r="J21" s="47" t="s">
        <v>1737</v>
      </c>
      <c r="K21" s="48"/>
      <c r="L21" s="46"/>
      <c r="M21" s="4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20:C20"/>
    <mergeCell ref="B21:C21"/>
    <mergeCell ref="F21:G21"/>
    <mergeCell ref="K10:M10"/>
    <mergeCell ref="B11:C12"/>
    <mergeCell ref="B13:B15"/>
    <mergeCell ref="B18:C18"/>
    <mergeCell ref="B19:C19"/>
  </mergeCells>
  <phoneticPr fontId="3" type="noConversion"/>
  <conditionalFormatting sqref="D15:M15">
    <cfRule type="cellIs" dxfId="1542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78"/>
  <sheetViews>
    <sheetView topLeftCell="M1" zoomScale="80" zoomScaleNormal="80" workbookViewId="0">
      <pane ySplit="4" topLeftCell="A47" activePane="bottomLeft" state="frozen"/>
      <selection activeCell="D24" sqref="D24"/>
      <selection pane="bottomLeft" activeCell="C24" sqref="C24:D24"/>
    </sheetView>
  </sheetViews>
  <sheetFormatPr defaultColWidth="8" defaultRowHeight="15.75"/>
  <cols>
    <col min="1" max="1" width="15.125" style="54" customWidth="1"/>
    <col min="2" max="2" width="19.375" style="73" customWidth="1"/>
    <col min="3" max="3" width="15.25" style="73" customWidth="1"/>
    <col min="4" max="4" width="17.5" style="73" customWidth="1"/>
    <col min="5" max="5" width="7.5" style="73" bestFit="1" customWidth="1"/>
    <col min="6" max="6" width="14.375" style="73" bestFit="1" customWidth="1"/>
    <col min="7" max="7" width="14.375" style="54" customWidth="1"/>
    <col min="8" max="8" width="8" style="54" customWidth="1"/>
    <col min="9" max="9" width="5.875" style="54" customWidth="1"/>
    <col min="10" max="10" width="10.625" style="54" customWidth="1"/>
    <col min="11" max="11" width="14.625" style="54" customWidth="1"/>
    <col min="12" max="12" width="7.25" style="54" bestFit="1" customWidth="1"/>
    <col min="13" max="13" width="8" style="54" customWidth="1"/>
    <col min="14" max="14" width="12" style="54" customWidth="1"/>
    <col min="15" max="15" width="6" style="54" customWidth="1"/>
    <col min="16" max="16" width="9.25" style="54" customWidth="1"/>
    <col min="17" max="17" width="11.5" style="54" customWidth="1"/>
    <col min="18" max="18" width="8.5" style="54" customWidth="1"/>
    <col min="19" max="19" width="10.125" style="73" bestFit="1" customWidth="1"/>
    <col min="20" max="20" width="7.625" style="73" bestFit="1" customWidth="1"/>
    <col min="21" max="21" width="10.25" style="54" bestFit="1" customWidth="1"/>
    <col min="22" max="22" width="8.75" style="71" customWidth="1"/>
    <col min="23" max="23" width="7.375" style="54" customWidth="1"/>
    <col min="24" max="24" width="6.875" style="54" bestFit="1" customWidth="1"/>
    <col min="25" max="25" width="12.75" style="54" customWidth="1"/>
    <col min="26" max="26" width="18.875" style="54" customWidth="1"/>
    <col min="27" max="27" width="13.125" style="54" bestFit="1" customWidth="1"/>
    <col min="28" max="28" width="10.375" style="54" customWidth="1"/>
    <col min="29" max="29" width="9.375" style="54" customWidth="1"/>
    <col min="30" max="30" width="8" style="54"/>
    <col min="31" max="31" width="24.625" style="54" bestFit="1" customWidth="1"/>
    <col min="32" max="16384" width="8" style="54"/>
  </cols>
  <sheetData>
    <row r="1" spans="1:29" ht="26.25" customHeight="1">
      <c r="A1" s="52" t="s">
        <v>1739</v>
      </c>
      <c r="B1" s="74"/>
      <c r="C1" s="75" t="s">
        <v>203</v>
      </c>
      <c r="D1" s="76">
        <v>177064</v>
      </c>
      <c r="E1" s="388" t="s">
        <v>1740</v>
      </c>
      <c r="F1" s="74">
        <v>6052139.5300000003</v>
      </c>
      <c r="G1" s="52" t="s">
        <v>205</v>
      </c>
      <c r="H1" s="53">
        <f>L9+L12+L55+L63+L21+L70+L39+L46+L30+L77</f>
        <v>157.875</v>
      </c>
      <c r="I1" s="607" t="s">
        <v>1741</v>
      </c>
      <c r="J1" s="607"/>
      <c r="K1" s="607"/>
      <c r="L1" s="607" t="s">
        <v>1742</v>
      </c>
      <c r="M1" s="607"/>
      <c r="N1" s="607"/>
      <c r="O1" s="607" t="s">
        <v>1743</v>
      </c>
      <c r="P1" s="607"/>
      <c r="Q1" s="607"/>
      <c r="R1" s="607"/>
      <c r="S1" s="607" t="s">
        <v>1744</v>
      </c>
      <c r="T1" s="607"/>
      <c r="U1" s="607"/>
      <c r="V1" s="607"/>
      <c r="W1" s="607"/>
      <c r="X1" s="607"/>
      <c r="Y1" s="607" t="s">
        <v>1745</v>
      </c>
      <c r="Z1" s="607"/>
      <c r="AA1" s="607" t="s">
        <v>211</v>
      </c>
      <c r="AB1" s="608"/>
      <c r="AC1" s="608"/>
    </row>
    <row r="2" spans="1:29" ht="26.25" customHeight="1">
      <c r="A2" s="55">
        <v>46014</v>
      </c>
      <c r="B2" s="56" t="s">
        <v>212</v>
      </c>
      <c r="C2" s="75" t="s">
        <v>213</v>
      </c>
      <c r="D2" s="77">
        <v>143.0490152313717</v>
      </c>
      <c r="E2" s="78" t="s">
        <v>0</v>
      </c>
      <c r="F2" s="79">
        <v>34.180519642615103</v>
      </c>
      <c r="G2" s="52" t="s">
        <v>1746</v>
      </c>
      <c r="H2" s="389">
        <f>COUNT(H5:H77)</f>
        <v>7</v>
      </c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8"/>
      <c r="AB2" s="608"/>
      <c r="AC2" s="608"/>
    </row>
    <row r="3" spans="1:29" ht="23.25" customHeight="1">
      <c r="A3" s="559" t="s">
        <v>1747</v>
      </c>
      <c r="B3" s="604" t="s">
        <v>151</v>
      </c>
      <c r="C3" s="604" t="s">
        <v>1748</v>
      </c>
      <c r="D3" s="604"/>
      <c r="E3" s="609" t="s">
        <v>218</v>
      </c>
      <c r="F3" s="604" t="s">
        <v>219</v>
      </c>
      <c r="G3" s="605" t="s">
        <v>220</v>
      </c>
      <c r="H3" s="598" t="s">
        <v>425</v>
      </c>
      <c r="I3" s="596" t="s">
        <v>1749</v>
      </c>
      <c r="J3" s="601" t="s">
        <v>305</v>
      </c>
      <c r="K3" s="603" t="s">
        <v>213</v>
      </c>
      <c r="L3" s="596" t="s">
        <v>222</v>
      </c>
      <c r="M3" s="601" t="s">
        <v>305</v>
      </c>
      <c r="N3" s="603" t="s">
        <v>1721</v>
      </c>
      <c r="O3" s="596" t="s">
        <v>222</v>
      </c>
      <c r="P3" s="603" t="s">
        <v>213</v>
      </c>
      <c r="Q3" s="602" t="s">
        <v>154</v>
      </c>
      <c r="R3" s="574" t="s">
        <v>114</v>
      </c>
      <c r="S3" s="604" t="s">
        <v>1</v>
      </c>
      <c r="T3" s="604"/>
      <c r="U3" s="598" t="s">
        <v>2</v>
      </c>
      <c r="V3" s="598" t="s">
        <v>1750</v>
      </c>
      <c r="W3" s="559" t="s">
        <v>1751</v>
      </c>
      <c r="X3" s="559"/>
      <c r="Y3" s="599" t="s">
        <v>1752</v>
      </c>
      <c r="Z3" s="600"/>
      <c r="AA3" s="601" t="s">
        <v>1753</v>
      </c>
      <c r="AB3" s="602" t="s">
        <v>1754</v>
      </c>
      <c r="AC3" s="574" t="s">
        <v>1755</v>
      </c>
    </row>
    <row r="4" spans="1:29">
      <c r="A4" s="559"/>
      <c r="B4" s="604"/>
      <c r="C4" s="604"/>
      <c r="D4" s="604"/>
      <c r="E4" s="610"/>
      <c r="F4" s="604"/>
      <c r="G4" s="606"/>
      <c r="H4" s="598"/>
      <c r="I4" s="596"/>
      <c r="J4" s="601"/>
      <c r="K4" s="603"/>
      <c r="L4" s="596"/>
      <c r="M4" s="601"/>
      <c r="N4" s="603"/>
      <c r="O4" s="596"/>
      <c r="P4" s="603"/>
      <c r="Q4" s="602"/>
      <c r="R4" s="574"/>
      <c r="S4" s="388" t="s">
        <v>3</v>
      </c>
      <c r="T4" s="388" t="s">
        <v>4</v>
      </c>
      <c r="U4" s="598"/>
      <c r="V4" s="598"/>
      <c r="W4" s="376" t="s">
        <v>1756</v>
      </c>
      <c r="X4" s="376" t="s">
        <v>1757</v>
      </c>
      <c r="Y4" s="600"/>
      <c r="Z4" s="600"/>
      <c r="AA4" s="601"/>
      <c r="AB4" s="602"/>
      <c r="AC4" s="574"/>
    </row>
    <row r="5" spans="1:29">
      <c r="A5" s="595" t="s">
        <v>1758</v>
      </c>
      <c r="B5" s="57" t="s">
        <v>6</v>
      </c>
      <c r="C5" s="597" t="s">
        <v>9</v>
      </c>
      <c r="D5" s="597"/>
      <c r="E5" s="57">
        <v>50.67</v>
      </c>
      <c r="F5" s="388">
        <v>1436</v>
      </c>
      <c r="G5" s="376">
        <f t="shared" ref="G5:G8" si="0">E5*F5</f>
        <v>72762.12</v>
      </c>
      <c r="H5" s="390" t="s">
        <v>5</v>
      </c>
      <c r="I5" s="386">
        <v>17</v>
      </c>
      <c r="J5" s="58">
        <v>2000</v>
      </c>
      <c r="K5" s="59">
        <f t="shared" ref="K5:K68" si="1">J5/I5</f>
        <v>117.64705882352941</v>
      </c>
      <c r="L5" s="386">
        <v>17</v>
      </c>
      <c r="M5" s="60">
        <f t="shared" ref="M5:M8" si="2">F5/V5*60</f>
        <v>1914.6666666666667</v>
      </c>
      <c r="N5" s="59">
        <f t="shared" ref="N5:N68" si="3">M5/L5</f>
        <v>112.62745098039215</v>
      </c>
      <c r="O5" s="61">
        <f t="shared" ref="O5:O68" si="4">L5-I5</f>
        <v>0</v>
      </c>
      <c r="P5" s="62">
        <f t="shared" ref="P5:P68" si="5">N5-K5</f>
        <v>-5.0196078431372513</v>
      </c>
      <c r="Q5" s="377">
        <f t="shared" ref="Q5:Q68" si="6">N5/K5</f>
        <v>0.95733333333333337</v>
      </c>
      <c r="R5" s="566">
        <f>Q9</f>
        <v>0.95853571057858833</v>
      </c>
      <c r="S5" s="63">
        <v>0.70833333333333337</v>
      </c>
      <c r="T5" s="63">
        <v>0.73958333333333337</v>
      </c>
      <c r="U5" s="376"/>
      <c r="V5" s="387">
        <f t="shared" ref="V5:V8" si="7">(T5-S5)*24*60</f>
        <v>45</v>
      </c>
      <c r="W5" s="64"/>
      <c r="X5" s="65"/>
      <c r="Y5" s="559"/>
      <c r="Z5" s="559"/>
      <c r="AA5" s="61">
        <f t="shared" ref="AA5:AA68" si="8">M5-J5</f>
        <v>-85.333333333333258</v>
      </c>
      <c r="AB5" s="377">
        <f t="shared" ref="AB5:AB68" si="9">M5/J5</f>
        <v>0.95733333333333337</v>
      </c>
      <c r="AC5" s="566">
        <f>AB9</f>
        <v>0.95853571057858833</v>
      </c>
    </row>
    <row r="6" spans="1:29">
      <c r="A6" s="596" t="s">
        <v>231</v>
      </c>
      <c r="B6" s="57" t="s">
        <v>6</v>
      </c>
      <c r="C6" s="597" t="s">
        <v>8</v>
      </c>
      <c r="D6" s="597"/>
      <c r="E6" s="57">
        <v>50.49</v>
      </c>
      <c r="F6" s="388">
        <v>1681</v>
      </c>
      <c r="G6" s="376">
        <f t="shared" si="0"/>
        <v>84873.69</v>
      </c>
      <c r="H6" s="390" t="s">
        <v>5</v>
      </c>
      <c r="I6" s="386">
        <v>15</v>
      </c>
      <c r="J6" s="58">
        <v>2000</v>
      </c>
      <c r="K6" s="59">
        <f t="shared" si="1"/>
        <v>133.33333333333334</v>
      </c>
      <c r="L6" s="386">
        <v>15</v>
      </c>
      <c r="M6" s="60">
        <f t="shared" si="2"/>
        <v>1903.0188679245293</v>
      </c>
      <c r="N6" s="59">
        <f t="shared" si="3"/>
        <v>126.86792452830196</v>
      </c>
      <c r="O6" s="61">
        <f t="shared" si="4"/>
        <v>0</v>
      </c>
      <c r="P6" s="62">
        <f t="shared" si="5"/>
        <v>-6.4654088050313874</v>
      </c>
      <c r="Q6" s="377">
        <f t="shared" si="6"/>
        <v>0.95150943396226462</v>
      </c>
      <c r="R6" s="566"/>
      <c r="S6" s="63">
        <v>0.74375000000000002</v>
      </c>
      <c r="T6" s="63">
        <v>0.78055555555555556</v>
      </c>
      <c r="U6" s="376">
        <f t="shared" ref="U6:U8" si="10">IF(S6=TIME(17,0,0),"",(S6-T5)*24*60)</f>
        <v>5.9999999999999787</v>
      </c>
      <c r="V6" s="387">
        <f t="shared" si="7"/>
        <v>52.999999999999972</v>
      </c>
      <c r="W6" s="64"/>
      <c r="X6" s="64"/>
      <c r="Y6" s="559"/>
      <c r="Z6" s="559"/>
      <c r="AA6" s="61">
        <f t="shared" si="8"/>
        <v>-96.981132075470668</v>
      </c>
      <c r="AB6" s="377">
        <f t="shared" si="9"/>
        <v>0.95150943396226462</v>
      </c>
      <c r="AC6" s="566"/>
    </row>
    <row r="7" spans="1:29">
      <c r="A7" s="596" t="s">
        <v>231</v>
      </c>
      <c r="B7" s="57" t="s">
        <v>6</v>
      </c>
      <c r="C7" s="590" t="s">
        <v>1619</v>
      </c>
      <c r="D7" s="591"/>
      <c r="E7" s="57">
        <v>47.98</v>
      </c>
      <c r="F7" s="388">
        <v>2000</v>
      </c>
      <c r="G7" s="376">
        <f t="shared" si="0"/>
        <v>95960</v>
      </c>
      <c r="H7" s="390">
        <v>2</v>
      </c>
      <c r="I7" s="386">
        <v>16</v>
      </c>
      <c r="J7" s="58">
        <v>2000</v>
      </c>
      <c r="K7" s="59">
        <f t="shared" si="1"/>
        <v>125</v>
      </c>
      <c r="L7" s="386">
        <v>16</v>
      </c>
      <c r="M7" s="60">
        <f t="shared" si="2"/>
        <v>1935.4838709677435</v>
      </c>
      <c r="N7" s="59">
        <f t="shared" si="3"/>
        <v>120.96774193548397</v>
      </c>
      <c r="O7" s="61">
        <f t="shared" si="4"/>
        <v>0</v>
      </c>
      <c r="P7" s="62">
        <f t="shared" si="5"/>
        <v>-4.0322580645160286</v>
      </c>
      <c r="Q7" s="377">
        <f t="shared" si="6"/>
        <v>0.96774193548387177</v>
      </c>
      <c r="R7" s="566"/>
      <c r="S7" s="63">
        <v>0.78611111111111109</v>
      </c>
      <c r="T7" s="63">
        <v>0.82916666666666661</v>
      </c>
      <c r="U7" s="376">
        <f t="shared" si="10"/>
        <v>7.9999999999999716</v>
      </c>
      <c r="V7" s="387">
        <f t="shared" si="7"/>
        <v>61.999999999999943</v>
      </c>
      <c r="W7" s="64">
        <f>T7</f>
        <v>0.82916666666666661</v>
      </c>
      <c r="X7" s="64">
        <f>S8</f>
        <v>0.86874999999999991</v>
      </c>
      <c r="Y7" s="569"/>
      <c r="Z7" s="570"/>
      <c r="AA7" s="61">
        <f t="shared" si="8"/>
        <v>-64.516129032256458</v>
      </c>
      <c r="AB7" s="377">
        <f t="shared" si="9"/>
        <v>0.96774193548387177</v>
      </c>
      <c r="AC7" s="566"/>
    </row>
    <row r="8" spans="1:29">
      <c r="A8" s="596" t="s">
        <v>1759</v>
      </c>
      <c r="B8" s="57" t="s">
        <v>6</v>
      </c>
      <c r="C8" s="590" t="s">
        <v>1619</v>
      </c>
      <c r="D8" s="591"/>
      <c r="E8" s="57">
        <v>47.98</v>
      </c>
      <c r="F8" s="388">
        <v>2745</v>
      </c>
      <c r="G8" s="376">
        <f t="shared" si="0"/>
        <v>131705.1</v>
      </c>
      <c r="H8" s="390" t="s">
        <v>5</v>
      </c>
      <c r="I8" s="386">
        <v>16</v>
      </c>
      <c r="J8" s="58">
        <v>2000</v>
      </c>
      <c r="K8" s="59">
        <f t="shared" si="1"/>
        <v>125</v>
      </c>
      <c r="L8" s="386">
        <v>16</v>
      </c>
      <c r="M8" s="60">
        <f t="shared" si="2"/>
        <v>1915.116279069767</v>
      </c>
      <c r="N8" s="59">
        <f t="shared" si="3"/>
        <v>119.69476744186044</v>
      </c>
      <c r="O8" s="61">
        <f t="shared" si="4"/>
        <v>0</v>
      </c>
      <c r="P8" s="62">
        <f t="shared" si="5"/>
        <v>-5.305232558139565</v>
      </c>
      <c r="Q8" s="377">
        <f t="shared" si="6"/>
        <v>0.95755813953488345</v>
      </c>
      <c r="R8" s="566"/>
      <c r="S8" s="63">
        <v>0.86874999999999991</v>
      </c>
      <c r="T8" s="63">
        <v>0.92847222222222214</v>
      </c>
      <c r="U8" s="376">
        <f t="shared" si="10"/>
        <v>56.999999999999957</v>
      </c>
      <c r="V8" s="387">
        <f t="shared" si="7"/>
        <v>86.000000000000014</v>
      </c>
      <c r="W8" s="68"/>
      <c r="X8" s="68"/>
      <c r="Y8" s="569"/>
      <c r="Z8" s="570"/>
      <c r="AA8" s="61">
        <f t="shared" si="8"/>
        <v>-84.883720930233039</v>
      </c>
      <c r="AB8" s="377">
        <f t="shared" si="9"/>
        <v>0.95755813953488345</v>
      </c>
      <c r="AC8" s="566"/>
    </row>
    <row r="9" spans="1:29">
      <c r="A9" s="596" t="s">
        <v>1759</v>
      </c>
      <c r="B9" s="57" t="s">
        <v>1760</v>
      </c>
      <c r="C9" s="571"/>
      <c r="D9" s="571"/>
      <c r="E9" s="378"/>
      <c r="F9" s="66"/>
      <c r="G9" s="59"/>
      <c r="H9" s="388"/>
      <c r="I9" s="67">
        <v>16</v>
      </c>
      <c r="J9" s="58">
        <v>2000</v>
      </c>
      <c r="K9" s="59">
        <f t="shared" si="1"/>
        <v>125</v>
      </c>
      <c r="L9" s="67">
        <v>16</v>
      </c>
      <c r="M9" s="60">
        <f>AVERAGE(M5:M8)</f>
        <v>1917.0714211571767</v>
      </c>
      <c r="N9" s="59">
        <f t="shared" si="3"/>
        <v>119.81696382232354</v>
      </c>
      <c r="O9" s="61">
        <f t="shared" si="4"/>
        <v>0</v>
      </c>
      <c r="P9" s="62">
        <f t="shared" si="5"/>
        <v>-5.1830361776764562</v>
      </c>
      <c r="Q9" s="377">
        <f t="shared" si="6"/>
        <v>0.95853571057858833</v>
      </c>
      <c r="R9" s="566"/>
      <c r="S9" s="63"/>
      <c r="T9" s="63"/>
      <c r="U9" s="376"/>
      <c r="V9" s="387"/>
      <c r="W9" s="59"/>
      <c r="X9" s="59"/>
      <c r="Y9" s="559"/>
      <c r="Z9" s="559"/>
      <c r="AA9" s="61">
        <f t="shared" si="8"/>
        <v>-82.928578842823299</v>
      </c>
      <c r="AB9" s="377">
        <f t="shared" si="9"/>
        <v>0.95853571057858833</v>
      </c>
      <c r="AC9" s="566"/>
    </row>
    <row r="10" spans="1:29" ht="15.75" customHeight="1">
      <c r="A10" s="594" t="s">
        <v>1761</v>
      </c>
      <c r="B10" s="57" t="s">
        <v>10</v>
      </c>
      <c r="C10" s="590" t="s">
        <v>14</v>
      </c>
      <c r="D10" s="591"/>
      <c r="E10" s="57">
        <v>39.619999999999997</v>
      </c>
      <c r="F10" s="388">
        <v>3616</v>
      </c>
      <c r="G10" s="376">
        <f t="shared" ref="G10:G11" si="11">E10*F10</f>
        <v>143265.91999999998</v>
      </c>
      <c r="H10" s="390" t="s">
        <v>5</v>
      </c>
      <c r="I10" s="386">
        <v>19</v>
      </c>
      <c r="J10" s="58">
        <v>1500</v>
      </c>
      <c r="K10" s="59">
        <f t="shared" si="1"/>
        <v>78.94736842105263</v>
      </c>
      <c r="L10" s="386">
        <v>19</v>
      </c>
      <c r="M10" s="60">
        <f t="shared" ref="M10:M11" si="12">F10/V10*60</f>
        <v>1427.3684210526317</v>
      </c>
      <c r="N10" s="59">
        <f t="shared" si="3"/>
        <v>75.124653739612199</v>
      </c>
      <c r="O10" s="61">
        <f t="shared" si="4"/>
        <v>0</v>
      </c>
      <c r="P10" s="62">
        <f t="shared" si="5"/>
        <v>-3.8227146814404307</v>
      </c>
      <c r="Q10" s="377">
        <f t="shared" si="6"/>
        <v>0.95157894736842119</v>
      </c>
      <c r="R10" s="566">
        <f>Q12</f>
        <v>0.95300466355762836</v>
      </c>
      <c r="S10" s="63">
        <v>0.16666666666666666</v>
      </c>
      <c r="T10" s="63">
        <v>0.2722222222222222</v>
      </c>
      <c r="U10" s="376"/>
      <c r="V10" s="387">
        <f t="shared" ref="V10:V11" si="13">(T10-S10)*24*60</f>
        <v>152</v>
      </c>
      <c r="W10" s="64">
        <f>T10</f>
        <v>0.2722222222222222</v>
      </c>
      <c r="X10" s="64">
        <f>S11</f>
        <v>0.29236111111111107</v>
      </c>
      <c r="Y10" s="559"/>
      <c r="Z10" s="559"/>
      <c r="AA10" s="61">
        <f t="shared" si="8"/>
        <v>-72.631578947368325</v>
      </c>
      <c r="AB10" s="377">
        <f t="shared" si="9"/>
        <v>0.95157894736842108</v>
      </c>
      <c r="AC10" s="566">
        <f>AB12</f>
        <v>0.95300466355762836</v>
      </c>
    </row>
    <row r="11" spans="1:29" ht="15.75" customHeight="1">
      <c r="A11" s="594" t="s">
        <v>1762</v>
      </c>
      <c r="B11" s="57" t="s">
        <v>10</v>
      </c>
      <c r="C11" s="590" t="s">
        <v>11</v>
      </c>
      <c r="D11" s="591"/>
      <c r="E11" s="57">
        <v>39.799999999999997</v>
      </c>
      <c r="F11" s="388">
        <v>5655</v>
      </c>
      <c r="G11" s="376">
        <f t="shared" si="11"/>
        <v>225068.99999999997</v>
      </c>
      <c r="H11" s="390" t="s">
        <v>5</v>
      </c>
      <c r="I11" s="386">
        <v>17</v>
      </c>
      <c r="J11" s="58">
        <v>1500</v>
      </c>
      <c r="K11" s="59">
        <f t="shared" si="1"/>
        <v>88.235294117647058</v>
      </c>
      <c r="L11" s="386">
        <v>17</v>
      </c>
      <c r="M11" s="60">
        <f t="shared" si="12"/>
        <v>1431.6455696202534</v>
      </c>
      <c r="N11" s="59">
        <f t="shared" si="3"/>
        <v>84.21444527177961</v>
      </c>
      <c r="O11" s="61">
        <f t="shared" si="4"/>
        <v>0</v>
      </c>
      <c r="P11" s="62">
        <f t="shared" si="5"/>
        <v>-4.0208488458674481</v>
      </c>
      <c r="Q11" s="377">
        <f t="shared" si="6"/>
        <v>0.95443037974683553</v>
      </c>
      <c r="R11" s="566"/>
      <c r="S11" s="63">
        <v>0.29236111111111107</v>
      </c>
      <c r="T11" s="63">
        <v>0.45694444444444438</v>
      </c>
      <c r="U11" s="376">
        <f t="shared" ref="U11" si="14">IF(S11=TIME(17,0,0),"",(S11-T10)*24*60)</f>
        <v>28.999999999999979</v>
      </c>
      <c r="V11" s="387">
        <f t="shared" si="13"/>
        <v>236.99999999999994</v>
      </c>
      <c r="W11" s="64"/>
      <c r="X11" s="64"/>
      <c r="Y11" s="559"/>
      <c r="Z11" s="559"/>
      <c r="AA11" s="61">
        <f t="shared" si="8"/>
        <v>-68.354430379746645</v>
      </c>
      <c r="AB11" s="377">
        <f t="shared" si="9"/>
        <v>0.95443037974683553</v>
      </c>
      <c r="AC11" s="566"/>
    </row>
    <row r="12" spans="1:29" ht="16.5" customHeight="1">
      <c r="A12" s="594" t="s">
        <v>1762</v>
      </c>
      <c r="B12" s="57" t="s">
        <v>1763</v>
      </c>
      <c r="C12" s="571"/>
      <c r="D12" s="571"/>
      <c r="E12" s="378"/>
      <c r="F12" s="58"/>
      <c r="G12" s="60"/>
      <c r="H12" s="388"/>
      <c r="I12" s="67">
        <v>18</v>
      </c>
      <c r="J12" s="58">
        <v>1500</v>
      </c>
      <c r="K12" s="59">
        <f t="shared" si="1"/>
        <v>83.333333333333329</v>
      </c>
      <c r="L12" s="67">
        <v>18</v>
      </c>
      <c r="M12" s="60">
        <f>AVERAGE(M10:M11)</f>
        <v>1429.5069953364425</v>
      </c>
      <c r="N12" s="59">
        <f t="shared" si="3"/>
        <v>79.41705529646903</v>
      </c>
      <c r="O12" s="61">
        <f t="shared" si="4"/>
        <v>0</v>
      </c>
      <c r="P12" s="62">
        <f t="shared" si="5"/>
        <v>-3.9162780368642984</v>
      </c>
      <c r="Q12" s="377">
        <f t="shared" si="6"/>
        <v>0.95300466355762836</v>
      </c>
      <c r="R12" s="566"/>
      <c r="S12" s="63"/>
      <c r="T12" s="63"/>
      <c r="U12" s="59"/>
      <c r="V12" s="387"/>
      <c r="W12" s="59"/>
      <c r="X12" s="59"/>
      <c r="Y12" s="559"/>
      <c r="Z12" s="559"/>
      <c r="AA12" s="61">
        <f t="shared" si="8"/>
        <v>-70.493004663557485</v>
      </c>
      <c r="AB12" s="377">
        <f t="shared" si="9"/>
        <v>0.95300466355762836</v>
      </c>
      <c r="AC12" s="566"/>
    </row>
    <row r="13" spans="1:29" ht="16.5" customHeight="1">
      <c r="A13" s="592" t="s">
        <v>1764</v>
      </c>
      <c r="B13" s="388" t="s">
        <v>12</v>
      </c>
      <c r="C13" s="584" t="s">
        <v>13</v>
      </c>
      <c r="D13" s="584"/>
      <c r="E13" s="57">
        <v>41</v>
      </c>
      <c r="F13" s="388">
        <v>2125</v>
      </c>
      <c r="G13" s="376">
        <f t="shared" ref="G13:G20" si="15">E13*F13</f>
        <v>87125</v>
      </c>
      <c r="H13" s="390" t="s">
        <v>5</v>
      </c>
      <c r="I13" s="386">
        <v>26</v>
      </c>
      <c r="J13" s="58">
        <v>1500</v>
      </c>
      <c r="K13" s="59">
        <f t="shared" si="1"/>
        <v>57.692307692307693</v>
      </c>
      <c r="L13" s="386">
        <v>26</v>
      </c>
      <c r="M13" s="60">
        <f t="shared" ref="M13:M20" si="16">F13/V13*60</f>
        <v>1432.5842696629206</v>
      </c>
      <c r="N13" s="59">
        <f t="shared" si="3"/>
        <v>55.09939498703541</v>
      </c>
      <c r="O13" s="61">
        <f t="shared" si="4"/>
        <v>0</v>
      </c>
      <c r="P13" s="62">
        <f t="shared" si="5"/>
        <v>-2.5929127052722833</v>
      </c>
      <c r="Q13" s="377">
        <f t="shared" si="6"/>
        <v>0.95505617977528046</v>
      </c>
      <c r="R13" s="566">
        <f>Q21</f>
        <v>0.96058676277831301</v>
      </c>
      <c r="S13" s="63">
        <v>0.20833333333333334</v>
      </c>
      <c r="T13" s="63">
        <v>0.27013888888888893</v>
      </c>
      <c r="U13" s="376"/>
      <c r="V13" s="387">
        <f t="shared" ref="V13:V20" si="17">(T13-S13)*24*60</f>
        <v>89.000000000000043</v>
      </c>
      <c r="W13" s="68"/>
      <c r="X13" s="68"/>
      <c r="Y13" s="559"/>
      <c r="Z13" s="559"/>
      <c r="AA13" s="61">
        <f t="shared" si="8"/>
        <v>-67.415730337079367</v>
      </c>
      <c r="AB13" s="377">
        <f t="shared" si="9"/>
        <v>0.95505617977528046</v>
      </c>
      <c r="AC13" s="566">
        <f>AB21</f>
        <v>0.96058676277831301</v>
      </c>
    </row>
    <row r="14" spans="1:29" ht="16.5" customHeight="1">
      <c r="A14" s="593" t="s">
        <v>1764</v>
      </c>
      <c r="B14" s="388" t="s">
        <v>657</v>
      </c>
      <c r="C14" s="584" t="s">
        <v>236</v>
      </c>
      <c r="D14" s="584"/>
      <c r="E14" s="57">
        <v>72.400000000000006</v>
      </c>
      <c r="F14" s="388">
        <v>1310</v>
      </c>
      <c r="G14" s="376">
        <f t="shared" si="15"/>
        <v>94844.000000000015</v>
      </c>
      <c r="H14" s="390" t="s">
        <v>5</v>
      </c>
      <c r="I14" s="386">
        <v>18</v>
      </c>
      <c r="J14" s="58">
        <v>1500</v>
      </c>
      <c r="K14" s="59">
        <f t="shared" si="1"/>
        <v>83.333333333333329</v>
      </c>
      <c r="L14" s="386">
        <v>18</v>
      </c>
      <c r="M14" s="60">
        <f t="shared" si="16"/>
        <v>1429.0909090909101</v>
      </c>
      <c r="N14" s="59">
        <f t="shared" si="3"/>
        <v>79.393939393939448</v>
      </c>
      <c r="O14" s="61">
        <f t="shared" si="4"/>
        <v>0</v>
      </c>
      <c r="P14" s="62">
        <f t="shared" si="5"/>
        <v>-3.9393939393938808</v>
      </c>
      <c r="Q14" s="377">
        <f t="shared" si="6"/>
        <v>0.95272727272727342</v>
      </c>
      <c r="R14" s="566"/>
      <c r="S14" s="63">
        <v>0.27430555555555558</v>
      </c>
      <c r="T14" s="63">
        <v>0.3125</v>
      </c>
      <c r="U14" s="376">
        <f t="shared" ref="U14:U20" si="18">IF(S14=TIME(17,0,0),"",(S14-T13)*24*60)</f>
        <v>5.9999999999999787</v>
      </c>
      <c r="V14" s="387">
        <f t="shared" si="17"/>
        <v>54.999999999999964</v>
      </c>
      <c r="W14" s="64"/>
      <c r="X14" s="64"/>
      <c r="Y14" s="559"/>
      <c r="Z14" s="559"/>
      <c r="AA14" s="61">
        <f t="shared" si="8"/>
        <v>-70.909090909089855</v>
      </c>
      <c r="AB14" s="377">
        <f t="shared" si="9"/>
        <v>0.95272727272727342</v>
      </c>
      <c r="AC14" s="566"/>
    </row>
    <row r="15" spans="1:29" ht="16.5" customHeight="1">
      <c r="A15" s="593" t="s">
        <v>1764</v>
      </c>
      <c r="B15" s="388" t="s">
        <v>65</v>
      </c>
      <c r="C15" s="584" t="s">
        <v>1765</v>
      </c>
      <c r="D15" s="584"/>
      <c r="E15" s="57">
        <v>48.36</v>
      </c>
      <c r="F15" s="388">
        <v>4048</v>
      </c>
      <c r="G15" s="376">
        <f t="shared" si="15"/>
        <v>195761.28</v>
      </c>
      <c r="H15" s="390" t="s">
        <v>5</v>
      </c>
      <c r="I15" s="386">
        <v>16</v>
      </c>
      <c r="J15" s="58">
        <v>1500</v>
      </c>
      <c r="K15" s="59">
        <f t="shared" si="1"/>
        <v>93.75</v>
      </c>
      <c r="L15" s="386">
        <v>16</v>
      </c>
      <c r="M15" s="60">
        <f t="shared" si="16"/>
        <v>1437.1597633136091</v>
      </c>
      <c r="N15" s="59">
        <f t="shared" si="3"/>
        <v>89.82248520710057</v>
      </c>
      <c r="O15" s="61">
        <f t="shared" si="4"/>
        <v>0</v>
      </c>
      <c r="P15" s="62">
        <f t="shared" si="5"/>
        <v>-3.9275147928994301</v>
      </c>
      <c r="Q15" s="377">
        <f t="shared" si="6"/>
        <v>0.95810650887573945</v>
      </c>
      <c r="R15" s="566"/>
      <c r="S15" s="63">
        <v>0.31597222222222221</v>
      </c>
      <c r="T15" s="63">
        <v>0.43333333333333335</v>
      </c>
      <c r="U15" s="376">
        <f t="shared" si="18"/>
        <v>4.9999999999999822</v>
      </c>
      <c r="V15" s="387">
        <f t="shared" si="17"/>
        <v>169.00000000000003</v>
      </c>
      <c r="W15" s="64"/>
      <c r="X15" s="64"/>
      <c r="Y15" s="559"/>
      <c r="Z15" s="559"/>
      <c r="AA15" s="61">
        <f t="shared" si="8"/>
        <v>-62.840236686390881</v>
      </c>
      <c r="AB15" s="377">
        <f t="shared" si="9"/>
        <v>0.95810650887573945</v>
      </c>
      <c r="AC15" s="566"/>
    </row>
    <row r="16" spans="1:29" ht="16.5" customHeight="1">
      <c r="A16" s="593" t="s">
        <v>1764</v>
      </c>
      <c r="B16" s="388" t="s">
        <v>6</v>
      </c>
      <c r="C16" s="584" t="s">
        <v>95</v>
      </c>
      <c r="D16" s="584"/>
      <c r="E16" s="57">
        <v>50.98</v>
      </c>
      <c r="F16" s="388">
        <v>1000</v>
      </c>
      <c r="G16" s="376">
        <f t="shared" si="15"/>
        <v>50980</v>
      </c>
      <c r="H16" s="390">
        <v>2</v>
      </c>
      <c r="I16" s="386">
        <v>16</v>
      </c>
      <c r="J16" s="58">
        <v>2000</v>
      </c>
      <c r="K16" s="59">
        <f t="shared" si="1"/>
        <v>125</v>
      </c>
      <c r="L16" s="386">
        <v>16</v>
      </c>
      <c r="M16" s="60">
        <f t="shared" si="16"/>
        <v>1935.483870967739</v>
      </c>
      <c r="N16" s="59">
        <f t="shared" si="3"/>
        <v>120.96774193548369</v>
      </c>
      <c r="O16" s="61">
        <f t="shared" si="4"/>
        <v>0</v>
      </c>
      <c r="P16" s="62">
        <f t="shared" si="5"/>
        <v>-4.0322580645163129</v>
      </c>
      <c r="Q16" s="377">
        <f t="shared" si="6"/>
        <v>0.96774193548386944</v>
      </c>
      <c r="R16" s="566"/>
      <c r="S16" s="63">
        <v>0.70833333333333337</v>
      </c>
      <c r="T16" s="63">
        <v>0.72986111111111118</v>
      </c>
      <c r="U16" s="376" t="str">
        <f t="shared" si="18"/>
        <v/>
      </c>
      <c r="V16" s="387">
        <f t="shared" si="17"/>
        <v>31.00000000000005</v>
      </c>
      <c r="W16" s="64"/>
      <c r="X16" s="64"/>
      <c r="Y16" s="559"/>
      <c r="Z16" s="559"/>
      <c r="AA16" s="61">
        <f t="shared" si="8"/>
        <v>-64.516129032261006</v>
      </c>
      <c r="AB16" s="377">
        <f t="shared" si="9"/>
        <v>0.96774193548386944</v>
      </c>
      <c r="AC16" s="566"/>
    </row>
    <row r="17" spans="1:29" ht="16.5" customHeight="1">
      <c r="A17" s="593" t="s">
        <v>1764</v>
      </c>
      <c r="B17" s="388" t="s">
        <v>6</v>
      </c>
      <c r="C17" s="584" t="s">
        <v>18</v>
      </c>
      <c r="D17" s="584"/>
      <c r="E17" s="57">
        <v>50.92</v>
      </c>
      <c r="F17" s="388">
        <v>2496</v>
      </c>
      <c r="G17" s="376">
        <f t="shared" si="15"/>
        <v>127096.32000000001</v>
      </c>
      <c r="H17" s="390" t="s">
        <v>5</v>
      </c>
      <c r="I17" s="386">
        <v>15</v>
      </c>
      <c r="J17" s="58">
        <v>2000</v>
      </c>
      <c r="K17" s="59">
        <f t="shared" si="1"/>
        <v>133.33333333333334</v>
      </c>
      <c r="L17" s="386">
        <v>15</v>
      </c>
      <c r="M17" s="60">
        <f t="shared" si="16"/>
        <v>1919.9999999999989</v>
      </c>
      <c r="N17" s="59">
        <f t="shared" si="3"/>
        <v>127.99999999999993</v>
      </c>
      <c r="O17" s="61">
        <f t="shared" si="4"/>
        <v>0</v>
      </c>
      <c r="P17" s="62">
        <f t="shared" si="5"/>
        <v>-5.3333333333334139</v>
      </c>
      <c r="Q17" s="377">
        <f t="shared" si="6"/>
        <v>0.95999999999999941</v>
      </c>
      <c r="R17" s="566"/>
      <c r="S17" s="63">
        <v>0.73541666666666672</v>
      </c>
      <c r="T17" s="63">
        <v>0.78958333333333341</v>
      </c>
      <c r="U17" s="376">
        <f t="shared" si="18"/>
        <v>7.9999999999999716</v>
      </c>
      <c r="V17" s="387">
        <f t="shared" si="17"/>
        <v>78.000000000000043</v>
      </c>
      <c r="W17" s="64"/>
      <c r="X17" s="64"/>
      <c r="Y17" s="559"/>
      <c r="Z17" s="559"/>
      <c r="AA17" s="61">
        <f t="shared" si="8"/>
        <v>-80.000000000001137</v>
      </c>
      <c r="AB17" s="377">
        <f t="shared" si="9"/>
        <v>0.95999999999999941</v>
      </c>
      <c r="AC17" s="566"/>
    </row>
    <row r="18" spans="1:29" ht="16.5" customHeight="1">
      <c r="A18" s="593" t="s">
        <v>1764</v>
      </c>
      <c r="B18" s="388" t="s">
        <v>6</v>
      </c>
      <c r="C18" s="585" t="s">
        <v>99</v>
      </c>
      <c r="D18" s="586"/>
      <c r="E18" s="57">
        <v>53.68</v>
      </c>
      <c r="F18" s="388">
        <v>1000</v>
      </c>
      <c r="G18" s="376">
        <f t="shared" si="15"/>
        <v>53680</v>
      </c>
      <c r="H18" s="390">
        <v>2</v>
      </c>
      <c r="I18" s="386">
        <v>16</v>
      </c>
      <c r="J18" s="58">
        <v>1500</v>
      </c>
      <c r="K18" s="59">
        <f t="shared" si="1"/>
        <v>93.75</v>
      </c>
      <c r="L18" s="386">
        <v>16</v>
      </c>
      <c r="M18" s="60">
        <f t="shared" si="16"/>
        <v>1428.5714285714282</v>
      </c>
      <c r="N18" s="59">
        <f t="shared" si="3"/>
        <v>89.285714285714263</v>
      </c>
      <c r="O18" s="61">
        <f t="shared" si="4"/>
        <v>0</v>
      </c>
      <c r="P18" s="62">
        <f t="shared" si="5"/>
        <v>-4.4642857142857366</v>
      </c>
      <c r="Q18" s="377">
        <f t="shared" si="6"/>
        <v>0.95238095238095211</v>
      </c>
      <c r="R18" s="566"/>
      <c r="S18" s="63">
        <v>0.79305555555555562</v>
      </c>
      <c r="T18" s="63">
        <v>0.8222222222222223</v>
      </c>
      <c r="U18" s="376">
        <f t="shared" si="18"/>
        <v>4.9999999999999822</v>
      </c>
      <c r="V18" s="387">
        <f t="shared" si="17"/>
        <v>42.000000000000014</v>
      </c>
      <c r="W18" s="64">
        <f>T18</f>
        <v>0.8222222222222223</v>
      </c>
      <c r="X18" s="64">
        <f>S19</f>
        <v>0.86250000000000004</v>
      </c>
      <c r="Y18" s="569"/>
      <c r="Z18" s="570"/>
      <c r="AA18" s="61">
        <f t="shared" si="8"/>
        <v>-71.428571428571786</v>
      </c>
      <c r="AB18" s="377">
        <f t="shared" si="9"/>
        <v>0.95238095238095211</v>
      </c>
      <c r="AC18" s="566"/>
    </row>
    <row r="19" spans="1:29" ht="16.5" customHeight="1">
      <c r="A19" s="593" t="s">
        <v>1766</v>
      </c>
      <c r="B19" s="388" t="s">
        <v>6</v>
      </c>
      <c r="C19" s="384" t="s">
        <v>95</v>
      </c>
      <c r="D19" s="385"/>
      <c r="E19" s="57">
        <v>50.98</v>
      </c>
      <c r="F19" s="388">
        <v>1489</v>
      </c>
      <c r="G19" s="376">
        <f t="shared" si="15"/>
        <v>75909.22</v>
      </c>
      <c r="H19" s="390" t="s">
        <v>5</v>
      </c>
      <c r="I19" s="386">
        <v>16</v>
      </c>
      <c r="J19" s="58">
        <v>2000</v>
      </c>
      <c r="K19" s="59">
        <f t="shared" si="1"/>
        <v>125</v>
      </c>
      <c r="L19" s="386">
        <v>16</v>
      </c>
      <c r="M19" s="60">
        <f t="shared" si="16"/>
        <v>1942.1739130434783</v>
      </c>
      <c r="N19" s="59">
        <f t="shared" si="3"/>
        <v>121.38586956521739</v>
      </c>
      <c r="O19" s="61">
        <f t="shared" si="4"/>
        <v>0</v>
      </c>
      <c r="P19" s="62">
        <f t="shared" si="5"/>
        <v>-3.6141304347826093</v>
      </c>
      <c r="Q19" s="377">
        <f t="shared" si="6"/>
        <v>0.97108695652173915</v>
      </c>
      <c r="R19" s="566"/>
      <c r="S19" s="63">
        <v>0.86250000000000004</v>
      </c>
      <c r="T19" s="63">
        <v>0.89444444444444449</v>
      </c>
      <c r="U19" s="376">
        <f t="shared" si="18"/>
        <v>57.999999999999957</v>
      </c>
      <c r="V19" s="387">
        <f t="shared" si="17"/>
        <v>46</v>
      </c>
      <c r="W19" s="64"/>
      <c r="X19" s="64"/>
      <c r="Y19" s="569"/>
      <c r="Z19" s="570"/>
      <c r="AA19" s="61">
        <f t="shared" si="8"/>
        <v>-57.826086956521749</v>
      </c>
      <c r="AB19" s="377">
        <f t="shared" si="9"/>
        <v>0.97108695652173915</v>
      </c>
      <c r="AC19" s="566"/>
    </row>
    <row r="20" spans="1:29" ht="16.5" customHeight="1">
      <c r="A20" s="593" t="s">
        <v>1766</v>
      </c>
      <c r="B20" s="388" t="s">
        <v>6</v>
      </c>
      <c r="C20" s="384" t="s">
        <v>99</v>
      </c>
      <c r="D20" s="385"/>
      <c r="E20" s="57">
        <v>53.68</v>
      </c>
      <c r="F20" s="388">
        <v>1010</v>
      </c>
      <c r="G20" s="376">
        <f t="shared" si="15"/>
        <v>54216.800000000003</v>
      </c>
      <c r="H20" s="390" t="s">
        <v>5</v>
      </c>
      <c r="I20" s="386">
        <v>16</v>
      </c>
      <c r="J20" s="58">
        <v>1500</v>
      </c>
      <c r="K20" s="59">
        <f t="shared" si="1"/>
        <v>93.75</v>
      </c>
      <c r="L20" s="386">
        <v>16</v>
      </c>
      <c r="M20" s="60">
        <f t="shared" si="16"/>
        <v>1442.8571428571424</v>
      </c>
      <c r="N20" s="59">
        <f t="shared" si="3"/>
        <v>90.178571428571402</v>
      </c>
      <c r="O20" s="61">
        <f t="shared" si="4"/>
        <v>0</v>
      </c>
      <c r="P20" s="62">
        <f t="shared" si="5"/>
        <v>-3.5714285714285978</v>
      </c>
      <c r="Q20" s="377">
        <f t="shared" si="6"/>
        <v>0.9619047619047616</v>
      </c>
      <c r="R20" s="566"/>
      <c r="S20" s="63">
        <v>0.9</v>
      </c>
      <c r="T20" s="63">
        <v>0.9291666666666667</v>
      </c>
      <c r="U20" s="376">
        <f t="shared" si="18"/>
        <v>7.9999999999999716</v>
      </c>
      <c r="V20" s="387">
        <f t="shared" si="17"/>
        <v>42.000000000000014</v>
      </c>
      <c r="W20" s="64"/>
      <c r="X20" s="64"/>
      <c r="Y20" s="569"/>
      <c r="Z20" s="570"/>
      <c r="AA20" s="61">
        <f t="shared" si="8"/>
        <v>-57.142857142857565</v>
      </c>
      <c r="AB20" s="377">
        <f t="shared" si="9"/>
        <v>0.9619047619047616</v>
      </c>
      <c r="AC20" s="566"/>
    </row>
    <row r="21" spans="1:29" ht="16.5" customHeight="1">
      <c r="A21" s="593" t="s">
        <v>160</v>
      </c>
      <c r="B21" s="57" t="s">
        <v>159</v>
      </c>
      <c r="C21" s="571"/>
      <c r="D21" s="571"/>
      <c r="E21" s="378"/>
      <c r="F21" s="66"/>
      <c r="G21" s="59"/>
      <c r="H21" s="388"/>
      <c r="I21" s="67">
        <v>17.375</v>
      </c>
      <c r="J21" s="58">
        <v>1687.5</v>
      </c>
      <c r="K21" s="59">
        <f t="shared" si="1"/>
        <v>97.122302158273385</v>
      </c>
      <c r="L21" s="67">
        <v>17.375</v>
      </c>
      <c r="M21" s="60">
        <f>AVERAGE(M13:M20)</f>
        <v>1620.9901621884032</v>
      </c>
      <c r="N21" s="59">
        <f t="shared" si="3"/>
        <v>93.294397823792991</v>
      </c>
      <c r="O21" s="61">
        <f t="shared" si="4"/>
        <v>0</v>
      </c>
      <c r="P21" s="62">
        <f t="shared" si="5"/>
        <v>-3.8279043344803938</v>
      </c>
      <c r="Q21" s="377">
        <f t="shared" si="6"/>
        <v>0.96058676277831301</v>
      </c>
      <c r="R21" s="566"/>
      <c r="S21" s="63"/>
      <c r="T21" s="63"/>
      <c r="U21" s="376"/>
      <c r="V21" s="387"/>
      <c r="W21" s="59"/>
      <c r="X21" s="59"/>
      <c r="Y21" s="559"/>
      <c r="Z21" s="559"/>
      <c r="AA21" s="61">
        <f t="shared" si="8"/>
        <v>-66.509837811596753</v>
      </c>
      <c r="AB21" s="377">
        <f t="shared" si="9"/>
        <v>0.96058676277831301</v>
      </c>
      <c r="AC21" s="566"/>
    </row>
    <row r="22" spans="1:29" ht="15.75" customHeight="1">
      <c r="A22" s="588" t="s">
        <v>1767</v>
      </c>
      <c r="B22" s="57" t="s">
        <v>12</v>
      </c>
      <c r="C22" s="584" t="s">
        <v>19</v>
      </c>
      <c r="D22" s="584"/>
      <c r="E22" s="57">
        <v>43.14</v>
      </c>
      <c r="F22" s="388">
        <v>1063</v>
      </c>
      <c r="G22" s="376">
        <f t="shared" ref="G22:G29" si="19">E22*F22</f>
        <v>45857.82</v>
      </c>
      <c r="H22" s="390" t="s">
        <v>5</v>
      </c>
      <c r="I22" s="386">
        <v>17</v>
      </c>
      <c r="J22" s="58">
        <v>2000</v>
      </c>
      <c r="K22" s="59">
        <f t="shared" si="1"/>
        <v>117.64705882352941</v>
      </c>
      <c r="L22" s="386">
        <v>17</v>
      </c>
      <c r="M22" s="60">
        <f t="shared" ref="M22:M29" si="20">F22/V22*60</f>
        <v>1932.7272727272727</v>
      </c>
      <c r="N22" s="59">
        <f t="shared" si="3"/>
        <v>113.68983957219251</v>
      </c>
      <c r="O22" s="61">
        <f t="shared" si="4"/>
        <v>0</v>
      </c>
      <c r="P22" s="62">
        <f t="shared" si="5"/>
        <v>-3.9572192513368947</v>
      </c>
      <c r="Q22" s="377">
        <f t="shared" si="6"/>
        <v>0.96636363636363642</v>
      </c>
      <c r="R22" s="566">
        <f>Q30</f>
        <v>0.96007048441769283</v>
      </c>
      <c r="S22" s="63">
        <v>0.20833333333333334</v>
      </c>
      <c r="T22" s="63">
        <v>0.23125000000000001</v>
      </c>
      <c r="U22" s="376"/>
      <c r="V22" s="387">
        <f t="shared" ref="V22:V29" si="21">(T22-S22)*24*60</f>
        <v>33</v>
      </c>
      <c r="W22" s="68"/>
      <c r="X22" s="68"/>
      <c r="Y22" s="559"/>
      <c r="Z22" s="559"/>
      <c r="AA22" s="61">
        <f t="shared" si="8"/>
        <v>-67.272727272727252</v>
      </c>
      <c r="AB22" s="377">
        <f t="shared" si="9"/>
        <v>0.96636363636363642</v>
      </c>
      <c r="AC22" s="566">
        <f>AB30</f>
        <v>0.96007048441769283</v>
      </c>
    </row>
    <row r="23" spans="1:29" ht="15.75" customHeight="1">
      <c r="A23" s="589" t="s">
        <v>1768</v>
      </c>
      <c r="B23" s="57" t="s">
        <v>65</v>
      </c>
      <c r="C23" s="584" t="s">
        <v>97</v>
      </c>
      <c r="D23" s="584"/>
      <c r="E23" s="57">
        <v>49.9</v>
      </c>
      <c r="F23" s="388">
        <v>1282</v>
      </c>
      <c r="G23" s="376">
        <f t="shared" si="19"/>
        <v>63971.799999999996</v>
      </c>
      <c r="H23" s="390" t="s">
        <v>5</v>
      </c>
      <c r="I23" s="386">
        <v>17</v>
      </c>
      <c r="J23" s="58">
        <v>2000</v>
      </c>
      <c r="K23" s="59">
        <f t="shared" si="1"/>
        <v>117.64705882352941</v>
      </c>
      <c r="L23" s="386">
        <v>17</v>
      </c>
      <c r="M23" s="60">
        <f t="shared" si="20"/>
        <v>1922.9999999999993</v>
      </c>
      <c r="N23" s="59">
        <f t="shared" si="3"/>
        <v>113.11764705882349</v>
      </c>
      <c r="O23" s="61">
        <f t="shared" si="4"/>
        <v>0</v>
      </c>
      <c r="P23" s="62">
        <f t="shared" si="5"/>
        <v>-4.5294117647059124</v>
      </c>
      <c r="Q23" s="377">
        <f t="shared" si="6"/>
        <v>0.96149999999999969</v>
      </c>
      <c r="R23" s="566"/>
      <c r="S23" s="63">
        <v>0.23472222222222222</v>
      </c>
      <c r="T23" s="63">
        <v>0.26250000000000001</v>
      </c>
      <c r="U23" s="376">
        <f t="shared" ref="U23:U29" si="22">IF(S23=TIME(17,0,0),"",(S23-T22)*24*60)</f>
        <v>4.9999999999999822</v>
      </c>
      <c r="V23" s="387">
        <f t="shared" si="21"/>
        <v>40.000000000000014</v>
      </c>
      <c r="W23" s="64"/>
      <c r="X23" s="376"/>
      <c r="Y23" s="559"/>
      <c r="Z23" s="559"/>
      <c r="AA23" s="61">
        <f t="shared" si="8"/>
        <v>-77.000000000000682</v>
      </c>
      <c r="AB23" s="377">
        <f t="shared" si="9"/>
        <v>0.96149999999999969</v>
      </c>
      <c r="AC23" s="566"/>
    </row>
    <row r="24" spans="1:29" ht="15.75" customHeight="1">
      <c r="A24" s="589" t="s">
        <v>1768</v>
      </c>
      <c r="B24" s="57" t="s">
        <v>6</v>
      </c>
      <c r="C24" s="584" t="s">
        <v>20</v>
      </c>
      <c r="D24" s="584"/>
      <c r="E24" s="57">
        <v>57.73</v>
      </c>
      <c r="F24" s="388">
        <v>2588</v>
      </c>
      <c r="G24" s="376">
        <f t="shared" si="19"/>
        <v>149405.24</v>
      </c>
      <c r="H24" s="390" t="s">
        <v>5</v>
      </c>
      <c r="I24" s="386">
        <v>14</v>
      </c>
      <c r="J24" s="58">
        <v>2000</v>
      </c>
      <c r="K24" s="59">
        <f t="shared" si="1"/>
        <v>142.85714285714286</v>
      </c>
      <c r="L24" s="386">
        <v>14</v>
      </c>
      <c r="M24" s="60">
        <f t="shared" si="20"/>
        <v>1917.0370370370365</v>
      </c>
      <c r="N24" s="59">
        <f t="shared" si="3"/>
        <v>136.93121693121688</v>
      </c>
      <c r="O24" s="61">
        <f t="shared" si="4"/>
        <v>0</v>
      </c>
      <c r="P24" s="62">
        <f t="shared" si="5"/>
        <v>-5.9259259259259807</v>
      </c>
      <c r="Q24" s="377">
        <f t="shared" si="6"/>
        <v>0.9585185185185181</v>
      </c>
      <c r="R24" s="566"/>
      <c r="S24" s="63">
        <v>0.26666666666666666</v>
      </c>
      <c r="T24" s="63">
        <v>0.32291666666666669</v>
      </c>
      <c r="U24" s="376">
        <f t="shared" si="22"/>
        <v>5.9999999999999787</v>
      </c>
      <c r="V24" s="387">
        <f t="shared" si="21"/>
        <v>81.000000000000028</v>
      </c>
      <c r="W24" s="64"/>
      <c r="X24" s="376"/>
      <c r="Y24" s="559"/>
      <c r="Z24" s="559"/>
      <c r="AA24" s="61">
        <f t="shared" si="8"/>
        <v>-82.962962962963502</v>
      </c>
      <c r="AB24" s="377">
        <f t="shared" si="9"/>
        <v>0.95851851851851821</v>
      </c>
      <c r="AC24" s="566"/>
    </row>
    <row r="25" spans="1:29" ht="15.75" customHeight="1">
      <c r="A25" s="589" t="s">
        <v>1768</v>
      </c>
      <c r="B25" s="57" t="s">
        <v>6</v>
      </c>
      <c r="C25" s="584" t="s">
        <v>21</v>
      </c>
      <c r="D25" s="584"/>
      <c r="E25" s="57">
        <v>53.68</v>
      </c>
      <c r="F25" s="388">
        <v>1624</v>
      </c>
      <c r="G25" s="376">
        <f t="shared" si="19"/>
        <v>87176.319999999992</v>
      </c>
      <c r="H25" s="390" t="s">
        <v>5</v>
      </c>
      <c r="I25" s="386">
        <v>16</v>
      </c>
      <c r="J25" s="58">
        <v>2000</v>
      </c>
      <c r="K25" s="59">
        <f t="shared" si="1"/>
        <v>125</v>
      </c>
      <c r="L25" s="386">
        <v>16</v>
      </c>
      <c r="M25" s="60">
        <f t="shared" si="20"/>
        <v>1910.5882352941185</v>
      </c>
      <c r="N25" s="59">
        <f t="shared" si="3"/>
        <v>119.4117647058824</v>
      </c>
      <c r="O25" s="61">
        <f t="shared" si="4"/>
        <v>0</v>
      </c>
      <c r="P25" s="62">
        <f t="shared" si="5"/>
        <v>-5.5882352941175952</v>
      </c>
      <c r="Q25" s="377">
        <f t="shared" si="6"/>
        <v>0.95529411764705929</v>
      </c>
      <c r="R25" s="566"/>
      <c r="S25" s="63">
        <v>0.32708333333333334</v>
      </c>
      <c r="T25" s="63">
        <v>0.36249999999999999</v>
      </c>
      <c r="U25" s="376">
        <f t="shared" si="22"/>
        <v>5.9999999999999787</v>
      </c>
      <c r="V25" s="387">
        <f t="shared" si="21"/>
        <v>50.999999999999979</v>
      </c>
      <c r="W25" s="64"/>
      <c r="X25" s="376"/>
      <c r="Y25" s="559"/>
      <c r="Z25" s="559"/>
      <c r="AA25" s="61">
        <f t="shared" si="8"/>
        <v>-89.411764705881524</v>
      </c>
      <c r="AB25" s="377">
        <f t="shared" si="9"/>
        <v>0.95529411764705929</v>
      </c>
      <c r="AC25" s="566"/>
    </row>
    <row r="26" spans="1:29" ht="15.75" customHeight="1">
      <c r="A26" s="589" t="s">
        <v>1768</v>
      </c>
      <c r="B26" s="57" t="s">
        <v>6</v>
      </c>
      <c r="C26" s="584" t="s">
        <v>96</v>
      </c>
      <c r="D26" s="584"/>
      <c r="E26" s="57">
        <v>49.91</v>
      </c>
      <c r="F26" s="388">
        <v>1080</v>
      </c>
      <c r="G26" s="376">
        <f t="shared" si="19"/>
        <v>53902.799999999996</v>
      </c>
      <c r="H26" s="390" t="s">
        <v>5</v>
      </c>
      <c r="I26" s="386">
        <v>17</v>
      </c>
      <c r="J26" s="58">
        <v>2000</v>
      </c>
      <c r="K26" s="59">
        <f t="shared" si="1"/>
        <v>117.64705882352941</v>
      </c>
      <c r="L26" s="386">
        <v>17</v>
      </c>
      <c r="M26" s="60">
        <f t="shared" si="20"/>
        <v>1905.8823529411789</v>
      </c>
      <c r="N26" s="59">
        <f t="shared" si="3"/>
        <v>112.11072664359875</v>
      </c>
      <c r="O26" s="61">
        <f t="shared" si="4"/>
        <v>0</v>
      </c>
      <c r="P26" s="62">
        <f t="shared" si="5"/>
        <v>-5.5363321799306533</v>
      </c>
      <c r="Q26" s="377">
        <f t="shared" si="6"/>
        <v>0.9529411764705894</v>
      </c>
      <c r="R26" s="566"/>
      <c r="S26" s="63">
        <v>0.36736111111111108</v>
      </c>
      <c r="T26" s="63">
        <v>0.39097222222222217</v>
      </c>
      <c r="U26" s="376">
        <f t="shared" si="22"/>
        <v>6.9999999999999751</v>
      </c>
      <c r="V26" s="387">
        <f t="shared" si="21"/>
        <v>33.999999999999957</v>
      </c>
      <c r="W26" s="64"/>
      <c r="X26" s="376"/>
      <c r="Y26" s="559"/>
      <c r="Z26" s="559"/>
      <c r="AA26" s="61">
        <f t="shared" si="8"/>
        <v>-94.117647058821149</v>
      </c>
      <c r="AB26" s="377">
        <f t="shared" si="9"/>
        <v>0.9529411764705894</v>
      </c>
      <c r="AC26" s="566"/>
    </row>
    <row r="27" spans="1:29" ht="15.75" customHeight="1">
      <c r="A27" s="589" t="s">
        <v>1768</v>
      </c>
      <c r="B27" s="57" t="s">
        <v>6</v>
      </c>
      <c r="C27" s="584" t="s">
        <v>22</v>
      </c>
      <c r="D27" s="584"/>
      <c r="E27" s="57">
        <v>54.09</v>
      </c>
      <c r="F27" s="388">
        <v>1516</v>
      </c>
      <c r="G27" s="376">
        <f t="shared" si="19"/>
        <v>82000.44</v>
      </c>
      <c r="H27" s="390" t="s">
        <v>5</v>
      </c>
      <c r="I27" s="386">
        <v>19</v>
      </c>
      <c r="J27" s="58">
        <v>2000</v>
      </c>
      <c r="K27" s="59">
        <f t="shared" si="1"/>
        <v>105.26315789473684</v>
      </c>
      <c r="L27" s="386">
        <v>19</v>
      </c>
      <c r="M27" s="60">
        <f t="shared" si="20"/>
        <v>1935.3191489361704</v>
      </c>
      <c r="N27" s="59">
        <f t="shared" si="3"/>
        <v>101.85890257558792</v>
      </c>
      <c r="O27" s="61">
        <f t="shared" si="4"/>
        <v>0</v>
      </c>
      <c r="P27" s="62">
        <f t="shared" si="5"/>
        <v>-3.4042553191489162</v>
      </c>
      <c r="Q27" s="377">
        <f t="shared" si="6"/>
        <v>0.96765957446808526</v>
      </c>
      <c r="R27" s="566"/>
      <c r="S27" s="63">
        <v>0.70833333333333337</v>
      </c>
      <c r="T27" s="63">
        <v>0.74097222222222225</v>
      </c>
      <c r="U27" s="376" t="str">
        <f t="shared" si="22"/>
        <v/>
      </c>
      <c r="V27" s="387">
        <f t="shared" si="21"/>
        <v>46.999999999999993</v>
      </c>
      <c r="W27" s="64"/>
      <c r="X27" s="68"/>
      <c r="Y27" s="559"/>
      <c r="Z27" s="559"/>
      <c r="AA27" s="61">
        <f t="shared" si="8"/>
        <v>-64.68085106382955</v>
      </c>
      <c r="AB27" s="377">
        <f t="shared" si="9"/>
        <v>0.96765957446808526</v>
      </c>
      <c r="AC27" s="566"/>
    </row>
    <row r="28" spans="1:29" ht="15.75" customHeight="1">
      <c r="A28" s="589" t="s">
        <v>1768</v>
      </c>
      <c r="B28" s="57" t="s">
        <v>6</v>
      </c>
      <c r="C28" s="584" t="s">
        <v>69</v>
      </c>
      <c r="D28" s="584"/>
      <c r="E28" s="57">
        <v>57.73</v>
      </c>
      <c r="F28" s="388">
        <v>1245</v>
      </c>
      <c r="G28" s="376">
        <f t="shared" si="19"/>
        <v>71873.849999999991</v>
      </c>
      <c r="H28" s="390" t="s">
        <v>5</v>
      </c>
      <c r="I28" s="386">
        <v>16</v>
      </c>
      <c r="J28" s="58">
        <v>1500</v>
      </c>
      <c r="K28" s="59">
        <f t="shared" si="1"/>
        <v>93.75</v>
      </c>
      <c r="L28" s="386">
        <v>16</v>
      </c>
      <c r="M28" s="60">
        <f t="shared" si="20"/>
        <v>1436.5384615384623</v>
      </c>
      <c r="N28" s="59">
        <f t="shared" si="3"/>
        <v>89.783653846153896</v>
      </c>
      <c r="O28" s="61">
        <f t="shared" si="4"/>
        <v>0</v>
      </c>
      <c r="P28" s="62">
        <f t="shared" si="5"/>
        <v>-3.9663461538461036</v>
      </c>
      <c r="Q28" s="377">
        <f t="shared" si="6"/>
        <v>0.95769230769230818</v>
      </c>
      <c r="R28" s="566"/>
      <c r="S28" s="63">
        <v>0.74652777777777779</v>
      </c>
      <c r="T28" s="63">
        <v>0.78263888888888888</v>
      </c>
      <c r="U28" s="376">
        <f t="shared" si="22"/>
        <v>7.9999999999999716</v>
      </c>
      <c r="V28" s="387">
        <f t="shared" si="21"/>
        <v>51.999999999999972</v>
      </c>
      <c r="W28" s="64"/>
      <c r="X28" s="68"/>
      <c r="Y28" s="569"/>
      <c r="Z28" s="570"/>
      <c r="AA28" s="61">
        <f t="shared" si="8"/>
        <v>-63.461538461537657</v>
      </c>
      <c r="AB28" s="377">
        <f t="shared" si="9"/>
        <v>0.95769230769230818</v>
      </c>
      <c r="AC28" s="566"/>
    </row>
    <row r="29" spans="1:29" ht="15.75" customHeight="1">
      <c r="A29" s="589" t="s">
        <v>1768</v>
      </c>
      <c r="B29" s="57" t="s">
        <v>6</v>
      </c>
      <c r="C29" s="585" t="s">
        <v>68</v>
      </c>
      <c r="D29" s="586"/>
      <c r="E29" s="57">
        <v>50.67</v>
      </c>
      <c r="F29" s="388">
        <v>1568</v>
      </c>
      <c r="G29" s="376">
        <f t="shared" si="19"/>
        <v>79450.559999999998</v>
      </c>
      <c r="H29" s="390" t="s">
        <v>5</v>
      </c>
      <c r="I29" s="386">
        <v>15</v>
      </c>
      <c r="J29" s="58">
        <v>2000</v>
      </c>
      <c r="K29" s="59">
        <f t="shared" si="1"/>
        <v>133.33333333333334</v>
      </c>
      <c r="L29" s="386">
        <v>15</v>
      </c>
      <c r="M29" s="60">
        <f t="shared" si="20"/>
        <v>1920.0000000000005</v>
      </c>
      <c r="N29" s="59">
        <f t="shared" si="3"/>
        <v>128.00000000000003</v>
      </c>
      <c r="O29" s="61">
        <f t="shared" si="4"/>
        <v>0</v>
      </c>
      <c r="P29" s="62">
        <f t="shared" si="5"/>
        <v>-5.3333333333333144</v>
      </c>
      <c r="Q29" s="377">
        <f t="shared" si="6"/>
        <v>0.96000000000000019</v>
      </c>
      <c r="R29" s="566"/>
      <c r="S29" s="63">
        <v>0.78680555555555554</v>
      </c>
      <c r="T29" s="63">
        <v>0.8208333333333333</v>
      </c>
      <c r="U29" s="376">
        <f t="shared" si="22"/>
        <v>5.9999999999999787</v>
      </c>
      <c r="V29" s="387">
        <f t="shared" si="21"/>
        <v>48.999999999999986</v>
      </c>
      <c r="W29" s="64"/>
      <c r="X29" s="64"/>
      <c r="Y29" s="569"/>
      <c r="Z29" s="570"/>
      <c r="AA29" s="61">
        <f t="shared" si="8"/>
        <v>-79.999999999999545</v>
      </c>
      <c r="AB29" s="377">
        <f t="shared" si="9"/>
        <v>0.96000000000000019</v>
      </c>
      <c r="AC29" s="566"/>
    </row>
    <row r="30" spans="1:29" ht="15.75" customHeight="1">
      <c r="A30" s="589" t="s">
        <v>1768</v>
      </c>
      <c r="B30" s="57" t="s">
        <v>1769</v>
      </c>
      <c r="C30" s="571"/>
      <c r="D30" s="571"/>
      <c r="E30" s="378"/>
      <c r="F30" s="388"/>
      <c r="G30" s="376"/>
      <c r="H30" s="388"/>
      <c r="I30" s="67">
        <v>16.375</v>
      </c>
      <c r="J30" s="58">
        <v>1937.5</v>
      </c>
      <c r="K30" s="59">
        <f t="shared" si="1"/>
        <v>118.32061068702291</v>
      </c>
      <c r="L30" s="67">
        <v>16.375</v>
      </c>
      <c r="M30" s="60">
        <f>AVERAGE(M22:M29)</f>
        <v>1860.1365635592799</v>
      </c>
      <c r="N30" s="59">
        <f t="shared" si="3"/>
        <v>113.59612601888732</v>
      </c>
      <c r="O30" s="61">
        <f t="shared" si="4"/>
        <v>0</v>
      </c>
      <c r="P30" s="62">
        <f t="shared" si="5"/>
        <v>-4.7244846681355881</v>
      </c>
      <c r="Q30" s="377">
        <f t="shared" si="6"/>
        <v>0.96007048441769283</v>
      </c>
      <c r="R30" s="566"/>
      <c r="S30" s="63"/>
      <c r="T30" s="63"/>
      <c r="U30" s="59"/>
      <c r="V30" s="387"/>
      <c r="W30" s="59"/>
      <c r="X30" s="59"/>
      <c r="Y30" s="559"/>
      <c r="Z30" s="559"/>
      <c r="AA30" s="61">
        <f t="shared" si="8"/>
        <v>-77.363436440720079</v>
      </c>
      <c r="AB30" s="377">
        <f t="shared" si="9"/>
        <v>0.96007048441769283</v>
      </c>
      <c r="AC30" s="566"/>
    </row>
    <row r="31" spans="1:29" ht="15.75" customHeight="1">
      <c r="A31" s="587" t="s">
        <v>1770</v>
      </c>
      <c r="B31" s="57" t="s">
        <v>15</v>
      </c>
      <c r="C31" s="584" t="s">
        <v>26</v>
      </c>
      <c r="D31" s="584"/>
      <c r="E31" s="57">
        <v>31.29</v>
      </c>
      <c r="F31" s="388">
        <v>4500</v>
      </c>
      <c r="G31" s="376">
        <f t="shared" ref="G31:G38" si="23">E31*F31</f>
        <v>140805</v>
      </c>
      <c r="H31" s="390">
        <v>2</v>
      </c>
      <c r="I31" s="386">
        <v>18</v>
      </c>
      <c r="J31" s="58">
        <v>2400</v>
      </c>
      <c r="K31" s="59">
        <f t="shared" si="1"/>
        <v>133.33333333333334</v>
      </c>
      <c r="L31" s="386">
        <v>18</v>
      </c>
      <c r="M31" s="60">
        <f t="shared" ref="M31:M38" si="24">F31/V31*60</f>
        <v>2288.1355932203392</v>
      </c>
      <c r="N31" s="59">
        <f t="shared" si="3"/>
        <v>127.11864406779662</v>
      </c>
      <c r="O31" s="61">
        <f t="shared" si="4"/>
        <v>0</v>
      </c>
      <c r="P31" s="62">
        <f t="shared" si="5"/>
        <v>-6.2146892655367196</v>
      </c>
      <c r="Q31" s="377">
        <f t="shared" si="6"/>
        <v>0.95338983050847459</v>
      </c>
      <c r="R31" s="566">
        <f>Q39</f>
        <v>0.95977157669242008</v>
      </c>
      <c r="S31" s="63">
        <v>8.3333333333333329E-2</v>
      </c>
      <c r="T31" s="63">
        <v>0.16527777777777777</v>
      </c>
      <c r="U31" s="376"/>
      <c r="V31" s="387">
        <f t="shared" ref="V31:V38" si="25">(T31-S31)*24*60</f>
        <v>118</v>
      </c>
      <c r="W31" s="64">
        <f>T31</f>
        <v>0.16527777777777777</v>
      </c>
      <c r="X31" s="64">
        <f>S32</f>
        <v>0.18333333333333332</v>
      </c>
      <c r="Y31" s="559"/>
      <c r="Z31" s="559"/>
      <c r="AA31" s="61">
        <f t="shared" si="8"/>
        <v>-111.86440677966084</v>
      </c>
      <c r="AB31" s="377">
        <f t="shared" si="9"/>
        <v>0.9533898305084747</v>
      </c>
      <c r="AC31" s="566">
        <f>AB39</f>
        <v>0.95977157669242008</v>
      </c>
    </row>
    <row r="32" spans="1:29" ht="15.75" customHeight="1">
      <c r="A32" s="587" t="s">
        <v>1770</v>
      </c>
      <c r="B32" s="57" t="s">
        <v>15</v>
      </c>
      <c r="C32" s="584" t="s">
        <v>23</v>
      </c>
      <c r="D32" s="584"/>
      <c r="E32" s="57">
        <v>26.2</v>
      </c>
      <c r="F32" s="388">
        <v>3000</v>
      </c>
      <c r="G32" s="376">
        <f t="shared" si="23"/>
        <v>78600</v>
      </c>
      <c r="H32" s="390">
        <v>2</v>
      </c>
      <c r="I32" s="386">
        <v>20</v>
      </c>
      <c r="J32" s="58">
        <v>2400</v>
      </c>
      <c r="K32" s="59">
        <f t="shared" si="1"/>
        <v>120</v>
      </c>
      <c r="L32" s="386">
        <v>20</v>
      </c>
      <c r="M32" s="60">
        <f t="shared" si="24"/>
        <v>2307.6923076923076</v>
      </c>
      <c r="N32" s="59">
        <f t="shared" si="3"/>
        <v>115.38461538461539</v>
      </c>
      <c r="O32" s="61">
        <f t="shared" si="4"/>
        <v>0</v>
      </c>
      <c r="P32" s="62">
        <f t="shared" si="5"/>
        <v>-4.6153846153846132</v>
      </c>
      <c r="Q32" s="377">
        <f t="shared" si="6"/>
        <v>0.96153846153846156</v>
      </c>
      <c r="R32" s="566"/>
      <c r="S32" s="63">
        <v>0.18333333333333332</v>
      </c>
      <c r="T32" s="63">
        <v>0.23749999999999999</v>
      </c>
      <c r="U32" s="376">
        <f t="shared" ref="U32:U38" si="26">(S32-T31)*24*60</f>
        <v>25.999999999999986</v>
      </c>
      <c r="V32" s="387">
        <f t="shared" si="25"/>
        <v>78</v>
      </c>
      <c r="W32" s="64"/>
      <c r="X32" s="64"/>
      <c r="Y32" s="559"/>
      <c r="Z32" s="559"/>
      <c r="AA32" s="61">
        <f t="shared" si="8"/>
        <v>-92.307692307692378</v>
      </c>
      <c r="AB32" s="377">
        <f t="shared" si="9"/>
        <v>0.96153846153846156</v>
      </c>
      <c r="AC32" s="566"/>
    </row>
    <row r="33" spans="1:29" ht="15.75" customHeight="1">
      <c r="A33" s="587" t="s">
        <v>1770</v>
      </c>
      <c r="B33" s="57" t="s">
        <v>15</v>
      </c>
      <c r="C33" s="584" t="s">
        <v>70</v>
      </c>
      <c r="D33" s="584"/>
      <c r="E33" s="57">
        <v>25.99</v>
      </c>
      <c r="F33" s="388">
        <v>4538</v>
      </c>
      <c r="G33" s="376">
        <f t="shared" si="23"/>
        <v>117942.62</v>
      </c>
      <c r="H33" s="390" t="s">
        <v>5</v>
      </c>
      <c r="I33" s="386">
        <v>14</v>
      </c>
      <c r="J33" s="58">
        <v>2400</v>
      </c>
      <c r="K33" s="59">
        <f t="shared" si="1"/>
        <v>171.42857142857142</v>
      </c>
      <c r="L33" s="386">
        <v>14</v>
      </c>
      <c r="M33" s="60">
        <f t="shared" si="24"/>
        <v>2288.067226890756</v>
      </c>
      <c r="N33" s="59">
        <f t="shared" si="3"/>
        <v>163.43337334933972</v>
      </c>
      <c r="O33" s="61">
        <f t="shared" si="4"/>
        <v>0</v>
      </c>
      <c r="P33" s="62">
        <f t="shared" si="5"/>
        <v>-7.9951980792316988</v>
      </c>
      <c r="Q33" s="377">
        <f t="shared" si="6"/>
        <v>0.95336134453781507</v>
      </c>
      <c r="R33" s="566"/>
      <c r="S33" s="63">
        <v>0.24236111111111111</v>
      </c>
      <c r="T33" s="63">
        <v>0.32500000000000001</v>
      </c>
      <c r="U33" s="376">
        <f t="shared" si="26"/>
        <v>7.0000000000000151</v>
      </c>
      <c r="V33" s="387">
        <f t="shared" si="25"/>
        <v>119.00000000000001</v>
      </c>
      <c r="W33" s="64"/>
      <c r="X33" s="64"/>
      <c r="Y33" s="559"/>
      <c r="Z33" s="559"/>
      <c r="AA33" s="61">
        <f t="shared" si="8"/>
        <v>-111.93277310924395</v>
      </c>
      <c r="AB33" s="377">
        <f t="shared" si="9"/>
        <v>0.95336134453781507</v>
      </c>
      <c r="AC33" s="566"/>
    </row>
    <row r="34" spans="1:29" ht="15.75" customHeight="1">
      <c r="A34" s="587" t="s">
        <v>1770</v>
      </c>
      <c r="B34" s="57" t="s">
        <v>15</v>
      </c>
      <c r="C34" s="584" t="s">
        <v>45</v>
      </c>
      <c r="D34" s="584"/>
      <c r="E34" s="57">
        <v>20.52</v>
      </c>
      <c r="F34" s="388">
        <v>4278</v>
      </c>
      <c r="G34" s="376">
        <f t="shared" si="23"/>
        <v>87784.56</v>
      </c>
      <c r="H34" s="390" t="s">
        <v>5</v>
      </c>
      <c r="I34" s="386">
        <v>18</v>
      </c>
      <c r="J34" s="58">
        <v>2400</v>
      </c>
      <c r="K34" s="59">
        <f t="shared" si="1"/>
        <v>133.33333333333334</v>
      </c>
      <c r="L34" s="386">
        <v>18</v>
      </c>
      <c r="M34" s="60">
        <f t="shared" si="24"/>
        <v>2291.7857142857142</v>
      </c>
      <c r="N34" s="59">
        <f t="shared" si="3"/>
        <v>127.32142857142857</v>
      </c>
      <c r="O34" s="61">
        <f t="shared" si="4"/>
        <v>0</v>
      </c>
      <c r="P34" s="62">
        <f t="shared" si="5"/>
        <v>-6.0119047619047734</v>
      </c>
      <c r="Q34" s="377">
        <f t="shared" si="6"/>
        <v>0.95491071428571417</v>
      </c>
      <c r="R34" s="566"/>
      <c r="S34" s="63">
        <v>0.32847222222222222</v>
      </c>
      <c r="T34" s="63">
        <v>0.40625</v>
      </c>
      <c r="U34" s="376">
        <f t="shared" si="26"/>
        <v>4.9999999999999822</v>
      </c>
      <c r="V34" s="387">
        <f t="shared" si="25"/>
        <v>112</v>
      </c>
      <c r="W34" s="64"/>
      <c r="X34" s="64"/>
      <c r="Y34" s="559"/>
      <c r="Z34" s="559"/>
      <c r="AA34" s="61">
        <f t="shared" si="8"/>
        <v>-108.21428571428578</v>
      </c>
      <c r="AB34" s="377">
        <f t="shared" si="9"/>
        <v>0.95491071428571428</v>
      </c>
      <c r="AC34" s="566"/>
    </row>
    <row r="35" spans="1:29" ht="15.75" customHeight="1">
      <c r="A35" s="587" t="s">
        <v>1770</v>
      </c>
      <c r="B35" s="57" t="s">
        <v>15</v>
      </c>
      <c r="C35" s="584" t="s">
        <v>98</v>
      </c>
      <c r="D35" s="584"/>
      <c r="E35" s="57">
        <v>25.98</v>
      </c>
      <c r="F35" s="388">
        <v>3945</v>
      </c>
      <c r="G35" s="376">
        <f t="shared" si="23"/>
        <v>102491.1</v>
      </c>
      <c r="H35" s="390" t="s">
        <v>5</v>
      </c>
      <c r="I35" s="386">
        <v>21</v>
      </c>
      <c r="J35" s="58">
        <v>2400</v>
      </c>
      <c r="K35" s="59">
        <f t="shared" si="1"/>
        <v>114.28571428571429</v>
      </c>
      <c r="L35" s="386">
        <v>21</v>
      </c>
      <c r="M35" s="60">
        <f t="shared" si="24"/>
        <v>2298.0582524271854</v>
      </c>
      <c r="N35" s="59">
        <f t="shared" si="3"/>
        <v>109.4313453536755</v>
      </c>
      <c r="O35" s="61">
        <f t="shared" si="4"/>
        <v>0</v>
      </c>
      <c r="P35" s="62">
        <f t="shared" si="5"/>
        <v>-4.8543689320387955</v>
      </c>
      <c r="Q35" s="377">
        <f t="shared" si="6"/>
        <v>0.95752427184466049</v>
      </c>
      <c r="R35" s="566"/>
      <c r="S35" s="63">
        <v>0.40972222222222221</v>
      </c>
      <c r="T35" s="63">
        <v>0.48124999999999996</v>
      </c>
      <c r="U35" s="376">
        <f t="shared" si="26"/>
        <v>4.9999999999999822</v>
      </c>
      <c r="V35" s="387">
        <f t="shared" si="25"/>
        <v>102.99999999999996</v>
      </c>
      <c r="W35" s="64"/>
      <c r="X35" s="64"/>
      <c r="Y35" s="559"/>
      <c r="Z35" s="559"/>
      <c r="AA35" s="61">
        <f t="shared" si="8"/>
        <v>-101.94174757281462</v>
      </c>
      <c r="AB35" s="377">
        <f t="shared" si="9"/>
        <v>0.9575242718446606</v>
      </c>
      <c r="AC35" s="566"/>
    </row>
    <row r="36" spans="1:29" ht="15.75" customHeight="1">
      <c r="A36" s="587" t="s">
        <v>1770</v>
      </c>
      <c r="B36" s="57" t="s">
        <v>15</v>
      </c>
      <c r="C36" s="584" t="s">
        <v>100</v>
      </c>
      <c r="D36" s="584"/>
      <c r="E36" s="57">
        <v>28.51</v>
      </c>
      <c r="F36" s="388">
        <v>938</v>
      </c>
      <c r="G36" s="376">
        <f t="shared" si="23"/>
        <v>26742.38</v>
      </c>
      <c r="H36" s="390" t="s">
        <v>5</v>
      </c>
      <c r="I36" s="386">
        <v>16</v>
      </c>
      <c r="J36" s="58">
        <v>2400</v>
      </c>
      <c r="K36" s="59">
        <f t="shared" si="1"/>
        <v>150</v>
      </c>
      <c r="L36" s="386">
        <v>16</v>
      </c>
      <c r="M36" s="60">
        <f t="shared" si="24"/>
        <v>2344.9999999999927</v>
      </c>
      <c r="N36" s="59">
        <f t="shared" si="3"/>
        <v>146.56249999999955</v>
      </c>
      <c r="O36" s="61">
        <f t="shared" si="4"/>
        <v>0</v>
      </c>
      <c r="P36" s="62">
        <f t="shared" si="5"/>
        <v>-3.4375000000004547</v>
      </c>
      <c r="Q36" s="377">
        <f t="shared" si="6"/>
        <v>0.97708333333333031</v>
      </c>
      <c r="R36" s="566"/>
      <c r="S36" s="63">
        <v>0.48611111111111105</v>
      </c>
      <c r="T36" s="63">
        <v>0.50277777777777777</v>
      </c>
      <c r="U36" s="376">
        <f t="shared" si="26"/>
        <v>6.9999999999999751</v>
      </c>
      <c r="V36" s="387">
        <f t="shared" si="25"/>
        <v>24.000000000000075</v>
      </c>
      <c r="W36" s="64">
        <f>T36</f>
        <v>0.50277777777777777</v>
      </c>
      <c r="X36" s="64">
        <f>S37</f>
        <v>0.54305555555555551</v>
      </c>
      <c r="Y36" s="559"/>
      <c r="Z36" s="559"/>
      <c r="AA36" s="61">
        <f t="shared" si="8"/>
        <v>-55.000000000007276</v>
      </c>
      <c r="AB36" s="377">
        <f t="shared" si="9"/>
        <v>0.97708333333333031</v>
      </c>
      <c r="AC36" s="566"/>
    </row>
    <row r="37" spans="1:29" ht="15.75" customHeight="1">
      <c r="A37" s="587" t="s">
        <v>1771</v>
      </c>
      <c r="B37" s="57" t="s">
        <v>15</v>
      </c>
      <c r="C37" s="584" t="s">
        <v>26</v>
      </c>
      <c r="D37" s="584"/>
      <c r="E37" s="57">
        <v>31.29</v>
      </c>
      <c r="F37" s="388">
        <v>4936</v>
      </c>
      <c r="G37" s="376">
        <f t="shared" si="23"/>
        <v>154447.44</v>
      </c>
      <c r="H37" s="390" t="s">
        <v>5</v>
      </c>
      <c r="I37" s="386">
        <v>18</v>
      </c>
      <c r="J37" s="58">
        <v>2400</v>
      </c>
      <c r="K37" s="59">
        <f t="shared" si="1"/>
        <v>133.33333333333334</v>
      </c>
      <c r="L37" s="386">
        <v>18</v>
      </c>
      <c r="M37" s="60">
        <f t="shared" si="24"/>
        <v>2295.8139534883717</v>
      </c>
      <c r="N37" s="59">
        <f t="shared" si="3"/>
        <v>127.54521963824287</v>
      </c>
      <c r="O37" s="61">
        <f t="shared" si="4"/>
        <v>0</v>
      </c>
      <c r="P37" s="62">
        <f t="shared" si="5"/>
        <v>-5.7881136950904732</v>
      </c>
      <c r="Q37" s="377">
        <f t="shared" si="6"/>
        <v>0.95658914728682143</v>
      </c>
      <c r="R37" s="566"/>
      <c r="S37" s="63">
        <v>0.54305555555555551</v>
      </c>
      <c r="T37" s="63">
        <v>0.63263888888888886</v>
      </c>
      <c r="U37" s="376">
        <f t="shared" si="26"/>
        <v>57.999999999999957</v>
      </c>
      <c r="V37" s="387">
        <f t="shared" si="25"/>
        <v>129.00000000000003</v>
      </c>
      <c r="W37" s="64"/>
      <c r="X37" s="64"/>
      <c r="Y37" s="559"/>
      <c r="Z37" s="559"/>
      <c r="AA37" s="61">
        <f t="shared" si="8"/>
        <v>-104.18604651162832</v>
      </c>
      <c r="AB37" s="377">
        <f t="shared" si="9"/>
        <v>0.95658914728682154</v>
      </c>
      <c r="AC37" s="566"/>
    </row>
    <row r="38" spans="1:29" ht="15.75" customHeight="1">
      <c r="A38" s="587" t="s">
        <v>87</v>
      </c>
      <c r="B38" s="57" t="s">
        <v>15</v>
      </c>
      <c r="C38" s="584" t="s">
        <v>23</v>
      </c>
      <c r="D38" s="584"/>
      <c r="E38" s="57">
        <v>26.2</v>
      </c>
      <c r="F38" s="388">
        <v>1889</v>
      </c>
      <c r="G38" s="376">
        <f t="shared" si="23"/>
        <v>49491.799999999996</v>
      </c>
      <c r="H38" s="390" t="s">
        <v>5</v>
      </c>
      <c r="I38" s="386">
        <v>20</v>
      </c>
      <c r="J38" s="58">
        <v>2400</v>
      </c>
      <c r="K38" s="59">
        <f t="shared" si="1"/>
        <v>120</v>
      </c>
      <c r="L38" s="386">
        <v>20</v>
      </c>
      <c r="M38" s="60">
        <f t="shared" si="24"/>
        <v>2313.0612244897966</v>
      </c>
      <c r="N38" s="59">
        <f t="shared" si="3"/>
        <v>115.65306122448983</v>
      </c>
      <c r="O38" s="61">
        <f t="shared" si="4"/>
        <v>0</v>
      </c>
      <c r="P38" s="62">
        <f t="shared" si="5"/>
        <v>-4.3469387755101678</v>
      </c>
      <c r="Q38" s="377">
        <f t="shared" si="6"/>
        <v>0.96377551020408192</v>
      </c>
      <c r="R38" s="566"/>
      <c r="S38" s="63">
        <v>0.63680555555555551</v>
      </c>
      <c r="T38" s="63">
        <v>0.67083333333333328</v>
      </c>
      <c r="U38" s="376">
        <f t="shared" si="26"/>
        <v>5.9999999999999787</v>
      </c>
      <c r="V38" s="387">
        <f t="shared" si="25"/>
        <v>48.999999999999986</v>
      </c>
      <c r="W38" s="64"/>
      <c r="X38" s="64"/>
      <c r="Y38" s="559"/>
      <c r="Z38" s="559"/>
      <c r="AA38" s="61">
        <f t="shared" si="8"/>
        <v>-86.938775510203413</v>
      </c>
      <c r="AB38" s="377">
        <f t="shared" si="9"/>
        <v>0.96377551020408192</v>
      </c>
      <c r="AC38" s="566"/>
    </row>
    <row r="39" spans="1:29" ht="15.75" customHeight="1">
      <c r="A39" s="587" t="s">
        <v>1771</v>
      </c>
      <c r="B39" s="57" t="s">
        <v>1772</v>
      </c>
      <c r="C39" s="571"/>
      <c r="D39" s="571"/>
      <c r="E39" s="378"/>
      <c r="F39" s="388"/>
      <c r="G39" s="376"/>
      <c r="H39" s="388"/>
      <c r="I39" s="67">
        <v>18.125</v>
      </c>
      <c r="J39" s="58">
        <v>2400</v>
      </c>
      <c r="K39" s="59">
        <f t="shared" si="1"/>
        <v>132.41379310344828</v>
      </c>
      <c r="L39" s="67">
        <v>18.125</v>
      </c>
      <c r="M39" s="60">
        <f>AVERAGE(M31:M38)</f>
        <v>2303.4517840618082</v>
      </c>
      <c r="N39" s="59">
        <f t="shared" si="3"/>
        <v>127.08699498272046</v>
      </c>
      <c r="O39" s="61">
        <f t="shared" si="4"/>
        <v>0</v>
      </c>
      <c r="P39" s="62">
        <f t="shared" si="5"/>
        <v>-5.3267981207278297</v>
      </c>
      <c r="Q39" s="377">
        <f t="shared" si="6"/>
        <v>0.95977157669242008</v>
      </c>
      <c r="R39" s="566"/>
      <c r="S39" s="63"/>
      <c r="T39" s="63"/>
      <c r="U39" s="376"/>
      <c r="V39" s="387"/>
      <c r="W39" s="376"/>
      <c r="X39" s="376"/>
      <c r="Y39" s="559"/>
      <c r="Z39" s="559"/>
      <c r="AA39" s="61">
        <f t="shared" si="8"/>
        <v>-96.548215938191788</v>
      </c>
      <c r="AB39" s="377">
        <f t="shared" si="9"/>
        <v>0.95977157669242008</v>
      </c>
      <c r="AC39" s="566"/>
    </row>
    <row r="40" spans="1:29" ht="15.75" customHeight="1">
      <c r="A40" s="582" t="s">
        <v>544</v>
      </c>
      <c r="B40" s="57" t="s">
        <v>15</v>
      </c>
      <c r="C40" s="560" t="s">
        <v>101</v>
      </c>
      <c r="D40" s="560"/>
      <c r="E40" s="57">
        <v>22.69</v>
      </c>
      <c r="F40" s="388">
        <v>1612</v>
      </c>
      <c r="G40" s="376">
        <f t="shared" ref="G40:G45" si="27">E40*F40</f>
        <v>36576.28</v>
      </c>
      <c r="H40" s="390" t="s">
        <v>5</v>
      </c>
      <c r="I40" s="386">
        <v>15</v>
      </c>
      <c r="J40" s="58">
        <v>2400</v>
      </c>
      <c r="K40" s="59">
        <f t="shared" si="1"/>
        <v>160</v>
      </c>
      <c r="L40" s="386">
        <v>15</v>
      </c>
      <c r="M40" s="60">
        <f t="shared" ref="M40:M45" si="28">F40/V40*60</f>
        <v>2302.8571428571431</v>
      </c>
      <c r="N40" s="59">
        <f t="shared" si="3"/>
        <v>153.52380952380955</v>
      </c>
      <c r="O40" s="61">
        <f t="shared" si="4"/>
        <v>0</v>
      </c>
      <c r="P40" s="62">
        <f t="shared" si="5"/>
        <v>-6.4761904761904532</v>
      </c>
      <c r="Q40" s="377">
        <f t="shared" si="6"/>
        <v>0.95952380952380967</v>
      </c>
      <c r="R40" s="566">
        <f>Q46</f>
        <v>0.95848407818235426</v>
      </c>
      <c r="S40" s="63">
        <v>8.3333333333333329E-2</v>
      </c>
      <c r="T40" s="63">
        <v>0.11249999999999999</v>
      </c>
      <c r="U40" s="376"/>
      <c r="V40" s="387">
        <f t="shared" ref="V40:V45" si="29">(T40-S40)*24*60</f>
        <v>41.999999999999993</v>
      </c>
      <c r="W40" s="68">
        <f>T40</f>
        <v>0.11249999999999999</v>
      </c>
      <c r="X40" s="68">
        <f>S41</f>
        <v>0.13124999999999998</v>
      </c>
      <c r="Y40" s="559"/>
      <c r="Z40" s="559"/>
      <c r="AA40" s="61">
        <f t="shared" si="8"/>
        <v>-97.142857142856883</v>
      </c>
      <c r="AB40" s="377">
        <f t="shared" si="9"/>
        <v>0.95952380952380967</v>
      </c>
      <c r="AC40" s="566">
        <f>AB46</f>
        <v>0.95848407818235404</v>
      </c>
    </row>
    <row r="41" spans="1:29" ht="15.75" customHeight="1">
      <c r="A41" s="582" t="s">
        <v>1773</v>
      </c>
      <c r="B41" s="57" t="s">
        <v>15</v>
      </c>
      <c r="C41" s="560" t="s">
        <v>27</v>
      </c>
      <c r="D41" s="560"/>
      <c r="E41" s="57">
        <v>26.2</v>
      </c>
      <c r="F41" s="388">
        <v>6279</v>
      </c>
      <c r="G41" s="376">
        <f t="shared" si="27"/>
        <v>164509.79999999999</v>
      </c>
      <c r="H41" s="390" t="s">
        <v>5</v>
      </c>
      <c r="I41" s="386">
        <v>18</v>
      </c>
      <c r="J41" s="58">
        <v>2400</v>
      </c>
      <c r="K41" s="59">
        <f t="shared" si="1"/>
        <v>133.33333333333334</v>
      </c>
      <c r="L41" s="386">
        <v>18</v>
      </c>
      <c r="M41" s="60">
        <f t="shared" si="28"/>
        <v>2283.2727272727279</v>
      </c>
      <c r="N41" s="59">
        <f t="shared" si="3"/>
        <v>126.84848484848489</v>
      </c>
      <c r="O41" s="61">
        <f t="shared" si="4"/>
        <v>0</v>
      </c>
      <c r="P41" s="62">
        <f t="shared" si="5"/>
        <v>-6.484848484848456</v>
      </c>
      <c r="Q41" s="377">
        <f t="shared" si="6"/>
        <v>0.95136363636363663</v>
      </c>
      <c r="R41" s="566"/>
      <c r="S41" s="63">
        <v>0.13124999999999998</v>
      </c>
      <c r="T41" s="63">
        <v>0.24583333333333329</v>
      </c>
      <c r="U41" s="376">
        <f t="shared" ref="U41:U45" si="30">(S41-T40)*24*60</f>
        <v>26.999999999999986</v>
      </c>
      <c r="V41" s="387">
        <f t="shared" si="29"/>
        <v>164.99999999999997</v>
      </c>
      <c r="W41" s="376"/>
      <c r="X41" s="376"/>
      <c r="Y41" s="559"/>
      <c r="Z41" s="559"/>
      <c r="AA41" s="61">
        <f t="shared" si="8"/>
        <v>-116.72727272727207</v>
      </c>
      <c r="AB41" s="377">
        <f t="shared" si="9"/>
        <v>0.95136363636363663</v>
      </c>
      <c r="AC41" s="566"/>
    </row>
    <row r="42" spans="1:29">
      <c r="A42" s="583" t="s">
        <v>1774</v>
      </c>
      <c r="B42" s="57" t="s">
        <v>15</v>
      </c>
      <c r="C42" s="560" t="s">
        <v>25</v>
      </c>
      <c r="D42" s="560"/>
      <c r="E42" s="57">
        <v>26.18</v>
      </c>
      <c r="F42" s="388">
        <v>2510</v>
      </c>
      <c r="G42" s="376">
        <f t="shared" si="27"/>
        <v>65711.8</v>
      </c>
      <c r="H42" s="390" t="s">
        <v>5</v>
      </c>
      <c r="I42" s="386">
        <v>19</v>
      </c>
      <c r="J42" s="58">
        <v>2400</v>
      </c>
      <c r="K42" s="59">
        <f t="shared" si="1"/>
        <v>126.31578947368421</v>
      </c>
      <c r="L42" s="386">
        <v>19</v>
      </c>
      <c r="M42" s="60">
        <f t="shared" si="28"/>
        <v>2316.9230769230762</v>
      </c>
      <c r="N42" s="59">
        <f t="shared" si="3"/>
        <v>121.94331983805664</v>
      </c>
      <c r="O42" s="61">
        <f t="shared" si="4"/>
        <v>0</v>
      </c>
      <c r="P42" s="62">
        <f t="shared" si="5"/>
        <v>-4.3724696356275672</v>
      </c>
      <c r="Q42" s="377">
        <f t="shared" si="6"/>
        <v>0.96538461538461506</v>
      </c>
      <c r="R42" s="566"/>
      <c r="S42" s="63">
        <v>0.25069444444444439</v>
      </c>
      <c r="T42" s="63">
        <v>0.29583333333333328</v>
      </c>
      <c r="U42" s="376">
        <f t="shared" si="30"/>
        <v>6.9999999999999751</v>
      </c>
      <c r="V42" s="387">
        <f t="shared" si="29"/>
        <v>65.000000000000014</v>
      </c>
      <c r="W42" s="376"/>
      <c r="X42" s="376"/>
      <c r="Y42" s="559"/>
      <c r="Z42" s="559"/>
      <c r="AA42" s="61">
        <f t="shared" si="8"/>
        <v>-83.076923076923777</v>
      </c>
      <c r="AB42" s="377">
        <f t="shared" si="9"/>
        <v>0.96538461538461506</v>
      </c>
      <c r="AC42" s="566"/>
    </row>
    <row r="43" spans="1:29">
      <c r="A43" s="583" t="s">
        <v>1773</v>
      </c>
      <c r="B43" s="57" t="s">
        <v>15</v>
      </c>
      <c r="C43" s="560" t="s">
        <v>28</v>
      </c>
      <c r="D43" s="560"/>
      <c r="E43" s="57">
        <v>26.39</v>
      </c>
      <c r="F43" s="388">
        <v>6164</v>
      </c>
      <c r="G43" s="376">
        <f t="shared" si="27"/>
        <v>162667.96</v>
      </c>
      <c r="H43" s="390" t="s">
        <v>5</v>
      </c>
      <c r="I43" s="386">
        <v>19</v>
      </c>
      <c r="J43" s="58">
        <v>2400</v>
      </c>
      <c r="K43" s="59">
        <f t="shared" si="1"/>
        <v>126.31578947368421</v>
      </c>
      <c r="L43" s="386">
        <v>19</v>
      </c>
      <c r="M43" s="60">
        <f t="shared" si="28"/>
        <v>2297.1428571428569</v>
      </c>
      <c r="N43" s="59">
        <f t="shared" si="3"/>
        <v>120.90225563909773</v>
      </c>
      <c r="O43" s="61">
        <f t="shared" si="4"/>
        <v>0</v>
      </c>
      <c r="P43" s="62">
        <f t="shared" si="5"/>
        <v>-5.4135338345864739</v>
      </c>
      <c r="Q43" s="377">
        <f t="shared" si="6"/>
        <v>0.95714285714285707</v>
      </c>
      <c r="R43" s="566"/>
      <c r="S43" s="63">
        <v>0.30069444444444438</v>
      </c>
      <c r="T43" s="63">
        <v>0.41249999999999992</v>
      </c>
      <c r="U43" s="376">
        <f t="shared" si="30"/>
        <v>6.9999999999999751</v>
      </c>
      <c r="V43" s="387">
        <f t="shared" si="29"/>
        <v>161</v>
      </c>
      <c r="W43" s="64"/>
      <c r="X43" s="64"/>
      <c r="Y43" s="559"/>
      <c r="Z43" s="559"/>
      <c r="AA43" s="61">
        <f t="shared" si="8"/>
        <v>-102.85714285714312</v>
      </c>
      <c r="AB43" s="377">
        <f t="shared" si="9"/>
        <v>0.95714285714285707</v>
      </c>
      <c r="AC43" s="566"/>
    </row>
    <row r="44" spans="1:29">
      <c r="A44" s="583" t="s">
        <v>1774</v>
      </c>
      <c r="B44" s="57" t="s">
        <v>15</v>
      </c>
      <c r="C44" s="560" t="s">
        <v>658</v>
      </c>
      <c r="D44" s="560"/>
      <c r="E44" s="57">
        <v>22.69</v>
      </c>
      <c r="F44" s="388">
        <v>3326</v>
      </c>
      <c r="G44" s="376">
        <f t="shared" si="27"/>
        <v>75466.94</v>
      </c>
      <c r="H44" s="390" t="s">
        <v>5</v>
      </c>
      <c r="I44" s="386">
        <v>15</v>
      </c>
      <c r="J44" s="58">
        <v>2400</v>
      </c>
      <c r="K44" s="59">
        <f t="shared" si="1"/>
        <v>160</v>
      </c>
      <c r="L44" s="386">
        <v>15</v>
      </c>
      <c r="M44" s="60">
        <f t="shared" si="28"/>
        <v>2293.7931034482754</v>
      </c>
      <c r="N44" s="59">
        <f t="shared" si="3"/>
        <v>152.91954022988503</v>
      </c>
      <c r="O44" s="61">
        <f t="shared" si="4"/>
        <v>0</v>
      </c>
      <c r="P44" s="62">
        <f t="shared" si="5"/>
        <v>-7.0804597701149703</v>
      </c>
      <c r="Q44" s="377">
        <f t="shared" si="6"/>
        <v>0.95574712643678139</v>
      </c>
      <c r="R44" s="566"/>
      <c r="S44" s="63">
        <v>0.41736111111111102</v>
      </c>
      <c r="T44" s="63">
        <v>0.47777777777777769</v>
      </c>
      <c r="U44" s="376">
        <f t="shared" si="30"/>
        <v>6.9999999999999751</v>
      </c>
      <c r="V44" s="387">
        <f t="shared" si="29"/>
        <v>87.000000000000014</v>
      </c>
      <c r="W44" s="64"/>
      <c r="X44" s="64"/>
      <c r="Y44" s="559"/>
      <c r="Z44" s="559"/>
      <c r="AA44" s="61">
        <f t="shared" si="8"/>
        <v>-106.20689655172464</v>
      </c>
      <c r="AB44" s="377">
        <f t="shared" si="9"/>
        <v>0.95574712643678139</v>
      </c>
      <c r="AC44" s="566"/>
    </row>
    <row r="45" spans="1:29">
      <c r="A45" s="583" t="s">
        <v>1773</v>
      </c>
      <c r="B45" s="57" t="s">
        <v>15</v>
      </c>
      <c r="C45" s="560" t="s">
        <v>16</v>
      </c>
      <c r="D45" s="560"/>
      <c r="E45" s="57">
        <v>24.45</v>
      </c>
      <c r="F45" s="388">
        <v>2539</v>
      </c>
      <c r="G45" s="376">
        <f t="shared" si="27"/>
        <v>62078.549999999996</v>
      </c>
      <c r="H45" s="390" t="s">
        <v>5</v>
      </c>
      <c r="I45" s="386">
        <v>20</v>
      </c>
      <c r="J45" s="58">
        <v>2400</v>
      </c>
      <c r="K45" s="59">
        <f t="shared" si="1"/>
        <v>120</v>
      </c>
      <c r="L45" s="386">
        <v>20</v>
      </c>
      <c r="M45" s="60">
        <f t="shared" si="28"/>
        <v>2308.181818181818</v>
      </c>
      <c r="N45" s="59">
        <f t="shared" si="3"/>
        <v>115.40909090909091</v>
      </c>
      <c r="O45" s="61">
        <f t="shared" si="4"/>
        <v>0</v>
      </c>
      <c r="P45" s="62">
        <f t="shared" si="5"/>
        <v>-4.5909090909090935</v>
      </c>
      <c r="Q45" s="377">
        <f t="shared" si="6"/>
        <v>0.96174242424242418</v>
      </c>
      <c r="R45" s="566"/>
      <c r="S45" s="63">
        <v>0.48263888888888878</v>
      </c>
      <c r="T45" s="63">
        <v>0.52847222222222212</v>
      </c>
      <c r="U45" s="376">
        <f t="shared" si="30"/>
        <v>6.9999999999999751</v>
      </c>
      <c r="V45" s="387">
        <f t="shared" si="29"/>
        <v>66</v>
      </c>
      <c r="W45" s="64"/>
      <c r="X45" s="64"/>
      <c r="Y45" s="559"/>
      <c r="Z45" s="559"/>
      <c r="AA45" s="61">
        <f t="shared" si="8"/>
        <v>-91.818181818181984</v>
      </c>
      <c r="AB45" s="377">
        <f t="shared" si="9"/>
        <v>0.96174242424242418</v>
      </c>
      <c r="AC45" s="566"/>
    </row>
    <row r="46" spans="1:29">
      <c r="A46" s="583" t="s">
        <v>1774</v>
      </c>
      <c r="B46" s="66" t="s">
        <v>1763</v>
      </c>
      <c r="C46" s="571"/>
      <c r="D46" s="571"/>
      <c r="E46" s="378"/>
      <c r="F46" s="66"/>
      <c r="G46" s="59"/>
      <c r="H46" s="388"/>
      <c r="I46" s="67">
        <v>17.666666666666668</v>
      </c>
      <c r="J46" s="58">
        <v>2400</v>
      </c>
      <c r="K46" s="59">
        <f t="shared" si="1"/>
        <v>135.84905660377356</v>
      </c>
      <c r="L46" s="67">
        <v>17.666666666666668</v>
      </c>
      <c r="M46" s="60">
        <f>AVERAGE(M40:M45)</f>
        <v>2300.3617876376497</v>
      </c>
      <c r="N46" s="59">
        <f t="shared" si="3"/>
        <v>130.20915779081037</v>
      </c>
      <c r="O46" s="61">
        <f t="shared" si="4"/>
        <v>0</v>
      </c>
      <c r="P46" s="62">
        <f t="shared" si="5"/>
        <v>-5.639898812963196</v>
      </c>
      <c r="Q46" s="377">
        <f t="shared" si="6"/>
        <v>0.95848407818235426</v>
      </c>
      <c r="R46" s="566"/>
      <c r="S46" s="63"/>
      <c r="T46" s="63"/>
      <c r="U46" s="59"/>
      <c r="V46" s="387"/>
      <c r="W46" s="59"/>
      <c r="X46" s="59"/>
      <c r="Y46" s="559"/>
      <c r="Z46" s="559"/>
      <c r="AA46" s="61">
        <f t="shared" si="8"/>
        <v>-99.638212362350259</v>
      </c>
      <c r="AB46" s="377">
        <f t="shared" si="9"/>
        <v>0.95848407818235404</v>
      </c>
      <c r="AC46" s="566"/>
    </row>
    <row r="47" spans="1:29" ht="15.75" customHeight="1">
      <c r="A47" s="576" t="s">
        <v>1775</v>
      </c>
      <c r="B47" s="57" t="s">
        <v>31</v>
      </c>
      <c r="C47" s="567" t="s">
        <v>32</v>
      </c>
      <c r="D47" s="568"/>
      <c r="E47" s="57">
        <v>21.13</v>
      </c>
      <c r="F47" s="388">
        <v>4899</v>
      </c>
      <c r="G47" s="376">
        <f t="shared" ref="G47:G54" si="31">E47*F47</f>
        <v>103515.87</v>
      </c>
      <c r="H47" s="390" t="s">
        <v>5</v>
      </c>
      <c r="I47" s="386">
        <v>10</v>
      </c>
      <c r="J47" s="58">
        <v>3000</v>
      </c>
      <c r="K47" s="59">
        <f t="shared" si="1"/>
        <v>300</v>
      </c>
      <c r="L47" s="386">
        <v>10</v>
      </c>
      <c r="M47" s="60">
        <f t="shared" ref="M47:M54" si="32">F47/V47*60</f>
        <v>2881.7647058823527</v>
      </c>
      <c r="N47" s="60">
        <f t="shared" si="3"/>
        <v>288.17647058823525</v>
      </c>
      <c r="O47" s="61">
        <f t="shared" si="4"/>
        <v>0</v>
      </c>
      <c r="P47" s="62">
        <f t="shared" si="5"/>
        <v>-11.823529411764753</v>
      </c>
      <c r="Q47" s="377">
        <f t="shared" si="6"/>
        <v>0.96058823529411752</v>
      </c>
      <c r="R47" s="579">
        <f>Q55</f>
        <v>0.95719626948873704</v>
      </c>
      <c r="S47" s="63">
        <v>8.3333333333333329E-2</v>
      </c>
      <c r="T47" s="63">
        <v>0.15416666666666667</v>
      </c>
      <c r="U47" s="68"/>
      <c r="V47" s="387">
        <f t="shared" ref="V47:V54" si="33">(T47-S47)*24*60</f>
        <v>102.00000000000001</v>
      </c>
      <c r="W47" s="64">
        <f>T47</f>
        <v>0.15416666666666667</v>
      </c>
      <c r="X47" s="64">
        <f>S48</f>
        <v>0.1736111111111111</v>
      </c>
      <c r="Y47" s="569"/>
      <c r="Z47" s="570"/>
      <c r="AA47" s="61">
        <f t="shared" si="8"/>
        <v>-118.2352941176473</v>
      </c>
      <c r="AB47" s="377">
        <f t="shared" si="9"/>
        <v>0.96058823529411752</v>
      </c>
      <c r="AC47" s="579">
        <f>AB55</f>
        <v>0.95719626948873704</v>
      </c>
    </row>
    <row r="48" spans="1:29" ht="15.75" customHeight="1">
      <c r="A48" s="577" t="s">
        <v>1776</v>
      </c>
      <c r="B48" s="57" t="s">
        <v>31</v>
      </c>
      <c r="C48" s="567" t="s">
        <v>33</v>
      </c>
      <c r="D48" s="568"/>
      <c r="E48" s="57">
        <v>27.17</v>
      </c>
      <c r="F48" s="388">
        <v>6348</v>
      </c>
      <c r="G48" s="376">
        <f t="shared" si="31"/>
        <v>172475.16</v>
      </c>
      <c r="H48" s="390" t="s">
        <v>5</v>
      </c>
      <c r="I48" s="386">
        <v>10</v>
      </c>
      <c r="J48" s="58">
        <v>3000</v>
      </c>
      <c r="K48" s="59">
        <f t="shared" si="1"/>
        <v>300</v>
      </c>
      <c r="L48" s="386">
        <v>10</v>
      </c>
      <c r="M48" s="60">
        <f t="shared" si="32"/>
        <v>2863.7593984962409</v>
      </c>
      <c r="N48" s="60">
        <f t="shared" si="3"/>
        <v>286.3759398496241</v>
      </c>
      <c r="O48" s="61">
        <f t="shared" si="4"/>
        <v>0</v>
      </c>
      <c r="P48" s="62">
        <f t="shared" si="5"/>
        <v>-13.624060150375897</v>
      </c>
      <c r="Q48" s="377">
        <f t="shared" si="6"/>
        <v>0.95458646616541365</v>
      </c>
      <c r="R48" s="580"/>
      <c r="S48" s="63">
        <v>0.1736111111111111</v>
      </c>
      <c r="T48" s="63">
        <v>0.26597222222222222</v>
      </c>
      <c r="U48" s="376">
        <f t="shared" ref="U48:U54" si="34">(S48-T47)*24*60</f>
        <v>27.999999999999979</v>
      </c>
      <c r="V48" s="387">
        <f t="shared" si="33"/>
        <v>133</v>
      </c>
      <c r="W48" s="64"/>
      <c r="X48" s="64"/>
      <c r="Y48" s="569"/>
      <c r="Z48" s="570"/>
      <c r="AA48" s="61">
        <f t="shared" si="8"/>
        <v>-136.24060150375908</v>
      </c>
      <c r="AB48" s="377">
        <f t="shared" si="9"/>
        <v>0.95458646616541365</v>
      </c>
      <c r="AC48" s="580"/>
    </row>
    <row r="49" spans="1:29" ht="15.75" customHeight="1">
      <c r="A49" s="577" t="s">
        <v>1777</v>
      </c>
      <c r="B49" s="57" t="s">
        <v>31</v>
      </c>
      <c r="C49" s="567" t="s">
        <v>36</v>
      </c>
      <c r="D49" s="568"/>
      <c r="E49" s="57">
        <v>36.14</v>
      </c>
      <c r="F49" s="388">
        <v>1105</v>
      </c>
      <c r="G49" s="376">
        <f t="shared" si="31"/>
        <v>39934.699999999997</v>
      </c>
      <c r="H49" s="390" t="s">
        <v>5</v>
      </c>
      <c r="I49" s="386">
        <v>9</v>
      </c>
      <c r="J49" s="58">
        <v>3000</v>
      </c>
      <c r="K49" s="59">
        <f t="shared" si="1"/>
        <v>333.33333333333331</v>
      </c>
      <c r="L49" s="386">
        <v>9</v>
      </c>
      <c r="M49" s="60">
        <f t="shared" si="32"/>
        <v>2882.608695652174</v>
      </c>
      <c r="N49" s="60">
        <f t="shared" si="3"/>
        <v>320.28985507246375</v>
      </c>
      <c r="O49" s="61">
        <f t="shared" si="4"/>
        <v>0</v>
      </c>
      <c r="P49" s="62">
        <f t="shared" si="5"/>
        <v>-13.043478260869563</v>
      </c>
      <c r="Q49" s="377">
        <f t="shared" si="6"/>
        <v>0.96086956521739131</v>
      </c>
      <c r="R49" s="580"/>
      <c r="S49" s="63">
        <v>0.27013888888888887</v>
      </c>
      <c r="T49" s="63">
        <v>0.28611111111111109</v>
      </c>
      <c r="U49" s="376">
        <f t="shared" si="34"/>
        <v>5.9999999999999787</v>
      </c>
      <c r="V49" s="387">
        <f t="shared" si="33"/>
        <v>23</v>
      </c>
      <c r="W49" s="64"/>
      <c r="X49" s="64"/>
      <c r="Y49" s="569"/>
      <c r="Z49" s="570"/>
      <c r="AA49" s="61">
        <f t="shared" si="8"/>
        <v>-117.39130434782601</v>
      </c>
      <c r="AB49" s="377">
        <f t="shared" si="9"/>
        <v>0.96086956521739131</v>
      </c>
      <c r="AC49" s="580"/>
    </row>
    <row r="50" spans="1:29" ht="15.75" customHeight="1">
      <c r="A50" s="577" t="s">
        <v>732</v>
      </c>
      <c r="B50" s="57" t="s">
        <v>31</v>
      </c>
      <c r="C50" s="567" t="s">
        <v>34</v>
      </c>
      <c r="D50" s="568"/>
      <c r="E50" s="57">
        <v>35.119999999999997</v>
      </c>
      <c r="F50" s="388">
        <v>4156</v>
      </c>
      <c r="G50" s="376">
        <f t="shared" si="31"/>
        <v>145958.72</v>
      </c>
      <c r="H50" s="390" t="s">
        <v>5</v>
      </c>
      <c r="I50" s="386">
        <v>10</v>
      </c>
      <c r="J50" s="58">
        <v>3000</v>
      </c>
      <c r="K50" s="59">
        <f t="shared" si="1"/>
        <v>300</v>
      </c>
      <c r="L50" s="386">
        <v>10</v>
      </c>
      <c r="M50" s="60">
        <f t="shared" si="32"/>
        <v>2866.2068965517237</v>
      </c>
      <c r="N50" s="60">
        <f t="shared" si="3"/>
        <v>286.62068965517238</v>
      </c>
      <c r="O50" s="61">
        <f t="shared" si="4"/>
        <v>0</v>
      </c>
      <c r="P50" s="62">
        <f t="shared" si="5"/>
        <v>-13.379310344827616</v>
      </c>
      <c r="Q50" s="377">
        <f t="shared" si="6"/>
        <v>0.95540229885057459</v>
      </c>
      <c r="R50" s="580"/>
      <c r="S50" s="63">
        <v>0.29097222222222219</v>
      </c>
      <c r="T50" s="63">
        <v>0.35138888888888886</v>
      </c>
      <c r="U50" s="376">
        <f t="shared" si="34"/>
        <v>6.9999999999999751</v>
      </c>
      <c r="V50" s="387">
        <f t="shared" si="33"/>
        <v>87.000000000000014</v>
      </c>
      <c r="W50" s="64"/>
      <c r="X50" s="64"/>
      <c r="Y50" s="569"/>
      <c r="Z50" s="570"/>
      <c r="AA50" s="61">
        <f t="shared" si="8"/>
        <v>-133.79310344827627</v>
      </c>
      <c r="AB50" s="377">
        <f t="shared" si="9"/>
        <v>0.95540229885057459</v>
      </c>
      <c r="AC50" s="580"/>
    </row>
    <row r="51" spans="1:29" ht="15.75" customHeight="1">
      <c r="A51" s="577" t="s">
        <v>244</v>
      </c>
      <c r="B51" s="57" t="s">
        <v>31</v>
      </c>
      <c r="C51" s="567" t="s">
        <v>71</v>
      </c>
      <c r="D51" s="568"/>
      <c r="E51" s="57">
        <v>31</v>
      </c>
      <c r="F51" s="388">
        <v>1721</v>
      </c>
      <c r="G51" s="376">
        <f t="shared" si="31"/>
        <v>53351</v>
      </c>
      <c r="H51" s="390" t="s">
        <v>5</v>
      </c>
      <c r="I51" s="386">
        <v>13</v>
      </c>
      <c r="J51" s="58">
        <v>2000</v>
      </c>
      <c r="K51" s="59">
        <f t="shared" si="1"/>
        <v>153.84615384615384</v>
      </c>
      <c r="L51" s="386">
        <v>13</v>
      </c>
      <c r="M51" s="60">
        <f t="shared" si="32"/>
        <v>1912.2222222222233</v>
      </c>
      <c r="N51" s="60">
        <f t="shared" si="3"/>
        <v>147.09401709401718</v>
      </c>
      <c r="O51" s="61">
        <f t="shared" si="4"/>
        <v>0</v>
      </c>
      <c r="P51" s="62">
        <f t="shared" si="5"/>
        <v>-6.7521367521366642</v>
      </c>
      <c r="Q51" s="377">
        <f t="shared" si="6"/>
        <v>0.95611111111111169</v>
      </c>
      <c r="R51" s="580"/>
      <c r="S51" s="63">
        <v>0.35624999999999996</v>
      </c>
      <c r="T51" s="63">
        <v>0.39374999999999993</v>
      </c>
      <c r="U51" s="376">
        <f t="shared" si="34"/>
        <v>6.9999999999999751</v>
      </c>
      <c r="V51" s="387">
        <f t="shared" si="33"/>
        <v>53.999999999999972</v>
      </c>
      <c r="W51" s="64"/>
      <c r="X51" s="64"/>
      <c r="Y51" s="569"/>
      <c r="Z51" s="570"/>
      <c r="AA51" s="61">
        <f t="shared" si="8"/>
        <v>-87.777777777776691</v>
      </c>
      <c r="AB51" s="377">
        <f t="shared" si="9"/>
        <v>0.95611111111111169</v>
      </c>
      <c r="AC51" s="580"/>
    </row>
    <row r="52" spans="1:29" ht="15.75" customHeight="1">
      <c r="A52" s="577" t="s">
        <v>244</v>
      </c>
      <c r="B52" s="57" t="s">
        <v>31</v>
      </c>
      <c r="C52" s="567" t="s">
        <v>659</v>
      </c>
      <c r="D52" s="568"/>
      <c r="E52" s="57">
        <v>37.880000000000003</v>
      </c>
      <c r="F52" s="388">
        <v>2677</v>
      </c>
      <c r="G52" s="376">
        <f t="shared" si="31"/>
        <v>101404.76000000001</v>
      </c>
      <c r="H52" s="390" t="s">
        <v>5</v>
      </c>
      <c r="I52" s="386">
        <v>14</v>
      </c>
      <c r="J52" s="58">
        <v>2000</v>
      </c>
      <c r="K52" s="59">
        <f t="shared" si="1"/>
        <v>142.85714285714286</v>
      </c>
      <c r="L52" s="386">
        <v>14</v>
      </c>
      <c r="M52" s="60">
        <f t="shared" si="32"/>
        <v>1912.1428571428567</v>
      </c>
      <c r="N52" s="60">
        <f t="shared" si="3"/>
        <v>136.58163265306118</v>
      </c>
      <c r="O52" s="61">
        <f t="shared" si="4"/>
        <v>0</v>
      </c>
      <c r="P52" s="62">
        <f t="shared" si="5"/>
        <v>-6.2755102040816837</v>
      </c>
      <c r="Q52" s="377">
        <f t="shared" si="6"/>
        <v>0.95607142857142824</v>
      </c>
      <c r="R52" s="580"/>
      <c r="S52" s="63">
        <v>0.39791666666666659</v>
      </c>
      <c r="T52" s="63">
        <v>0.45624999999999993</v>
      </c>
      <c r="U52" s="376">
        <f t="shared" si="34"/>
        <v>5.9999999999999787</v>
      </c>
      <c r="V52" s="387">
        <f t="shared" si="33"/>
        <v>84.000000000000028</v>
      </c>
      <c r="W52" s="64"/>
      <c r="X52" s="64"/>
      <c r="Y52" s="569"/>
      <c r="Z52" s="570"/>
      <c r="AA52" s="61">
        <f t="shared" si="8"/>
        <v>-87.857142857143344</v>
      </c>
      <c r="AB52" s="377">
        <f t="shared" si="9"/>
        <v>0.95607142857142835</v>
      </c>
      <c r="AC52" s="580"/>
    </row>
    <row r="53" spans="1:29" ht="15.75" customHeight="1">
      <c r="A53" s="577" t="s">
        <v>732</v>
      </c>
      <c r="B53" s="57" t="s">
        <v>31</v>
      </c>
      <c r="C53" s="567" t="s">
        <v>1778</v>
      </c>
      <c r="D53" s="568"/>
      <c r="E53" s="57">
        <v>30.6</v>
      </c>
      <c r="F53" s="388">
        <v>4500</v>
      </c>
      <c r="G53" s="376">
        <f t="shared" si="31"/>
        <v>137700</v>
      </c>
      <c r="H53" s="390">
        <v>2</v>
      </c>
      <c r="I53" s="386">
        <v>11</v>
      </c>
      <c r="J53" s="58">
        <v>3000</v>
      </c>
      <c r="K53" s="59">
        <f t="shared" si="1"/>
        <v>272.72727272727275</v>
      </c>
      <c r="L53" s="386">
        <v>11</v>
      </c>
      <c r="M53" s="60">
        <f t="shared" si="32"/>
        <v>2872.3404255319156</v>
      </c>
      <c r="N53" s="60">
        <f t="shared" si="3"/>
        <v>261.12185686653777</v>
      </c>
      <c r="O53" s="61">
        <f t="shared" si="4"/>
        <v>0</v>
      </c>
      <c r="P53" s="62">
        <f t="shared" si="5"/>
        <v>-11.605415860734979</v>
      </c>
      <c r="Q53" s="377">
        <f t="shared" si="6"/>
        <v>0.95744680851063846</v>
      </c>
      <c r="R53" s="580"/>
      <c r="S53" s="63">
        <v>0.46041666666666659</v>
      </c>
      <c r="T53" s="63">
        <v>0.52569444444444435</v>
      </c>
      <c r="U53" s="376">
        <f t="shared" si="34"/>
        <v>5.9999999999999787</v>
      </c>
      <c r="V53" s="387">
        <f t="shared" si="33"/>
        <v>93.999999999999986</v>
      </c>
      <c r="W53" s="64">
        <f>T53</f>
        <v>0.52569444444444435</v>
      </c>
      <c r="X53" s="64">
        <f>S54</f>
        <v>0.56458333333333321</v>
      </c>
      <c r="Y53" s="569"/>
      <c r="Z53" s="570"/>
      <c r="AA53" s="61">
        <f t="shared" si="8"/>
        <v>-127.65957446808443</v>
      </c>
      <c r="AB53" s="377">
        <f t="shared" si="9"/>
        <v>0.95744680851063857</v>
      </c>
      <c r="AC53" s="580"/>
    </row>
    <row r="54" spans="1:29" ht="15.75" customHeight="1">
      <c r="A54" s="577" t="s">
        <v>732</v>
      </c>
      <c r="B54" s="57" t="s">
        <v>31</v>
      </c>
      <c r="C54" s="567" t="s">
        <v>1778</v>
      </c>
      <c r="D54" s="568"/>
      <c r="E54" s="57">
        <v>30.6</v>
      </c>
      <c r="F54" s="388">
        <v>4731</v>
      </c>
      <c r="G54" s="376">
        <f t="shared" si="31"/>
        <v>144768.6</v>
      </c>
      <c r="H54" s="390" t="s">
        <v>5</v>
      </c>
      <c r="I54" s="386">
        <v>11</v>
      </c>
      <c r="J54" s="58">
        <v>3000</v>
      </c>
      <c r="K54" s="59">
        <f t="shared" si="1"/>
        <v>272.72727272727275</v>
      </c>
      <c r="L54" s="386">
        <v>11</v>
      </c>
      <c r="M54" s="60">
        <f t="shared" si="32"/>
        <v>2867.2727272727284</v>
      </c>
      <c r="N54" s="60">
        <f t="shared" si="3"/>
        <v>260.66115702479351</v>
      </c>
      <c r="O54" s="61">
        <f t="shared" si="4"/>
        <v>0</v>
      </c>
      <c r="P54" s="62">
        <f t="shared" si="5"/>
        <v>-12.066115702479237</v>
      </c>
      <c r="Q54" s="377">
        <f t="shared" si="6"/>
        <v>0.95575757575757614</v>
      </c>
      <c r="R54" s="580"/>
      <c r="S54" s="63">
        <v>0.56458333333333321</v>
      </c>
      <c r="T54" s="63">
        <v>0.63333333333333319</v>
      </c>
      <c r="U54" s="376">
        <f t="shared" si="34"/>
        <v>55.999999999999957</v>
      </c>
      <c r="V54" s="387">
        <f t="shared" si="33"/>
        <v>98.999999999999972</v>
      </c>
      <c r="W54" s="64"/>
      <c r="X54" s="64"/>
      <c r="Y54" s="569"/>
      <c r="Z54" s="570"/>
      <c r="AA54" s="61">
        <f t="shared" si="8"/>
        <v>-132.72727272727161</v>
      </c>
      <c r="AB54" s="377">
        <f t="shared" si="9"/>
        <v>0.95575757575757614</v>
      </c>
      <c r="AC54" s="580"/>
    </row>
    <row r="55" spans="1:29" ht="15.75" customHeight="1">
      <c r="A55" s="578" t="s">
        <v>244</v>
      </c>
      <c r="B55" s="57" t="s">
        <v>1779</v>
      </c>
      <c r="C55" s="561"/>
      <c r="D55" s="562"/>
      <c r="E55" s="381"/>
      <c r="F55" s="388"/>
      <c r="G55" s="376"/>
      <c r="H55" s="388"/>
      <c r="I55" s="67">
        <v>11</v>
      </c>
      <c r="J55" s="58">
        <v>2750</v>
      </c>
      <c r="K55" s="59">
        <f t="shared" si="1"/>
        <v>250</v>
      </c>
      <c r="L55" s="67">
        <v>11</v>
      </c>
      <c r="M55" s="60">
        <f>AVERAGE(M47:M54)</f>
        <v>2632.2897410940268</v>
      </c>
      <c r="N55" s="59">
        <f t="shared" si="3"/>
        <v>239.29906737218425</v>
      </c>
      <c r="O55" s="61">
        <f t="shared" si="4"/>
        <v>0</v>
      </c>
      <c r="P55" s="62">
        <f t="shared" si="5"/>
        <v>-10.700932627815746</v>
      </c>
      <c r="Q55" s="377">
        <f t="shared" si="6"/>
        <v>0.95719626948873704</v>
      </c>
      <c r="R55" s="581"/>
      <c r="S55" s="63"/>
      <c r="T55" s="63"/>
      <c r="U55" s="376"/>
      <c r="V55" s="387"/>
      <c r="W55" s="64"/>
      <c r="X55" s="64"/>
      <c r="Y55" s="569"/>
      <c r="Z55" s="570"/>
      <c r="AA55" s="61">
        <f t="shared" si="8"/>
        <v>-117.71025890597321</v>
      </c>
      <c r="AB55" s="377">
        <f t="shared" si="9"/>
        <v>0.95719626948873704</v>
      </c>
      <c r="AC55" s="581"/>
    </row>
    <row r="56" spans="1:29" ht="15.75" customHeight="1">
      <c r="A56" s="574" t="s">
        <v>117</v>
      </c>
      <c r="B56" s="57" t="s">
        <v>10</v>
      </c>
      <c r="C56" s="560" t="s">
        <v>37</v>
      </c>
      <c r="D56" s="560"/>
      <c r="E56" s="57">
        <v>46</v>
      </c>
      <c r="F56" s="69">
        <v>1929</v>
      </c>
      <c r="G56" s="376">
        <f t="shared" ref="G56:G62" si="35">E56*F56</f>
        <v>88734</v>
      </c>
      <c r="H56" s="390" t="s">
        <v>5</v>
      </c>
      <c r="I56" s="386">
        <v>17</v>
      </c>
      <c r="J56" s="58">
        <v>2000</v>
      </c>
      <c r="K56" s="59">
        <f t="shared" si="1"/>
        <v>117.64705882352941</v>
      </c>
      <c r="L56" s="386">
        <v>17</v>
      </c>
      <c r="M56" s="60">
        <f t="shared" ref="M56:M62" si="36">F56/V56*60</f>
        <v>1929.0000000000005</v>
      </c>
      <c r="N56" s="60">
        <f t="shared" si="3"/>
        <v>113.47058823529414</v>
      </c>
      <c r="O56" s="61">
        <f t="shared" si="4"/>
        <v>0</v>
      </c>
      <c r="P56" s="62">
        <f t="shared" si="5"/>
        <v>-4.1764705882352615</v>
      </c>
      <c r="Q56" s="377">
        <f t="shared" si="6"/>
        <v>0.96450000000000025</v>
      </c>
      <c r="R56" s="566">
        <f>Q63</f>
        <v>0.87429611850595057</v>
      </c>
      <c r="S56" s="63">
        <v>0.20833333333333334</v>
      </c>
      <c r="T56" s="63">
        <v>0.25</v>
      </c>
      <c r="U56" s="68"/>
      <c r="V56" s="387">
        <f t="shared" ref="V56:V62" si="37">(T56-S56)*24*60</f>
        <v>59.999999999999986</v>
      </c>
      <c r="W56" s="68"/>
      <c r="X56" s="68"/>
      <c r="Y56" s="559"/>
      <c r="Z56" s="559"/>
      <c r="AA56" s="61">
        <f t="shared" si="8"/>
        <v>-70.999999999999545</v>
      </c>
      <c r="AB56" s="377">
        <f t="shared" si="9"/>
        <v>0.96450000000000025</v>
      </c>
      <c r="AC56" s="566">
        <f>AB63</f>
        <v>0.87429611850595068</v>
      </c>
    </row>
    <row r="57" spans="1:29" ht="15.75" customHeight="1">
      <c r="A57" s="574" t="s">
        <v>1392</v>
      </c>
      <c r="B57" s="57" t="s">
        <v>10</v>
      </c>
      <c r="C57" s="560" t="s">
        <v>38</v>
      </c>
      <c r="D57" s="560"/>
      <c r="E57" s="57">
        <v>46</v>
      </c>
      <c r="F57" s="69">
        <v>2006</v>
      </c>
      <c r="G57" s="376">
        <f t="shared" si="35"/>
        <v>92276</v>
      </c>
      <c r="H57" s="390" t="s">
        <v>5</v>
      </c>
      <c r="I57" s="386">
        <v>17</v>
      </c>
      <c r="J57" s="58">
        <v>2000</v>
      </c>
      <c r="K57" s="59">
        <f t="shared" si="1"/>
        <v>117.64705882352941</v>
      </c>
      <c r="L57" s="386">
        <v>17</v>
      </c>
      <c r="M57" s="60">
        <f t="shared" si="36"/>
        <v>1910.4761904761901</v>
      </c>
      <c r="N57" s="60">
        <f t="shared" si="3"/>
        <v>112.38095238095237</v>
      </c>
      <c r="O57" s="61">
        <f t="shared" si="4"/>
        <v>0</v>
      </c>
      <c r="P57" s="62">
        <f t="shared" si="5"/>
        <v>-5.2661064425770405</v>
      </c>
      <c r="Q57" s="377">
        <f t="shared" si="6"/>
        <v>0.95523809523809511</v>
      </c>
      <c r="R57" s="566"/>
      <c r="S57" s="63">
        <v>0.25486111111111109</v>
      </c>
      <c r="T57" s="63">
        <v>0.2986111111111111</v>
      </c>
      <c r="U57" s="376">
        <f t="shared" ref="U57:U62" si="38">IF(S57=TIME(17,0,0),"",(S57-T56)*24*60)</f>
        <v>6.9999999999999751</v>
      </c>
      <c r="V57" s="387">
        <f t="shared" si="37"/>
        <v>63.000000000000014</v>
      </c>
      <c r="W57" s="64"/>
      <c r="X57" s="64"/>
      <c r="Y57" s="559"/>
      <c r="Z57" s="559"/>
      <c r="AA57" s="61">
        <f t="shared" si="8"/>
        <v>-89.523809523809859</v>
      </c>
      <c r="AB57" s="377">
        <f t="shared" si="9"/>
        <v>0.95523809523809511</v>
      </c>
      <c r="AC57" s="566"/>
    </row>
    <row r="58" spans="1:29" ht="15.75" customHeight="1">
      <c r="A58" s="574" t="s">
        <v>117</v>
      </c>
      <c r="B58" s="57" t="s">
        <v>6</v>
      </c>
      <c r="C58" s="567" t="s">
        <v>1181</v>
      </c>
      <c r="D58" s="568"/>
      <c r="E58" s="57">
        <v>51.86</v>
      </c>
      <c r="F58" s="69">
        <v>1262</v>
      </c>
      <c r="G58" s="376">
        <f t="shared" si="35"/>
        <v>65447.32</v>
      </c>
      <c r="H58" s="390" t="s">
        <v>5</v>
      </c>
      <c r="I58" s="386">
        <v>25</v>
      </c>
      <c r="J58" s="58">
        <v>2000</v>
      </c>
      <c r="K58" s="59">
        <f t="shared" si="1"/>
        <v>80</v>
      </c>
      <c r="L58" s="386">
        <v>25</v>
      </c>
      <c r="M58" s="60">
        <f t="shared" si="36"/>
        <v>1241.3114754098356</v>
      </c>
      <c r="N58" s="60">
        <f t="shared" si="3"/>
        <v>49.652459016393422</v>
      </c>
      <c r="O58" s="61">
        <f t="shared" si="4"/>
        <v>0</v>
      </c>
      <c r="P58" s="62">
        <f t="shared" si="5"/>
        <v>-30.347540983606578</v>
      </c>
      <c r="Q58" s="377">
        <f t="shared" si="6"/>
        <v>0.62065573770491778</v>
      </c>
      <c r="R58" s="566"/>
      <c r="S58" s="63">
        <v>0.3034722222222222</v>
      </c>
      <c r="T58" s="63">
        <v>0.34583333333333333</v>
      </c>
      <c r="U58" s="376">
        <f t="shared" si="38"/>
        <v>6.9999999999999751</v>
      </c>
      <c r="V58" s="387">
        <f t="shared" si="37"/>
        <v>61.000000000000021</v>
      </c>
      <c r="W58" s="64"/>
      <c r="X58" s="64"/>
      <c r="Y58" s="379"/>
      <c r="Z58" s="380"/>
      <c r="AA58" s="61">
        <f t="shared" si="8"/>
        <v>-758.68852459016443</v>
      </c>
      <c r="AB58" s="377">
        <f t="shared" si="9"/>
        <v>0.62065573770491778</v>
      </c>
      <c r="AC58" s="566"/>
    </row>
    <row r="59" spans="1:29" ht="15.75" customHeight="1">
      <c r="A59" s="574" t="s">
        <v>117</v>
      </c>
      <c r="B59" s="57" t="s">
        <v>6</v>
      </c>
      <c r="C59" s="382" t="s">
        <v>1182</v>
      </c>
      <c r="D59" s="383"/>
      <c r="E59" s="57">
        <v>56.43</v>
      </c>
      <c r="F59" s="69">
        <v>2259</v>
      </c>
      <c r="G59" s="376">
        <f t="shared" si="35"/>
        <v>127475.37</v>
      </c>
      <c r="H59" s="390" t="s">
        <v>5</v>
      </c>
      <c r="I59" s="386">
        <v>22</v>
      </c>
      <c r="J59" s="58">
        <v>2000</v>
      </c>
      <c r="K59" s="59">
        <f t="shared" si="1"/>
        <v>90.909090909090907</v>
      </c>
      <c r="L59" s="386">
        <v>22</v>
      </c>
      <c r="M59" s="60">
        <f t="shared" si="36"/>
        <v>1411.8750000000005</v>
      </c>
      <c r="N59" s="60">
        <f t="shared" si="3"/>
        <v>64.176136363636388</v>
      </c>
      <c r="O59" s="61">
        <f t="shared" si="4"/>
        <v>0</v>
      </c>
      <c r="P59" s="62">
        <f t="shared" si="5"/>
        <v>-26.732954545454518</v>
      </c>
      <c r="Q59" s="377">
        <f t="shared" si="6"/>
        <v>0.70593750000000033</v>
      </c>
      <c r="R59" s="566"/>
      <c r="S59" s="63">
        <v>0.35138888888888886</v>
      </c>
      <c r="T59" s="63">
        <v>0.41805555555555551</v>
      </c>
      <c r="U59" s="376">
        <f t="shared" si="38"/>
        <v>7.9999999999999716</v>
      </c>
      <c r="V59" s="387">
        <f t="shared" si="37"/>
        <v>95.999999999999972</v>
      </c>
      <c r="W59" s="64"/>
      <c r="X59" s="64"/>
      <c r="Y59" s="379"/>
      <c r="Z59" s="380"/>
      <c r="AA59" s="61">
        <f t="shared" si="8"/>
        <v>-588.12499999999955</v>
      </c>
      <c r="AB59" s="377">
        <f t="shared" si="9"/>
        <v>0.70593750000000022</v>
      </c>
      <c r="AC59" s="566"/>
    </row>
    <row r="60" spans="1:29" ht="15.75" customHeight="1">
      <c r="A60" s="574" t="s">
        <v>1780</v>
      </c>
      <c r="B60" s="57" t="s">
        <v>6</v>
      </c>
      <c r="C60" s="382" t="s">
        <v>39</v>
      </c>
      <c r="D60" s="383"/>
      <c r="E60" s="57">
        <v>55.56</v>
      </c>
      <c r="F60" s="69">
        <v>2025</v>
      </c>
      <c r="G60" s="376">
        <f t="shared" si="35"/>
        <v>112509</v>
      </c>
      <c r="H60" s="390" t="s">
        <v>5</v>
      </c>
      <c r="I60" s="386">
        <v>17</v>
      </c>
      <c r="J60" s="58">
        <v>2000</v>
      </c>
      <c r="K60" s="59">
        <f t="shared" si="1"/>
        <v>117.64705882352941</v>
      </c>
      <c r="L60" s="386">
        <v>17</v>
      </c>
      <c r="M60" s="60">
        <f t="shared" si="36"/>
        <v>1928.5714285714305</v>
      </c>
      <c r="N60" s="60">
        <f t="shared" si="3"/>
        <v>113.44537815126061</v>
      </c>
      <c r="O60" s="61">
        <f t="shared" si="4"/>
        <v>0</v>
      </c>
      <c r="P60" s="62">
        <f t="shared" si="5"/>
        <v>-4.2016806722687932</v>
      </c>
      <c r="Q60" s="377">
        <f t="shared" si="6"/>
        <v>0.9642857142857153</v>
      </c>
      <c r="R60" s="566"/>
      <c r="S60" s="63">
        <v>0.70833333333333337</v>
      </c>
      <c r="T60" s="63">
        <v>0.75208333333333333</v>
      </c>
      <c r="U60" s="376" t="str">
        <f t="shared" si="38"/>
        <v/>
      </c>
      <c r="V60" s="387">
        <f t="shared" si="37"/>
        <v>62.999999999999936</v>
      </c>
      <c r="W60" s="64"/>
      <c r="X60" s="64"/>
      <c r="Y60" s="379"/>
      <c r="Z60" s="380"/>
      <c r="AA60" s="61">
        <f t="shared" si="8"/>
        <v>-71.428571428569512</v>
      </c>
      <c r="AB60" s="377">
        <f t="shared" si="9"/>
        <v>0.96428571428571519</v>
      </c>
      <c r="AC60" s="566"/>
    </row>
    <row r="61" spans="1:29" ht="15.75" customHeight="1">
      <c r="A61" s="574" t="s">
        <v>1781</v>
      </c>
      <c r="B61" s="57" t="s">
        <v>6</v>
      </c>
      <c r="C61" s="567" t="s">
        <v>40</v>
      </c>
      <c r="D61" s="568"/>
      <c r="E61" s="57">
        <v>55.32</v>
      </c>
      <c r="F61" s="69">
        <v>1557</v>
      </c>
      <c r="G61" s="376">
        <f t="shared" si="35"/>
        <v>86133.24</v>
      </c>
      <c r="H61" s="390" t="s">
        <v>5</v>
      </c>
      <c r="I61" s="386">
        <v>15</v>
      </c>
      <c r="J61" s="58">
        <v>2000</v>
      </c>
      <c r="K61" s="59">
        <f t="shared" si="1"/>
        <v>133.33333333333334</v>
      </c>
      <c r="L61" s="386">
        <v>15</v>
      </c>
      <c r="M61" s="60">
        <f t="shared" si="36"/>
        <v>1906.5306122448985</v>
      </c>
      <c r="N61" s="60">
        <f t="shared" si="3"/>
        <v>127.10204081632656</v>
      </c>
      <c r="O61" s="61">
        <f t="shared" si="4"/>
        <v>0</v>
      </c>
      <c r="P61" s="62">
        <f t="shared" si="5"/>
        <v>-6.2312925170067786</v>
      </c>
      <c r="Q61" s="377">
        <f t="shared" si="6"/>
        <v>0.9532653061224492</v>
      </c>
      <c r="R61" s="566"/>
      <c r="S61" s="63">
        <v>0.75624999999999998</v>
      </c>
      <c r="T61" s="63">
        <v>0.79027777777777775</v>
      </c>
      <c r="U61" s="376">
        <f t="shared" si="38"/>
        <v>5.9999999999999787</v>
      </c>
      <c r="V61" s="387">
        <f t="shared" si="37"/>
        <v>48.999999999999986</v>
      </c>
      <c r="W61" s="64"/>
      <c r="X61" s="64"/>
      <c r="Y61" s="569"/>
      <c r="Z61" s="570"/>
      <c r="AA61" s="61">
        <f t="shared" si="8"/>
        <v>-93.469387755101479</v>
      </c>
      <c r="AB61" s="377">
        <f t="shared" si="9"/>
        <v>0.95326530612244931</v>
      </c>
      <c r="AC61" s="566"/>
    </row>
    <row r="62" spans="1:29" ht="15.75" customHeight="1">
      <c r="A62" s="574" t="s">
        <v>1782</v>
      </c>
      <c r="B62" s="57" t="s">
        <v>6</v>
      </c>
      <c r="C62" s="567" t="s">
        <v>94</v>
      </c>
      <c r="D62" s="568"/>
      <c r="E62" s="57">
        <v>57.3</v>
      </c>
      <c r="F62" s="69">
        <v>2008</v>
      </c>
      <c r="G62" s="376">
        <f t="shared" si="35"/>
        <v>115058.4</v>
      </c>
      <c r="H62" s="390" t="s">
        <v>5</v>
      </c>
      <c r="I62" s="386">
        <v>13</v>
      </c>
      <c r="J62" s="58">
        <v>2000</v>
      </c>
      <c r="K62" s="59">
        <f t="shared" si="1"/>
        <v>153.84615384615384</v>
      </c>
      <c r="L62" s="386">
        <v>13</v>
      </c>
      <c r="M62" s="60">
        <f t="shared" si="36"/>
        <v>1912.3809523809543</v>
      </c>
      <c r="N62" s="60">
        <f t="shared" si="3"/>
        <v>147.10622710622727</v>
      </c>
      <c r="O62" s="61">
        <f t="shared" si="4"/>
        <v>0</v>
      </c>
      <c r="P62" s="62">
        <f t="shared" si="5"/>
        <v>-6.7399267399265739</v>
      </c>
      <c r="Q62" s="377">
        <f t="shared" si="6"/>
        <v>0.95619047619047726</v>
      </c>
      <c r="R62" s="566"/>
      <c r="S62" s="63">
        <v>0.79374999999999996</v>
      </c>
      <c r="T62" s="63">
        <v>0.83749999999999991</v>
      </c>
      <c r="U62" s="376">
        <f t="shared" si="38"/>
        <v>4.9999999999999822</v>
      </c>
      <c r="V62" s="387">
        <f t="shared" si="37"/>
        <v>62.999999999999936</v>
      </c>
      <c r="W62" s="64"/>
      <c r="X62" s="64"/>
      <c r="Y62" s="569"/>
      <c r="Z62" s="570"/>
      <c r="AA62" s="61">
        <f t="shared" si="8"/>
        <v>-87.619047619045659</v>
      </c>
      <c r="AB62" s="377">
        <f t="shared" si="9"/>
        <v>0.95619047619047715</v>
      </c>
      <c r="AC62" s="566"/>
    </row>
    <row r="63" spans="1:29">
      <c r="A63" s="575" t="s">
        <v>117</v>
      </c>
      <c r="B63" s="57" t="s">
        <v>1388</v>
      </c>
      <c r="C63" s="571"/>
      <c r="D63" s="571"/>
      <c r="E63" s="378"/>
      <c r="F63" s="66"/>
      <c r="G63" s="59"/>
      <c r="H63" s="388"/>
      <c r="I63" s="67">
        <v>18</v>
      </c>
      <c r="J63" s="58">
        <v>2000</v>
      </c>
      <c r="K63" s="59">
        <f t="shared" si="1"/>
        <v>111.11111111111111</v>
      </c>
      <c r="L63" s="67">
        <v>18</v>
      </c>
      <c r="M63" s="60">
        <f>AVERAGE(M56:M62)</f>
        <v>1748.5922370119013</v>
      </c>
      <c r="N63" s="59">
        <f t="shared" si="3"/>
        <v>97.144013167327842</v>
      </c>
      <c r="O63" s="61">
        <f t="shared" si="4"/>
        <v>0</v>
      </c>
      <c r="P63" s="62">
        <f t="shared" si="5"/>
        <v>-13.967097943783273</v>
      </c>
      <c r="Q63" s="377">
        <f t="shared" si="6"/>
        <v>0.87429611850595057</v>
      </c>
      <c r="R63" s="566"/>
      <c r="S63" s="70"/>
      <c r="T63" s="63"/>
      <c r="U63" s="59"/>
      <c r="V63" s="387"/>
      <c r="W63" s="59"/>
      <c r="X63" s="59"/>
      <c r="Y63" s="559"/>
      <c r="Z63" s="559"/>
      <c r="AA63" s="61">
        <f t="shared" si="8"/>
        <v>-251.40776298809874</v>
      </c>
      <c r="AB63" s="377">
        <f t="shared" si="9"/>
        <v>0.87429611850595068</v>
      </c>
      <c r="AC63" s="566"/>
    </row>
    <row r="64" spans="1:29" ht="15.75" customHeight="1">
      <c r="A64" s="572" t="s">
        <v>593</v>
      </c>
      <c r="B64" s="388" t="s">
        <v>10</v>
      </c>
      <c r="C64" s="560" t="s">
        <v>42</v>
      </c>
      <c r="D64" s="560"/>
      <c r="E64" s="57">
        <v>26.97</v>
      </c>
      <c r="F64" s="69">
        <v>2660</v>
      </c>
      <c r="G64" s="376">
        <f t="shared" ref="G64:G69" si="39">E64*F64</f>
        <v>71740.2</v>
      </c>
      <c r="H64" s="390" t="s">
        <v>5</v>
      </c>
      <c r="I64" s="386">
        <v>8</v>
      </c>
      <c r="J64" s="58">
        <v>1500</v>
      </c>
      <c r="K64" s="59">
        <f t="shared" si="1"/>
        <v>187.5</v>
      </c>
      <c r="L64" s="386">
        <v>8</v>
      </c>
      <c r="M64" s="60">
        <f t="shared" ref="M64:M69" si="40">F64/V64*60</f>
        <v>1437.8378378378382</v>
      </c>
      <c r="N64" s="59">
        <f t="shared" si="3"/>
        <v>179.72972972972977</v>
      </c>
      <c r="O64" s="61">
        <f t="shared" si="4"/>
        <v>0</v>
      </c>
      <c r="P64" s="62">
        <f t="shared" si="5"/>
        <v>-7.7702702702702311</v>
      </c>
      <c r="Q64" s="377">
        <f t="shared" si="6"/>
        <v>0.95855855855855876</v>
      </c>
      <c r="R64" s="566">
        <f>Q70</f>
        <v>0.96281143022319515</v>
      </c>
      <c r="S64" s="63">
        <v>0.20833333333333334</v>
      </c>
      <c r="T64" s="63">
        <v>0.28541666666666665</v>
      </c>
      <c r="U64" s="376"/>
      <c r="V64" s="387">
        <f t="shared" ref="V64:V69" si="41">(T64-S64)*24*60</f>
        <v>110.99999999999997</v>
      </c>
      <c r="W64" s="68"/>
      <c r="X64" s="68"/>
      <c r="Y64" s="559"/>
      <c r="Z64" s="559"/>
      <c r="AA64" s="61">
        <f t="shared" si="8"/>
        <v>-62.162162162161849</v>
      </c>
      <c r="AB64" s="377">
        <f t="shared" si="9"/>
        <v>0.95855855855855876</v>
      </c>
      <c r="AC64" s="566">
        <f>AB70</f>
        <v>0.96281143022319504</v>
      </c>
    </row>
    <row r="65" spans="1:29" ht="15.75" customHeight="1">
      <c r="A65" s="572" t="s">
        <v>170</v>
      </c>
      <c r="B65" s="388" t="s">
        <v>31</v>
      </c>
      <c r="C65" s="560" t="s">
        <v>41</v>
      </c>
      <c r="D65" s="560"/>
      <c r="E65" s="57">
        <v>26.78</v>
      </c>
      <c r="F65" s="69">
        <v>2446</v>
      </c>
      <c r="G65" s="376">
        <f t="shared" si="39"/>
        <v>65503.880000000005</v>
      </c>
      <c r="H65" s="390" t="s">
        <v>5</v>
      </c>
      <c r="I65" s="386">
        <v>10</v>
      </c>
      <c r="J65" s="58">
        <v>3000</v>
      </c>
      <c r="K65" s="59">
        <f t="shared" si="1"/>
        <v>300</v>
      </c>
      <c r="L65" s="386">
        <v>10</v>
      </c>
      <c r="M65" s="60">
        <f t="shared" si="40"/>
        <v>2877.6470588235306</v>
      </c>
      <c r="N65" s="59">
        <f t="shared" si="3"/>
        <v>287.76470588235304</v>
      </c>
      <c r="O65" s="61">
        <f t="shared" si="4"/>
        <v>0</v>
      </c>
      <c r="P65" s="62">
        <f t="shared" si="5"/>
        <v>-12.235294117646959</v>
      </c>
      <c r="Q65" s="377">
        <f t="shared" si="6"/>
        <v>0.95921568627451015</v>
      </c>
      <c r="R65" s="566"/>
      <c r="S65" s="63">
        <v>0.2895833333333333</v>
      </c>
      <c r="T65" s="63">
        <v>0.32499999999999996</v>
      </c>
      <c r="U65" s="376">
        <f t="shared" ref="U65:U69" si="42">(S65-T64)*24*60</f>
        <v>5.9999999999999787</v>
      </c>
      <c r="V65" s="387">
        <f t="shared" si="41"/>
        <v>50.999999999999979</v>
      </c>
      <c r="W65" s="376"/>
      <c r="X65" s="376"/>
      <c r="Y65" s="559"/>
      <c r="Z65" s="559"/>
      <c r="AA65" s="61">
        <f t="shared" si="8"/>
        <v>-122.35294117646936</v>
      </c>
      <c r="AB65" s="377">
        <f t="shared" si="9"/>
        <v>0.95921568627451026</v>
      </c>
      <c r="AC65" s="566"/>
    </row>
    <row r="66" spans="1:29" ht="15.75" customHeight="1">
      <c r="A66" s="572" t="s">
        <v>170</v>
      </c>
      <c r="B66" s="388" t="s">
        <v>31</v>
      </c>
      <c r="C66" s="560" t="s">
        <v>64</v>
      </c>
      <c r="D66" s="560"/>
      <c r="E66" s="57">
        <v>37.880000000000003</v>
      </c>
      <c r="F66" s="69">
        <v>2424</v>
      </c>
      <c r="G66" s="376">
        <f t="shared" si="39"/>
        <v>91821.12000000001</v>
      </c>
      <c r="H66" s="390" t="s">
        <v>5</v>
      </c>
      <c r="I66" s="386">
        <v>10</v>
      </c>
      <c r="J66" s="58">
        <v>3000</v>
      </c>
      <c r="K66" s="59">
        <f t="shared" si="1"/>
        <v>300</v>
      </c>
      <c r="L66" s="386">
        <v>10</v>
      </c>
      <c r="M66" s="60">
        <f t="shared" si="40"/>
        <v>2851.7647058823545</v>
      </c>
      <c r="N66" s="59">
        <f t="shared" si="3"/>
        <v>285.17647058823547</v>
      </c>
      <c r="O66" s="61">
        <f t="shared" si="4"/>
        <v>0</v>
      </c>
      <c r="P66" s="62">
        <f t="shared" si="5"/>
        <v>-14.823529411764525</v>
      </c>
      <c r="Q66" s="377">
        <f t="shared" si="6"/>
        <v>0.95058823529411829</v>
      </c>
      <c r="R66" s="566"/>
      <c r="S66" s="63">
        <v>0.32916666666666661</v>
      </c>
      <c r="T66" s="63">
        <v>0.36458333333333326</v>
      </c>
      <c r="U66" s="376">
        <f t="shared" si="42"/>
        <v>5.9999999999999787</v>
      </c>
      <c r="V66" s="387">
        <f t="shared" si="41"/>
        <v>50.999999999999979</v>
      </c>
      <c r="W66" s="376"/>
      <c r="X66" s="376"/>
      <c r="Y66" s="559"/>
      <c r="Z66" s="559"/>
      <c r="AA66" s="61">
        <f t="shared" si="8"/>
        <v>-148.23529411764548</v>
      </c>
      <c r="AB66" s="377">
        <f t="shared" si="9"/>
        <v>0.95058823529411818</v>
      </c>
      <c r="AC66" s="566"/>
    </row>
    <row r="67" spans="1:29" ht="15.75" customHeight="1">
      <c r="A67" s="572" t="s">
        <v>593</v>
      </c>
      <c r="B67" s="388" t="s">
        <v>31</v>
      </c>
      <c r="C67" s="560" t="s">
        <v>72</v>
      </c>
      <c r="D67" s="560"/>
      <c r="E67" s="57">
        <v>40.51</v>
      </c>
      <c r="F67" s="69">
        <v>2181</v>
      </c>
      <c r="G67" s="376">
        <f t="shared" si="39"/>
        <v>88352.31</v>
      </c>
      <c r="H67" s="390" t="s">
        <v>5</v>
      </c>
      <c r="I67" s="386">
        <v>8</v>
      </c>
      <c r="J67" s="58">
        <v>3000</v>
      </c>
      <c r="K67" s="59">
        <f t="shared" si="1"/>
        <v>375</v>
      </c>
      <c r="L67" s="386">
        <v>8</v>
      </c>
      <c r="M67" s="60">
        <f t="shared" si="40"/>
        <v>2908</v>
      </c>
      <c r="N67" s="59">
        <f t="shared" si="3"/>
        <v>363.5</v>
      </c>
      <c r="O67" s="61">
        <f t="shared" si="4"/>
        <v>0</v>
      </c>
      <c r="P67" s="62">
        <f t="shared" si="5"/>
        <v>-11.5</v>
      </c>
      <c r="Q67" s="377">
        <f t="shared" si="6"/>
        <v>0.96933333333333338</v>
      </c>
      <c r="R67" s="566"/>
      <c r="S67" s="63">
        <v>0.3701388888888888</v>
      </c>
      <c r="T67" s="63">
        <v>0.4013888888888888</v>
      </c>
      <c r="U67" s="376">
        <f t="shared" si="42"/>
        <v>7.9999999999999716</v>
      </c>
      <c r="V67" s="387">
        <f t="shared" si="41"/>
        <v>45</v>
      </c>
      <c r="W67" s="376"/>
      <c r="X67" s="376"/>
      <c r="Y67" s="559"/>
      <c r="Z67" s="559"/>
      <c r="AA67" s="61">
        <f t="shared" si="8"/>
        <v>-92</v>
      </c>
      <c r="AB67" s="377">
        <f t="shared" si="9"/>
        <v>0.96933333333333338</v>
      </c>
      <c r="AC67" s="566"/>
    </row>
    <row r="68" spans="1:29">
      <c r="A68" s="573" t="s">
        <v>170</v>
      </c>
      <c r="B68" s="388" t="s">
        <v>31</v>
      </c>
      <c r="C68" s="560" t="s">
        <v>35</v>
      </c>
      <c r="D68" s="560"/>
      <c r="E68" s="57">
        <v>35.869999999999997</v>
      </c>
      <c r="F68" s="69">
        <v>2710</v>
      </c>
      <c r="G68" s="376">
        <f t="shared" si="39"/>
        <v>97207.7</v>
      </c>
      <c r="H68" s="390" t="s">
        <v>5</v>
      </c>
      <c r="I68" s="386">
        <v>9</v>
      </c>
      <c r="J68" s="58">
        <v>3000</v>
      </c>
      <c r="K68" s="59">
        <f t="shared" si="1"/>
        <v>333.33333333333331</v>
      </c>
      <c r="L68" s="386">
        <v>9</v>
      </c>
      <c r="M68" s="60">
        <f t="shared" si="40"/>
        <v>2903.5714285714307</v>
      </c>
      <c r="N68" s="59">
        <f t="shared" si="3"/>
        <v>322.61904761904788</v>
      </c>
      <c r="O68" s="61">
        <f t="shared" si="4"/>
        <v>0</v>
      </c>
      <c r="P68" s="62">
        <f t="shared" si="5"/>
        <v>-10.714285714285438</v>
      </c>
      <c r="Q68" s="377">
        <f t="shared" si="6"/>
        <v>0.96785714285714364</v>
      </c>
      <c r="R68" s="566"/>
      <c r="S68" s="63">
        <v>0.40486111111111101</v>
      </c>
      <c r="T68" s="63">
        <v>0.44374999999999987</v>
      </c>
      <c r="U68" s="376">
        <f t="shared" si="42"/>
        <v>4.9999999999999822</v>
      </c>
      <c r="V68" s="387">
        <f t="shared" si="41"/>
        <v>55.999999999999957</v>
      </c>
      <c r="W68" s="64"/>
      <c r="X68" s="64"/>
      <c r="Y68" s="559"/>
      <c r="Z68" s="559"/>
      <c r="AA68" s="61">
        <f t="shared" si="8"/>
        <v>-96.428571428569285</v>
      </c>
      <c r="AB68" s="377">
        <f t="shared" si="9"/>
        <v>0.96785714285714353</v>
      </c>
      <c r="AC68" s="566"/>
    </row>
    <row r="69" spans="1:29" ht="15" customHeight="1">
      <c r="A69" s="573" t="s">
        <v>170</v>
      </c>
      <c r="B69" s="388" t="s">
        <v>31</v>
      </c>
      <c r="C69" s="567" t="s">
        <v>63</v>
      </c>
      <c r="D69" s="568"/>
      <c r="E69" s="57">
        <v>34.36</v>
      </c>
      <c r="F69" s="69">
        <v>1793</v>
      </c>
      <c r="G69" s="376">
        <f t="shared" si="39"/>
        <v>61607.479999999996</v>
      </c>
      <c r="H69" s="390" t="s">
        <v>5</v>
      </c>
      <c r="I69" s="386">
        <v>10</v>
      </c>
      <c r="J69" s="58">
        <v>3000</v>
      </c>
      <c r="K69" s="59">
        <f t="shared" ref="K69:K77" si="43">J69/I69</f>
        <v>300</v>
      </c>
      <c r="L69" s="386">
        <v>10</v>
      </c>
      <c r="M69" s="60">
        <f t="shared" si="40"/>
        <v>2907.5675675675657</v>
      </c>
      <c r="N69" s="59">
        <f t="shared" ref="N69:N77" si="44">M69/L69</f>
        <v>290.75675675675654</v>
      </c>
      <c r="O69" s="61">
        <f t="shared" ref="O69:O77" si="45">L69-I69</f>
        <v>0</v>
      </c>
      <c r="P69" s="62">
        <f t="shared" ref="P69:P77" si="46">N69-K69</f>
        <v>-9.2432432432434553</v>
      </c>
      <c r="Q69" s="377">
        <f t="shared" ref="Q69:Q77" si="47">N69/K69</f>
        <v>0.9691891891891885</v>
      </c>
      <c r="R69" s="566"/>
      <c r="S69" s="63">
        <v>0.44791666666666652</v>
      </c>
      <c r="T69" s="63">
        <v>0.47361111111111098</v>
      </c>
      <c r="U69" s="376">
        <f t="shared" si="42"/>
        <v>5.9999999999999787</v>
      </c>
      <c r="V69" s="387">
        <f t="shared" si="41"/>
        <v>37.000000000000028</v>
      </c>
      <c r="W69" s="376"/>
      <c r="X69" s="376"/>
      <c r="Y69" s="569"/>
      <c r="Z69" s="570"/>
      <c r="AA69" s="61">
        <f t="shared" ref="AA69:AA77" si="48">M69-J69</f>
        <v>-92.432432432434325</v>
      </c>
      <c r="AB69" s="377">
        <f t="shared" ref="AB69:AB77" si="49">M69/J69</f>
        <v>0.9691891891891885</v>
      </c>
      <c r="AC69" s="566"/>
    </row>
    <row r="70" spans="1:29">
      <c r="A70" s="573" t="s">
        <v>1783</v>
      </c>
      <c r="B70" s="57" t="s">
        <v>159</v>
      </c>
      <c r="C70" s="571"/>
      <c r="D70" s="571"/>
      <c r="E70" s="378"/>
      <c r="F70" s="66"/>
      <c r="G70" s="59"/>
      <c r="H70" s="388"/>
      <c r="I70" s="67">
        <v>9.1666666666666661</v>
      </c>
      <c r="J70" s="58">
        <v>2750</v>
      </c>
      <c r="K70" s="59">
        <f t="shared" si="43"/>
        <v>300</v>
      </c>
      <c r="L70" s="67">
        <v>9.1666666666666661</v>
      </c>
      <c r="M70" s="60">
        <f>AVERAGE(M64:M69)</f>
        <v>2647.7314331137864</v>
      </c>
      <c r="N70" s="59">
        <f t="shared" si="44"/>
        <v>288.84342906695855</v>
      </c>
      <c r="O70" s="61">
        <f t="shared" si="45"/>
        <v>0</v>
      </c>
      <c r="P70" s="62">
        <f t="shared" si="46"/>
        <v>-11.156570933041451</v>
      </c>
      <c r="Q70" s="377">
        <f t="shared" si="47"/>
        <v>0.96281143022319515</v>
      </c>
      <c r="R70" s="566"/>
      <c r="S70" s="63"/>
      <c r="T70" s="63"/>
      <c r="U70" s="59"/>
      <c r="V70" s="387"/>
      <c r="W70" s="59"/>
      <c r="X70" s="59"/>
      <c r="Y70" s="559"/>
      <c r="Z70" s="559"/>
      <c r="AA70" s="61">
        <f t="shared" si="48"/>
        <v>-102.26856688621365</v>
      </c>
      <c r="AB70" s="377">
        <f t="shared" si="49"/>
        <v>0.96281143022319504</v>
      </c>
      <c r="AC70" s="566"/>
    </row>
    <row r="71" spans="1:29" ht="15.75" customHeight="1">
      <c r="A71" s="563" t="s">
        <v>171</v>
      </c>
      <c r="B71" s="388" t="s">
        <v>15</v>
      </c>
      <c r="C71" s="560" t="s">
        <v>43</v>
      </c>
      <c r="D71" s="560"/>
      <c r="E71" s="57">
        <v>20.2</v>
      </c>
      <c r="F71" s="388">
        <v>2247</v>
      </c>
      <c r="G71" s="376">
        <f t="shared" ref="G71:G76" si="50">E71*F71</f>
        <v>45389.4</v>
      </c>
      <c r="H71" s="390" t="s">
        <v>5</v>
      </c>
      <c r="I71" s="386">
        <v>19</v>
      </c>
      <c r="J71" s="58">
        <v>2400</v>
      </c>
      <c r="K71" s="59">
        <f t="shared" si="43"/>
        <v>126.31578947368421</v>
      </c>
      <c r="L71" s="386">
        <v>19</v>
      </c>
      <c r="M71" s="60">
        <f t="shared" ref="M71:M76" si="51">F71/V71*60</f>
        <v>2285.0847457627115</v>
      </c>
      <c r="N71" s="59">
        <f t="shared" si="44"/>
        <v>120.26761819803744</v>
      </c>
      <c r="O71" s="61">
        <f t="shared" si="45"/>
        <v>0</v>
      </c>
      <c r="P71" s="62">
        <f t="shared" si="46"/>
        <v>-6.0481712756467658</v>
      </c>
      <c r="Q71" s="377">
        <f t="shared" si="47"/>
        <v>0.95211864406779645</v>
      </c>
      <c r="R71" s="566">
        <f>Q77</f>
        <v>0.9550656844657992</v>
      </c>
      <c r="S71" s="63">
        <v>8.3333333333333329E-2</v>
      </c>
      <c r="T71" s="63">
        <v>0.12430555555555556</v>
      </c>
      <c r="U71" s="68"/>
      <c r="V71" s="387">
        <f t="shared" ref="V71:V76" si="52">(T71-S71)*24*60</f>
        <v>59.000000000000007</v>
      </c>
      <c r="W71" s="64">
        <f>T71</f>
        <v>0.12430555555555556</v>
      </c>
      <c r="X71" s="64">
        <f>S72</f>
        <v>0.14444444444444446</v>
      </c>
      <c r="Y71" s="559"/>
      <c r="Z71" s="559"/>
      <c r="AA71" s="61">
        <f t="shared" si="48"/>
        <v>-114.91525423728854</v>
      </c>
      <c r="AB71" s="377">
        <f t="shared" si="49"/>
        <v>0.95211864406779645</v>
      </c>
      <c r="AC71" s="566">
        <f>AB77</f>
        <v>0.95506568446579909</v>
      </c>
    </row>
    <row r="72" spans="1:29" ht="15.75" customHeight="1">
      <c r="A72" s="564" t="s">
        <v>171</v>
      </c>
      <c r="B72" s="388" t="s">
        <v>15</v>
      </c>
      <c r="C72" s="560" t="s">
        <v>24</v>
      </c>
      <c r="D72" s="560"/>
      <c r="E72" s="57">
        <v>20.52</v>
      </c>
      <c r="F72" s="388">
        <v>3225</v>
      </c>
      <c r="G72" s="376">
        <f t="shared" si="50"/>
        <v>66177</v>
      </c>
      <c r="H72" s="390" t="s">
        <v>5</v>
      </c>
      <c r="I72" s="386">
        <v>18</v>
      </c>
      <c r="J72" s="58">
        <v>2400</v>
      </c>
      <c r="K72" s="59">
        <f t="shared" si="43"/>
        <v>133.33333333333334</v>
      </c>
      <c r="L72" s="386">
        <v>18</v>
      </c>
      <c r="M72" s="60">
        <f t="shared" si="51"/>
        <v>2303.5714285714289</v>
      </c>
      <c r="N72" s="59">
        <f t="shared" si="44"/>
        <v>127.9761904761905</v>
      </c>
      <c r="O72" s="61">
        <f t="shared" si="45"/>
        <v>0</v>
      </c>
      <c r="P72" s="62">
        <f t="shared" si="46"/>
        <v>-5.357142857142847</v>
      </c>
      <c r="Q72" s="377">
        <f t="shared" si="47"/>
        <v>0.9598214285714286</v>
      </c>
      <c r="R72" s="566"/>
      <c r="S72" s="63">
        <v>0.14444444444444446</v>
      </c>
      <c r="T72" s="63">
        <v>0.20277777777777778</v>
      </c>
      <c r="U72" s="376">
        <f t="shared" ref="U72:U76" si="53">(S72-T71)*24*60</f>
        <v>29.000000000000018</v>
      </c>
      <c r="V72" s="387">
        <f t="shared" si="52"/>
        <v>83.999999999999986</v>
      </c>
      <c r="W72" s="64"/>
      <c r="X72" s="64"/>
      <c r="Y72" s="559"/>
      <c r="Z72" s="559"/>
      <c r="AA72" s="61">
        <f t="shared" si="48"/>
        <v>-96.428571428571104</v>
      </c>
      <c r="AB72" s="377">
        <f t="shared" si="49"/>
        <v>0.95982142857142871</v>
      </c>
      <c r="AC72" s="566"/>
    </row>
    <row r="73" spans="1:29" ht="15.75" customHeight="1">
      <c r="A73" s="564" t="s">
        <v>1784</v>
      </c>
      <c r="B73" s="388" t="s">
        <v>15</v>
      </c>
      <c r="C73" s="560" t="s">
        <v>44</v>
      </c>
      <c r="D73" s="560"/>
      <c r="E73" s="57">
        <v>19.02</v>
      </c>
      <c r="F73" s="388">
        <v>4500</v>
      </c>
      <c r="G73" s="376">
        <f t="shared" si="50"/>
        <v>85590</v>
      </c>
      <c r="H73" s="390">
        <v>2</v>
      </c>
      <c r="I73" s="386">
        <v>15</v>
      </c>
      <c r="J73" s="58">
        <v>2400</v>
      </c>
      <c r="K73" s="59">
        <f t="shared" si="43"/>
        <v>160</v>
      </c>
      <c r="L73" s="386">
        <v>15</v>
      </c>
      <c r="M73" s="60">
        <f t="shared" si="51"/>
        <v>2288.1355932203387</v>
      </c>
      <c r="N73" s="59">
        <f t="shared" si="44"/>
        <v>152.5423728813559</v>
      </c>
      <c r="O73" s="61">
        <f t="shared" si="45"/>
        <v>0</v>
      </c>
      <c r="P73" s="62">
        <f t="shared" si="46"/>
        <v>-7.4576271186440977</v>
      </c>
      <c r="Q73" s="377">
        <f t="shared" si="47"/>
        <v>0.95338983050847437</v>
      </c>
      <c r="R73" s="566"/>
      <c r="S73" s="63">
        <v>0.20833333333333334</v>
      </c>
      <c r="T73" s="63">
        <v>0.2902777777777778</v>
      </c>
      <c r="U73" s="376">
        <f t="shared" si="53"/>
        <v>8.0000000000000107</v>
      </c>
      <c r="V73" s="387">
        <f t="shared" si="52"/>
        <v>118.00000000000001</v>
      </c>
      <c r="W73" s="64"/>
      <c r="X73" s="64"/>
      <c r="Y73" s="559"/>
      <c r="Z73" s="559"/>
      <c r="AA73" s="61">
        <f t="shared" si="48"/>
        <v>-111.86440677966129</v>
      </c>
      <c r="AB73" s="377">
        <f t="shared" si="49"/>
        <v>0.95338983050847448</v>
      </c>
      <c r="AC73" s="566"/>
    </row>
    <row r="74" spans="1:29" ht="15.75" customHeight="1">
      <c r="A74" s="564" t="s">
        <v>171</v>
      </c>
      <c r="B74" s="388" t="s">
        <v>15</v>
      </c>
      <c r="C74" s="560" t="s">
        <v>29</v>
      </c>
      <c r="D74" s="560"/>
      <c r="E74" s="57">
        <v>24.43</v>
      </c>
      <c r="F74" s="388">
        <v>6848</v>
      </c>
      <c r="G74" s="376">
        <f t="shared" si="50"/>
        <v>167296.63999999998</v>
      </c>
      <c r="H74" s="390" t="s">
        <v>5</v>
      </c>
      <c r="I74" s="386">
        <v>14</v>
      </c>
      <c r="J74" s="58">
        <v>2400</v>
      </c>
      <c r="K74" s="59">
        <f t="shared" si="43"/>
        <v>171.42857142857142</v>
      </c>
      <c r="L74" s="386">
        <v>14</v>
      </c>
      <c r="M74" s="60">
        <f t="shared" si="51"/>
        <v>2295.4189944134077</v>
      </c>
      <c r="N74" s="59">
        <f t="shared" si="44"/>
        <v>163.95849960095771</v>
      </c>
      <c r="O74" s="61">
        <f t="shared" si="45"/>
        <v>0</v>
      </c>
      <c r="P74" s="62">
        <f t="shared" si="46"/>
        <v>-7.4700718276137081</v>
      </c>
      <c r="Q74" s="377">
        <f t="shared" si="47"/>
        <v>0.95642458100558669</v>
      </c>
      <c r="R74" s="566"/>
      <c r="S74" s="63">
        <v>0.2951388888888889</v>
      </c>
      <c r="T74" s="63">
        <v>0.41944444444444445</v>
      </c>
      <c r="U74" s="376">
        <f t="shared" si="53"/>
        <v>6.9999999999999751</v>
      </c>
      <c r="V74" s="387">
        <f t="shared" si="52"/>
        <v>179</v>
      </c>
      <c r="W74" s="64"/>
      <c r="X74" s="64"/>
      <c r="Y74" s="559"/>
      <c r="Z74" s="559"/>
      <c r="AA74" s="61">
        <f t="shared" si="48"/>
        <v>-104.58100558659225</v>
      </c>
      <c r="AB74" s="377">
        <f t="shared" si="49"/>
        <v>0.95642458100558658</v>
      </c>
      <c r="AC74" s="566"/>
    </row>
    <row r="75" spans="1:29" ht="15.75" customHeight="1">
      <c r="A75" s="564" t="s">
        <v>1785</v>
      </c>
      <c r="B75" s="388" t="s">
        <v>15</v>
      </c>
      <c r="C75" s="560" t="s">
        <v>1183</v>
      </c>
      <c r="D75" s="560"/>
      <c r="E75" s="57">
        <v>20.21</v>
      </c>
      <c r="F75" s="388">
        <v>4057</v>
      </c>
      <c r="G75" s="376">
        <f t="shared" si="50"/>
        <v>81991.97</v>
      </c>
      <c r="H75" s="390" t="s">
        <v>5</v>
      </c>
      <c r="I75" s="386">
        <v>16</v>
      </c>
      <c r="J75" s="58">
        <v>2400</v>
      </c>
      <c r="K75" s="59">
        <f t="shared" si="43"/>
        <v>150</v>
      </c>
      <c r="L75" s="386">
        <v>16</v>
      </c>
      <c r="M75" s="60">
        <f t="shared" si="51"/>
        <v>2296.4150943396216</v>
      </c>
      <c r="N75" s="59">
        <f t="shared" si="44"/>
        <v>143.52594339622635</v>
      </c>
      <c r="O75" s="61">
        <f t="shared" si="45"/>
        <v>0</v>
      </c>
      <c r="P75" s="62">
        <f t="shared" si="46"/>
        <v>-6.4740566037736471</v>
      </c>
      <c r="Q75" s="377">
        <f t="shared" si="47"/>
        <v>0.95683962264150901</v>
      </c>
      <c r="R75" s="566"/>
      <c r="S75" s="63">
        <v>0.42499999999999999</v>
      </c>
      <c r="T75" s="63">
        <v>0.49861111111111112</v>
      </c>
      <c r="U75" s="376">
        <f t="shared" si="53"/>
        <v>7.9999999999999716</v>
      </c>
      <c r="V75" s="387">
        <f t="shared" si="52"/>
        <v>106.00000000000003</v>
      </c>
      <c r="W75" s="64">
        <f>T75</f>
        <v>0.49861111111111112</v>
      </c>
      <c r="X75" s="64">
        <f>S76</f>
        <v>0.53888888888888886</v>
      </c>
      <c r="Y75" s="559"/>
      <c r="Z75" s="559"/>
      <c r="AA75" s="61">
        <f t="shared" si="48"/>
        <v>-103.58490566037835</v>
      </c>
      <c r="AB75" s="377">
        <f t="shared" si="49"/>
        <v>0.95683962264150901</v>
      </c>
      <c r="AC75" s="566"/>
    </row>
    <row r="76" spans="1:29" ht="15.75" customHeight="1">
      <c r="A76" s="564" t="s">
        <v>1786</v>
      </c>
      <c r="B76" s="388" t="s">
        <v>15</v>
      </c>
      <c r="C76" s="560" t="s">
        <v>44</v>
      </c>
      <c r="D76" s="560"/>
      <c r="E76" s="57">
        <v>19.02</v>
      </c>
      <c r="F76" s="388">
        <v>4759</v>
      </c>
      <c r="G76" s="376">
        <f t="shared" si="50"/>
        <v>90516.18</v>
      </c>
      <c r="H76" s="390" t="s">
        <v>5</v>
      </c>
      <c r="I76" s="386">
        <v>15</v>
      </c>
      <c r="J76" s="58">
        <v>2400</v>
      </c>
      <c r="K76" s="59">
        <f t="shared" si="43"/>
        <v>160</v>
      </c>
      <c r="L76" s="386">
        <v>15</v>
      </c>
      <c r="M76" s="60">
        <f t="shared" si="51"/>
        <v>2284.3199999999993</v>
      </c>
      <c r="N76" s="59">
        <f t="shared" si="44"/>
        <v>152.28799999999995</v>
      </c>
      <c r="O76" s="61">
        <f t="shared" si="45"/>
        <v>0</v>
      </c>
      <c r="P76" s="62">
        <f t="shared" si="46"/>
        <v>-7.7120000000000459</v>
      </c>
      <c r="Q76" s="377">
        <f t="shared" si="47"/>
        <v>0.95179999999999976</v>
      </c>
      <c r="R76" s="566"/>
      <c r="S76" s="63">
        <v>0.53888888888888886</v>
      </c>
      <c r="T76" s="63">
        <v>0.62569444444444444</v>
      </c>
      <c r="U76" s="376">
        <f t="shared" si="53"/>
        <v>57.999999999999957</v>
      </c>
      <c r="V76" s="387">
        <f t="shared" si="52"/>
        <v>125.00000000000003</v>
      </c>
      <c r="W76" s="64"/>
      <c r="X76" s="64"/>
      <c r="Y76" s="559"/>
      <c r="Z76" s="559"/>
      <c r="AA76" s="61">
        <f t="shared" si="48"/>
        <v>-115.68000000000075</v>
      </c>
      <c r="AB76" s="377">
        <f t="shared" si="49"/>
        <v>0.95179999999999965</v>
      </c>
      <c r="AC76" s="566"/>
    </row>
    <row r="77" spans="1:29" ht="16.5" customHeight="1">
      <c r="A77" s="565" t="s">
        <v>1787</v>
      </c>
      <c r="B77" s="57" t="s">
        <v>1388</v>
      </c>
      <c r="C77" s="561"/>
      <c r="D77" s="562"/>
      <c r="E77" s="378"/>
      <c r="F77" s="66"/>
      <c r="G77" s="59"/>
      <c r="H77" s="388"/>
      <c r="I77" s="67">
        <v>16.166666666666668</v>
      </c>
      <c r="J77" s="58">
        <v>2400</v>
      </c>
      <c r="K77" s="59">
        <f t="shared" si="43"/>
        <v>148.45360824742266</v>
      </c>
      <c r="L77" s="67">
        <v>16.166666666666668</v>
      </c>
      <c r="M77" s="60">
        <f>AVERAGE(M71:M76)</f>
        <v>2292.157642717918</v>
      </c>
      <c r="N77" s="59">
        <f t="shared" si="44"/>
        <v>141.78294697224234</v>
      </c>
      <c r="O77" s="61">
        <f t="shared" si="45"/>
        <v>0</v>
      </c>
      <c r="P77" s="62">
        <f t="shared" si="46"/>
        <v>-6.670661275180322</v>
      </c>
      <c r="Q77" s="377">
        <f t="shared" si="47"/>
        <v>0.9550656844657992</v>
      </c>
      <c r="R77" s="566"/>
      <c r="S77" s="63"/>
      <c r="T77" s="63"/>
      <c r="U77" s="59"/>
      <c r="V77" s="387"/>
      <c r="W77" s="59"/>
      <c r="X77" s="59"/>
      <c r="Y77" s="559"/>
      <c r="Z77" s="559"/>
      <c r="AA77" s="61">
        <f t="shared" si="48"/>
        <v>-107.84235728208205</v>
      </c>
      <c r="AB77" s="377">
        <f t="shared" si="49"/>
        <v>0.95506568446579909</v>
      </c>
      <c r="AC77" s="566"/>
    </row>
    <row r="78" spans="1:29">
      <c r="D78" s="80"/>
      <c r="E78" s="80"/>
    </row>
  </sheetData>
  <mergeCells count="200"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C8:D8"/>
    <mergeCell ref="Y8:Z8"/>
    <mergeCell ref="C9:D9"/>
    <mergeCell ref="Y9:Z9"/>
    <mergeCell ref="A10:A12"/>
    <mergeCell ref="C10:D10"/>
    <mergeCell ref="R10:R12"/>
    <mergeCell ref="Y10:Z10"/>
    <mergeCell ref="AC3:AC4"/>
    <mergeCell ref="A5:A9"/>
    <mergeCell ref="C5:D5"/>
    <mergeCell ref="R5:R9"/>
    <mergeCell ref="Y5:Z5"/>
    <mergeCell ref="AC5:AC9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AC10:AC12"/>
    <mergeCell ref="C11:D11"/>
    <mergeCell ref="Y11:Z11"/>
    <mergeCell ref="C12:D12"/>
    <mergeCell ref="Y12:Z12"/>
    <mergeCell ref="A13:A21"/>
    <mergeCell ref="C13:D13"/>
    <mergeCell ref="R13:R21"/>
    <mergeCell ref="Y13:Z13"/>
    <mergeCell ref="AC13:AC21"/>
    <mergeCell ref="C17:D17"/>
    <mergeCell ref="Y17:Z17"/>
    <mergeCell ref="C18:D18"/>
    <mergeCell ref="Y18:Z18"/>
    <mergeCell ref="Y19:Z19"/>
    <mergeCell ref="Y20:Z20"/>
    <mergeCell ref="C14:D14"/>
    <mergeCell ref="Y14:Z14"/>
    <mergeCell ref="C15:D15"/>
    <mergeCell ref="Y15:Z15"/>
    <mergeCell ref="C16:D16"/>
    <mergeCell ref="Y16:Z16"/>
    <mergeCell ref="C21:D21"/>
    <mergeCell ref="Y21:Z21"/>
    <mergeCell ref="A22:A30"/>
    <mergeCell ref="C22:D22"/>
    <mergeCell ref="R22:R30"/>
    <mergeCell ref="Y22:Z22"/>
    <mergeCell ref="Y27:Z27"/>
    <mergeCell ref="C28:D28"/>
    <mergeCell ref="Y28:Z28"/>
    <mergeCell ref="C29:D29"/>
    <mergeCell ref="AC22:AC30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Y29:Z29"/>
    <mergeCell ref="C30:D30"/>
    <mergeCell ref="Y30:Z30"/>
    <mergeCell ref="A31:A39"/>
    <mergeCell ref="C31:D31"/>
    <mergeCell ref="R31:R39"/>
    <mergeCell ref="Y31:Z31"/>
    <mergeCell ref="Y36:Z36"/>
    <mergeCell ref="C37:D37"/>
    <mergeCell ref="Y37:Z37"/>
    <mergeCell ref="AC31:AC39"/>
    <mergeCell ref="C32:D32"/>
    <mergeCell ref="Y32:Z32"/>
    <mergeCell ref="C33:D33"/>
    <mergeCell ref="Y33:Z33"/>
    <mergeCell ref="C34:D34"/>
    <mergeCell ref="Y34:Z34"/>
    <mergeCell ref="C35:D35"/>
    <mergeCell ref="Y35:Z35"/>
    <mergeCell ref="C36:D36"/>
    <mergeCell ref="C38:D38"/>
    <mergeCell ref="Y38:Z38"/>
    <mergeCell ref="C39:D39"/>
    <mergeCell ref="Y39:Z39"/>
    <mergeCell ref="AC40:AC46"/>
    <mergeCell ref="C41:D41"/>
    <mergeCell ref="Y41:Z41"/>
    <mergeCell ref="C42:D42"/>
    <mergeCell ref="Y42:Z42"/>
    <mergeCell ref="C43:D43"/>
    <mergeCell ref="Y43:Z43"/>
    <mergeCell ref="C44:D44"/>
    <mergeCell ref="Y44:Z44"/>
    <mergeCell ref="C45:D45"/>
    <mergeCell ref="Y46:Z46"/>
    <mergeCell ref="A47:A55"/>
    <mergeCell ref="C47:D47"/>
    <mergeCell ref="R47:R55"/>
    <mergeCell ref="Y47:Z47"/>
    <mergeCell ref="C48:D48"/>
    <mergeCell ref="Y48:Z48"/>
    <mergeCell ref="C49:D49"/>
    <mergeCell ref="Y49:Z49"/>
    <mergeCell ref="A40:A46"/>
    <mergeCell ref="C40:D40"/>
    <mergeCell ref="R40:R46"/>
    <mergeCell ref="Y40:Z40"/>
    <mergeCell ref="Y45:Z45"/>
    <mergeCell ref="C46:D46"/>
    <mergeCell ref="AC56:AC63"/>
    <mergeCell ref="C57:D57"/>
    <mergeCell ref="Y57:Z57"/>
    <mergeCell ref="C58:D58"/>
    <mergeCell ref="C61:D61"/>
    <mergeCell ref="Y61:Z61"/>
    <mergeCell ref="C53:D53"/>
    <mergeCell ref="Y53:Z53"/>
    <mergeCell ref="C54:D54"/>
    <mergeCell ref="Y54:Z54"/>
    <mergeCell ref="C55:D55"/>
    <mergeCell ref="Y55:Z55"/>
    <mergeCell ref="AC47:AC55"/>
    <mergeCell ref="C62:D62"/>
    <mergeCell ref="Y62:Z62"/>
    <mergeCell ref="C63:D63"/>
    <mergeCell ref="Y63:Z63"/>
    <mergeCell ref="C50:D50"/>
    <mergeCell ref="Y50:Z50"/>
    <mergeCell ref="C51:D51"/>
    <mergeCell ref="Y51:Z51"/>
    <mergeCell ref="C52:D52"/>
    <mergeCell ref="Y52:Z52"/>
    <mergeCell ref="A64:A70"/>
    <mergeCell ref="C64:D64"/>
    <mergeCell ref="R64:R70"/>
    <mergeCell ref="Y64:Z64"/>
    <mergeCell ref="Y69:Z69"/>
    <mergeCell ref="C70:D70"/>
    <mergeCell ref="A56:A63"/>
    <mergeCell ref="C56:D56"/>
    <mergeCell ref="R56:R63"/>
    <mergeCell ref="Y56:Z56"/>
    <mergeCell ref="AC64:AC70"/>
    <mergeCell ref="C65:D65"/>
    <mergeCell ref="Y65:Z65"/>
    <mergeCell ref="C66:D66"/>
    <mergeCell ref="Y66:Z66"/>
    <mergeCell ref="C67:D67"/>
    <mergeCell ref="Y67:Z67"/>
    <mergeCell ref="C68:D68"/>
    <mergeCell ref="Y68:Z68"/>
    <mergeCell ref="C69:D69"/>
    <mergeCell ref="Y70:Z70"/>
    <mergeCell ref="A71:A77"/>
    <mergeCell ref="C71:D71"/>
    <mergeCell ref="R71:R77"/>
    <mergeCell ref="Y71:Z71"/>
    <mergeCell ref="AC71:AC77"/>
    <mergeCell ref="C72:D72"/>
    <mergeCell ref="Y72:Z72"/>
    <mergeCell ref="C73:D73"/>
    <mergeCell ref="Y73:Z73"/>
    <mergeCell ref="C77:D77"/>
    <mergeCell ref="Y77:Z77"/>
    <mergeCell ref="C74:D74"/>
    <mergeCell ref="Y74:Z74"/>
    <mergeCell ref="C75:D75"/>
    <mergeCell ref="Y75:Z75"/>
    <mergeCell ref="C76:D76"/>
    <mergeCell ref="Y76:Z76"/>
  </mergeCells>
  <phoneticPr fontId="3" type="noConversion"/>
  <conditionalFormatting sqref="O63:O64 O67:O77 O5:O10 O12:O14 O55:O61 O21:O52">
    <cfRule type="cellIs" dxfId="1541" priority="66" operator="greaterThan">
      <formula>0</formula>
    </cfRule>
  </conditionalFormatting>
  <conditionalFormatting sqref="P5:P8 P67:P69 AA67:AA69 P71:P76 P31:P38 P64 P10 P12:P14 P22:P29 P56:P61 P40:P52 AA5:AA64 AA71:AA77">
    <cfRule type="cellIs" dxfId="1540" priority="70" operator="lessThan">
      <formula>0</formula>
    </cfRule>
  </conditionalFormatting>
  <conditionalFormatting sqref="AB67:AB69 Q63:Q64 Q67:Q77 Q5:Q10 Q12:Q14 Q55:Q61 Q21:Q52 AB5:AB64 AB71:AB77">
    <cfRule type="cellIs" dxfId="1539" priority="67" operator="greaterThan">
      <formula>1</formula>
    </cfRule>
    <cfRule type="cellIs" dxfId="1538" priority="68" operator="lessThan">
      <formula>0.8</formula>
    </cfRule>
  </conditionalFormatting>
  <conditionalFormatting sqref="AC13:AC14 R13:R14 AC67 R21:R27 AC21:AC27 AC63:AC64 R63:R64 R67:R77 AC5:AC10 R5:R10 R30:R52 AC30:AC52 AC55:AC61 R55:R61">
    <cfRule type="cellIs" dxfId="1537" priority="72" operator="lessThan">
      <formula>0.8</formula>
    </cfRule>
  </conditionalFormatting>
  <conditionalFormatting sqref="AC47">
    <cfRule type="cellIs" dxfId="1536" priority="74" operator="lessThan">
      <formula>0.8</formula>
    </cfRule>
  </conditionalFormatting>
  <conditionalFormatting sqref="AC22:AC27">
    <cfRule type="cellIs" dxfId="1535" priority="71" operator="lessThan">
      <formula>0.8</formula>
    </cfRule>
  </conditionalFormatting>
  <conditionalFormatting sqref="AC31">
    <cfRule type="cellIs" dxfId="1534" priority="73" operator="lessThan">
      <formula>0.8</formula>
    </cfRule>
  </conditionalFormatting>
  <conditionalFormatting sqref="AC40:AC45">
    <cfRule type="cellIs" dxfId="1533" priority="69" operator="lessThan">
      <formula>0.8</formula>
    </cfRule>
  </conditionalFormatting>
  <conditionalFormatting sqref="AA70">
    <cfRule type="cellIs" dxfId="1532" priority="65" operator="lessThan">
      <formula>0</formula>
    </cfRule>
  </conditionalFormatting>
  <conditionalFormatting sqref="AB70">
    <cfRule type="cellIs" dxfId="1531" priority="63" operator="greaterThan">
      <formula>1</formula>
    </cfRule>
    <cfRule type="cellIs" dxfId="1530" priority="64" operator="lessThan">
      <formula>0.8</formula>
    </cfRule>
  </conditionalFormatting>
  <conditionalFormatting sqref="O15:O16">
    <cfRule type="cellIs" dxfId="1529" priority="58" operator="greaterThan">
      <formula>0</formula>
    </cfRule>
  </conditionalFormatting>
  <conditionalFormatting sqref="P15:P16">
    <cfRule type="cellIs" dxfId="1528" priority="61" operator="lessThan">
      <formula>0</formula>
    </cfRule>
  </conditionalFormatting>
  <conditionalFormatting sqref="Q15:Q16">
    <cfRule type="cellIs" dxfId="1527" priority="59" operator="greaterThan">
      <formula>1</formula>
    </cfRule>
    <cfRule type="cellIs" dxfId="1526" priority="60" operator="lessThan">
      <formula>0.8</formula>
    </cfRule>
  </conditionalFormatting>
  <conditionalFormatting sqref="R15:R16 AC15:AC16">
    <cfRule type="cellIs" dxfId="1525" priority="62" operator="lessThan">
      <formula>0.8</formula>
    </cfRule>
  </conditionalFormatting>
  <conditionalFormatting sqref="O11">
    <cfRule type="cellIs" dxfId="1524" priority="54" operator="greaterThan">
      <formula>0</formula>
    </cfRule>
  </conditionalFormatting>
  <conditionalFormatting sqref="P11">
    <cfRule type="cellIs" dxfId="1523" priority="57" operator="lessThan">
      <formula>0</formula>
    </cfRule>
  </conditionalFormatting>
  <conditionalFormatting sqref="Q11">
    <cfRule type="cellIs" dxfId="1522" priority="55" operator="greaterThan">
      <formula>1</formula>
    </cfRule>
    <cfRule type="cellIs" dxfId="1521" priority="56" operator="lessThan">
      <formula>0.8</formula>
    </cfRule>
  </conditionalFormatting>
  <conditionalFormatting sqref="O62">
    <cfRule type="cellIs" dxfId="1520" priority="49" operator="greaterThan">
      <formula>0</formula>
    </cfRule>
  </conditionalFormatting>
  <conditionalFormatting sqref="P62">
    <cfRule type="cellIs" dxfId="1519" priority="52" operator="lessThan">
      <formula>0</formula>
    </cfRule>
  </conditionalFormatting>
  <conditionalFormatting sqref="Q62">
    <cfRule type="cellIs" dxfId="1518" priority="50" operator="greaterThan">
      <formula>1</formula>
    </cfRule>
    <cfRule type="cellIs" dxfId="1517" priority="51" operator="lessThan">
      <formula>0.8</formula>
    </cfRule>
  </conditionalFormatting>
  <conditionalFormatting sqref="R62 AC62">
    <cfRule type="cellIs" dxfId="1516" priority="53" operator="lessThan">
      <formula>0.8</formula>
    </cfRule>
  </conditionalFormatting>
  <conditionalFormatting sqref="AC29 R29">
    <cfRule type="cellIs" dxfId="1515" priority="48" operator="lessThan">
      <formula>0.8</formula>
    </cfRule>
  </conditionalFormatting>
  <conditionalFormatting sqref="O66">
    <cfRule type="cellIs" dxfId="1514" priority="43" operator="greaterThan">
      <formula>0</formula>
    </cfRule>
  </conditionalFormatting>
  <conditionalFormatting sqref="P66 AA66">
    <cfRule type="cellIs" dxfId="1513" priority="46" operator="lessThan">
      <formula>0</formula>
    </cfRule>
  </conditionalFormatting>
  <conditionalFormatting sqref="Q66 AB66">
    <cfRule type="cellIs" dxfId="1512" priority="44" operator="greaterThan">
      <formula>1</formula>
    </cfRule>
    <cfRule type="cellIs" dxfId="1511" priority="45" operator="lessThan">
      <formula>0.8</formula>
    </cfRule>
  </conditionalFormatting>
  <conditionalFormatting sqref="R66 AC66">
    <cfRule type="cellIs" dxfId="1510" priority="47" operator="lessThan">
      <formula>0.8</formula>
    </cfRule>
  </conditionalFormatting>
  <conditionalFormatting sqref="O17:O18">
    <cfRule type="cellIs" dxfId="1509" priority="38" operator="greaterThan">
      <formula>0</formula>
    </cfRule>
  </conditionalFormatting>
  <conditionalFormatting sqref="P17:P18">
    <cfRule type="cellIs" dxfId="1508" priority="41" operator="lessThan">
      <formula>0</formula>
    </cfRule>
  </conditionalFormatting>
  <conditionalFormatting sqref="Q17:Q18">
    <cfRule type="cellIs" dxfId="1507" priority="39" operator="greaterThan">
      <formula>1</formula>
    </cfRule>
    <cfRule type="cellIs" dxfId="1506" priority="40" operator="lessThan">
      <formula>0.8</formula>
    </cfRule>
  </conditionalFormatting>
  <conditionalFormatting sqref="R17:R18 AC17:AC18">
    <cfRule type="cellIs" dxfId="1505" priority="42" operator="lessThan">
      <formula>0.8</formula>
    </cfRule>
  </conditionalFormatting>
  <conditionalFormatting sqref="O53">
    <cfRule type="cellIs" dxfId="1504" priority="32" operator="greaterThan">
      <formula>0</formula>
    </cfRule>
  </conditionalFormatting>
  <conditionalFormatting sqref="P53">
    <cfRule type="cellIs" dxfId="1503" priority="36" operator="lessThan">
      <formula>0</formula>
    </cfRule>
  </conditionalFormatting>
  <conditionalFormatting sqref="Q53">
    <cfRule type="cellIs" dxfId="1502" priority="33" operator="greaterThan">
      <formula>1</formula>
    </cfRule>
    <cfRule type="cellIs" dxfId="1501" priority="34" operator="lessThan">
      <formula>0.8</formula>
    </cfRule>
  </conditionalFormatting>
  <conditionalFormatting sqref="R53 AC53">
    <cfRule type="cellIs" dxfId="1500" priority="37" operator="lessThan">
      <formula>0.8</formula>
    </cfRule>
  </conditionalFormatting>
  <conditionalFormatting sqref="AC53">
    <cfRule type="cellIs" dxfId="1499" priority="35" operator="lessThan">
      <formula>0.8</formula>
    </cfRule>
  </conditionalFormatting>
  <conditionalFormatting sqref="O54">
    <cfRule type="cellIs" dxfId="1498" priority="26" operator="greaterThan">
      <formula>0</formula>
    </cfRule>
  </conditionalFormatting>
  <conditionalFormatting sqref="P54">
    <cfRule type="cellIs" dxfId="1497" priority="30" operator="lessThan">
      <formula>0</formula>
    </cfRule>
  </conditionalFormatting>
  <conditionalFormatting sqref="Q54">
    <cfRule type="cellIs" dxfId="1496" priority="27" operator="greaterThan">
      <formula>1</formula>
    </cfRule>
    <cfRule type="cellIs" dxfId="1495" priority="28" operator="lessThan">
      <formula>0.8</formula>
    </cfRule>
  </conditionalFormatting>
  <conditionalFormatting sqref="R54 AC54">
    <cfRule type="cellIs" dxfId="1494" priority="31" operator="lessThan">
      <formula>0.8</formula>
    </cfRule>
  </conditionalFormatting>
  <conditionalFormatting sqref="AC54">
    <cfRule type="cellIs" dxfId="1493" priority="29" operator="lessThan">
      <formula>0.8</formula>
    </cfRule>
  </conditionalFormatting>
  <conditionalFormatting sqref="R28 AC28">
    <cfRule type="cellIs" dxfId="1492" priority="25" operator="lessThan">
      <formula>0.8</formula>
    </cfRule>
  </conditionalFormatting>
  <conditionalFormatting sqref="AC28">
    <cfRule type="cellIs" dxfId="1491" priority="24" operator="lessThan">
      <formula>0.8</formula>
    </cfRule>
  </conditionalFormatting>
  <conditionalFormatting sqref="O65">
    <cfRule type="cellIs" dxfId="1490" priority="19" operator="greaterThan">
      <formula>0</formula>
    </cfRule>
  </conditionalFormatting>
  <conditionalFormatting sqref="P65 AA65">
    <cfRule type="cellIs" dxfId="1489" priority="22" operator="lessThan">
      <formula>0</formula>
    </cfRule>
  </conditionalFormatting>
  <conditionalFormatting sqref="Q65 AB65">
    <cfRule type="cellIs" dxfId="1488" priority="20" operator="greaterThan">
      <formula>1</formula>
    </cfRule>
    <cfRule type="cellIs" dxfId="1487" priority="21" operator="lessThan">
      <formula>0.8</formula>
    </cfRule>
  </conditionalFormatting>
  <conditionalFormatting sqref="R65 AC65">
    <cfRule type="cellIs" dxfId="1486" priority="23" operator="lessThan">
      <formula>0.8</formula>
    </cfRule>
  </conditionalFormatting>
  <conditionalFormatting sqref="O19">
    <cfRule type="cellIs" dxfId="1485" priority="14" operator="greaterThan">
      <formula>0</formula>
    </cfRule>
  </conditionalFormatting>
  <conditionalFormatting sqref="P19">
    <cfRule type="cellIs" dxfId="1484" priority="17" operator="lessThan">
      <formula>0</formula>
    </cfRule>
  </conditionalFormatting>
  <conditionalFormatting sqref="Q19">
    <cfRule type="cellIs" dxfId="1483" priority="15" operator="greaterThan">
      <formula>1</formula>
    </cfRule>
    <cfRule type="cellIs" dxfId="1482" priority="16" operator="lessThan">
      <formula>0.8</formula>
    </cfRule>
  </conditionalFormatting>
  <conditionalFormatting sqref="AC19 R19">
    <cfRule type="cellIs" dxfId="1481" priority="18" operator="lessThan">
      <formula>0.8</formula>
    </cfRule>
  </conditionalFormatting>
  <conditionalFormatting sqref="O20">
    <cfRule type="cellIs" dxfId="1480" priority="9" operator="greaterThan">
      <formula>0</formula>
    </cfRule>
  </conditionalFormatting>
  <conditionalFormatting sqref="P20">
    <cfRule type="cellIs" dxfId="1479" priority="12" operator="lessThan">
      <formula>0</formula>
    </cfRule>
  </conditionalFormatting>
  <conditionalFormatting sqref="Q20">
    <cfRule type="cellIs" dxfId="1478" priority="10" operator="greaterThan">
      <formula>1</formula>
    </cfRule>
    <cfRule type="cellIs" dxfId="1477" priority="11" operator="lessThan">
      <formula>0.8</formula>
    </cfRule>
  </conditionalFormatting>
  <conditionalFormatting sqref="AC20 R20">
    <cfRule type="cellIs" dxfId="1476" priority="13" operator="lessThan">
      <formula>0.8</formula>
    </cfRule>
  </conditionalFormatting>
  <conditionalFormatting sqref="P9">
    <cfRule type="cellIs" dxfId="1475" priority="8" operator="lessThan">
      <formula>0</formula>
    </cfRule>
  </conditionalFormatting>
  <conditionalFormatting sqref="P21">
    <cfRule type="cellIs" dxfId="1474" priority="7" operator="lessThan">
      <formula>0</formula>
    </cfRule>
  </conditionalFormatting>
  <conditionalFormatting sqref="P30">
    <cfRule type="cellIs" dxfId="1473" priority="6" operator="lessThan">
      <formula>0</formula>
    </cfRule>
  </conditionalFormatting>
  <conditionalFormatting sqref="P39">
    <cfRule type="cellIs" dxfId="1472" priority="5" operator="lessThan">
      <formula>0</formula>
    </cfRule>
  </conditionalFormatting>
  <conditionalFormatting sqref="P55">
    <cfRule type="cellIs" dxfId="1471" priority="4" operator="lessThan">
      <formula>0</formula>
    </cfRule>
  </conditionalFormatting>
  <conditionalFormatting sqref="P63">
    <cfRule type="cellIs" dxfId="1470" priority="3" operator="lessThan">
      <formula>0</formula>
    </cfRule>
  </conditionalFormatting>
  <conditionalFormatting sqref="P70">
    <cfRule type="cellIs" dxfId="1469" priority="2" operator="lessThan">
      <formula>0</formula>
    </cfRule>
  </conditionalFormatting>
  <conditionalFormatting sqref="P77">
    <cfRule type="cellIs" dxfId="1468" priority="1" operator="lessThan">
      <formula>0</formula>
    </cfRule>
  </conditionalFormatting>
  <dataValidations count="1">
    <dataValidation type="list" allowBlank="1" showInputMessage="1" showErrorMessage="1" sqref="Z9 Z68:Z69 Y5:Z8 Y9:Y69 Z11:Z64 Y70:Z77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="85" zoomScaleNormal="85" workbookViewId="0">
      <selection activeCell="C24" sqref="C24"/>
    </sheetView>
  </sheetViews>
  <sheetFormatPr defaultColWidth="8.75" defaultRowHeight="15.75"/>
  <cols>
    <col min="1" max="1" width="8.75" style="2"/>
    <col min="2" max="2" width="17.875" style="2" customWidth="1"/>
    <col min="3" max="3" width="9.25" style="9" customWidth="1"/>
    <col min="4" max="13" width="12.625" style="2" customWidth="1"/>
    <col min="14" max="14" width="11" style="2" bestFit="1" customWidth="1"/>
    <col min="15" max="15" width="17.75" style="2" bestFit="1" customWidth="1"/>
    <col min="16" max="16" width="12.25" style="2" bestFit="1" customWidth="1"/>
    <col min="17" max="22" width="9.25" style="2" customWidth="1"/>
    <col min="23" max="23" width="10.75" style="2" customWidth="1"/>
    <col min="24" max="24" width="11" style="2" customWidth="1"/>
    <col min="25" max="16384" width="8.75" style="2"/>
  </cols>
  <sheetData>
    <row r="1" spans="2:17" ht="27.75" customHeight="1">
      <c r="B1" s="546" t="s">
        <v>1620</v>
      </c>
      <c r="C1" s="546"/>
      <c r="D1" s="546"/>
      <c r="E1" s="546"/>
      <c r="F1" s="546"/>
      <c r="G1" s="546"/>
      <c r="H1" s="546"/>
      <c r="I1" s="546"/>
      <c r="J1" s="546"/>
      <c r="K1" s="1"/>
      <c r="L1" s="1"/>
      <c r="M1" s="1"/>
      <c r="N1" s="1"/>
      <c r="O1" s="1"/>
      <c r="P1" s="1"/>
    </row>
    <row r="2" spans="2:17" ht="27.75" customHeight="1">
      <c r="B2" s="547"/>
      <c r="C2" s="547"/>
      <c r="D2" s="547"/>
      <c r="E2" s="547"/>
      <c r="F2" s="547"/>
      <c r="G2" s="547"/>
      <c r="H2" s="547"/>
      <c r="I2" s="547"/>
      <c r="J2" s="547"/>
      <c r="K2" s="3"/>
      <c r="L2" s="3"/>
      <c r="M2" s="3"/>
      <c r="N2" s="1"/>
      <c r="O2" s="1"/>
      <c r="P2" s="1"/>
    </row>
    <row r="3" spans="2:17" ht="46.5" customHeight="1">
      <c r="B3" s="4" t="s">
        <v>1621</v>
      </c>
      <c r="C3" s="548" t="str">
        <f>TEXT('1222 4度C'!A2,"yyyy.mm.ddaaaa")</f>
        <v>2025.12.22星期一</v>
      </c>
      <c r="D3" s="549"/>
      <c r="E3" s="4" t="s">
        <v>1622</v>
      </c>
      <c r="F3" s="550">
        <f>'1222 4度C'!D1</f>
        <v>182868</v>
      </c>
      <c r="G3" s="551"/>
      <c r="H3" s="4" t="s">
        <v>1623</v>
      </c>
      <c r="I3" s="552">
        <f>'1222 4度C'!F1</f>
        <v>6221505.4300000025</v>
      </c>
      <c r="J3" s="553"/>
      <c r="K3" s="5"/>
      <c r="L3" s="6"/>
      <c r="M3" s="7"/>
      <c r="N3" s="7"/>
    </row>
    <row r="4" spans="2:17" ht="28.5" customHeight="1">
      <c r="B4" s="554" t="s">
        <v>1624</v>
      </c>
      <c r="C4" s="536" t="s">
        <v>1625</v>
      </c>
      <c r="D4" s="537"/>
      <c r="E4" s="557" t="s">
        <v>1626</v>
      </c>
      <c r="F4" s="558"/>
      <c r="G4" s="557" t="s">
        <v>1627</v>
      </c>
      <c r="H4" s="558"/>
      <c r="I4" s="557" t="s">
        <v>1628</v>
      </c>
      <c r="J4" s="558"/>
      <c r="L4" s="7"/>
      <c r="M4" s="7"/>
      <c r="N4" s="7"/>
    </row>
    <row r="5" spans="2:17" ht="28.5" customHeight="1">
      <c r="B5" s="555"/>
      <c r="C5" s="536" t="s">
        <v>1629</v>
      </c>
      <c r="D5" s="537"/>
      <c r="E5" s="536" t="s">
        <v>1630</v>
      </c>
      <c r="F5" s="537"/>
      <c r="G5" s="538" t="s">
        <v>1631</v>
      </c>
      <c r="H5" s="539"/>
      <c r="I5" s="540" t="s">
        <v>1632</v>
      </c>
      <c r="J5" s="541"/>
      <c r="K5" s="7"/>
      <c r="L5" s="7"/>
      <c r="M5" s="7"/>
      <c r="N5" s="7"/>
    </row>
    <row r="6" spans="2:17" ht="28.5" customHeight="1">
      <c r="B6" s="555"/>
      <c r="C6" s="536" t="s">
        <v>46</v>
      </c>
      <c r="D6" s="537"/>
      <c r="E6" s="542">
        <f>AVERAGE(D13:M13)</f>
        <v>149.92164153863251</v>
      </c>
      <c r="F6" s="543">
        <f>AVERAGE(D27:O27,D13:J13)</f>
        <v>153.9643247379237</v>
      </c>
      <c r="G6" s="544">
        <f>AVERAGE(D13:J13)</f>
        <v>153.9643247379237</v>
      </c>
      <c r="H6" s="545"/>
      <c r="I6" s="544">
        <f>AVERAGE(K13:M13)</f>
        <v>140.48871407361972</v>
      </c>
      <c r="J6" s="545"/>
      <c r="K6" s="7"/>
      <c r="L6" s="7"/>
      <c r="M6" s="7"/>
      <c r="N6" s="7"/>
    </row>
    <row r="7" spans="2:17" ht="28.5" customHeight="1">
      <c r="B7" s="555"/>
      <c r="C7" s="526" t="s">
        <v>47</v>
      </c>
      <c r="D7" s="527"/>
      <c r="E7" s="528">
        <f>AVERAGE(D14:M14)</f>
        <v>142.7644933882919</v>
      </c>
      <c r="F7" s="529">
        <f>AVERAGE(D28:O28,D14:J14)</f>
        <v>146.255832787168</v>
      </c>
      <c r="G7" s="530">
        <f>AVERAGE(D14:J14)</f>
        <v>146.255832787168</v>
      </c>
      <c r="H7" s="531"/>
      <c r="I7" s="530">
        <f>AVERAGE(K14:M14)</f>
        <v>134.61803479091421</v>
      </c>
      <c r="J7" s="531"/>
      <c r="K7" s="7"/>
      <c r="L7" s="7"/>
      <c r="M7" s="7"/>
      <c r="N7" s="7"/>
    </row>
    <row r="8" spans="2:17" ht="28.5" customHeight="1">
      <c r="B8" s="556"/>
      <c r="C8" s="526" t="s">
        <v>48</v>
      </c>
      <c r="D8" s="527"/>
      <c r="E8" s="532">
        <f>AVERAGE(D15:M15)</f>
        <v>0.9502441117097391</v>
      </c>
      <c r="F8" s="533">
        <f>AVERAGE(D15:J15,D29:O29)</f>
        <v>0.94682389626630858</v>
      </c>
      <c r="G8" s="534">
        <f>AVERAGE(D15:J15)</f>
        <v>0.94682389626630858</v>
      </c>
      <c r="H8" s="535"/>
      <c r="I8" s="534">
        <f>AVERAGE(K15:M15)</f>
        <v>0.95822461441107665</v>
      </c>
      <c r="J8" s="535"/>
      <c r="K8" s="8" t="s">
        <v>1633</v>
      </c>
      <c r="L8" s="7"/>
      <c r="M8" s="7"/>
      <c r="N8" s="7"/>
    </row>
    <row r="9" spans="2:17" ht="28.5" customHeight="1" thickBot="1">
      <c r="H9" s="10"/>
      <c r="N9" s="7"/>
      <c r="O9" s="7"/>
      <c r="P9" s="7"/>
      <c r="Q9" s="7"/>
    </row>
    <row r="10" spans="2:17" ht="30" customHeight="1">
      <c r="B10" s="509" t="s">
        <v>1634</v>
      </c>
      <c r="C10" s="510"/>
      <c r="D10" s="511" t="s">
        <v>263</v>
      </c>
      <c r="E10" s="512"/>
      <c r="F10" s="512"/>
      <c r="G10" s="512"/>
      <c r="H10" s="512"/>
      <c r="I10" s="512"/>
      <c r="J10" s="513"/>
      <c r="K10" s="514" t="s">
        <v>1635</v>
      </c>
      <c r="L10" s="515"/>
      <c r="M10" s="516"/>
      <c r="P10" s="11"/>
      <c r="Q10" s="11"/>
    </row>
    <row r="11" spans="2:17" ht="17.25" customHeight="1">
      <c r="B11" s="517" t="s">
        <v>1636</v>
      </c>
      <c r="C11" s="518"/>
      <c r="D11" s="12">
        <v>1</v>
      </c>
      <c r="E11" s="13">
        <v>2</v>
      </c>
      <c r="F11" s="13">
        <v>3</v>
      </c>
      <c r="G11" s="13">
        <v>4</v>
      </c>
      <c r="H11" s="13">
        <v>5</v>
      </c>
      <c r="I11" s="13">
        <v>6</v>
      </c>
      <c r="J11" s="14">
        <v>7</v>
      </c>
      <c r="K11" s="12">
        <v>1</v>
      </c>
      <c r="L11" s="13">
        <v>2</v>
      </c>
      <c r="M11" s="14">
        <v>3</v>
      </c>
      <c r="P11" s="11"/>
      <c r="Q11" s="11"/>
    </row>
    <row r="12" spans="2:17" ht="34.15" customHeight="1">
      <c r="B12" s="519"/>
      <c r="C12" s="520"/>
      <c r="D12" s="15" t="s">
        <v>49</v>
      </c>
      <c r="E12" s="16" t="s">
        <v>50</v>
      </c>
      <c r="F12" s="16" t="s">
        <v>51</v>
      </c>
      <c r="G12" s="16" t="s">
        <v>52</v>
      </c>
      <c r="H12" s="16" t="s">
        <v>53</v>
      </c>
      <c r="I12" s="16" t="s">
        <v>54</v>
      </c>
      <c r="J12" s="17" t="s">
        <v>55</v>
      </c>
      <c r="K12" s="15" t="s">
        <v>56</v>
      </c>
      <c r="L12" s="16" t="s">
        <v>57</v>
      </c>
      <c r="M12" s="17" t="s">
        <v>58</v>
      </c>
    </row>
    <row r="13" spans="2:17" ht="40.15" customHeight="1">
      <c r="B13" s="521" t="s">
        <v>1637</v>
      </c>
      <c r="C13" s="18" t="s">
        <v>1638</v>
      </c>
      <c r="D13" s="19">
        <f>SUMIFS('1222 4度C'!$K:$K,'1222 4度C'!$A:$A,"新豐6線",'1222 4度C'!$B:$B,"平均")</f>
        <v>125</v>
      </c>
      <c r="E13" s="20">
        <f>SUMIFS('1222 4度C'!$K:$K,'1222 4度C'!$A:$A,"新豐2線",'1222 4度C'!$B:$B,"平均")</f>
        <v>83.333333333333329</v>
      </c>
      <c r="F13" s="21">
        <f>SUMIFS('1222 4度C'!$K:$K,'1222 4度C'!$A:$A,"新豐5線",'1222 4度C'!$B:$B,"平均")</f>
        <v>97.560975609756085</v>
      </c>
      <c r="G13" s="21">
        <f>SUMIFS('1222 4度C'!$K:$K,'1222 4度C'!$A:$A,"新豐7線",'1222 4度C'!$B:$B,"平均")</f>
        <v>118.32061068702291</v>
      </c>
      <c r="H13" s="21">
        <f>SUMIFS('1222 4度C'!$K:$K,'1222 4度C'!$A:$A,"新豐3線",'1222 4度C'!$B:$B,"平均")</f>
        <v>242.42424242424241</v>
      </c>
      <c r="I13" s="21">
        <f>SUMIFS('1222 4度C'!$K:$K,'1222 4度C'!$A:$A,"新豐1線",'1222 4度C'!$B:$B,"平均")</f>
        <v>111.11111111111111</v>
      </c>
      <c r="J13" s="22">
        <f>SUMIFS('1222 4度C'!$K:$K,'1222 4度C'!$A:$A,"新豐10線",'1222 4度C'!$B:$B,"平均")</f>
        <v>300</v>
      </c>
      <c r="K13" s="23">
        <f>SUMIFS('1222 4度C'!$K:$K,'1222 4度C'!$A:$A,"新豐8線",'1222 4度C'!$B:$B,"平均")</f>
        <v>135.84905660377356</v>
      </c>
      <c r="L13" s="24">
        <f>SUMIFS('1222 4度C'!$K:$K,'1222 4度C'!$A:$A,"新豐9線",'1222 4度C'!$B:$B,"平均")</f>
        <v>134.26573426573427</v>
      </c>
      <c r="M13" s="22">
        <f>SUMIFS('1222 4度C'!$K:$K,'1222 4度C'!$A:$A,"新豐4線",'1222 4度C'!$B:$B,"平均")</f>
        <v>151.35135135135135</v>
      </c>
    </row>
    <row r="14" spans="2:17" ht="39.6" customHeight="1">
      <c r="B14" s="522"/>
      <c r="C14" s="25" t="s">
        <v>1639</v>
      </c>
      <c r="D14" s="26">
        <f>SUMIFS('1222 4度C'!$N:$N,'1222 4度C'!$A:$A,"新豐6線",'1222 4度C'!$B:$B,"平均")</f>
        <v>119.66528357966263</v>
      </c>
      <c r="E14" s="27">
        <f>SUMIFS('1222 4度C'!$N:$N,'1222 4度C'!$A:$A,"新豐2線",'1222 4度C'!$B:$B,"平均")</f>
        <v>79.49590242043071</v>
      </c>
      <c r="F14" s="27">
        <f>SUMIFS('1222 4度C'!$N:$N,'1222 4度C'!$A:$A,"新豐5線",'1222 4度C'!$B:$B,"平均")</f>
        <v>93.781596374938289</v>
      </c>
      <c r="G14" s="27">
        <f>SUMIFS('1222 4度C'!$N:$N,'1222 4度C'!$A:$A,"新豐7線",'1222 4度C'!$B:$B,"平均")</f>
        <v>113.64030331158249</v>
      </c>
      <c r="H14" s="27">
        <f>SUMIFS('1222 4度C'!$N:$N,'1222 4度C'!$A:$A,"新豐3線",'1222 4度C'!$B:$B,"平均")</f>
        <v>231.7720482627947</v>
      </c>
      <c r="I14" s="27">
        <f>SUMIFS('1222 4度C'!$N:$N,'1222 4度C'!$A:$A,"新豐1線",'1222 4度C'!$B:$B,"平均")</f>
        <v>97.754754457174556</v>
      </c>
      <c r="J14" s="28">
        <f>SUMIFS('1222 4度C'!$N:$N,'1222 4度C'!$A:$A,"新豐10線",'1222 4度C'!$B:$B,"平均")</f>
        <v>287.68094110359255</v>
      </c>
      <c r="K14" s="29">
        <f>SUMIFS('1222 4度C'!$N:$N,'1222 4度C'!$A:$A,"新豐8線",'1222 4度C'!$B:$B,"平均")</f>
        <v>130.28211825213776</v>
      </c>
      <c r="L14" s="30">
        <f>SUMIFS('1222 4度C'!$N:$N,'1222 4度C'!$A:$A,"新豐9線",'1222 4度C'!$B:$B,"平均")</f>
        <v>128.59998700295557</v>
      </c>
      <c r="M14" s="28">
        <f>SUMIFS('1222 4度C'!$N:$N,'1222 4度C'!$A:$A,"新豐4線",'1222 4度C'!$B:$B,"平均")</f>
        <v>144.97199911764932</v>
      </c>
    </row>
    <row r="15" spans="2:17" ht="40.15" customHeight="1">
      <c r="B15" s="523"/>
      <c r="C15" s="31" t="s">
        <v>1640</v>
      </c>
      <c r="D15" s="32">
        <f t="shared" ref="D15:M15" si="0">D14/D13</f>
        <v>0.95732226863730108</v>
      </c>
      <c r="E15" s="33">
        <f t="shared" si="0"/>
        <v>0.95395082904516859</v>
      </c>
      <c r="F15" s="33">
        <f t="shared" si="0"/>
        <v>0.96126136284311758</v>
      </c>
      <c r="G15" s="33">
        <f t="shared" si="0"/>
        <v>0.96044385379466479</v>
      </c>
      <c r="H15" s="33">
        <f t="shared" si="0"/>
        <v>0.95605969908402821</v>
      </c>
      <c r="I15" s="33">
        <f t="shared" si="0"/>
        <v>0.87979279011457101</v>
      </c>
      <c r="J15" s="34">
        <f t="shared" si="0"/>
        <v>0.95893647034530849</v>
      </c>
      <c r="K15" s="32">
        <f t="shared" si="0"/>
        <v>0.95902114824490314</v>
      </c>
      <c r="L15" s="33">
        <f t="shared" si="0"/>
        <v>0.95780198653242954</v>
      </c>
      <c r="M15" s="34">
        <f t="shared" si="0"/>
        <v>0.95785070845589726</v>
      </c>
    </row>
    <row r="16" spans="2:17" ht="17.25" customHeight="1">
      <c r="B16" s="524" t="s">
        <v>1641</v>
      </c>
      <c r="C16" s="35" t="s">
        <v>135</v>
      </c>
      <c r="D16" s="49">
        <f>VLOOKUP("新豐6線",'1222 4度C'!$A:$T,19,0)</f>
        <v>0.70833333333333337</v>
      </c>
      <c r="E16" s="50">
        <f>VLOOKUP("新豐2線",'1222 4度C'!$A:$T,19,0)</f>
        <v>0.16666666666666666</v>
      </c>
      <c r="F16" s="50">
        <f>VLOOKUP("新豐5線",'1222 4度C'!$A:$T,19,0)</f>
        <v>0.20833333333333334</v>
      </c>
      <c r="G16" s="50">
        <f>VLOOKUP("新豐7線",'1222 4度C'!$A:$T,19,0)</f>
        <v>0.20833333333333334</v>
      </c>
      <c r="H16" s="50">
        <f>VLOOKUP("新豐3線",'1222 4度C'!$A:$T,19,0)</f>
        <v>8.3333333333333329E-2</v>
      </c>
      <c r="I16" s="50">
        <f>VLOOKUP("新豐1線",'1222 4度C'!$A:$T,19,0)</f>
        <v>0.20833333333333334</v>
      </c>
      <c r="J16" s="51">
        <f>VLOOKUP("新豐10線",'1222 4度C'!$A:$T,19,0)</f>
        <v>0.20833333333333334</v>
      </c>
      <c r="K16" s="36">
        <f>VLOOKUP("新豐8線",'1222 4度C'!$A:$T,19,0)</f>
        <v>8.3333333333333329E-2</v>
      </c>
      <c r="L16" s="37">
        <f>VLOOKUP("新豐9線",'1222 4度C'!$A:$T,19,0)</f>
        <v>8.3333333333333329E-2</v>
      </c>
      <c r="M16" s="38">
        <f>VLOOKUP("新豐4線",'1222 4度C'!$A:$T,19,0)</f>
        <v>8.3333333333333329E-2</v>
      </c>
    </row>
    <row r="17" spans="2:13" ht="17.25" customHeight="1">
      <c r="B17" s="525"/>
      <c r="C17" s="35" t="s">
        <v>1642</v>
      </c>
      <c r="D17" s="36">
        <f>LOOKUP(2,1/(('1222 4度C'!$A:$A="新豐6線")*('1222 4度C'!$T:$T&lt;&gt;"")),'1222 4度C'!$T:$T)</f>
        <v>0.95555555555555549</v>
      </c>
      <c r="E17" s="50">
        <f>LOOKUP(2,1/(('1222 4度C'!$A:$A="新豐2線")*('1222 4度C'!$T:$T&lt;&gt;"")),'1222 4度C'!$T:$T)</f>
        <v>0.4826388888888889</v>
      </c>
      <c r="F17" s="50">
        <f>LOOKUP(2,1/(('1222 4度C'!$A:$A="新豐5線")*('1222 4度C'!$T:$T&lt;&gt;"")),'1222 4度C'!$T:$T)</f>
        <v>0.94652777777777775</v>
      </c>
      <c r="G17" s="50">
        <f>LOOKUP(2,1/(('1222 4度C'!$A:$A="新豐7線")*('1222 4度C'!$T:$T&lt;&gt;"")),'1222 4度C'!$T:$T)</f>
        <v>0.83194444444444438</v>
      </c>
      <c r="H17" s="50">
        <f>LOOKUP(2,1/(('1222 4度C'!$A:$A="新豐3線")*('1222 4度C'!$T:$T&lt;&gt;"")),'1222 4度C'!$T:$T)</f>
        <v>0.50902777777777763</v>
      </c>
      <c r="I17" s="50">
        <f>LOOKUP(2,1/(('1222 4度C'!$A:$A="新豐1線")*('1222 4度C'!$T:$T&lt;&gt;"")),'1222 4度C'!$T:$T)</f>
        <v>0.85277777777777775</v>
      </c>
      <c r="J17" s="51">
        <f>LOOKUP(2,1/(('1222 4度C'!$A:$A="新豐10線")*('1222 4度C'!$T:$T&lt;&gt;"")),'1222 4度C'!$T:$T)</f>
        <v>0.51041666666666663</v>
      </c>
      <c r="K17" s="49">
        <f>LOOKUP(2,1/(('1222 4度C'!$A:$A="新豐8線")*('1222 4度C'!$T:$T&lt;&gt;"")),'1222 4度C'!$T:$T)</f>
        <v>0.72291666666666654</v>
      </c>
      <c r="L17" s="50">
        <f>LOOKUP(2,1/(('1222 4度C'!$A:$A="新豐9線")*('1222 4度C'!$T:$T&lt;&gt;"")),'1222 4度C'!$T:$T)</f>
        <v>0.62638888888888866</v>
      </c>
      <c r="M17" s="51">
        <f>LOOKUP(2,1/(('1222 4度C'!$A:$A="新豐4線")*('1222 4度C'!$T:$T&lt;&gt;"")),'1222 4度C'!$T:$T)</f>
        <v>0.67499999999999993</v>
      </c>
    </row>
    <row r="18" spans="2:13" ht="17.25" customHeight="1">
      <c r="B18" s="503" t="s">
        <v>1643</v>
      </c>
      <c r="C18" s="504"/>
      <c r="D18" s="39">
        <f>SUMIFS('1222 4度C'!$I:$I,'1222 4度C'!$A:$A,"新豐6線",'1222 4度C'!$B:$B,"平均")</f>
        <v>16</v>
      </c>
      <c r="E18" s="40">
        <f>SUMIFS('1222 4度C'!$I:$I,'1222 4度C'!$A:$A,"新豐2線",'1222 4度C'!$B:$B,"平均")</f>
        <v>18</v>
      </c>
      <c r="F18" s="40">
        <f>SUMIFS('1222 4度C'!$I:$I,'1222 4度C'!$A:$A,"新豐5線",'1222 4度C'!$B:$B,"平均")</f>
        <v>17.571428571428573</v>
      </c>
      <c r="G18" s="40">
        <f>SUMIFS('1222 4度C'!$I:$I,'1222 4度C'!$A:$A,"新豐7線",'1222 4度C'!$B:$B,"平均")</f>
        <v>16.375</v>
      </c>
      <c r="H18" s="40">
        <f>SUMIFS('1222 4度C'!$I:$I,'1222 4度C'!$A:$A,"新豐3線",'1222 4度C'!$B:$B,"平均")</f>
        <v>11</v>
      </c>
      <c r="I18" s="40">
        <f>SUMIFS('1222 4度C'!$I:$I,'1222 4度C'!$A:$A,"新豐1線",'1222 4度C'!$B:$B,"平均")</f>
        <v>18</v>
      </c>
      <c r="J18" s="41">
        <f>SUMIFS('1222 4度C'!$I:$I,'1222 4度C'!$A:$A,"新豐10線",'1222 4度C'!$B:$B,"平均")</f>
        <v>9.1666666666666661</v>
      </c>
      <c r="K18" s="39">
        <f>SUMIFS('1222 4度C'!$I:$I,'1222 4度C'!$A:$A,"新豐8線",'1222 4度C'!$B:$B,"平均")</f>
        <v>17.666666666666668</v>
      </c>
      <c r="L18" s="40">
        <f>SUMIFS('1222 4度C'!$I:$I,'1222 4度C'!$A:$A,"新豐9線",'1222 4度C'!$B:$B,"平均")</f>
        <v>17.875</v>
      </c>
      <c r="M18" s="41">
        <f>SUMIFS('1222 4度C'!$I:$I,'1222 4度C'!$A:$A,"新豐4線",'1222 4度C'!$B:$B,"平均")</f>
        <v>15.857142857142858</v>
      </c>
    </row>
    <row r="19" spans="2:13" ht="17.25" customHeight="1">
      <c r="B19" s="503" t="s">
        <v>1644</v>
      </c>
      <c r="C19" s="504"/>
      <c r="D19" s="42" t="s">
        <v>59</v>
      </c>
      <c r="E19" s="43" t="s">
        <v>60</v>
      </c>
      <c r="F19" s="43" t="s">
        <v>1645</v>
      </c>
      <c r="G19" s="43" t="s">
        <v>1645</v>
      </c>
      <c r="H19" s="43" t="s">
        <v>61</v>
      </c>
      <c r="I19" s="43" t="s">
        <v>59</v>
      </c>
      <c r="J19" s="44" t="s">
        <v>61</v>
      </c>
      <c r="K19" s="42" t="s">
        <v>1646</v>
      </c>
      <c r="L19" s="43" t="s">
        <v>138</v>
      </c>
      <c r="M19" s="44" t="s">
        <v>1646</v>
      </c>
    </row>
    <row r="20" spans="2:13" ht="17.25" customHeight="1">
      <c r="B20" s="503" t="s">
        <v>1647</v>
      </c>
      <c r="C20" s="504"/>
      <c r="D20" s="42"/>
      <c r="E20" s="43"/>
      <c r="F20" s="43" t="s">
        <v>1648</v>
      </c>
      <c r="G20" s="43" t="s">
        <v>59</v>
      </c>
      <c r="H20" s="43"/>
      <c r="I20" s="43"/>
      <c r="J20" s="44"/>
      <c r="K20" s="42"/>
      <c r="L20" s="43"/>
      <c r="M20" s="44"/>
    </row>
    <row r="21" spans="2:13" ht="17.25" customHeight="1" thickBot="1">
      <c r="B21" s="505" t="s">
        <v>1649</v>
      </c>
      <c r="C21" s="506"/>
      <c r="D21" s="45"/>
      <c r="E21" s="46" t="s">
        <v>143</v>
      </c>
      <c r="F21" s="507" t="s">
        <v>144</v>
      </c>
      <c r="G21" s="508"/>
      <c r="H21" s="46" t="s">
        <v>1650</v>
      </c>
      <c r="I21" s="46" t="s">
        <v>1651</v>
      </c>
      <c r="J21" s="47" t="s">
        <v>1650</v>
      </c>
      <c r="K21" s="48"/>
      <c r="L21" s="46"/>
      <c r="M21" s="4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20:C20"/>
    <mergeCell ref="B21:C21"/>
    <mergeCell ref="F21:G21"/>
    <mergeCell ref="K10:M10"/>
    <mergeCell ref="B11:C12"/>
    <mergeCell ref="B13:B15"/>
    <mergeCell ref="B18:C18"/>
    <mergeCell ref="B19:C19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1467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C79"/>
  <sheetViews>
    <sheetView zoomScale="80" zoomScaleNormal="80" workbookViewId="0">
      <pane ySplit="4" topLeftCell="A5" activePane="bottomLeft" state="frozen"/>
      <selection activeCell="F23" sqref="F23"/>
      <selection pane="bottomLeft" activeCell="F23" sqref="F23"/>
    </sheetView>
  </sheetViews>
  <sheetFormatPr defaultColWidth="8" defaultRowHeight="15.75"/>
  <cols>
    <col min="1" max="1" width="15.125" style="54" customWidth="1"/>
    <col min="2" max="2" width="19.375" style="73" customWidth="1"/>
    <col min="3" max="3" width="15.25" style="73" customWidth="1"/>
    <col min="4" max="4" width="17.5" style="73" customWidth="1"/>
    <col min="5" max="5" width="7.5" style="73" bestFit="1" customWidth="1"/>
    <col min="6" max="6" width="14.375" style="73" bestFit="1" customWidth="1"/>
    <col min="7" max="7" width="14.375" style="54" customWidth="1"/>
    <col min="8" max="8" width="8" style="54" customWidth="1"/>
    <col min="9" max="9" width="5.875" style="54" customWidth="1"/>
    <col min="10" max="10" width="10.625" style="54" customWidth="1"/>
    <col min="11" max="11" width="14.625" style="54" customWidth="1"/>
    <col min="12" max="12" width="7.25" style="54" bestFit="1" customWidth="1"/>
    <col min="13" max="13" width="8" style="54" customWidth="1"/>
    <col min="14" max="14" width="12" style="54" customWidth="1"/>
    <col min="15" max="15" width="6" style="54" customWidth="1"/>
    <col min="16" max="16" width="9.25" style="54" customWidth="1"/>
    <col min="17" max="17" width="11.5" style="54" customWidth="1"/>
    <col min="18" max="18" width="8.5" style="54" customWidth="1"/>
    <col min="19" max="19" width="10.125" style="73" bestFit="1" customWidth="1"/>
    <col min="20" max="20" width="7.625" style="73" bestFit="1" customWidth="1"/>
    <col min="21" max="21" width="10.25" style="54" bestFit="1" customWidth="1"/>
    <col min="22" max="22" width="8.75" style="71" customWidth="1"/>
    <col min="23" max="23" width="7.375" style="54" customWidth="1"/>
    <col min="24" max="24" width="6.875" style="54" bestFit="1" customWidth="1"/>
    <col min="25" max="25" width="12.75" style="54" customWidth="1"/>
    <col min="26" max="26" width="18.875" style="54" customWidth="1"/>
    <col min="27" max="27" width="13.125" style="54" bestFit="1" customWidth="1"/>
    <col min="28" max="28" width="10.375" style="54" customWidth="1"/>
    <col min="29" max="29" width="9.375" style="54" customWidth="1"/>
    <col min="30" max="30" width="8" style="54"/>
    <col min="31" max="31" width="24.625" style="54" bestFit="1" customWidth="1"/>
    <col min="32" max="16384" width="8" style="54"/>
  </cols>
  <sheetData>
    <row r="1" spans="1:29" ht="26.25" customHeight="1">
      <c r="A1" s="52" t="s">
        <v>1652</v>
      </c>
      <c r="B1" s="74"/>
      <c r="C1" s="75" t="s">
        <v>147</v>
      </c>
      <c r="D1" s="76">
        <v>182868</v>
      </c>
      <c r="E1" s="373" t="s">
        <v>148</v>
      </c>
      <c r="F1" s="74">
        <v>6221505.4300000025</v>
      </c>
      <c r="G1" s="52" t="s">
        <v>1653</v>
      </c>
      <c r="H1" s="53">
        <f>L9+L12+L55+L63+L20+L70+L39+L48+L29+L78</f>
        <v>157.51190476190479</v>
      </c>
      <c r="I1" s="607" t="s">
        <v>1654</v>
      </c>
      <c r="J1" s="607"/>
      <c r="K1" s="607"/>
      <c r="L1" s="607" t="s">
        <v>108</v>
      </c>
      <c r="M1" s="607"/>
      <c r="N1" s="607"/>
      <c r="O1" s="607" t="s">
        <v>91</v>
      </c>
      <c r="P1" s="607"/>
      <c r="Q1" s="607"/>
      <c r="R1" s="607"/>
      <c r="S1" s="607" t="s">
        <v>109</v>
      </c>
      <c r="T1" s="607"/>
      <c r="U1" s="607"/>
      <c r="V1" s="607"/>
      <c r="W1" s="607"/>
      <c r="X1" s="607"/>
      <c r="Y1" s="607" t="s">
        <v>210</v>
      </c>
      <c r="Z1" s="607"/>
      <c r="AA1" s="607" t="s">
        <v>211</v>
      </c>
      <c r="AB1" s="608"/>
      <c r="AC1" s="608"/>
    </row>
    <row r="2" spans="1:29" ht="26.25" customHeight="1">
      <c r="A2" s="55">
        <v>46013</v>
      </c>
      <c r="B2" s="56" t="s">
        <v>150</v>
      </c>
      <c r="C2" s="75" t="s">
        <v>130</v>
      </c>
      <c r="D2" s="77">
        <v>142.76449338829184</v>
      </c>
      <c r="E2" s="78" t="s">
        <v>0</v>
      </c>
      <c r="F2" s="79">
        <v>34.021837773694699</v>
      </c>
      <c r="G2" s="52" t="s">
        <v>92</v>
      </c>
      <c r="H2" s="374">
        <f>COUNT(H5:H78)</f>
        <v>10</v>
      </c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8"/>
      <c r="AB2" s="608"/>
      <c r="AC2" s="608"/>
    </row>
    <row r="3" spans="1:29" ht="23.25" customHeight="1">
      <c r="A3" s="559" t="s">
        <v>1655</v>
      </c>
      <c r="B3" s="604" t="s">
        <v>151</v>
      </c>
      <c r="C3" s="604" t="s">
        <v>1656</v>
      </c>
      <c r="D3" s="604"/>
      <c r="E3" s="609" t="s">
        <v>1657</v>
      </c>
      <c r="F3" s="604" t="s">
        <v>79</v>
      </c>
      <c r="G3" s="605" t="s">
        <v>80</v>
      </c>
      <c r="H3" s="598" t="s">
        <v>221</v>
      </c>
      <c r="I3" s="596" t="s">
        <v>1658</v>
      </c>
      <c r="J3" s="601" t="s">
        <v>83</v>
      </c>
      <c r="K3" s="603" t="s">
        <v>1659</v>
      </c>
      <c r="L3" s="596" t="s">
        <v>1660</v>
      </c>
      <c r="M3" s="601" t="s">
        <v>83</v>
      </c>
      <c r="N3" s="603" t="s">
        <v>130</v>
      </c>
      <c r="O3" s="596" t="s">
        <v>1661</v>
      </c>
      <c r="P3" s="603" t="s">
        <v>1662</v>
      </c>
      <c r="Q3" s="602" t="s">
        <v>84</v>
      </c>
      <c r="R3" s="574" t="s">
        <v>1663</v>
      </c>
      <c r="S3" s="604" t="s">
        <v>1</v>
      </c>
      <c r="T3" s="604"/>
      <c r="U3" s="598" t="s">
        <v>2</v>
      </c>
      <c r="V3" s="598" t="s">
        <v>1664</v>
      </c>
      <c r="W3" s="559" t="s">
        <v>1665</v>
      </c>
      <c r="X3" s="559"/>
      <c r="Y3" s="599" t="s">
        <v>113</v>
      </c>
      <c r="Z3" s="600"/>
      <c r="AA3" s="601" t="s">
        <v>1666</v>
      </c>
      <c r="AB3" s="602" t="s">
        <v>1667</v>
      </c>
      <c r="AC3" s="574" t="s">
        <v>1668</v>
      </c>
    </row>
    <row r="4" spans="1:29">
      <c r="A4" s="559"/>
      <c r="B4" s="604"/>
      <c r="C4" s="604"/>
      <c r="D4" s="604"/>
      <c r="E4" s="610"/>
      <c r="F4" s="604"/>
      <c r="G4" s="606"/>
      <c r="H4" s="598"/>
      <c r="I4" s="596"/>
      <c r="J4" s="601"/>
      <c r="K4" s="603"/>
      <c r="L4" s="596"/>
      <c r="M4" s="601"/>
      <c r="N4" s="603"/>
      <c r="O4" s="596"/>
      <c r="P4" s="603"/>
      <c r="Q4" s="602"/>
      <c r="R4" s="574"/>
      <c r="S4" s="373" t="s">
        <v>3</v>
      </c>
      <c r="T4" s="373" t="s">
        <v>4</v>
      </c>
      <c r="U4" s="598"/>
      <c r="V4" s="598"/>
      <c r="W4" s="362" t="s">
        <v>1669</v>
      </c>
      <c r="X4" s="362" t="s">
        <v>156</v>
      </c>
      <c r="Y4" s="600"/>
      <c r="Z4" s="600"/>
      <c r="AA4" s="601"/>
      <c r="AB4" s="602"/>
      <c r="AC4" s="574"/>
    </row>
    <row r="5" spans="1:29">
      <c r="A5" s="595" t="s">
        <v>1670</v>
      </c>
      <c r="B5" s="57" t="s">
        <v>6</v>
      </c>
      <c r="C5" s="597" t="s">
        <v>9</v>
      </c>
      <c r="D5" s="597"/>
      <c r="E5" s="57">
        <v>50.67</v>
      </c>
      <c r="F5" s="373">
        <v>1525</v>
      </c>
      <c r="G5" s="362">
        <f t="shared" ref="G5:G8" si="0">E5*F5</f>
        <v>77271.75</v>
      </c>
      <c r="H5" s="375" t="s">
        <v>5</v>
      </c>
      <c r="I5" s="372">
        <v>17</v>
      </c>
      <c r="J5" s="58">
        <v>2000</v>
      </c>
      <c r="K5" s="59">
        <f t="shared" ref="K5:K68" si="1">J5/I5</f>
        <v>117.64705882352941</v>
      </c>
      <c r="L5" s="372">
        <v>17</v>
      </c>
      <c r="M5" s="60">
        <f t="shared" ref="M5:M8" si="2">F5/V5*60</f>
        <v>1906.2500000000005</v>
      </c>
      <c r="N5" s="59">
        <f t="shared" ref="N5:N68" si="3">M5/L5</f>
        <v>112.13235294117649</v>
      </c>
      <c r="O5" s="61">
        <f t="shared" ref="O5:O68" si="4">L5-I5</f>
        <v>0</v>
      </c>
      <c r="P5" s="62">
        <f t="shared" ref="P5:P68" si="5">N5-K5</f>
        <v>-5.5147058823529136</v>
      </c>
      <c r="Q5" s="361">
        <f t="shared" ref="Q5:Q68" si="6">N5/K5</f>
        <v>0.95312500000000022</v>
      </c>
      <c r="R5" s="566">
        <f>Q9</f>
        <v>0.95732226863730108</v>
      </c>
      <c r="S5" s="63">
        <v>0.70833333333333337</v>
      </c>
      <c r="T5" s="63">
        <v>0.7416666666666667</v>
      </c>
      <c r="U5" s="362"/>
      <c r="V5" s="371">
        <f t="shared" ref="V5:V8" si="7">(T5-S5)*24*60</f>
        <v>47.999999999999986</v>
      </c>
      <c r="W5" s="64"/>
      <c r="X5" s="65"/>
      <c r="Y5" s="559"/>
      <c r="Z5" s="559"/>
      <c r="AA5" s="61">
        <f t="shared" ref="AA5:AA68" si="8">M5-J5</f>
        <v>-93.749999999999545</v>
      </c>
      <c r="AB5" s="361">
        <f t="shared" ref="AB5:AB68" si="9">M5/J5</f>
        <v>0.95312500000000022</v>
      </c>
      <c r="AC5" s="566">
        <f>AB9</f>
        <v>0.95732226863730108</v>
      </c>
    </row>
    <row r="6" spans="1:29">
      <c r="A6" s="596" t="s">
        <v>157</v>
      </c>
      <c r="B6" s="57" t="s">
        <v>6</v>
      </c>
      <c r="C6" s="597" t="s">
        <v>8</v>
      </c>
      <c r="D6" s="597"/>
      <c r="E6" s="57">
        <v>50.49</v>
      </c>
      <c r="F6" s="373">
        <v>2113</v>
      </c>
      <c r="G6" s="362">
        <f t="shared" si="0"/>
        <v>106685.37000000001</v>
      </c>
      <c r="H6" s="375" t="s">
        <v>5</v>
      </c>
      <c r="I6" s="372">
        <v>15</v>
      </c>
      <c r="J6" s="58">
        <v>2000</v>
      </c>
      <c r="K6" s="59">
        <f t="shared" si="1"/>
        <v>133.33333333333334</v>
      </c>
      <c r="L6" s="372">
        <v>15</v>
      </c>
      <c r="M6" s="60">
        <f t="shared" si="2"/>
        <v>1920.909090909093</v>
      </c>
      <c r="N6" s="59">
        <f t="shared" si="3"/>
        <v>128.0606060606062</v>
      </c>
      <c r="O6" s="61">
        <f t="shared" si="4"/>
        <v>0</v>
      </c>
      <c r="P6" s="62">
        <f t="shared" si="5"/>
        <v>-5.2727272727271384</v>
      </c>
      <c r="Q6" s="361">
        <f t="shared" si="6"/>
        <v>0.96045454545454645</v>
      </c>
      <c r="R6" s="566"/>
      <c r="S6" s="63">
        <v>0.74652777777777779</v>
      </c>
      <c r="T6" s="63">
        <v>0.79236111111111107</v>
      </c>
      <c r="U6" s="362">
        <f t="shared" ref="U6:U8" si="10">IF(S6=TIME(17,0,0),"",(S6-T5)*24*60)</f>
        <v>6.9999999999999751</v>
      </c>
      <c r="V6" s="371">
        <f t="shared" si="7"/>
        <v>65.999999999999929</v>
      </c>
      <c r="W6" s="64"/>
      <c r="X6" s="64"/>
      <c r="Y6" s="559"/>
      <c r="Z6" s="559"/>
      <c r="AA6" s="61">
        <f t="shared" si="8"/>
        <v>-79.090909090906962</v>
      </c>
      <c r="AB6" s="361">
        <f t="shared" si="9"/>
        <v>0.96045454545454656</v>
      </c>
      <c r="AC6" s="566"/>
    </row>
    <row r="7" spans="1:29">
      <c r="A7" s="596" t="s">
        <v>1671</v>
      </c>
      <c r="B7" s="57" t="s">
        <v>6</v>
      </c>
      <c r="C7" s="590" t="s">
        <v>1619</v>
      </c>
      <c r="D7" s="591"/>
      <c r="E7" s="57">
        <v>47.98</v>
      </c>
      <c r="F7" s="373">
        <v>1700</v>
      </c>
      <c r="G7" s="362">
        <f t="shared" si="0"/>
        <v>81566</v>
      </c>
      <c r="H7" s="375">
        <v>2</v>
      </c>
      <c r="I7" s="372">
        <v>16</v>
      </c>
      <c r="J7" s="58">
        <v>2000</v>
      </c>
      <c r="K7" s="59">
        <f t="shared" si="1"/>
        <v>125</v>
      </c>
      <c r="L7" s="372">
        <v>16</v>
      </c>
      <c r="M7" s="60">
        <f t="shared" si="2"/>
        <v>1924.5283018867935</v>
      </c>
      <c r="N7" s="59">
        <f t="shared" si="3"/>
        <v>120.2830188679246</v>
      </c>
      <c r="O7" s="61">
        <f t="shared" si="4"/>
        <v>0</v>
      </c>
      <c r="P7" s="62">
        <f t="shared" si="5"/>
        <v>-4.7169811320754036</v>
      </c>
      <c r="Q7" s="361">
        <f t="shared" si="6"/>
        <v>0.96226415094339679</v>
      </c>
      <c r="R7" s="566"/>
      <c r="S7" s="63">
        <v>0.79722222222222217</v>
      </c>
      <c r="T7" s="63">
        <v>0.8340277777777777</v>
      </c>
      <c r="U7" s="362">
        <f t="shared" si="10"/>
        <v>6.9999999999999751</v>
      </c>
      <c r="V7" s="371">
        <f t="shared" si="7"/>
        <v>52.999999999999972</v>
      </c>
      <c r="W7" s="64">
        <f>T7</f>
        <v>0.8340277777777777</v>
      </c>
      <c r="X7" s="64">
        <f>S8</f>
        <v>0.87291666666666656</v>
      </c>
      <c r="Y7" s="569"/>
      <c r="Z7" s="570"/>
      <c r="AA7" s="61">
        <f t="shared" si="8"/>
        <v>-75.471698113206457</v>
      </c>
      <c r="AB7" s="361">
        <f t="shared" si="9"/>
        <v>0.96226415094339679</v>
      </c>
      <c r="AC7" s="566"/>
    </row>
    <row r="8" spans="1:29">
      <c r="A8" s="596" t="s">
        <v>157</v>
      </c>
      <c r="B8" s="57" t="s">
        <v>6</v>
      </c>
      <c r="C8" s="590" t="s">
        <v>1619</v>
      </c>
      <c r="D8" s="591"/>
      <c r="E8" s="57">
        <v>47.98</v>
      </c>
      <c r="F8" s="373">
        <v>3782</v>
      </c>
      <c r="G8" s="362">
        <f t="shared" si="0"/>
        <v>181460.36</v>
      </c>
      <c r="H8" s="375" t="s">
        <v>5</v>
      </c>
      <c r="I8" s="372">
        <v>16</v>
      </c>
      <c r="J8" s="58">
        <v>2000</v>
      </c>
      <c r="K8" s="59">
        <f t="shared" si="1"/>
        <v>125</v>
      </c>
      <c r="L8" s="372">
        <v>16</v>
      </c>
      <c r="M8" s="60">
        <f t="shared" si="2"/>
        <v>1906.8907563025202</v>
      </c>
      <c r="N8" s="59">
        <f t="shared" si="3"/>
        <v>119.18067226890751</v>
      </c>
      <c r="O8" s="61">
        <f t="shared" si="4"/>
        <v>0</v>
      </c>
      <c r="P8" s="62">
        <f t="shared" si="5"/>
        <v>-5.8193277310924856</v>
      </c>
      <c r="Q8" s="361">
        <f t="shared" si="6"/>
        <v>0.95344537815126007</v>
      </c>
      <c r="R8" s="566"/>
      <c r="S8" s="63">
        <v>0.87291666666666656</v>
      </c>
      <c r="T8" s="63">
        <v>0.95555555555555549</v>
      </c>
      <c r="U8" s="362">
        <f t="shared" si="10"/>
        <v>55.999999999999957</v>
      </c>
      <c r="V8" s="371">
        <f t="shared" si="7"/>
        <v>119.00000000000006</v>
      </c>
      <c r="W8" s="68"/>
      <c r="X8" s="68"/>
      <c r="Y8" s="569"/>
      <c r="Z8" s="570"/>
      <c r="AA8" s="61">
        <f t="shared" si="8"/>
        <v>-93.109243697479769</v>
      </c>
      <c r="AB8" s="361">
        <f t="shared" si="9"/>
        <v>0.95344537815126007</v>
      </c>
      <c r="AC8" s="566"/>
    </row>
    <row r="9" spans="1:29">
      <c r="A9" s="596" t="s">
        <v>1672</v>
      </c>
      <c r="B9" s="57" t="s">
        <v>159</v>
      </c>
      <c r="C9" s="571"/>
      <c r="D9" s="571"/>
      <c r="E9" s="366"/>
      <c r="F9" s="66"/>
      <c r="G9" s="59"/>
      <c r="H9" s="373"/>
      <c r="I9" s="67">
        <v>16</v>
      </c>
      <c r="J9" s="58">
        <v>2000</v>
      </c>
      <c r="K9" s="59">
        <f t="shared" si="1"/>
        <v>125</v>
      </c>
      <c r="L9" s="67">
        <v>16</v>
      </c>
      <c r="M9" s="60">
        <f>AVERAGE(M5:M8)</f>
        <v>1914.644537274602</v>
      </c>
      <c r="N9" s="59">
        <f t="shared" si="3"/>
        <v>119.66528357966263</v>
      </c>
      <c r="O9" s="61">
        <f t="shared" si="4"/>
        <v>0</v>
      </c>
      <c r="P9" s="62">
        <f t="shared" si="5"/>
        <v>-5.3347164203373723</v>
      </c>
      <c r="Q9" s="361">
        <f t="shared" si="6"/>
        <v>0.95732226863730108</v>
      </c>
      <c r="R9" s="566"/>
      <c r="S9" s="63"/>
      <c r="T9" s="63"/>
      <c r="U9" s="362"/>
      <c r="V9" s="371"/>
      <c r="W9" s="59"/>
      <c r="X9" s="59"/>
      <c r="Y9" s="559"/>
      <c r="Z9" s="559"/>
      <c r="AA9" s="61">
        <f t="shared" si="8"/>
        <v>-85.355462725397956</v>
      </c>
      <c r="AB9" s="361">
        <f t="shared" si="9"/>
        <v>0.95732226863730108</v>
      </c>
      <c r="AC9" s="566"/>
    </row>
    <row r="10" spans="1:29" ht="15.75" customHeight="1">
      <c r="A10" s="594" t="s">
        <v>524</v>
      </c>
      <c r="B10" s="57" t="s">
        <v>10</v>
      </c>
      <c r="C10" s="590" t="s">
        <v>14</v>
      </c>
      <c r="D10" s="591"/>
      <c r="E10" s="57">
        <v>39.619999999999997</v>
      </c>
      <c r="F10" s="373">
        <v>3935</v>
      </c>
      <c r="G10" s="362">
        <f t="shared" ref="G10:G11" si="11">E10*F10</f>
        <v>155904.69999999998</v>
      </c>
      <c r="H10" s="375" t="s">
        <v>5</v>
      </c>
      <c r="I10" s="372">
        <v>19</v>
      </c>
      <c r="J10" s="58">
        <v>1500</v>
      </c>
      <c r="K10" s="59">
        <f t="shared" si="1"/>
        <v>78.94736842105263</v>
      </c>
      <c r="L10" s="372">
        <v>19</v>
      </c>
      <c r="M10" s="60">
        <f t="shared" ref="M10:M11" si="12">F10/V10*60</f>
        <v>1430.9090909090908</v>
      </c>
      <c r="N10" s="59">
        <f t="shared" si="3"/>
        <v>75.31100478468899</v>
      </c>
      <c r="O10" s="61">
        <f t="shared" si="4"/>
        <v>0</v>
      </c>
      <c r="P10" s="62">
        <f t="shared" si="5"/>
        <v>-3.6363636363636402</v>
      </c>
      <c r="Q10" s="361">
        <f t="shared" si="6"/>
        <v>0.95393939393939386</v>
      </c>
      <c r="R10" s="566">
        <f>Q12</f>
        <v>0.95395082904516859</v>
      </c>
      <c r="S10" s="63">
        <v>0.16666666666666666</v>
      </c>
      <c r="T10" s="63">
        <v>0.28125</v>
      </c>
      <c r="U10" s="362"/>
      <c r="V10" s="371">
        <f t="shared" ref="V10:V11" si="13">(T10-S10)*24*60</f>
        <v>165</v>
      </c>
      <c r="W10" s="64">
        <f>T10</f>
        <v>0.28125</v>
      </c>
      <c r="X10" s="64">
        <f>S11</f>
        <v>0.2986111111111111</v>
      </c>
      <c r="Y10" s="559"/>
      <c r="Z10" s="559"/>
      <c r="AA10" s="61">
        <f t="shared" si="8"/>
        <v>-69.090909090909236</v>
      </c>
      <c r="AB10" s="361">
        <f t="shared" si="9"/>
        <v>0.95393939393939386</v>
      </c>
      <c r="AC10" s="566">
        <f>AB12</f>
        <v>0.95395082904516859</v>
      </c>
    </row>
    <row r="11" spans="1:29" ht="15.75" customHeight="1">
      <c r="A11" s="594" t="s">
        <v>1673</v>
      </c>
      <c r="B11" s="57" t="s">
        <v>10</v>
      </c>
      <c r="C11" s="590" t="s">
        <v>11</v>
      </c>
      <c r="D11" s="591"/>
      <c r="E11" s="57">
        <v>39.799999999999997</v>
      </c>
      <c r="F11" s="373">
        <v>6320</v>
      </c>
      <c r="G11" s="362">
        <f t="shared" si="11"/>
        <v>251535.99999999997</v>
      </c>
      <c r="H11" s="375" t="s">
        <v>5</v>
      </c>
      <c r="I11" s="372">
        <v>17</v>
      </c>
      <c r="J11" s="58">
        <v>1500</v>
      </c>
      <c r="K11" s="59">
        <f t="shared" si="1"/>
        <v>88.235294117647058</v>
      </c>
      <c r="L11" s="372">
        <v>17</v>
      </c>
      <c r="M11" s="60">
        <f t="shared" si="12"/>
        <v>1430.943396226415</v>
      </c>
      <c r="N11" s="59">
        <f t="shared" si="3"/>
        <v>84.173140954494997</v>
      </c>
      <c r="O11" s="61">
        <f t="shared" si="4"/>
        <v>0</v>
      </c>
      <c r="P11" s="62">
        <f t="shared" si="5"/>
        <v>-4.0621531631520611</v>
      </c>
      <c r="Q11" s="361">
        <f t="shared" si="6"/>
        <v>0.95396226415094332</v>
      </c>
      <c r="R11" s="566"/>
      <c r="S11" s="63">
        <v>0.2986111111111111</v>
      </c>
      <c r="T11" s="63">
        <v>0.4826388888888889</v>
      </c>
      <c r="U11" s="362">
        <f t="shared" ref="U11" si="14">IF(S11=TIME(17,0,0),"",(S11-T10)*24*60)</f>
        <v>24.999999999999993</v>
      </c>
      <c r="V11" s="371">
        <f t="shared" si="13"/>
        <v>265</v>
      </c>
      <c r="W11" s="64"/>
      <c r="X11" s="64"/>
      <c r="Y11" s="559"/>
      <c r="Z11" s="559"/>
      <c r="AA11" s="61">
        <f t="shared" si="8"/>
        <v>-69.056603773585039</v>
      </c>
      <c r="AB11" s="361">
        <f t="shared" si="9"/>
        <v>0.95396226415094332</v>
      </c>
      <c r="AC11" s="566"/>
    </row>
    <row r="12" spans="1:29" ht="16.5" customHeight="1">
      <c r="A12" s="594" t="s">
        <v>1673</v>
      </c>
      <c r="B12" s="57" t="s">
        <v>1674</v>
      </c>
      <c r="C12" s="571"/>
      <c r="D12" s="571"/>
      <c r="E12" s="366"/>
      <c r="F12" s="58"/>
      <c r="G12" s="60"/>
      <c r="H12" s="373"/>
      <c r="I12" s="67">
        <v>18</v>
      </c>
      <c r="J12" s="58">
        <v>1500</v>
      </c>
      <c r="K12" s="59">
        <f t="shared" si="1"/>
        <v>83.333333333333329</v>
      </c>
      <c r="L12" s="67">
        <v>18</v>
      </c>
      <c r="M12" s="60">
        <f>AVERAGE(M10:M11)</f>
        <v>1430.9262435677529</v>
      </c>
      <c r="N12" s="59">
        <f t="shared" si="3"/>
        <v>79.49590242043071</v>
      </c>
      <c r="O12" s="61">
        <f t="shared" si="4"/>
        <v>0</v>
      </c>
      <c r="P12" s="62">
        <f t="shared" si="5"/>
        <v>-3.8374309129026187</v>
      </c>
      <c r="Q12" s="361">
        <f t="shared" si="6"/>
        <v>0.95395082904516859</v>
      </c>
      <c r="R12" s="566"/>
      <c r="S12" s="63"/>
      <c r="T12" s="63"/>
      <c r="U12" s="59"/>
      <c r="V12" s="371"/>
      <c r="W12" s="59"/>
      <c r="X12" s="59"/>
      <c r="Y12" s="559"/>
      <c r="Z12" s="559"/>
      <c r="AA12" s="61">
        <f t="shared" si="8"/>
        <v>-69.073756432247137</v>
      </c>
      <c r="AB12" s="361">
        <f t="shared" si="9"/>
        <v>0.95395082904516859</v>
      </c>
      <c r="AC12" s="566"/>
    </row>
    <row r="13" spans="1:29" ht="16.5" customHeight="1">
      <c r="A13" s="592" t="s">
        <v>1675</v>
      </c>
      <c r="B13" s="373" t="s">
        <v>12</v>
      </c>
      <c r="C13" s="584" t="s">
        <v>13</v>
      </c>
      <c r="D13" s="584"/>
      <c r="E13" s="57">
        <v>41</v>
      </c>
      <c r="F13" s="373">
        <v>2334</v>
      </c>
      <c r="G13" s="362">
        <f t="shared" ref="G13:G19" si="15">E13*F13</f>
        <v>95694</v>
      </c>
      <c r="H13" s="375" t="s">
        <v>5</v>
      </c>
      <c r="I13" s="372">
        <v>26</v>
      </c>
      <c r="J13" s="58">
        <v>1500</v>
      </c>
      <c r="K13" s="59">
        <f t="shared" si="1"/>
        <v>57.692307692307693</v>
      </c>
      <c r="L13" s="372">
        <v>26</v>
      </c>
      <c r="M13" s="60">
        <f t="shared" ref="M13:M19" si="16">F13/V13*60</f>
        <v>1428.9795918367345</v>
      </c>
      <c r="N13" s="59">
        <f t="shared" si="3"/>
        <v>54.960753532182096</v>
      </c>
      <c r="O13" s="61">
        <f t="shared" si="4"/>
        <v>0</v>
      </c>
      <c r="P13" s="62">
        <f t="shared" si="5"/>
        <v>-2.7315541601255973</v>
      </c>
      <c r="Q13" s="361">
        <f t="shared" si="6"/>
        <v>0.95265306122448967</v>
      </c>
      <c r="R13" s="566">
        <f>Q20</f>
        <v>0.96126136284311758</v>
      </c>
      <c r="S13" s="63">
        <v>0.20833333333333334</v>
      </c>
      <c r="T13" s="63">
        <v>0.27638888888888891</v>
      </c>
      <c r="U13" s="362"/>
      <c r="V13" s="371">
        <f t="shared" ref="V13:V19" si="17">(T13-S13)*24*60</f>
        <v>98.000000000000014</v>
      </c>
      <c r="W13" s="68"/>
      <c r="X13" s="68"/>
      <c r="Y13" s="559"/>
      <c r="Z13" s="559"/>
      <c r="AA13" s="61">
        <f t="shared" si="8"/>
        <v>-71.020408163265529</v>
      </c>
      <c r="AB13" s="361">
        <f t="shared" si="9"/>
        <v>0.95265306122448967</v>
      </c>
      <c r="AC13" s="566">
        <f>AB20</f>
        <v>0.96126136284311758</v>
      </c>
    </row>
    <row r="14" spans="1:29" ht="16.5" customHeight="1">
      <c r="A14" s="593" t="s">
        <v>1676</v>
      </c>
      <c r="B14" s="373" t="s">
        <v>657</v>
      </c>
      <c r="C14" s="584" t="s">
        <v>236</v>
      </c>
      <c r="D14" s="584"/>
      <c r="E14" s="57">
        <v>72.400000000000006</v>
      </c>
      <c r="F14" s="373">
        <v>1397</v>
      </c>
      <c r="G14" s="362">
        <f t="shared" si="15"/>
        <v>101142.8</v>
      </c>
      <c r="H14" s="375" t="s">
        <v>5</v>
      </c>
      <c r="I14" s="372">
        <v>18</v>
      </c>
      <c r="J14" s="58">
        <v>1500</v>
      </c>
      <c r="K14" s="59">
        <f t="shared" si="1"/>
        <v>83.333333333333329</v>
      </c>
      <c r="L14" s="372">
        <v>18</v>
      </c>
      <c r="M14" s="60">
        <f t="shared" si="16"/>
        <v>1445.1724137931026</v>
      </c>
      <c r="N14" s="59">
        <f t="shared" si="3"/>
        <v>80.287356321839027</v>
      </c>
      <c r="O14" s="61">
        <f t="shared" si="4"/>
        <v>0</v>
      </c>
      <c r="P14" s="62">
        <f t="shared" si="5"/>
        <v>-3.0459770114943012</v>
      </c>
      <c r="Q14" s="361">
        <f t="shared" si="6"/>
        <v>0.96344827586206838</v>
      </c>
      <c r="R14" s="566"/>
      <c r="S14" s="63">
        <v>0.27986111111111112</v>
      </c>
      <c r="T14" s="63">
        <v>0.32013888888888892</v>
      </c>
      <c r="U14" s="362">
        <f t="shared" ref="U14:U19" si="18">IF(S14=TIME(17,0,0),"",(S14-T13)*24*60)</f>
        <v>4.9999999999999822</v>
      </c>
      <c r="V14" s="371">
        <f t="shared" si="17"/>
        <v>58.000000000000036</v>
      </c>
      <c r="W14" s="64"/>
      <c r="X14" s="64"/>
      <c r="Y14" s="559"/>
      <c r="Z14" s="559"/>
      <c r="AA14" s="61">
        <f t="shared" si="8"/>
        <v>-54.827586206897422</v>
      </c>
      <c r="AB14" s="361">
        <f t="shared" si="9"/>
        <v>0.96344827586206838</v>
      </c>
      <c r="AC14" s="566"/>
    </row>
    <row r="15" spans="1:29" ht="16.5" customHeight="1">
      <c r="A15" s="593" t="s">
        <v>1677</v>
      </c>
      <c r="B15" s="373" t="s">
        <v>6</v>
      </c>
      <c r="C15" s="584" t="s">
        <v>95</v>
      </c>
      <c r="D15" s="584"/>
      <c r="E15" s="57">
        <v>50.98</v>
      </c>
      <c r="F15" s="373">
        <v>1000</v>
      </c>
      <c r="G15" s="362">
        <f t="shared" si="15"/>
        <v>50980</v>
      </c>
      <c r="H15" s="375">
        <v>2</v>
      </c>
      <c r="I15" s="372">
        <v>16</v>
      </c>
      <c r="J15" s="58">
        <v>2000</v>
      </c>
      <c r="K15" s="59">
        <f t="shared" si="1"/>
        <v>125</v>
      </c>
      <c r="L15" s="372">
        <v>16</v>
      </c>
      <c r="M15" s="60">
        <f t="shared" si="16"/>
        <v>1935.483870967739</v>
      </c>
      <c r="N15" s="59">
        <f t="shared" si="3"/>
        <v>120.96774193548369</v>
      </c>
      <c r="O15" s="61">
        <f t="shared" si="4"/>
        <v>0</v>
      </c>
      <c r="P15" s="62">
        <f t="shared" si="5"/>
        <v>-4.0322580645163129</v>
      </c>
      <c r="Q15" s="361">
        <f t="shared" si="6"/>
        <v>0.96774193548386944</v>
      </c>
      <c r="R15" s="566"/>
      <c r="S15" s="63">
        <v>0.70833333333333337</v>
      </c>
      <c r="T15" s="63">
        <v>0.72986111111111118</v>
      </c>
      <c r="U15" s="362" t="str">
        <f t="shared" si="18"/>
        <v/>
      </c>
      <c r="V15" s="371">
        <f t="shared" si="17"/>
        <v>31.00000000000005</v>
      </c>
      <c r="W15" s="64"/>
      <c r="X15" s="64"/>
      <c r="Y15" s="559"/>
      <c r="Z15" s="559"/>
      <c r="AA15" s="61">
        <f t="shared" si="8"/>
        <v>-64.516129032261006</v>
      </c>
      <c r="AB15" s="361">
        <f t="shared" si="9"/>
        <v>0.96774193548386944</v>
      </c>
      <c r="AC15" s="566"/>
    </row>
    <row r="16" spans="1:29" ht="16.5" customHeight="1">
      <c r="A16" s="593" t="s">
        <v>1678</v>
      </c>
      <c r="B16" s="373" t="s">
        <v>6</v>
      </c>
      <c r="C16" s="584" t="s">
        <v>18</v>
      </c>
      <c r="D16" s="584"/>
      <c r="E16" s="57">
        <v>50.92</v>
      </c>
      <c r="F16" s="373">
        <v>2639</v>
      </c>
      <c r="G16" s="362">
        <f t="shared" si="15"/>
        <v>134377.88</v>
      </c>
      <c r="H16" s="375" t="s">
        <v>5</v>
      </c>
      <c r="I16" s="372">
        <v>15</v>
      </c>
      <c r="J16" s="58">
        <v>2000</v>
      </c>
      <c r="K16" s="59">
        <f t="shared" si="1"/>
        <v>133.33333333333334</v>
      </c>
      <c r="L16" s="372">
        <v>15</v>
      </c>
      <c r="M16" s="60">
        <f t="shared" si="16"/>
        <v>1907.7108433734934</v>
      </c>
      <c r="N16" s="59">
        <f t="shared" si="3"/>
        <v>127.18072289156622</v>
      </c>
      <c r="O16" s="61">
        <f t="shared" si="4"/>
        <v>0</v>
      </c>
      <c r="P16" s="62">
        <f t="shared" si="5"/>
        <v>-6.1526104417671235</v>
      </c>
      <c r="Q16" s="361">
        <f t="shared" si="6"/>
        <v>0.95385542168674653</v>
      </c>
      <c r="R16" s="566"/>
      <c r="S16" s="63">
        <v>0.73333333333333339</v>
      </c>
      <c r="T16" s="63">
        <v>0.7909722222222223</v>
      </c>
      <c r="U16" s="362">
        <f t="shared" si="18"/>
        <v>4.9999999999999822</v>
      </c>
      <c r="V16" s="371">
        <f t="shared" si="17"/>
        <v>83.000000000000028</v>
      </c>
      <c r="W16" s="64"/>
      <c r="X16" s="64"/>
      <c r="Y16" s="559"/>
      <c r="Z16" s="559"/>
      <c r="AA16" s="61">
        <f t="shared" si="8"/>
        <v>-92.28915662650661</v>
      </c>
      <c r="AB16" s="361">
        <f t="shared" si="9"/>
        <v>0.95385542168674664</v>
      </c>
      <c r="AC16" s="566"/>
    </row>
    <row r="17" spans="1:29" ht="16.5" customHeight="1">
      <c r="A17" s="593" t="s">
        <v>160</v>
      </c>
      <c r="B17" s="373" t="s">
        <v>6</v>
      </c>
      <c r="C17" s="584" t="s">
        <v>99</v>
      </c>
      <c r="D17" s="584"/>
      <c r="E17" s="57">
        <v>53.68</v>
      </c>
      <c r="F17" s="373">
        <v>1000</v>
      </c>
      <c r="G17" s="362">
        <f t="shared" si="15"/>
        <v>53680</v>
      </c>
      <c r="H17" s="375">
        <v>2</v>
      </c>
      <c r="I17" s="372">
        <v>16</v>
      </c>
      <c r="J17" s="58">
        <v>1500</v>
      </c>
      <c r="K17" s="59">
        <f t="shared" si="1"/>
        <v>93.75</v>
      </c>
      <c r="L17" s="372">
        <v>16</v>
      </c>
      <c r="M17" s="60">
        <f t="shared" si="16"/>
        <v>1463.4146341463411</v>
      </c>
      <c r="N17" s="59">
        <f t="shared" si="3"/>
        <v>91.463414634146318</v>
      </c>
      <c r="O17" s="61">
        <f t="shared" si="4"/>
        <v>0</v>
      </c>
      <c r="P17" s="62">
        <f t="shared" si="5"/>
        <v>-2.2865853658536821</v>
      </c>
      <c r="Q17" s="361">
        <f t="shared" si="6"/>
        <v>0.97560975609756073</v>
      </c>
      <c r="R17" s="566"/>
      <c r="S17" s="63">
        <v>0.79444444444444451</v>
      </c>
      <c r="T17" s="63">
        <v>0.82291666666666674</v>
      </c>
      <c r="U17" s="362">
        <f t="shared" si="18"/>
        <v>4.9999999999999822</v>
      </c>
      <c r="V17" s="371">
        <f t="shared" si="17"/>
        <v>41.000000000000014</v>
      </c>
      <c r="W17" s="64">
        <f>T17</f>
        <v>0.82291666666666674</v>
      </c>
      <c r="X17" s="64">
        <f>S18</f>
        <v>0.86250000000000004</v>
      </c>
      <c r="Y17" s="559"/>
      <c r="Z17" s="559"/>
      <c r="AA17" s="61">
        <f t="shared" si="8"/>
        <v>-36.585365853658914</v>
      </c>
      <c r="AB17" s="361">
        <f t="shared" si="9"/>
        <v>0.97560975609756073</v>
      </c>
      <c r="AC17" s="566"/>
    </row>
    <row r="18" spans="1:29" ht="16.5" customHeight="1">
      <c r="A18" s="593" t="s">
        <v>160</v>
      </c>
      <c r="B18" s="373" t="s">
        <v>6</v>
      </c>
      <c r="C18" s="585" t="s">
        <v>99</v>
      </c>
      <c r="D18" s="586"/>
      <c r="E18" s="57">
        <v>53.68</v>
      </c>
      <c r="F18" s="373">
        <v>1530</v>
      </c>
      <c r="G18" s="362">
        <f t="shared" si="15"/>
        <v>82130.399999999994</v>
      </c>
      <c r="H18" s="375" t="s">
        <v>5</v>
      </c>
      <c r="I18" s="372">
        <v>16</v>
      </c>
      <c r="J18" s="58">
        <v>1500</v>
      </c>
      <c r="K18" s="59">
        <f t="shared" si="1"/>
        <v>93.75</v>
      </c>
      <c r="L18" s="372">
        <v>16</v>
      </c>
      <c r="M18" s="60">
        <f t="shared" si="16"/>
        <v>1434.3750000000016</v>
      </c>
      <c r="N18" s="59">
        <f t="shared" si="3"/>
        <v>89.648437500000099</v>
      </c>
      <c r="O18" s="61">
        <f t="shared" si="4"/>
        <v>0</v>
      </c>
      <c r="P18" s="62">
        <f t="shared" si="5"/>
        <v>-4.1015624999999005</v>
      </c>
      <c r="Q18" s="361">
        <f t="shared" si="6"/>
        <v>0.95625000000000104</v>
      </c>
      <c r="R18" s="566"/>
      <c r="S18" s="63">
        <v>0.86250000000000004</v>
      </c>
      <c r="T18" s="63">
        <v>0.90694444444444444</v>
      </c>
      <c r="U18" s="362">
        <f t="shared" si="18"/>
        <v>56.999999999999957</v>
      </c>
      <c r="V18" s="371">
        <f t="shared" si="17"/>
        <v>63.999999999999929</v>
      </c>
      <c r="W18" s="64"/>
      <c r="X18" s="64"/>
      <c r="Y18" s="569"/>
      <c r="Z18" s="570"/>
      <c r="AA18" s="61">
        <f t="shared" si="8"/>
        <v>-65.624999999998408</v>
      </c>
      <c r="AB18" s="361">
        <f t="shared" si="9"/>
        <v>0.95625000000000104</v>
      </c>
      <c r="AC18" s="566"/>
    </row>
    <row r="19" spans="1:29" ht="16.5" customHeight="1">
      <c r="A19" s="593" t="s">
        <v>1678</v>
      </c>
      <c r="B19" s="373" t="s">
        <v>6</v>
      </c>
      <c r="C19" s="369" t="s">
        <v>95</v>
      </c>
      <c r="D19" s="370"/>
      <c r="E19" s="57">
        <v>50.98</v>
      </c>
      <c r="F19" s="373">
        <v>1600</v>
      </c>
      <c r="G19" s="362">
        <f t="shared" si="15"/>
        <v>81568</v>
      </c>
      <c r="H19" s="375" t="s">
        <v>5</v>
      </c>
      <c r="I19" s="372">
        <v>16</v>
      </c>
      <c r="J19" s="58">
        <v>2000</v>
      </c>
      <c r="K19" s="59">
        <f t="shared" si="1"/>
        <v>125</v>
      </c>
      <c r="L19" s="372">
        <v>16</v>
      </c>
      <c r="M19" s="60">
        <f t="shared" si="16"/>
        <v>1920.0000000000005</v>
      </c>
      <c r="N19" s="59">
        <f t="shared" si="3"/>
        <v>120.00000000000003</v>
      </c>
      <c r="O19" s="61">
        <f t="shared" si="4"/>
        <v>0</v>
      </c>
      <c r="P19" s="62">
        <f t="shared" si="5"/>
        <v>-4.9999999999999716</v>
      </c>
      <c r="Q19" s="361">
        <f t="shared" si="6"/>
        <v>0.96000000000000019</v>
      </c>
      <c r="R19" s="566"/>
      <c r="S19" s="63">
        <v>0.91180555555555554</v>
      </c>
      <c r="T19" s="63">
        <v>0.94652777777777775</v>
      </c>
      <c r="U19" s="362">
        <f t="shared" si="18"/>
        <v>6.9999999999999751</v>
      </c>
      <c r="V19" s="371">
        <f t="shared" si="17"/>
        <v>49.999999999999986</v>
      </c>
      <c r="W19" s="64"/>
      <c r="X19" s="64"/>
      <c r="Y19" s="569"/>
      <c r="Z19" s="570"/>
      <c r="AA19" s="61">
        <f t="shared" si="8"/>
        <v>-79.999999999999545</v>
      </c>
      <c r="AB19" s="361">
        <f t="shared" si="9"/>
        <v>0.96000000000000019</v>
      </c>
      <c r="AC19" s="566"/>
    </row>
    <row r="20" spans="1:29" ht="16.5" customHeight="1">
      <c r="A20" s="593" t="s">
        <v>160</v>
      </c>
      <c r="B20" s="57" t="s">
        <v>159</v>
      </c>
      <c r="C20" s="571"/>
      <c r="D20" s="571"/>
      <c r="E20" s="366"/>
      <c r="F20" s="66"/>
      <c r="G20" s="59"/>
      <c r="H20" s="373"/>
      <c r="I20" s="67">
        <v>17.571428571428573</v>
      </c>
      <c r="J20" s="58">
        <v>1714.2857142857142</v>
      </c>
      <c r="K20" s="59">
        <f t="shared" si="1"/>
        <v>97.560975609756085</v>
      </c>
      <c r="L20" s="67">
        <v>17.571428571428573</v>
      </c>
      <c r="M20" s="60">
        <f>AVERAGE(M13:M19)</f>
        <v>1647.8766220167729</v>
      </c>
      <c r="N20" s="59">
        <f t="shared" si="3"/>
        <v>93.781596374938289</v>
      </c>
      <c r="O20" s="61">
        <f t="shared" si="4"/>
        <v>0</v>
      </c>
      <c r="P20" s="62">
        <f t="shared" si="5"/>
        <v>-3.7793792348177959</v>
      </c>
      <c r="Q20" s="361">
        <f t="shared" si="6"/>
        <v>0.96126136284311758</v>
      </c>
      <c r="R20" s="566"/>
      <c r="S20" s="63"/>
      <c r="T20" s="63"/>
      <c r="U20" s="362"/>
      <c r="V20" s="371"/>
      <c r="W20" s="59"/>
      <c r="X20" s="59"/>
      <c r="Y20" s="559"/>
      <c r="Z20" s="559"/>
      <c r="AA20" s="61">
        <f t="shared" si="8"/>
        <v>-66.409092268941322</v>
      </c>
      <c r="AB20" s="361">
        <f t="shared" si="9"/>
        <v>0.96126136284311758</v>
      </c>
      <c r="AC20" s="566"/>
    </row>
    <row r="21" spans="1:29" ht="15.75" customHeight="1">
      <c r="A21" s="588" t="s">
        <v>86</v>
      </c>
      <c r="B21" s="57" t="s">
        <v>12</v>
      </c>
      <c r="C21" s="584" t="s">
        <v>19</v>
      </c>
      <c r="D21" s="584"/>
      <c r="E21" s="57">
        <v>43.14</v>
      </c>
      <c r="F21" s="373">
        <v>1151</v>
      </c>
      <c r="G21" s="362">
        <f t="shared" ref="G21:G28" si="19">E21*F21</f>
        <v>49654.14</v>
      </c>
      <c r="H21" s="375" t="s">
        <v>5</v>
      </c>
      <c r="I21" s="372">
        <v>17</v>
      </c>
      <c r="J21" s="58">
        <v>2000</v>
      </c>
      <c r="K21" s="59">
        <f t="shared" si="1"/>
        <v>117.64705882352941</v>
      </c>
      <c r="L21" s="372">
        <v>17</v>
      </c>
      <c r="M21" s="60">
        <f t="shared" ref="M21:M28" si="20">F21/V21*60</f>
        <v>1918.3333333333337</v>
      </c>
      <c r="N21" s="59">
        <f t="shared" si="3"/>
        <v>112.84313725490199</v>
      </c>
      <c r="O21" s="61">
        <f t="shared" si="4"/>
        <v>0</v>
      </c>
      <c r="P21" s="62">
        <f t="shared" si="5"/>
        <v>-4.8039215686274161</v>
      </c>
      <c r="Q21" s="361">
        <f t="shared" si="6"/>
        <v>0.95916666666666694</v>
      </c>
      <c r="R21" s="566">
        <f>Q29</f>
        <v>0.96044385379466479</v>
      </c>
      <c r="S21" s="63">
        <v>0.20833333333333334</v>
      </c>
      <c r="T21" s="63">
        <v>0.23333333333333334</v>
      </c>
      <c r="U21" s="362"/>
      <c r="V21" s="371">
        <f t="shared" ref="V21:V28" si="21">(T21-S21)*24*60</f>
        <v>35.999999999999993</v>
      </c>
      <c r="W21" s="68"/>
      <c r="X21" s="68"/>
      <c r="Y21" s="559"/>
      <c r="Z21" s="559"/>
      <c r="AA21" s="61">
        <f t="shared" si="8"/>
        <v>-81.666666666666288</v>
      </c>
      <c r="AB21" s="361">
        <f t="shared" si="9"/>
        <v>0.95916666666666683</v>
      </c>
      <c r="AC21" s="566">
        <f>AB29</f>
        <v>0.9604438537946649</v>
      </c>
    </row>
    <row r="22" spans="1:29" ht="15.75" customHeight="1">
      <c r="A22" s="589" t="s">
        <v>1679</v>
      </c>
      <c r="B22" s="57" t="s">
        <v>65</v>
      </c>
      <c r="C22" s="584" t="s">
        <v>97</v>
      </c>
      <c r="D22" s="584"/>
      <c r="E22" s="57">
        <v>49.9</v>
      </c>
      <c r="F22" s="373">
        <v>1440</v>
      </c>
      <c r="G22" s="362">
        <f t="shared" si="19"/>
        <v>71856</v>
      </c>
      <c r="H22" s="375" t="s">
        <v>5</v>
      </c>
      <c r="I22" s="372">
        <v>17</v>
      </c>
      <c r="J22" s="58">
        <v>2000</v>
      </c>
      <c r="K22" s="59">
        <f t="shared" si="1"/>
        <v>117.64705882352941</v>
      </c>
      <c r="L22" s="372">
        <v>17</v>
      </c>
      <c r="M22" s="60">
        <f t="shared" si="20"/>
        <v>1919.9999999999982</v>
      </c>
      <c r="N22" s="59">
        <f t="shared" si="3"/>
        <v>112.94117647058813</v>
      </c>
      <c r="O22" s="61">
        <f t="shared" si="4"/>
        <v>0</v>
      </c>
      <c r="P22" s="62">
        <f t="shared" si="5"/>
        <v>-4.7058823529412734</v>
      </c>
      <c r="Q22" s="361">
        <f t="shared" si="6"/>
        <v>0.95999999999999919</v>
      </c>
      <c r="R22" s="566"/>
      <c r="S22" s="63">
        <v>0.2388888888888889</v>
      </c>
      <c r="T22" s="63">
        <v>0.27013888888888893</v>
      </c>
      <c r="U22" s="362">
        <f t="shared" ref="U22:U28" si="22">IF(S22=TIME(17,0,0),"",(S22-T21)*24*60)</f>
        <v>8.0000000000000107</v>
      </c>
      <c r="V22" s="371">
        <f t="shared" si="21"/>
        <v>45.000000000000043</v>
      </c>
      <c r="W22" s="64"/>
      <c r="X22" s="362"/>
      <c r="Y22" s="559"/>
      <c r="Z22" s="559"/>
      <c r="AA22" s="61">
        <f t="shared" si="8"/>
        <v>-80.000000000001819</v>
      </c>
      <c r="AB22" s="361">
        <f t="shared" si="9"/>
        <v>0.95999999999999908</v>
      </c>
      <c r="AC22" s="566"/>
    </row>
    <row r="23" spans="1:29" ht="15.75" customHeight="1">
      <c r="A23" s="589" t="s">
        <v>1680</v>
      </c>
      <c r="B23" s="57" t="s">
        <v>6</v>
      </c>
      <c r="C23" s="584" t="s">
        <v>20</v>
      </c>
      <c r="D23" s="584"/>
      <c r="E23" s="57">
        <v>57.73</v>
      </c>
      <c r="F23" s="373">
        <v>2769</v>
      </c>
      <c r="G23" s="362">
        <f t="shared" si="19"/>
        <v>159854.37</v>
      </c>
      <c r="H23" s="375" t="s">
        <v>5</v>
      </c>
      <c r="I23" s="372">
        <v>14</v>
      </c>
      <c r="J23" s="58">
        <v>2000</v>
      </c>
      <c r="K23" s="59">
        <f t="shared" si="1"/>
        <v>142.85714285714286</v>
      </c>
      <c r="L23" s="372">
        <v>14</v>
      </c>
      <c r="M23" s="60">
        <f t="shared" si="20"/>
        <v>1909.6551724137928</v>
      </c>
      <c r="N23" s="59">
        <f t="shared" si="3"/>
        <v>136.40394088669947</v>
      </c>
      <c r="O23" s="61">
        <f t="shared" si="4"/>
        <v>0</v>
      </c>
      <c r="P23" s="62">
        <f t="shared" si="5"/>
        <v>-6.4532019704433878</v>
      </c>
      <c r="Q23" s="361">
        <f t="shared" si="6"/>
        <v>0.95482758620689634</v>
      </c>
      <c r="R23" s="566"/>
      <c r="S23" s="63">
        <v>0.27569444444444446</v>
      </c>
      <c r="T23" s="63">
        <v>0.33611111111111114</v>
      </c>
      <c r="U23" s="362">
        <f t="shared" si="22"/>
        <v>7.9999999999999716</v>
      </c>
      <c r="V23" s="371">
        <f t="shared" si="21"/>
        <v>87.000000000000014</v>
      </c>
      <c r="W23" s="64"/>
      <c r="X23" s="362"/>
      <c r="Y23" s="559"/>
      <c r="Z23" s="559"/>
      <c r="AA23" s="61">
        <f t="shared" si="8"/>
        <v>-90.344827586207202</v>
      </c>
      <c r="AB23" s="361">
        <f t="shared" si="9"/>
        <v>0.95482758620689645</v>
      </c>
      <c r="AC23" s="566"/>
    </row>
    <row r="24" spans="1:29" ht="15.75" customHeight="1">
      <c r="A24" s="589" t="s">
        <v>1680</v>
      </c>
      <c r="B24" s="57" t="s">
        <v>6</v>
      </c>
      <c r="C24" s="584" t="s">
        <v>21</v>
      </c>
      <c r="D24" s="584"/>
      <c r="E24" s="57">
        <v>53.68</v>
      </c>
      <c r="F24" s="373">
        <v>1731</v>
      </c>
      <c r="G24" s="362">
        <f t="shared" si="19"/>
        <v>92920.08</v>
      </c>
      <c r="H24" s="375" t="s">
        <v>5</v>
      </c>
      <c r="I24" s="372">
        <v>16</v>
      </c>
      <c r="J24" s="58">
        <v>2000</v>
      </c>
      <c r="K24" s="59">
        <f t="shared" si="1"/>
        <v>125</v>
      </c>
      <c r="L24" s="372">
        <v>16</v>
      </c>
      <c r="M24" s="60">
        <f t="shared" si="20"/>
        <v>1923.3333333333344</v>
      </c>
      <c r="N24" s="59">
        <f t="shared" si="3"/>
        <v>120.2083333333334</v>
      </c>
      <c r="O24" s="61">
        <f t="shared" si="4"/>
        <v>0</v>
      </c>
      <c r="P24" s="62">
        <f t="shared" si="5"/>
        <v>-4.7916666666666003</v>
      </c>
      <c r="Q24" s="361">
        <f t="shared" si="6"/>
        <v>0.96166666666666722</v>
      </c>
      <c r="R24" s="566"/>
      <c r="S24" s="63">
        <v>0.34027777777777779</v>
      </c>
      <c r="T24" s="63">
        <v>0.37777777777777777</v>
      </c>
      <c r="U24" s="362">
        <f t="shared" si="22"/>
        <v>5.9999999999999787</v>
      </c>
      <c r="V24" s="371">
        <f t="shared" si="21"/>
        <v>53.999999999999972</v>
      </c>
      <c r="W24" s="64"/>
      <c r="X24" s="362"/>
      <c r="Y24" s="559"/>
      <c r="Z24" s="559"/>
      <c r="AA24" s="61">
        <f t="shared" si="8"/>
        <v>-76.666666666665606</v>
      </c>
      <c r="AB24" s="361">
        <f t="shared" si="9"/>
        <v>0.96166666666666722</v>
      </c>
      <c r="AC24" s="566"/>
    </row>
    <row r="25" spans="1:29" ht="15.75" customHeight="1">
      <c r="A25" s="589" t="s">
        <v>86</v>
      </c>
      <c r="B25" s="57" t="s">
        <v>6</v>
      </c>
      <c r="C25" s="584" t="s">
        <v>96</v>
      </c>
      <c r="D25" s="584"/>
      <c r="E25" s="57">
        <v>49.91</v>
      </c>
      <c r="F25" s="373">
        <v>1209</v>
      </c>
      <c r="G25" s="362">
        <f t="shared" si="19"/>
        <v>60341.189999999995</v>
      </c>
      <c r="H25" s="375" t="s">
        <v>5</v>
      </c>
      <c r="I25" s="372">
        <v>17</v>
      </c>
      <c r="J25" s="58">
        <v>2000</v>
      </c>
      <c r="K25" s="59">
        <f t="shared" si="1"/>
        <v>117.64705882352941</v>
      </c>
      <c r="L25" s="372">
        <v>17</v>
      </c>
      <c r="M25" s="60">
        <f t="shared" si="20"/>
        <v>1908.9473684210514</v>
      </c>
      <c r="N25" s="59">
        <f t="shared" si="3"/>
        <v>112.29102167182656</v>
      </c>
      <c r="O25" s="61">
        <f t="shared" si="4"/>
        <v>0</v>
      </c>
      <c r="P25" s="62">
        <f t="shared" si="5"/>
        <v>-5.35603715170285</v>
      </c>
      <c r="Q25" s="361">
        <f t="shared" si="6"/>
        <v>0.95447368421052581</v>
      </c>
      <c r="R25" s="566"/>
      <c r="S25" s="63">
        <v>0.3833333333333333</v>
      </c>
      <c r="T25" s="63">
        <v>0.40972222222222221</v>
      </c>
      <c r="U25" s="362">
        <f t="shared" si="22"/>
        <v>7.9999999999999716</v>
      </c>
      <c r="V25" s="371">
        <f t="shared" si="21"/>
        <v>38.000000000000028</v>
      </c>
      <c r="W25" s="64"/>
      <c r="X25" s="362"/>
      <c r="Y25" s="559"/>
      <c r="Z25" s="559"/>
      <c r="AA25" s="61">
        <f t="shared" si="8"/>
        <v>-91.052631578948649</v>
      </c>
      <c r="AB25" s="361">
        <f t="shared" si="9"/>
        <v>0.9544736842105257</v>
      </c>
      <c r="AC25" s="566"/>
    </row>
    <row r="26" spans="1:29" ht="15.75" customHeight="1">
      <c r="A26" s="589" t="s">
        <v>86</v>
      </c>
      <c r="B26" s="57" t="s">
        <v>6</v>
      </c>
      <c r="C26" s="584" t="s">
        <v>22</v>
      </c>
      <c r="D26" s="584"/>
      <c r="E26" s="57">
        <v>54.09</v>
      </c>
      <c r="F26" s="373">
        <v>1617</v>
      </c>
      <c r="G26" s="362">
        <f t="shared" si="19"/>
        <v>87463.53</v>
      </c>
      <c r="H26" s="375" t="s">
        <v>5</v>
      </c>
      <c r="I26" s="372">
        <v>19</v>
      </c>
      <c r="J26" s="58">
        <v>2000</v>
      </c>
      <c r="K26" s="59">
        <f t="shared" si="1"/>
        <v>105.26315789473684</v>
      </c>
      <c r="L26" s="372">
        <v>19</v>
      </c>
      <c r="M26" s="60">
        <f t="shared" si="20"/>
        <v>1940.4000000000005</v>
      </c>
      <c r="N26" s="59">
        <f t="shared" si="3"/>
        <v>102.12631578947371</v>
      </c>
      <c r="O26" s="61">
        <f t="shared" si="4"/>
        <v>0</v>
      </c>
      <c r="P26" s="62">
        <f t="shared" si="5"/>
        <v>-3.1368421052631277</v>
      </c>
      <c r="Q26" s="361">
        <f t="shared" si="6"/>
        <v>0.97020000000000028</v>
      </c>
      <c r="R26" s="566"/>
      <c r="S26" s="63">
        <v>0.70833333333333337</v>
      </c>
      <c r="T26" s="63">
        <v>0.74305555555555558</v>
      </c>
      <c r="U26" s="362" t="str">
        <f t="shared" si="22"/>
        <v/>
      </c>
      <c r="V26" s="371">
        <f t="shared" si="21"/>
        <v>49.999999999999986</v>
      </c>
      <c r="W26" s="64"/>
      <c r="X26" s="68"/>
      <c r="Y26" s="559"/>
      <c r="Z26" s="559"/>
      <c r="AA26" s="61">
        <f t="shared" si="8"/>
        <v>-59.599999999999454</v>
      </c>
      <c r="AB26" s="361">
        <f t="shared" si="9"/>
        <v>0.97020000000000028</v>
      </c>
      <c r="AC26" s="566"/>
    </row>
    <row r="27" spans="1:29" ht="15.75" customHeight="1">
      <c r="A27" s="589" t="s">
        <v>1680</v>
      </c>
      <c r="B27" s="57" t="s">
        <v>6</v>
      </c>
      <c r="C27" s="584" t="s">
        <v>69</v>
      </c>
      <c r="D27" s="584"/>
      <c r="E27" s="57">
        <v>57.73</v>
      </c>
      <c r="F27" s="373">
        <v>1442</v>
      </c>
      <c r="G27" s="362">
        <f t="shared" si="19"/>
        <v>83246.659999999989</v>
      </c>
      <c r="H27" s="375" t="s">
        <v>5</v>
      </c>
      <c r="I27" s="372">
        <v>16</v>
      </c>
      <c r="J27" s="58">
        <v>1500</v>
      </c>
      <c r="K27" s="59">
        <f t="shared" si="1"/>
        <v>93.75</v>
      </c>
      <c r="L27" s="372">
        <v>16</v>
      </c>
      <c r="M27" s="60">
        <f t="shared" si="20"/>
        <v>1442.0000000000014</v>
      </c>
      <c r="N27" s="59">
        <f t="shared" si="3"/>
        <v>90.125000000000085</v>
      </c>
      <c r="O27" s="61">
        <f t="shared" si="4"/>
        <v>0</v>
      </c>
      <c r="P27" s="62">
        <f t="shared" si="5"/>
        <v>-3.6249999999999147</v>
      </c>
      <c r="Q27" s="361">
        <f t="shared" si="6"/>
        <v>0.96133333333333426</v>
      </c>
      <c r="R27" s="566"/>
      <c r="S27" s="63">
        <v>0.74722222222222223</v>
      </c>
      <c r="T27" s="63">
        <v>0.78888888888888886</v>
      </c>
      <c r="U27" s="362">
        <f t="shared" si="22"/>
        <v>5.9999999999999787</v>
      </c>
      <c r="V27" s="371">
        <f t="shared" si="21"/>
        <v>59.999999999999943</v>
      </c>
      <c r="W27" s="64"/>
      <c r="X27" s="68"/>
      <c r="Y27" s="569"/>
      <c r="Z27" s="570"/>
      <c r="AA27" s="61">
        <f t="shared" si="8"/>
        <v>-57.999999999998636</v>
      </c>
      <c r="AB27" s="361">
        <f t="shared" si="9"/>
        <v>0.96133333333333426</v>
      </c>
      <c r="AC27" s="566"/>
    </row>
    <row r="28" spans="1:29" ht="15.75" customHeight="1">
      <c r="A28" s="589" t="s">
        <v>1680</v>
      </c>
      <c r="B28" s="57" t="s">
        <v>6</v>
      </c>
      <c r="C28" s="585" t="s">
        <v>68</v>
      </c>
      <c r="D28" s="586"/>
      <c r="E28" s="57">
        <v>50.67</v>
      </c>
      <c r="F28" s="373">
        <v>1828</v>
      </c>
      <c r="G28" s="362">
        <f t="shared" si="19"/>
        <v>92624.760000000009</v>
      </c>
      <c r="H28" s="375" t="s">
        <v>5</v>
      </c>
      <c r="I28" s="372">
        <v>15</v>
      </c>
      <c r="J28" s="58">
        <v>2000</v>
      </c>
      <c r="K28" s="59">
        <f t="shared" si="1"/>
        <v>133.33333333333334</v>
      </c>
      <c r="L28" s="372">
        <v>15</v>
      </c>
      <c r="M28" s="60">
        <f t="shared" si="20"/>
        <v>1924.210526315791</v>
      </c>
      <c r="N28" s="59">
        <f t="shared" si="3"/>
        <v>128.28070175438606</v>
      </c>
      <c r="O28" s="61">
        <f t="shared" si="4"/>
        <v>0</v>
      </c>
      <c r="P28" s="62">
        <f t="shared" si="5"/>
        <v>-5.0526315789472847</v>
      </c>
      <c r="Q28" s="361">
        <f t="shared" si="6"/>
        <v>0.96210526315789535</v>
      </c>
      <c r="R28" s="566"/>
      <c r="S28" s="63">
        <v>0.79236111111111107</v>
      </c>
      <c r="T28" s="63">
        <v>0.83194444444444438</v>
      </c>
      <c r="U28" s="362">
        <f t="shared" si="22"/>
        <v>4.9999999999999822</v>
      </c>
      <c r="V28" s="371">
        <f t="shared" si="21"/>
        <v>56.999999999999957</v>
      </c>
      <c r="W28" s="64"/>
      <c r="X28" s="64"/>
      <c r="Y28" s="569"/>
      <c r="Z28" s="570"/>
      <c r="AA28" s="61">
        <f t="shared" si="8"/>
        <v>-75.789473684209042</v>
      </c>
      <c r="AB28" s="361">
        <f t="shared" si="9"/>
        <v>0.96210526315789546</v>
      </c>
      <c r="AC28" s="566"/>
    </row>
    <row r="29" spans="1:29" ht="15.75" customHeight="1">
      <c r="A29" s="589" t="s">
        <v>1679</v>
      </c>
      <c r="B29" s="57" t="s">
        <v>1681</v>
      </c>
      <c r="C29" s="571"/>
      <c r="D29" s="571"/>
      <c r="E29" s="366"/>
      <c r="F29" s="373"/>
      <c r="G29" s="362"/>
      <c r="H29" s="373"/>
      <c r="I29" s="67">
        <v>16.375</v>
      </c>
      <c r="J29" s="58">
        <v>1937.5</v>
      </c>
      <c r="K29" s="59">
        <f t="shared" si="1"/>
        <v>118.32061068702291</v>
      </c>
      <c r="L29" s="67">
        <v>16.375</v>
      </c>
      <c r="M29" s="60">
        <f>AVERAGE(M21:M28)</f>
        <v>1860.8599667271633</v>
      </c>
      <c r="N29" s="59">
        <f t="shared" si="3"/>
        <v>113.64030331158249</v>
      </c>
      <c r="O29" s="61">
        <f t="shared" si="4"/>
        <v>0</v>
      </c>
      <c r="P29" s="62">
        <f t="shared" si="5"/>
        <v>-4.680307375440421</v>
      </c>
      <c r="Q29" s="361">
        <f t="shared" si="6"/>
        <v>0.96044385379466479</v>
      </c>
      <c r="R29" s="566"/>
      <c r="S29" s="63"/>
      <c r="T29" s="63"/>
      <c r="U29" s="59"/>
      <c r="V29" s="371"/>
      <c r="W29" s="59"/>
      <c r="X29" s="59"/>
      <c r="Y29" s="559"/>
      <c r="Z29" s="559"/>
      <c r="AA29" s="61">
        <f t="shared" si="8"/>
        <v>-76.640033272836718</v>
      </c>
      <c r="AB29" s="361">
        <f t="shared" si="9"/>
        <v>0.9604438537946649</v>
      </c>
      <c r="AC29" s="566"/>
    </row>
    <row r="30" spans="1:29" ht="15.75" customHeight="1">
      <c r="A30" s="587" t="s">
        <v>87</v>
      </c>
      <c r="B30" s="57" t="s">
        <v>15</v>
      </c>
      <c r="C30" s="584" t="s">
        <v>26</v>
      </c>
      <c r="D30" s="584"/>
      <c r="E30" s="57">
        <v>31.29</v>
      </c>
      <c r="F30" s="373">
        <v>4500</v>
      </c>
      <c r="G30" s="362">
        <f t="shared" ref="G30:G38" si="23">E30*F30</f>
        <v>140805</v>
      </c>
      <c r="H30" s="375">
        <v>2</v>
      </c>
      <c r="I30" s="372">
        <v>18</v>
      </c>
      <c r="J30" s="58">
        <v>2400</v>
      </c>
      <c r="K30" s="59">
        <f t="shared" si="1"/>
        <v>133.33333333333334</v>
      </c>
      <c r="L30" s="372">
        <v>18</v>
      </c>
      <c r="M30" s="60">
        <f t="shared" ref="M30:M38" si="24">F30/V30*60</f>
        <v>2288.1355932203392</v>
      </c>
      <c r="N30" s="59">
        <f t="shared" si="3"/>
        <v>127.11864406779662</v>
      </c>
      <c r="O30" s="61">
        <f t="shared" si="4"/>
        <v>0</v>
      </c>
      <c r="P30" s="62">
        <f t="shared" si="5"/>
        <v>-6.2146892655367196</v>
      </c>
      <c r="Q30" s="361">
        <f t="shared" si="6"/>
        <v>0.95338983050847459</v>
      </c>
      <c r="R30" s="566">
        <f>Q39</f>
        <v>0.95902114824490314</v>
      </c>
      <c r="S30" s="63">
        <v>8.3333333333333329E-2</v>
      </c>
      <c r="T30" s="63">
        <v>0.16527777777777777</v>
      </c>
      <c r="U30" s="362"/>
      <c r="V30" s="371">
        <f t="shared" ref="V30:V38" si="25">(T30-S30)*24*60</f>
        <v>118</v>
      </c>
      <c r="W30" s="64">
        <f>T30</f>
        <v>0.16527777777777777</v>
      </c>
      <c r="X30" s="64">
        <f>S31</f>
        <v>0.18333333333333332</v>
      </c>
      <c r="Y30" s="559"/>
      <c r="Z30" s="559"/>
      <c r="AA30" s="61">
        <f t="shared" si="8"/>
        <v>-111.86440677966084</v>
      </c>
      <c r="AB30" s="361">
        <f t="shared" si="9"/>
        <v>0.9533898305084747</v>
      </c>
      <c r="AC30" s="566">
        <f>AB39</f>
        <v>0.95902114824490292</v>
      </c>
    </row>
    <row r="31" spans="1:29" ht="15.75" customHeight="1">
      <c r="A31" s="587" t="s">
        <v>1682</v>
      </c>
      <c r="B31" s="57" t="s">
        <v>15</v>
      </c>
      <c r="C31" s="584" t="s">
        <v>23</v>
      </c>
      <c r="D31" s="584"/>
      <c r="E31" s="57">
        <v>26.2</v>
      </c>
      <c r="F31" s="373">
        <v>3300</v>
      </c>
      <c r="G31" s="362">
        <f t="shared" si="23"/>
        <v>86460</v>
      </c>
      <c r="H31" s="375">
        <v>2</v>
      </c>
      <c r="I31" s="372">
        <v>20</v>
      </c>
      <c r="J31" s="58">
        <v>2400</v>
      </c>
      <c r="K31" s="59">
        <f t="shared" si="1"/>
        <v>120</v>
      </c>
      <c r="L31" s="372">
        <v>20</v>
      </c>
      <c r="M31" s="60">
        <f t="shared" si="24"/>
        <v>2302.3255813953483</v>
      </c>
      <c r="N31" s="59">
        <f t="shared" si="3"/>
        <v>115.11627906976742</v>
      </c>
      <c r="O31" s="61">
        <f t="shared" si="4"/>
        <v>0</v>
      </c>
      <c r="P31" s="62">
        <f t="shared" si="5"/>
        <v>-4.8837209302325846</v>
      </c>
      <c r="Q31" s="361">
        <f t="shared" si="6"/>
        <v>0.95930232558139517</v>
      </c>
      <c r="R31" s="566"/>
      <c r="S31" s="63">
        <v>0.18333333333333332</v>
      </c>
      <c r="T31" s="63">
        <v>0.24305555555555555</v>
      </c>
      <c r="U31" s="362">
        <f t="shared" ref="U31:U38" si="26">(S31-T30)*24*60</f>
        <v>25.999999999999986</v>
      </c>
      <c r="V31" s="371">
        <f t="shared" si="25"/>
        <v>86.000000000000014</v>
      </c>
      <c r="W31" s="64"/>
      <c r="X31" s="64"/>
      <c r="Y31" s="559"/>
      <c r="Z31" s="559"/>
      <c r="AA31" s="61">
        <f t="shared" si="8"/>
        <v>-97.674418604651692</v>
      </c>
      <c r="AB31" s="361">
        <f t="shared" si="9"/>
        <v>0.95930232558139517</v>
      </c>
      <c r="AC31" s="566"/>
    </row>
    <row r="32" spans="1:29" ht="15.75" customHeight="1">
      <c r="A32" s="587" t="s">
        <v>1682</v>
      </c>
      <c r="B32" s="57" t="s">
        <v>15</v>
      </c>
      <c r="C32" s="584" t="s">
        <v>70</v>
      </c>
      <c r="D32" s="584"/>
      <c r="E32" s="57">
        <v>25.99</v>
      </c>
      <c r="F32" s="373">
        <v>3000</v>
      </c>
      <c r="G32" s="362">
        <f t="shared" si="23"/>
        <v>77970</v>
      </c>
      <c r="H32" s="375">
        <v>2</v>
      </c>
      <c r="I32" s="372">
        <v>14</v>
      </c>
      <c r="J32" s="58">
        <v>2400</v>
      </c>
      <c r="K32" s="59">
        <f t="shared" si="1"/>
        <v>171.42857142857142</v>
      </c>
      <c r="L32" s="372">
        <v>14</v>
      </c>
      <c r="M32" s="60">
        <f t="shared" si="24"/>
        <v>2307.6923076923076</v>
      </c>
      <c r="N32" s="59">
        <f t="shared" si="3"/>
        <v>164.83516483516482</v>
      </c>
      <c r="O32" s="61">
        <f t="shared" si="4"/>
        <v>0</v>
      </c>
      <c r="P32" s="62">
        <f t="shared" si="5"/>
        <v>-6.5934065934065984</v>
      </c>
      <c r="Q32" s="361">
        <f t="shared" si="6"/>
        <v>0.96153846153846145</v>
      </c>
      <c r="R32" s="566"/>
      <c r="S32" s="63">
        <v>0.24652777777777776</v>
      </c>
      <c r="T32" s="63">
        <v>0.30069444444444443</v>
      </c>
      <c r="U32" s="362">
        <f t="shared" si="26"/>
        <v>4.9999999999999822</v>
      </c>
      <c r="V32" s="371">
        <f t="shared" si="25"/>
        <v>78</v>
      </c>
      <c r="W32" s="64"/>
      <c r="X32" s="64"/>
      <c r="Y32" s="559"/>
      <c r="Z32" s="559"/>
      <c r="AA32" s="61">
        <f t="shared" si="8"/>
        <v>-92.307692307692378</v>
      </c>
      <c r="AB32" s="361">
        <f t="shared" si="9"/>
        <v>0.96153846153846156</v>
      </c>
      <c r="AC32" s="566"/>
    </row>
    <row r="33" spans="1:29" ht="15.75" customHeight="1">
      <c r="A33" s="587" t="s">
        <v>1682</v>
      </c>
      <c r="B33" s="57" t="s">
        <v>15</v>
      </c>
      <c r="C33" s="584" t="s">
        <v>45</v>
      </c>
      <c r="D33" s="584"/>
      <c r="E33" s="57">
        <v>20.52</v>
      </c>
      <c r="F33" s="373">
        <v>4751</v>
      </c>
      <c r="G33" s="362">
        <f t="shared" si="23"/>
        <v>97490.52</v>
      </c>
      <c r="H33" s="375" t="s">
        <v>5</v>
      </c>
      <c r="I33" s="372">
        <v>18</v>
      </c>
      <c r="J33" s="58">
        <v>2400</v>
      </c>
      <c r="K33" s="59">
        <f t="shared" si="1"/>
        <v>133.33333333333334</v>
      </c>
      <c r="L33" s="372">
        <v>18</v>
      </c>
      <c r="M33" s="60">
        <f t="shared" si="24"/>
        <v>2298.8709677419347</v>
      </c>
      <c r="N33" s="59">
        <f t="shared" si="3"/>
        <v>127.71505376344082</v>
      </c>
      <c r="O33" s="61">
        <f t="shared" si="4"/>
        <v>0</v>
      </c>
      <c r="P33" s="62">
        <f t="shared" si="5"/>
        <v>-5.6182795698925219</v>
      </c>
      <c r="Q33" s="361">
        <f t="shared" si="6"/>
        <v>0.95786290322580614</v>
      </c>
      <c r="R33" s="566"/>
      <c r="S33" s="63">
        <v>0.30624999999999997</v>
      </c>
      <c r="T33" s="63">
        <v>0.3923611111111111</v>
      </c>
      <c r="U33" s="362">
        <f t="shared" si="26"/>
        <v>7.9999999999999716</v>
      </c>
      <c r="V33" s="371">
        <f t="shared" si="25"/>
        <v>124.00000000000004</v>
      </c>
      <c r="W33" s="64"/>
      <c r="X33" s="64"/>
      <c r="Y33" s="559"/>
      <c r="Z33" s="559"/>
      <c r="AA33" s="61">
        <f t="shared" si="8"/>
        <v>-101.12903225806531</v>
      </c>
      <c r="AB33" s="361">
        <f t="shared" si="9"/>
        <v>0.95786290322580614</v>
      </c>
      <c r="AC33" s="566"/>
    </row>
    <row r="34" spans="1:29" ht="15.75" customHeight="1">
      <c r="A34" s="587" t="s">
        <v>1683</v>
      </c>
      <c r="B34" s="57" t="s">
        <v>15</v>
      </c>
      <c r="C34" s="584" t="s">
        <v>98</v>
      </c>
      <c r="D34" s="584"/>
      <c r="E34" s="57">
        <v>25.98</v>
      </c>
      <c r="F34" s="373">
        <v>4377</v>
      </c>
      <c r="G34" s="362">
        <f t="shared" si="23"/>
        <v>113714.46</v>
      </c>
      <c r="H34" s="375" t="s">
        <v>5</v>
      </c>
      <c r="I34" s="372">
        <v>21</v>
      </c>
      <c r="J34" s="58">
        <v>2400</v>
      </c>
      <c r="K34" s="59">
        <f t="shared" si="1"/>
        <v>114.28571428571429</v>
      </c>
      <c r="L34" s="372">
        <v>21</v>
      </c>
      <c r="M34" s="60">
        <f t="shared" si="24"/>
        <v>2303.6842105263158</v>
      </c>
      <c r="N34" s="59">
        <f t="shared" si="3"/>
        <v>109.69924812030075</v>
      </c>
      <c r="O34" s="61">
        <f t="shared" si="4"/>
        <v>0</v>
      </c>
      <c r="P34" s="62">
        <f t="shared" si="5"/>
        <v>-4.5864661654135404</v>
      </c>
      <c r="Q34" s="361">
        <f t="shared" si="6"/>
        <v>0.95986842105263148</v>
      </c>
      <c r="R34" s="566"/>
      <c r="S34" s="63">
        <v>0.39791666666666664</v>
      </c>
      <c r="T34" s="63">
        <v>0.4770833333333333</v>
      </c>
      <c r="U34" s="362">
        <f t="shared" si="26"/>
        <v>7.9999999999999716</v>
      </c>
      <c r="V34" s="371">
        <f t="shared" si="25"/>
        <v>114</v>
      </c>
      <c r="W34" s="64"/>
      <c r="X34" s="64"/>
      <c r="Y34" s="559"/>
      <c r="Z34" s="559"/>
      <c r="AA34" s="61">
        <f t="shared" si="8"/>
        <v>-96.315789473684163</v>
      </c>
      <c r="AB34" s="361">
        <f t="shared" si="9"/>
        <v>0.95986842105263159</v>
      </c>
      <c r="AC34" s="566"/>
    </row>
    <row r="35" spans="1:29" ht="15.75" customHeight="1">
      <c r="A35" s="587" t="s">
        <v>87</v>
      </c>
      <c r="B35" s="57" t="s">
        <v>15</v>
      </c>
      <c r="C35" s="584" t="s">
        <v>100</v>
      </c>
      <c r="D35" s="584"/>
      <c r="E35" s="57">
        <v>28.51</v>
      </c>
      <c r="F35" s="373">
        <v>1122</v>
      </c>
      <c r="G35" s="362">
        <f t="shared" si="23"/>
        <v>31988.22</v>
      </c>
      <c r="H35" s="375" t="s">
        <v>5</v>
      </c>
      <c r="I35" s="372">
        <v>16</v>
      </c>
      <c r="J35" s="58">
        <v>2400</v>
      </c>
      <c r="K35" s="59">
        <f t="shared" si="1"/>
        <v>150</v>
      </c>
      <c r="L35" s="372">
        <v>16</v>
      </c>
      <c r="M35" s="60">
        <f t="shared" si="24"/>
        <v>2321.3793103448229</v>
      </c>
      <c r="N35" s="59">
        <f t="shared" si="3"/>
        <v>145.08620689655143</v>
      </c>
      <c r="O35" s="61">
        <f t="shared" si="4"/>
        <v>0</v>
      </c>
      <c r="P35" s="62">
        <f t="shared" si="5"/>
        <v>-4.9137931034485689</v>
      </c>
      <c r="Q35" s="361">
        <f t="shared" si="6"/>
        <v>0.96724137931034282</v>
      </c>
      <c r="R35" s="566"/>
      <c r="S35" s="63">
        <v>0.48263888888888884</v>
      </c>
      <c r="T35" s="63">
        <v>0.50277777777777777</v>
      </c>
      <c r="U35" s="362">
        <f t="shared" si="26"/>
        <v>7.9999999999999716</v>
      </c>
      <c r="V35" s="371">
        <f t="shared" si="25"/>
        <v>29.000000000000057</v>
      </c>
      <c r="W35" s="64">
        <f>T35</f>
        <v>0.50277777777777777</v>
      </c>
      <c r="X35" s="64">
        <f>S36</f>
        <v>0.54305555555555551</v>
      </c>
      <c r="Y35" s="559"/>
      <c r="Z35" s="559"/>
      <c r="AA35" s="61">
        <f t="shared" si="8"/>
        <v>-78.620689655177102</v>
      </c>
      <c r="AB35" s="361">
        <f t="shared" si="9"/>
        <v>0.96724137931034282</v>
      </c>
      <c r="AC35" s="566"/>
    </row>
    <row r="36" spans="1:29" ht="15.75" customHeight="1">
      <c r="A36" s="587" t="s">
        <v>1683</v>
      </c>
      <c r="B36" s="57" t="s">
        <v>15</v>
      </c>
      <c r="C36" s="584" t="s">
        <v>26</v>
      </c>
      <c r="D36" s="584"/>
      <c r="E36" s="57">
        <v>31.29</v>
      </c>
      <c r="F36" s="373">
        <v>5352</v>
      </c>
      <c r="G36" s="362">
        <f t="shared" si="23"/>
        <v>167464.07999999999</v>
      </c>
      <c r="H36" s="375" t="s">
        <v>5</v>
      </c>
      <c r="I36" s="372">
        <v>18</v>
      </c>
      <c r="J36" s="58">
        <v>2400</v>
      </c>
      <c r="K36" s="59">
        <f t="shared" si="1"/>
        <v>133.33333333333334</v>
      </c>
      <c r="L36" s="372">
        <v>18</v>
      </c>
      <c r="M36" s="60">
        <f t="shared" si="24"/>
        <v>2293.7142857142862</v>
      </c>
      <c r="N36" s="59">
        <f t="shared" si="3"/>
        <v>127.42857142857146</v>
      </c>
      <c r="O36" s="61">
        <f t="shared" si="4"/>
        <v>0</v>
      </c>
      <c r="P36" s="62">
        <f t="shared" si="5"/>
        <v>-5.9047619047618838</v>
      </c>
      <c r="Q36" s="361">
        <f t="shared" si="6"/>
        <v>0.95571428571428585</v>
      </c>
      <c r="R36" s="566"/>
      <c r="S36" s="63">
        <v>0.54305555555555551</v>
      </c>
      <c r="T36" s="63">
        <v>0.64027777777777772</v>
      </c>
      <c r="U36" s="362">
        <f t="shared" si="26"/>
        <v>57.999999999999957</v>
      </c>
      <c r="V36" s="371">
        <f t="shared" si="25"/>
        <v>139.99999999999997</v>
      </c>
      <c r="W36" s="64"/>
      <c r="X36" s="64"/>
      <c r="Y36" s="559"/>
      <c r="Z36" s="559"/>
      <c r="AA36" s="61">
        <f t="shared" si="8"/>
        <v>-106.28571428571377</v>
      </c>
      <c r="AB36" s="361">
        <f t="shared" si="9"/>
        <v>0.95571428571428596</v>
      </c>
      <c r="AC36" s="566"/>
    </row>
    <row r="37" spans="1:29" ht="15.75" customHeight="1">
      <c r="A37" s="587" t="s">
        <v>1682</v>
      </c>
      <c r="B37" s="57" t="s">
        <v>15</v>
      </c>
      <c r="C37" s="584" t="s">
        <v>23</v>
      </c>
      <c r="D37" s="584"/>
      <c r="E37" s="57">
        <v>26.2</v>
      </c>
      <c r="F37" s="373">
        <v>2095</v>
      </c>
      <c r="G37" s="362">
        <f t="shared" si="23"/>
        <v>54889</v>
      </c>
      <c r="H37" s="375" t="s">
        <v>5</v>
      </c>
      <c r="I37" s="372">
        <v>20</v>
      </c>
      <c r="J37" s="58">
        <v>2400</v>
      </c>
      <c r="K37" s="59">
        <f t="shared" si="1"/>
        <v>120</v>
      </c>
      <c r="L37" s="372">
        <v>20</v>
      </c>
      <c r="M37" s="60">
        <f t="shared" si="24"/>
        <v>2285.4545454545469</v>
      </c>
      <c r="N37" s="59">
        <f t="shared" si="3"/>
        <v>114.27272727272734</v>
      </c>
      <c r="O37" s="61">
        <f t="shared" si="4"/>
        <v>0</v>
      </c>
      <c r="P37" s="62">
        <f t="shared" si="5"/>
        <v>-5.7272727272726627</v>
      </c>
      <c r="Q37" s="361">
        <f t="shared" si="6"/>
        <v>0.95227272727272783</v>
      </c>
      <c r="R37" s="566"/>
      <c r="S37" s="63">
        <v>0.64444444444444438</v>
      </c>
      <c r="T37" s="63">
        <v>0.6826388888888888</v>
      </c>
      <c r="U37" s="362">
        <f t="shared" si="26"/>
        <v>5.9999999999999787</v>
      </c>
      <c r="V37" s="371">
        <f t="shared" si="25"/>
        <v>54.999999999999964</v>
      </c>
      <c r="W37" s="64"/>
      <c r="X37" s="64"/>
      <c r="Y37" s="559"/>
      <c r="Z37" s="559"/>
      <c r="AA37" s="61">
        <f t="shared" si="8"/>
        <v>-114.54545454545314</v>
      </c>
      <c r="AB37" s="361">
        <f t="shared" si="9"/>
        <v>0.95227272727272783</v>
      </c>
      <c r="AC37" s="566"/>
    </row>
    <row r="38" spans="1:29" ht="15.75" customHeight="1">
      <c r="A38" s="587" t="s">
        <v>87</v>
      </c>
      <c r="B38" s="57" t="s">
        <v>15</v>
      </c>
      <c r="C38" s="585" t="s">
        <v>70</v>
      </c>
      <c r="D38" s="586"/>
      <c r="E38" s="57">
        <v>25.99</v>
      </c>
      <c r="F38" s="373">
        <v>1928</v>
      </c>
      <c r="G38" s="362">
        <f t="shared" si="23"/>
        <v>50108.719999999994</v>
      </c>
      <c r="H38" s="375" t="s">
        <v>5</v>
      </c>
      <c r="I38" s="372">
        <v>14</v>
      </c>
      <c r="J38" s="58">
        <v>2400</v>
      </c>
      <c r="K38" s="59">
        <f t="shared" si="1"/>
        <v>171.42857142857142</v>
      </c>
      <c r="L38" s="372">
        <v>14</v>
      </c>
      <c r="M38" s="60">
        <f t="shared" si="24"/>
        <v>2313.6000000000004</v>
      </c>
      <c r="N38" s="59">
        <f t="shared" si="3"/>
        <v>165.2571428571429</v>
      </c>
      <c r="O38" s="61">
        <f t="shared" si="4"/>
        <v>0</v>
      </c>
      <c r="P38" s="62">
        <f t="shared" si="5"/>
        <v>-6.1714285714285211</v>
      </c>
      <c r="Q38" s="361">
        <f t="shared" si="6"/>
        <v>0.9640000000000003</v>
      </c>
      <c r="R38" s="566"/>
      <c r="S38" s="63">
        <v>0.68819444444444433</v>
      </c>
      <c r="T38" s="63">
        <v>0.72291666666666654</v>
      </c>
      <c r="U38" s="362">
        <f t="shared" si="26"/>
        <v>7.9999999999999716</v>
      </c>
      <c r="V38" s="371">
        <f t="shared" si="25"/>
        <v>49.999999999999986</v>
      </c>
      <c r="W38" s="64"/>
      <c r="X38" s="64"/>
      <c r="Y38" s="569"/>
      <c r="Z38" s="570"/>
      <c r="AA38" s="61">
        <f t="shared" si="8"/>
        <v>-86.399999999999636</v>
      </c>
      <c r="AB38" s="361">
        <f t="shared" si="9"/>
        <v>0.96400000000000019</v>
      </c>
      <c r="AC38" s="566"/>
    </row>
    <row r="39" spans="1:29" ht="15.75" customHeight="1">
      <c r="A39" s="587" t="s">
        <v>1682</v>
      </c>
      <c r="B39" s="57" t="s">
        <v>159</v>
      </c>
      <c r="C39" s="571"/>
      <c r="D39" s="571"/>
      <c r="E39" s="366"/>
      <c r="F39" s="373"/>
      <c r="G39" s="362"/>
      <c r="H39" s="373"/>
      <c r="I39" s="67">
        <v>17.666666666666668</v>
      </c>
      <c r="J39" s="58">
        <v>2400</v>
      </c>
      <c r="K39" s="59">
        <f t="shared" si="1"/>
        <v>135.84905660377356</v>
      </c>
      <c r="L39" s="67">
        <v>17.666666666666668</v>
      </c>
      <c r="M39" s="60">
        <f>AVERAGE(M30:M38)</f>
        <v>2301.6507557877671</v>
      </c>
      <c r="N39" s="59">
        <f t="shared" si="3"/>
        <v>130.28211825213776</v>
      </c>
      <c r="O39" s="61">
        <f t="shared" si="4"/>
        <v>0</v>
      </c>
      <c r="P39" s="62">
        <f t="shared" si="5"/>
        <v>-5.5669383516357982</v>
      </c>
      <c r="Q39" s="361">
        <f t="shared" si="6"/>
        <v>0.95902114824490314</v>
      </c>
      <c r="R39" s="566"/>
      <c r="S39" s="63"/>
      <c r="T39" s="63"/>
      <c r="U39" s="362"/>
      <c r="V39" s="371"/>
      <c r="W39" s="362"/>
      <c r="X39" s="362"/>
      <c r="Y39" s="559"/>
      <c r="Z39" s="559"/>
      <c r="AA39" s="61">
        <f t="shared" si="8"/>
        <v>-98.349244212232861</v>
      </c>
      <c r="AB39" s="361">
        <f t="shared" si="9"/>
        <v>0.95902114824490292</v>
      </c>
      <c r="AC39" s="566"/>
    </row>
    <row r="40" spans="1:29" ht="15.75" customHeight="1">
      <c r="A40" s="582" t="s">
        <v>1684</v>
      </c>
      <c r="B40" s="57" t="s">
        <v>15</v>
      </c>
      <c r="C40" s="560" t="s">
        <v>101</v>
      </c>
      <c r="D40" s="560"/>
      <c r="E40" s="57">
        <v>22.69</v>
      </c>
      <c r="F40" s="373">
        <v>1929</v>
      </c>
      <c r="G40" s="362">
        <f t="shared" ref="G40:G47" si="27">E40*F40</f>
        <v>43769.01</v>
      </c>
      <c r="H40" s="375" t="s">
        <v>5</v>
      </c>
      <c r="I40" s="372">
        <v>15</v>
      </c>
      <c r="J40" s="58">
        <v>2400</v>
      </c>
      <c r="K40" s="59">
        <f t="shared" si="1"/>
        <v>160</v>
      </c>
      <c r="L40" s="372">
        <v>15</v>
      </c>
      <c r="M40" s="60">
        <f t="shared" ref="M40:M47" si="28">F40/V40*60</f>
        <v>2314.7999999999997</v>
      </c>
      <c r="N40" s="59">
        <f t="shared" si="3"/>
        <v>154.32</v>
      </c>
      <c r="O40" s="61">
        <f t="shared" si="4"/>
        <v>0</v>
      </c>
      <c r="P40" s="62">
        <f t="shared" si="5"/>
        <v>-5.6800000000000068</v>
      </c>
      <c r="Q40" s="361">
        <f t="shared" si="6"/>
        <v>0.96449999999999991</v>
      </c>
      <c r="R40" s="566">
        <f>Q48</f>
        <v>0.95780198653242954</v>
      </c>
      <c r="S40" s="63">
        <v>8.3333333333333329E-2</v>
      </c>
      <c r="T40" s="63">
        <v>0.11805555555555555</v>
      </c>
      <c r="U40" s="362"/>
      <c r="V40" s="371">
        <f t="shared" ref="V40:V47" si="29">(T40-S40)*24*60</f>
        <v>50</v>
      </c>
      <c r="W40" s="68">
        <f>T40</f>
        <v>0.11805555555555555</v>
      </c>
      <c r="X40" s="68">
        <f>S41</f>
        <v>0.13749999999999998</v>
      </c>
      <c r="Y40" s="559"/>
      <c r="Z40" s="559"/>
      <c r="AA40" s="61">
        <f t="shared" si="8"/>
        <v>-85.200000000000273</v>
      </c>
      <c r="AB40" s="361">
        <f t="shared" si="9"/>
        <v>0.96449999999999991</v>
      </c>
      <c r="AC40" s="566">
        <f>AB48</f>
        <v>0.95780198653242943</v>
      </c>
    </row>
    <row r="41" spans="1:29" ht="15.75" customHeight="1">
      <c r="A41" s="582" t="s">
        <v>1685</v>
      </c>
      <c r="B41" s="57" t="s">
        <v>15</v>
      </c>
      <c r="C41" s="560" t="s">
        <v>27</v>
      </c>
      <c r="D41" s="560"/>
      <c r="E41" s="57">
        <v>26.2</v>
      </c>
      <c r="F41" s="373">
        <v>3500</v>
      </c>
      <c r="G41" s="362">
        <f t="shared" si="27"/>
        <v>91700</v>
      </c>
      <c r="H41" s="375">
        <v>2</v>
      </c>
      <c r="I41" s="372">
        <v>18</v>
      </c>
      <c r="J41" s="58">
        <v>2400</v>
      </c>
      <c r="K41" s="59">
        <f t="shared" si="1"/>
        <v>133.33333333333334</v>
      </c>
      <c r="L41" s="372">
        <v>18</v>
      </c>
      <c r="M41" s="60">
        <f t="shared" si="28"/>
        <v>2307.6923076923076</v>
      </c>
      <c r="N41" s="59">
        <f t="shared" si="3"/>
        <v>128.2051282051282</v>
      </c>
      <c r="O41" s="61">
        <f t="shared" si="4"/>
        <v>0</v>
      </c>
      <c r="P41" s="62">
        <f t="shared" si="5"/>
        <v>-5.1282051282051384</v>
      </c>
      <c r="Q41" s="361">
        <f t="shared" si="6"/>
        <v>0.96153846153846145</v>
      </c>
      <c r="R41" s="566"/>
      <c r="S41" s="63">
        <v>0.13749999999999998</v>
      </c>
      <c r="T41" s="63">
        <v>0.20069444444444443</v>
      </c>
      <c r="U41" s="362">
        <f t="shared" ref="U41:U47" si="30">(S41-T40)*24*60</f>
        <v>27.999999999999979</v>
      </c>
      <c r="V41" s="371">
        <f t="shared" si="29"/>
        <v>91</v>
      </c>
      <c r="W41" s="362"/>
      <c r="X41" s="362"/>
      <c r="Y41" s="559"/>
      <c r="Z41" s="559"/>
      <c r="AA41" s="61">
        <f t="shared" si="8"/>
        <v>-92.307692307692378</v>
      </c>
      <c r="AB41" s="361">
        <f t="shared" si="9"/>
        <v>0.96153846153846156</v>
      </c>
      <c r="AC41" s="566"/>
    </row>
    <row r="42" spans="1:29">
      <c r="A42" s="583" t="s">
        <v>1685</v>
      </c>
      <c r="B42" s="57" t="s">
        <v>15</v>
      </c>
      <c r="C42" s="560" t="s">
        <v>25</v>
      </c>
      <c r="D42" s="560"/>
      <c r="E42" s="57">
        <v>26.18</v>
      </c>
      <c r="F42" s="373">
        <v>2695</v>
      </c>
      <c r="G42" s="362">
        <f t="shared" si="27"/>
        <v>70555.100000000006</v>
      </c>
      <c r="H42" s="375" t="s">
        <v>5</v>
      </c>
      <c r="I42" s="372">
        <v>19</v>
      </c>
      <c r="J42" s="58">
        <v>2400</v>
      </c>
      <c r="K42" s="59">
        <f t="shared" si="1"/>
        <v>126.31578947368421</v>
      </c>
      <c r="L42" s="372">
        <v>19</v>
      </c>
      <c r="M42" s="60">
        <f t="shared" si="28"/>
        <v>2309.9999999999991</v>
      </c>
      <c r="N42" s="59">
        <f t="shared" si="3"/>
        <v>121.578947368421</v>
      </c>
      <c r="O42" s="61">
        <f t="shared" si="4"/>
        <v>0</v>
      </c>
      <c r="P42" s="62">
        <f t="shared" si="5"/>
        <v>-4.7368421052632073</v>
      </c>
      <c r="Q42" s="361">
        <f t="shared" si="6"/>
        <v>0.96249999999999958</v>
      </c>
      <c r="R42" s="566"/>
      <c r="S42" s="63">
        <v>0.20416666666666664</v>
      </c>
      <c r="T42" s="63">
        <v>0.25277777777777777</v>
      </c>
      <c r="U42" s="362">
        <f t="shared" si="30"/>
        <v>4.9999999999999822</v>
      </c>
      <c r="V42" s="371">
        <f t="shared" si="29"/>
        <v>70.000000000000028</v>
      </c>
      <c r="W42" s="362"/>
      <c r="X42" s="362"/>
      <c r="Y42" s="559"/>
      <c r="Z42" s="559"/>
      <c r="AA42" s="61">
        <f t="shared" si="8"/>
        <v>-90.000000000000909</v>
      </c>
      <c r="AB42" s="361">
        <f t="shared" si="9"/>
        <v>0.96249999999999958</v>
      </c>
      <c r="AC42" s="566"/>
    </row>
    <row r="43" spans="1:29">
      <c r="A43" s="583" t="s">
        <v>1685</v>
      </c>
      <c r="B43" s="57" t="s">
        <v>15</v>
      </c>
      <c r="C43" s="560" t="s">
        <v>28</v>
      </c>
      <c r="D43" s="560"/>
      <c r="E43" s="57">
        <v>26.39</v>
      </c>
      <c r="F43" s="373">
        <v>4500</v>
      </c>
      <c r="G43" s="362">
        <f t="shared" si="27"/>
        <v>118755</v>
      </c>
      <c r="H43" s="375">
        <v>2</v>
      </c>
      <c r="I43" s="372">
        <v>19</v>
      </c>
      <c r="J43" s="58">
        <v>2400</v>
      </c>
      <c r="K43" s="59">
        <f t="shared" si="1"/>
        <v>126.31578947368421</v>
      </c>
      <c r="L43" s="372">
        <v>19</v>
      </c>
      <c r="M43" s="60">
        <f t="shared" si="28"/>
        <v>2288.1355932203396</v>
      </c>
      <c r="N43" s="59">
        <f t="shared" si="3"/>
        <v>120.42818911685998</v>
      </c>
      <c r="O43" s="61">
        <f t="shared" si="4"/>
        <v>0</v>
      </c>
      <c r="P43" s="62">
        <f t="shared" si="5"/>
        <v>-5.8876003568242226</v>
      </c>
      <c r="Q43" s="361">
        <f t="shared" si="6"/>
        <v>0.95338983050847492</v>
      </c>
      <c r="R43" s="566"/>
      <c r="S43" s="63">
        <v>0.2583333333333333</v>
      </c>
      <c r="T43" s="63">
        <v>0.34027777777777773</v>
      </c>
      <c r="U43" s="362">
        <f t="shared" si="30"/>
        <v>7.9999999999999716</v>
      </c>
      <c r="V43" s="371">
        <f t="shared" si="29"/>
        <v>117.99999999999999</v>
      </c>
      <c r="W43" s="64"/>
      <c r="X43" s="64"/>
      <c r="Y43" s="559"/>
      <c r="Z43" s="559"/>
      <c r="AA43" s="61">
        <f t="shared" si="8"/>
        <v>-111.86440677966038</v>
      </c>
      <c r="AB43" s="361">
        <f t="shared" si="9"/>
        <v>0.95338983050847481</v>
      </c>
      <c r="AC43" s="566"/>
    </row>
    <row r="44" spans="1:29">
      <c r="A44" s="583" t="s">
        <v>1685</v>
      </c>
      <c r="B44" s="57" t="s">
        <v>15</v>
      </c>
      <c r="C44" s="560" t="s">
        <v>658</v>
      </c>
      <c r="D44" s="560"/>
      <c r="E44" s="57">
        <v>22.69</v>
      </c>
      <c r="F44" s="373">
        <v>4583</v>
      </c>
      <c r="G44" s="362">
        <f t="shared" si="27"/>
        <v>103988.27</v>
      </c>
      <c r="H44" s="375" t="s">
        <v>5</v>
      </c>
      <c r="I44" s="372">
        <v>15</v>
      </c>
      <c r="J44" s="58">
        <v>2400</v>
      </c>
      <c r="K44" s="59">
        <f t="shared" si="1"/>
        <v>160</v>
      </c>
      <c r="L44" s="372">
        <v>15</v>
      </c>
      <c r="M44" s="60">
        <f t="shared" si="28"/>
        <v>2291.5000000000005</v>
      </c>
      <c r="N44" s="59">
        <f t="shared" si="3"/>
        <v>152.76666666666671</v>
      </c>
      <c r="O44" s="61">
        <f t="shared" si="4"/>
        <v>0</v>
      </c>
      <c r="P44" s="62">
        <f t="shared" si="5"/>
        <v>-7.2333333333332916</v>
      </c>
      <c r="Q44" s="361">
        <f t="shared" si="6"/>
        <v>0.95479166666666693</v>
      </c>
      <c r="R44" s="566"/>
      <c r="S44" s="63">
        <v>0.34583333333333327</v>
      </c>
      <c r="T44" s="63">
        <v>0.42916666666666659</v>
      </c>
      <c r="U44" s="362">
        <f t="shared" si="30"/>
        <v>7.9999999999999716</v>
      </c>
      <c r="V44" s="371">
        <f t="shared" si="29"/>
        <v>119.99999999999997</v>
      </c>
      <c r="W44" s="64"/>
      <c r="X44" s="64"/>
      <c r="Y44" s="559"/>
      <c r="Z44" s="559"/>
      <c r="AA44" s="61">
        <f t="shared" si="8"/>
        <v>-108.49999999999955</v>
      </c>
      <c r="AB44" s="361">
        <f t="shared" si="9"/>
        <v>0.95479166666666682</v>
      </c>
      <c r="AC44" s="566"/>
    </row>
    <row r="45" spans="1:29">
      <c r="A45" s="583" t="s">
        <v>1686</v>
      </c>
      <c r="B45" s="57" t="s">
        <v>15</v>
      </c>
      <c r="C45" s="560" t="s">
        <v>16</v>
      </c>
      <c r="D45" s="560"/>
      <c r="E45" s="57">
        <v>24.45</v>
      </c>
      <c r="F45" s="373">
        <v>2593</v>
      </c>
      <c r="G45" s="362">
        <f t="shared" si="27"/>
        <v>63398.85</v>
      </c>
      <c r="H45" s="375" t="s">
        <v>5</v>
      </c>
      <c r="I45" s="372">
        <v>20</v>
      </c>
      <c r="J45" s="58">
        <v>2400</v>
      </c>
      <c r="K45" s="59">
        <f t="shared" si="1"/>
        <v>120</v>
      </c>
      <c r="L45" s="372">
        <v>20</v>
      </c>
      <c r="M45" s="60">
        <f t="shared" si="28"/>
        <v>2287.9411764705883</v>
      </c>
      <c r="N45" s="59">
        <f t="shared" si="3"/>
        <v>114.39705882352942</v>
      </c>
      <c r="O45" s="61">
        <f t="shared" si="4"/>
        <v>0</v>
      </c>
      <c r="P45" s="62">
        <f t="shared" si="5"/>
        <v>-5.6029411764705799</v>
      </c>
      <c r="Q45" s="361">
        <f t="shared" si="6"/>
        <v>0.95330882352941182</v>
      </c>
      <c r="R45" s="566"/>
      <c r="S45" s="63">
        <v>0.43333333333333324</v>
      </c>
      <c r="T45" s="63">
        <v>0.48055555555555546</v>
      </c>
      <c r="U45" s="362">
        <f t="shared" si="30"/>
        <v>5.9999999999999787</v>
      </c>
      <c r="V45" s="371">
        <f t="shared" si="29"/>
        <v>68</v>
      </c>
      <c r="W45" s="64">
        <f>T45</f>
        <v>0.48055555555555546</v>
      </c>
      <c r="X45" s="64">
        <f>S46</f>
        <v>0.52291666666666647</v>
      </c>
      <c r="Y45" s="559"/>
      <c r="Z45" s="559"/>
      <c r="AA45" s="61">
        <f t="shared" si="8"/>
        <v>-112.05882352941171</v>
      </c>
      <c r="AB45" s="361">
        <f t="shared" si="9"/>
        <v>0.95330882352941182</v>
      </c>
      <c r="AC45" s="566"/>
    </row>
    <row r="46" spans="1:29">
      <c r="A46" s="583" t="s">
        <v>1687</v>
      </c>
      <c r="B46" s="57" t="s">
        <v>15</v>
      </c>
      <c r="C46" s="560" t="s">
        <v>27</v>
      </c>
      <c r="D46" s="560"/>
      <c r="E46" s="57">
        <v>26.2</v>
      </c>
      <c r="F46" s="373">
        <v>3346</v>
      </c>
      <c r="G46" s="362">
        <f t="shared" si="27"/>
        <v>87665.2</v>
      </c>
      <c r="H46" s="375" t="s">
        <v>5</v>
      </c>
      <c r="I46" s="372">
        <v>18</v>
      </c>
      <c r="J46" s="58">
        <v>2400</v>
      </c>
      <c r="K46" s="59">
        <f t="shared" si="1"/>
        <v>133.33333333333334</v>
      </c>
      <c r="L46" s="372">
        <v>18</v>
      </c>
      <c r="M46" s="60">
        <f t="shared" si="28"/>
        <v>2307.5862068965512</v>
      </c>
      <c r="N46" s="59">
        <f t="shared" si="3"/>
        <v>128.19923371647508</v>
      </c>
      <c r="O46" s="61">
        <f t="shared" si="4"/>
        <v>0</v>
      </c>
      <c r="P46" s="62">
        <f t="shared" si="5"/>
        <v>-5.1340996168582649</v>
      </c>
      <c r="Q46" s="361">
        <f t="shared" si="6"/>
        <v>0.96149425287356305</v>
      </c>
      <c r="R46" s="566"/>
      <c r="S46" s="63">
        <v>0.52291666666666647</v>
      </c>
      <c r="T46" s="63">
        <v>0.58333333333333315</v>
      </c>
      <c r="U46" s="362">
        <f t="shared" si="30"/>
        <v>60.999999999999865</v>
      </c>
      <c r="V46" s="371">
        <f t="shared" si="29"/>
        <v>87.000000000000014</v>
      </c>
      <c r="W46" s="64"/>
      <c r="X46" s="64"/>
      <c r="Y46" s="569"/>
      <c r="Z46" s="570"/>
      <c r="AA46" s="61">
        <f t="shared" si="8"/>
        <v>-92.413793103448825</v>
      </c>
      <c r="AB46" s="361">
        <f t="shared" si="9"/>
        <v>0.96149425287356294</v>
      </c>
      <c r="AC46" s="566"/>
    </row>
    <row r="47" spans="1:29">
      <c r="A47" s="583" t="s">
        <v>1684</v>
      </c>
      <c r="B47" s="57" t="s">
        <v>15</v>
      </c>
      <c r="C47" s="560" t="s">
        <v>28</v>
      </c>
      <c r="D47" s="560"/>
      <c r="E47" s="57">
        <v>26.39</v>
      </c>
      <c r="F47" s="373">
        <v>2130</v>
      </c>
      <c r="G47" s="362">
        <f t="shared" si="27"/>
        <v>56210.700000000004</v>
      </c>
      <c r="H47" s="375" t="s">
        <v>5</v>
      </c>
      <c r="I47" s="372">
        <v>19</v>
      </c>
      <c r="J47" s="58">
        <v>2400</v>
      </c>
      <c r="K47" s="59">
        <f t="shared" si="1"/>
        <v>126.31578947368421</v>
      </c>
      <c r="L47" s="372">
        <v>19</v>
      </c>
      <c r="M47" s="60">
        <f t="shared" si="28"/>
        <v>2282.1428571428587</v>
      </c>
      <c r="N47" s="59">
        <f t="shared" si="3"/>
        <v>120.1127819548873</v>
      </c>
      <c r="O47" s="61">
        <f t="shared" si="4"/>
        <v>0</v>
      </c>
      <c r="P47" s="62">
        <f t="shared" si="5"/>
        <v>-6.2030075187969089</v>
      </c>
      <c r="Q47" s="361">
        <f t="shared" si="6"/>
        <v>0.95089285714285776</v>
      </c>
      <c r="R47" s="566"/>
      <c r="S47" s="63">
        <v>0.5874999999999998</v>
      </c>
      <c r="T47" s="63">
        <v>0.62638888888888866</v>
      </c>
      <c r="U47" s="362">
        <f t="shared" si="30"/>
        <v>5.9999999999999787</v>
      </c>
      <c r="V47" s="371">
        <f t="shared" si="29"/>
        <v>55.999999999999957</v>
      </c>
      <c r="W47" s="64"/>
      <c r="X47" s="64"/>
      <c r="Y47" s="569"/>
      <c r="Z47" s="570"/>
      <c r="AA47" s="61">
        <f t="shared" si="8"/>
        <v>-117.8571428571413</v>
      </c>
      <c r="AB47" s="361">
        <f t="shared" si="9"/>
        <v>0.95089285714285776</v>
      </c>
      <c r="AC47" s="566"/>
    </row>
    <row r="48" spans="1:29">
      <c r="A48" s="583" t="s">
        <v>1687</v>
      </c>
      <c r="B48" s="66" t="s">
        <v>1688</v>
      </c>
      <c r="C48" s="571"/>
      <c r="D48" s="571"/>
      <c r="E48" s="366"/>
      <c r="F48" s="66"/>
      <c r="G48" s="59"/>
      <c r="H48" s="373"/>
      <c r="I48" s="67">
        <v>17.875</v>
      </c>
      <c r="J48" s="58">
        <v>2400</v>
      </c>
      <c r="K48" s="59">
        <f t="shared" si="1"/>
        <v>134.26573426573427</v>
      </c>
      <c r="L48" s="67">
        <v>17.875</v>
      </c>
      <c r="M48" s="60">
        <f>AVERAGE(M40:M47)</f>
        <v>2298.7247676778306</v>
      </c>
      <c r="N48" s="59">
        <f t="shared" si="3"/>
        <v>128.59998700295557</v>
      </c>
      <c r="O48" s="61">
        <f t="shared" si="4"/>
        <v>0</v>
      </c>
      <c r="P48" s="62">
        <f t="shared" si="5"/>
        <v>-5.6657472627786944</v>
      </c>
      <c r="Q48" s="361">
        <f t="shared" si="6"/>
        <v>0.95780198653242954</v>
      </c>
      <c r="R48" s="566"/>
      <c r="S48" s="63"/>
      <c r="T48" s="63"/>
      <c r="U48" s="59"/>
      <c r="V48" s="371"/>
      <c r="W48" s="59"/>
      <c r="X48" s="59"/>
      <c r="Y48" s="559"/>
      <c r="Z48" s="559"/>
      <c r="AA48" s="61">
        <f t="shared" si="8"/>
        <v>-101.27523232216936</v>
      </c>
      <c r="AB48" s="361">
        <f t="shared" si="9"/>
        <v>0.95780198653242943</v>
      </c>
      <c r="AC48" s="566"/>
    </row>
    <row r="49" spans="1:29" ht="15.75" customHeight="1">
      <c r="A49" s="576" t="s">
        <v>1689</v>
      </c>
      <c r="B49" s="57" t="s">
        <v>31</v>
      </c>
      <c r="C49" s="567" t="s">
        <v>32</v>
      </c>
      <c r="D49" s="568"/>
      <c r="E49" s="57">
        <v>21.13</v>
      </c>
      <c r="F49" s="373">
        <v>5442</v>
      </c>
      <c r="G49" s="362">
        <f t="shared" ref="G49:G54" si="31">E49*F49</f>
        <v>114989.45999999999</v>
      </c>
      <c r="H49" s="375" t="s">
        <v>5</v>
      </c>
      <c r="I49" s="372">
        <v>10</v>
      </c>
      <c r="J49" s="58">
        <v>3000</v>
      </c>
      <c r="K49" s="59">
        <f t="shared" si="1"/>
        <v>300</v>
      </c>
      <c r="L49" s="372">
        <v>10</v>
      </c>
      <c r="M49" s="60">
        <f t="shared" ref="M49:M54" si="32">F49/V49*60</f>
        <v>2864.2105263157905</v>
      </c>
      <c r="N49" s="60">
        <f t="shared" si="3"/>
        <v>286.42105263157907</v>
      </c>
      <c r="O49" s="61">
        <f t="shared" si="4"/>
        <v>0</v>
      </c>
      <c r="P49" s="62">
        <f t="shared" si="5"/>
        <v>-13.578947368420927</v>
      </c>
      <c r="Q49" s="361">
        <f t="shared" si="6"/>
        <v>0.95473684210526355</v>
      </c>
      <c r="R49" s="579">
        <f>Q55</f>
        <v>0.95605969908402821</v>
      </c>
      <c r="S49" s="63">
        <v>8.3333333333333329E-2</v>
      </c>
      <c r="T49" s="63">
        <v>0.16249999999999998</v>
      </c>
      <c r="U49" s="68"/>
      <c r="V49" s="371">
        <f t="shared" ref="V49:V54" si="33">(T49-S49)*24*60</f>
        <v>113.99999999999997</v>
      </c>
      <c r="W49" s="64">
        <f>T49</f>
        <v>0.16249999999999998</v>
      </c>
      <c r="X49" s="64">
        <f>S50</f>
        <v>0.18194444444444444</v>
      </c>
      <c r="Y49" s="569"/>
      <c r="Z49" s="570"/>
      <c r="AA49" s="61">
        <f t="shared" si="8"/>
        <v>-135.7894736842095</v>
      </c>
      <c r="AB49" s="361">
        <f t="shared" si="9"/>
        <v>0.95473684210526355</v>
      </c>
      <c r="AC49" s="579">
        <f>AB55</f>
        <v>0.95605969908402821</v>
      </c>
    </row>
    <row r="50" spans="1:29" ht="15.75" customHeight="1">
      <c r="A50" s="577" t="s">
        <v>1690</v>
      </c>
      <c r="B50" s="57" t="s">
        <v>31</v>
      </c>
      <c r="C50" s="567" t="s">
        <v>33</v>
      </c>
      <c r="D50" s="568"/>
      <c r="E50" s="57">
        <v>27.17</v>
      </c>
      <c r="F50" s="373">
        <v>7134</v>
      </c>
      <c r="G50" s="362">
        <f t="shared" si="31"/>
        <v>193830.78</v>
      </c>
      <c r="H50" s="375" t="s">
        <v>5</v>
      </c>
      <c r="I50" s="372">
        <v>10</v>
      </c>
      <c r="J50" s="58">
        <v>3000</v>
      </c>
      <c r="K50" s="59">
        <f t="shared" si="1"/>
        <v>300</v>
      </c>
      <c r="L50" s="372">
        <v>10</v>
      </c>
      <c r="M50" s="60">
        <f t="shared" si="32"/>
        <v>2853.6000000000004</v>
      </c>
      <c r="N50" s="60">
        <f t="shared" si="3"/>
        <v>285.36</v>
      </c>
      <c r="O50" s="61">
        <f t="shared" si="4"/>
        <v>0</v>
      </c>
      <c r="P50" s="62">
        <f t="shared" si="5"/>
        <v>-14.639999999999986</v>
      </c>
      <c r="Q50" s="361">
        <f t="shared" si="6"/>
        <v>0.95120000000000005</v>
      </c>
      <c r="R50" s="580"/>
      <c r="S50" s="63">
        <v>0.18194444444444444</v>
      </c>
      <c r="T50" s="63">
        <v>0.28611111111111109</v>
      </c>
      <c r="U50" s="362">
        <f t="shared" ref="U50:U54" si="34">(S50-T49)*24*60</f>
        <v>28.000000000000021</v>
      </c>
      <c r="V50" s="371">
        <f t="shared" si="33"/>
        <v>150</v>
      </c>
      <c r="W50" s="64"/>
      <c r="X50" s="64"/>
      <c r="Y50" s="569"/>
      <c r="Z50" s="570"/>
      <c r="AA50" s="61">
        <f t="shared" si="8"/>
        <v>-146.39999999999964</v>
      </c>
      <c r="AB50" s="361">
        <f t="shared" si="9"/>
        <v>0.95120000000000016</v>
      </c>
      <c r="AC50" s="580"/>
    </row>
    <row r="51" spans="1:29" ht="15.75" customHeight="1">
      <c r="A51" s="577" t="s">
        <v>1691</v>
      </c>
      <c r="B51" s="57" t="s">
        <v>31</v>
      </c>
      <c r="C51" s="567" t="s">
        <v>36</v>
      </c>
      <c r="D51" s="568"/>
      <c r="E51" s="57">
        <v>36.14</v>
      </c>
      <c r="F51" s="373">
        <v>1201</v>
      </c>
      <c r="G51" s="362">
        <f t="shared" si="31"/>
        <v>43404.14</v>
      </c>
      <c r="H51" s="375" t="s">
        <v>5</v>
      </c>
      <c r="I51" s="372">
        <v>9</v>
      </c>
      <c r="J51" s="58">
        <v>3000</v>
      </c>
      <c r="K51" s="59">
        <f t="shared" si="1"/>
        <v>333.33333333333331</v>
      </c>
      <c r="L51" s="372">
        <v>9</v>
      </c>
      <c r="M51" s="60">
        <f t="shared" si="32"/>
        <v>2882.400000000001</v>
      </c>
      <c r="N51" s="60">
        <f t="shared" si="3"/>
        <v>320.26666666666677</v>
      </c>
      <c r="O51" s="61">
        <f t="shared" si="4"/>
        <v>0</v>
      </c>
      <c r="P51" s="62">
        <f t="shared" si="5"/>
        <v>-13.066666666666549</v>
      </c>
      <c r="Q51" s="361">
        <f t="shared" si="6"/>
        <v>0.96080000000000032</v>
      </c>
      <c r="R51" s="580"/>
      <c r="S51" s="63">
        <v>0.29166666666666663</v>
      </c>
      <c r="T51" s="63">
        <v>0.30902777777777773</v>
      </c>
      <c r="U51" s="362">
        <f t="shared" si="34"/>
        <v>7.9999999999999716</v>
      </c>
      <c r="V51" s="371">
        <f t="shared" si="33"/>
        <v>24.999999999999993</v>
      </c>
      <c r="W51" s="64"/>
      <c r="X51" s="64"/>
      <c r="Y51" s="569"/>
      <c r="Z51" s="570"/>
      <c r="AA51" s="61">
        <f t="shared" si="8"/>
        <v>-117.599999999999</v>
      </c>
      <c r="AB51" s="361">
        <f t="shared" si="9"/>
        <v>0.96080000000000032</v>
      </c>
      <c r="AC51" s="580"/>
    </row>
    <row r="52" spans="1:29" ht="15.75" customHeight="1">
      <c r="A52" s="577" t="s">
        <v>168</v>
      </c>
      <c r="B52" s="57" t="s">
        <v>31</v>
      </c>
      <c r="C52" s="567" t="s">
        <v>34</v>
      </c>
      <c r="D52" s="568"/>
      <c r="E52" s="57">
        <v>35.119999999999997</v>
      </c>
      <c r="F52" s="373">
        <v>4677</v>
      </c>
      <c r="G52" s="362">
        <f t="shared" si="31"/>
        <v>164256.24</v>
      </c>
      <c r="H52" s="375" t="s">
        <v>5</v>
      </c>
      <c r="I52" s="372">
        <v>10</v>
      </c>
      <c r="J52" s="58">
        <v>3000</v>
      </c>
      <c r="K52" s="59">
        <f t="shared" si="1"/>
        <v>300</v>
      </c>
      <c r="L52" s="372">
        <v>10</v>
      </c>
      <c r="M52" s="60">
        <f t="shared" si="32"/>
        <v>2863.4693877551026</v>
      </c>
      <c r="N52" s="60">
        <f t="shared" si="3"/>
        <v>286.34693877551024</v>
      </c>
      <c r="O52" s="61">
        <f t="shared" si="4"/>
        <v>0</v>
      </c>
      <c r="P52" s="62">
        <f t="shared" si="5"/>
        <v>-13.653061224489761</v>
      </c>
      <c r="Q52" s="361">
        <f t="shared" si="6"/>
        <v>0.95448979591836747</v>
      </c>
      <c r="R52" s="580"/>
      <c r="S52" s="63">
        <v>0.31458333333333327</v>
      </c>
      <c r="T52" s="63">
        <v>0.38263888888888881</v>
      </c>
      <c r="U52" s="362">
        <f t="shared" si="34"/>
        <v>7.9999999999999716</v>
      </c>
      <c r="V52" s="371">
        <f t="shared" si="33"/>
        <v>97.999999999999972</v>
      </c>
      <c r="W52" s="64"/>
      <c r="X52" s="64"/>
      <c r="Y52" s="569"/>
      <c r="Z52" s="570"/>
      <c r="AA52" s="61">
        <f t="shared" si="8"/>
        <v>-136.53061224489738</v>
      </c>
      <c r="AB52" s="361">
        <f t="shared" si="9"/>
        <v>0.95448979591836758</v>
      </c>
      <c r="AC52" s="580"/>
    </row>
    <row r="53" spans="1:29" ht="15.75" customHeight="1">
      <c r="A53" s="577" t="s">
        <v>1690</v>
      </c>
      <c r="B53" s="57" t="s">
        <v>31</v>
      </c>
      <c r="C53" s="567" t="s">
        <v>71</v>
      </c>
      <c r="D53" s="568"/>
      <c r="E53" s="57">
        <v>31</v>
      </c>
      <c r="F53" s="373">
        <v>2173</v>
      </c>
      <c r="G53" s="362">
        <f t="shared" si="31"/>
        <v>67363</v>
      </c>
      <c r="H53" s="375" t="s">
        <v>5</v>
      </c>
      <c r="I53" s="372">
        <v>13</v>
      </c>
      <c r="J53" s="58">
        <v>2000</v>
      </c>
      <c r="K53" s="59">
        <f t="shared" si="1"/>
        <v>153.84615384615384</v>
      </c>
      <c r="L53" s="372">
        <v>13</v>
      </c>
      <c r="M53" s="60">
        <f t="shared" si="32"/>
        <v>1917.3529411764707</v>
      </c>
      <c r="N53" s="60">
        <f t="shared" si="3"/>
        <v>147.48868778280544</v>
      </c>
      <c r="O53" s="61">
        <f t="shared" si="4"/>
        <v>0</v>
      </c>
      <c r="P53" s="62">
        <f t="shared" si="5"/>
        <v>-6.3574660633483973</v>
      </c>
      <c r="Q53" s="361">
        <f t="shared" si="6"/>
        <v>0.95867647058823546</v>
      </c>
      <c r="R53" s="580"/>
      <c r="S53" s="63">
        <v>0.38680555555555546</v>
      </c>
      <c r="T53" s="63">
        <v>0.43402777777777768</v>
      </c>
      <c r="U53" s="362">
        <f t="shared" si="34"/>
        <v>5.9999999999999787</v>
      </c>
      <c r="V53" s="371">
        <f t="shared" si="33"/>
        <v>68</v>
      </c>
      <c r="W53" s="64"/>
      <c r="X53" s="64"/>
      <c r="Y53" s="569"/>
      <c r="Z53" s="570"/>
      <c r="AA53" s="61">
        <f t="shared" si="8"/>
        <v>-82.647058823529278</v>
      </c>
      <c r="AB53" s="361">
        <f t="shared" si="9"/>
        <v>0.95867647058823535</v>
      </c>
      <c r="AC53" s="580"/>
    </row>
    <row r="54" spans="1:29" ht="15.75" customHeight="1">
      <c r="A54" s="577" t="s">
        <v>168</v>
      </c>
      <c r="B54" s="57" t="s">
        <v>31</v>
      </c>
      <c r="C54" s="567" t="s">
        <v>659</v>
      </c>
      <c r="D54" s="568"/>
      <c r="E54" s="57">
        <v>37.880000000000003</v>
      </c>
      <c r="F54" s="373">
        <v>3289</v>
      </c>
      <c r="G54" s="362">
        <f t="shared" si="31"/>
        <v>124587.32</v>
      </c>
      <c r="H54" s="375" t="s">
        <v>5</v>
      </c>
      <c r="I54" s="372">
        <v>14</v>
      </c>
      <c r="J54" s="58">
        <v>2000</v>
      </c>
      <c r="K54" s="59">
        <f t="shared" si="1"/>
        <v>142.85714285714286</v>
      </c>
      <c r="L54" s="372">
        <v>14</v>
      </c>
      <c r="M54" s="60">
        <f t="shared" si="32"/>
        <v>1915.9223300970882</v>
      </c>
      <c r="N54" s="60">
        <f t="shared" si="3"/>
        <v>136.85159500693487</v>
      </c>
      <c r="O54" s="61">
        <f t="shared" si="4"/>
        <v>0</v>
      </c>
      <c r="P54" s="62">
        <f t="shared" si="5"/>
        <v>-6.0055478502079893</v>
      </c>
      <c r="Q54" s="361">
        <f t="shared" si="6"/>
        <v>0.95796116504854412</v>
      </c>
      <c r="R54" s="580"/>
      <c r="S54" s="63">
        <v>0.43749999999999989</v>
      </c>
      <c r="T54" s="63">
        <v>0.50902777777777763</v>
      </c>
      <c r="U54" s="362">
        <f t="shared" si="34"/>
        <v>4.9999999999999822</v>
      </c>
      <c r="V54" s="371">
        <f t="shared" si="33"/>
        <v>102.99999999999996</v>
      </c>
      <c r="W54" s="64"/>
      <c r="X54" s="64"/>
      <c r="Y54" s="569"/>
      <c r="Z54" s="570"/>
      <c r="AA54" s="61">
        <f t="shared" si="8"/>
        <v>-84.077669902911794</v>
      </c>
      <c r="AB54" s="361">
        <f t="shared" si="9"/>
        <v>0.95796116504854412</v>
      </c>
      <c r="AC54" s="580"/>
    </row>
    <row r="55" spans="1:29" ht="15.75" customHeight="1">
      <c r="A55" s="578" t="s">
        <v>1692</v>
      </c>
      <c r="B55" s="57" t="s">
        <v>1693</v>
      </c>
      <c r="C55" s="561"/>
      <c r="D55" s="562"/>
      <c r="E55" s="365"/>
      <c r="F55" s="373"/>
      <c r="G55" s="362"/>
      <c r="H55" s="373"/>
      <c r="I55" s="67">
        <v>11</v>
      </c>
      <c r="J55" s="58">
        <v>2666.6666666666665</v>
      </c>
      <c r="K55" s="59">
        <f t="shared" si="1"/>
        <v>242.42424242424241</v>
      </c>
      <c r="L55" s="67">
        <v>11</v>
      </c>
      <c r="M55" s="60">
        <f>AVERAGE(M49:M54)</f>
        <v>2549.4925308907418</v>
      </c>
      <c r="N55" s="59">
        <f t="shared" si="3"/>
        <v>231.7720482627947</v>
      </c>
      <c r="O55" s="61">
        <f t="shared" si="4"/>
        <v>0</v>
      </c>
      <c r="P55" s="62">
        <f t="shared" si="5"/>
        <v>-10.65219416144771</v>
      </c>
      <c r="Q55" s="361">
        <f t="shared" si="6"/>
        <v>0.95605969908402821</v>
      </c>
      <c r="R55" s="581"/>
      <c r="S55" s="63"/>
      <c r="T55" s="63"/>
      <c r="U55" s="362"/>
      <c r="V55" s="371"/>
      <c r="W55" s="64"/>
      <c r="X55" s="64"/>
      <c r="Y55" s="569"/>
      <c r="Z55" s="570"/>
      <c r="AA55" s="61">
        <f t="shared" si="8"/>
        <v>-117.1741357759247</v>
      </c>
      <c r="AB55" s="361">
        <f t="shared" si="9"/>
        <v>0.95605969908402821</v>
      </c>
      <c r="AC55" s="581"/>
    </row>
    <row r="56" spans="1:29" ht="15.75" customHeight="1">
      <c r="A56" s="574" t="s">
        <v>1694</v>
      </c>
      <c r="B56" s="57" t="s">
        <v>10</v>
      </c>
      <c r="C56" s="560" t="s">
        <v>37</v>
      </c>
      <c r="D56" s="560"/>
      <c r="E56" s="57">
        <v>46</v>
      </c>
      <c r="F56" s="69">
        <v>2193</v>
      </c>
      <c r="G56" s="362">
        <f t="shared" ref="G56:G62" si="35">E56*F56</f>
        <v>100878</v>
      </c>
      <c r="H56" s="375" t="s">
        <v>5</v>
      </c>
      <c r="I56" s="372">
        <v>17</v>
      </c>
      <c r="J56" s="58">
        <v>2000</v>
      </c>
      <c r="K56" s="59">
        <f t="shared" si="1"/>
        <v>117.64705882352941</v>
      </c>
      <c r="L56" s="372">
        <v>17</v>
      </c>
      <c r="M56" s="60">
        <f t="shared" ref="M56:M62" si="36">F56/V56*60</f>
        <v>1906.9565217391316</v>
      </c>
      <c r="N56" s="60">
        <f t="shared" si="3"/>
        <v>112.17391304347834</v>
      </c>
      <c r="O56" s="61">
        <f t="shared" si="4"/>
        <v>0</v>
      </c>
      <c r="P56" s="62">
        <f t="shared" si="5"/>
        <v>-5.4731457800510697</v>
      </c>
      <c r="Q56" s="361">
        <f t="shared" si="6"/>
        <v>0.95347826086956589</v>
      </c>
      <c r="R56" s="566">
        <f>Q63</f>
        <v>0.87979279011457101</v>
      </c>
      <c r="S56" s="63">
        <v>0.20833333333333334</v>
      </c>
      <c r="T56" s="63">
        <v>0.25624999999999998</v>
      </c>
      <c r="U56" s="68"/>
      <c r="V56" s="371">
        <f t="shared" ref="V56:V62" si="37">(T56-S56)*24*60</f>
        <v>68.999999999999957</v>
      </c>
      <c r="W56" s="68"/>
      <c r="X56" s="68"/>
      <c r="Y56" s="559"/>
      <c r="Z56" s="559"/>
      <c r="AA56" s="61">
        <f t="shared" si="8"/>
        <v>-93.043478260868369</v>
      </c>
      <c r="AB56" s="361">
        <f t="shared" si="9"/>
        <v>0.95347826086956577</v>
      </c>
      <c r="AC56" s="566">
        <f>AB63</f>
        <v>0.87979279011457101</v>
      </c>
    </row>
    <row r="57" spans="1:29" ht="15.75" customHeight="1">
      <c r="A57" s="574" t="s">
        <v>117</v>
      </c>
      <c r="B57" s="57" t="s">
        <v>10</v>
      </c>
      <c r="C57" s="560" t="s">
        <v>38</v>
      </c>
      <c r="D57" s="560"/>
      <c r="E57" s="57">
        <v>46</v>
      </c>
      <c r="F57" s="69">
        <v>2273</v>
      </c>
      <c r="G57" s="362">
        <f t="shared" si="35"/>
        <v>104558</v>
      </c>
      <c r="H57" s="375" t="s">
        <v>5</v>
      </c>
      <c r="I57" s="372">
        <v>17</v>
      </c>
      <c r="J57" s="58">
        <v>2000</v>
      </c>
      <c r="K57" s="59">
        <f t="shared" si="1"/>
        <v>117.64705882352941</v>
      </c>
      <c r="L57" s="372">
        <v>17</v>
      </c>
      <c r="M57" s="60">
        <f t="shared" si="36"/>
        <v>1920.8450704225359</v>
      </c>
      <c r="N57" s="60">
        <f t="shared" si="3"/>
        <v>112.99088649544329</v>
      </c>
      <c r="O57" s="61">
        <f t="shared" si="4"/>
        <v>0</v>
      </c>
      <c r="P57" s="62">
        <f t="shared" si="5"/>
        <v>-4.6561723280861145</v>
      </c>
      <c r="Q57" s="361">
        <f t="shared" si="6"/>
        <v>0.96042253521126808</v>
      </c>
      <c r="R57" s="566"/>
      <c r="S57" s="63">
        <v>0.26041666666666663</v>
      </c>
      <c r="T57" s="63">
        <v>0.30972222222222218</v>
      </c>
      <c r="U57" s="362">
        <f t="shared" ref="U57:U62" si="38">IF(S57=TIME(17,0,0),"",(S57-T56)*24*60)</f>
        <v>5.9999999999999787</v>
      </c>
      <c r="V57" s="371">
        <f t="shared" si="37"/>
        <v>70.999999999999986</v>
      </c>
      <c r="W57" s="64"/>
      <c r="X57" s="64"/>
      <c r="Y57" s="559"/>
      <c r="Z57" s="559"/>
      <c r="AA57" s="61">
        <f t="shared" si="8"/>
        <v>-79.154929577464145</v>
      </c>
      <c r="AB57" s="361">
        <f t="shared" si="9"/>
        <v>0.96042253521126797</v>
      </c>
      <c r="AC57" s="566"/>
    </row>
    <row r="58" spans="1:29" ht="15.75" customHeight="1">
      <c r="A58" s="574" t="s">
        <v>1695</v>
      </c>
      <c r="B58" s="57" t="s">
        <v>6</v>
      </c>
      <c r="C58" s="567" t="s">
        <v>1181</v>
      </c>
      <c r="D58" s="568"/>
      <c r="E58" s="57">
        <v>51.86</v>
      </c>
      <c r="F58" s="69">
        <v>1341</v>
      </c>
      <c r="G58" s="362">
        <f t="shared" si="35"/>
        <v>69544.259999999995</v>
      </c>
      <c r="H58" s="375" t="s">
        <v>5</v>
      </c>
      <c r="I58" s="372">
        <v>25</v>
      </c>
      <c r="J58" s="58">
        <v>2000</v>
      </c>
      <c r="K58" s="59">
        <f t="shared" si="1"/>
        <v>80</v>
      </c>
      <c r="L58" s="372">
        <v>25</v>
      </c>
      <c r="M58" s="60">
        <f t="shared" si="36"/>
        <v>1257.1874999999998</v>
      </c>
      <c r="N58" s="60">
        <f t="shared" si="3"/>
        <v>50.287499999999994</v>
      </c>
      <c r="O58" s="61">
        <f t="shared" si="4"/>
        <v>0</v>
      </c>
      <c r="P58" s="62">
        <f t="shared" si="5"/>
        <v>-29.712500000000006</v>
      </c>
      <c r="Q58" s="361">
        <f t="shared" si="6"/>
        <v>0.62859374999999995</v>
      </c>
      <c r="R58" s="566"/>
      <c r="S58" s="63">
        <v>0.31388888888888883</v>
      </c>
      <c r="T58" s="63">
        <v>0.35833333333333328</v>
      </c>
      <c r="U58" s="362">
        <f t="shared" si="38"/>
        <v>5.9999999999999787</v>
      </c>
      <c r="V58" s="371">
        <f t="shared" si="37"/>
        <v>64.000000000000014</v>
      </c>
      <c r="W58" s="64"/>
      <c r="X58" s="64"/>
      <c r="Y58" s="363"/>
      <c r="Z58" s="364"/>
      <c r="AA58" s="61">
        <f t="shared" si="8"/>
        <v>-742.81250000000023</v>
      </c>
      <c r="AB58" s="361">
        <f t="shared" si="9"/>
        <v>0.62859374999999984</v>
      </c>
      <c r="AC58" s="566"/>
    </row>
    <row r="59" spans="1:29" ht="15.75" customHeight="1">
      <c r="A59" s="574" t="s">
        <v>1696</v>
      </c>
      <c r="B59" s="57" t="s">
        <v>6</v>
      </c>
      <c r="C59" s="367" t="s">
        <v>1182</v>
      </c>
      <c r="D59" s="368"/>
      <c r="E59" s="57">
        <v>56.43</v>
      </c>
      <c r="F59" s="69">
        <v>2358</v>
      </c>
      <c r="G59" s="362">
        <f t="shared" si="35"/>
        <v>133061.94</v>
      </c>
      <c r="H59" s="375" t="s">
        <v>5</v>
      </c>
      <c r="I59" s="372">
        <v>22</v>
      </c>
      <c r="J59" s="58">
        <v>2000</v>
      </c>
      <c r="K59" s="59">
        <f t="shared" si="1"/>
        <v>90.909090909090907</v>
      </c>
      <c r="L59" s="372">
        <v>22</v>
      </c>
      <c r="M59" s="60">
        <f t="shared" si="36"/>
        <v>1473.7500000000005</v>
      </c>
      <c r="N59" s="60">
        <f t="shared" si="3"/>
        <v>66.988636363636388</v>
      </c>
      <c r="O59" s="61">
        <f t="shared" si="4"/>
        <v>0</v>
      </c>
      <c r="P59" s="62">
        <f t="shared" si="5"/>
        <v>-23.920454545454518</v>
      </c>
      <c r="Q59" s="361">
        <f t="shared" si="6"/>
        <v>0.73687500000000028</v>
      </c>
      <c r="R59" s="566"/>
      <c r="S59" s="63">
        <v>0.36180555555555549</v>
      </c>
      <c r="T59" s="63">
        <v>0.42847222222222214</v>
      </c>
      <c r="U59" s="362">
        <f t="shared" si="38"/>
        <v>4.9999999999999822</v>
      </c>
      <c r="V59" s="371">
        <f t="shared" si="37"/>
        <v>95.999999999999972</v>
      </c>
      <c r="W59" s="64"/>
      <c r="X59" s="64"/>
      <c r="Y59" s="363"/>
      <c r="Z59" s="364"/>
      <c r="AA59" s="61">
        <f t="shared" si="8"/>
        <v>-526.24999999999955</v>
      </c>
      <c r="AB59" s="361">
        <f t="shared" si="9"/>
        <v>0.73687500000000028</v>
      </c>
      <c r="AC59" s="566"/>
    </row>
    <row r="60" spans="1:29" ht="15.75" customHeight="1">
      <c r="A60" s="574" t="s">
        <v>117</v>
      </c>
      <c r="B60" s="57" t="s">
        <v>6</v>
      </c>
      <c r="C60" s="367" t="s">
        <v>39</v>
      </c>
      <c r="D60" s="368"/>
      <c r="E60" s="57">
        <v>55.56</v>
      </c>
      <c r="F60" s="69">
        <v>2174</v>
      </c>
      <c r="G60" s="362">
        <f t="shared" si="35"/>
        <v>120787.44</v>
      </c>
      <c r="H60" s="375" t="s">
        <v>5</v>
      </c>
      <c r="I60" s="372">
        <v>17</v>
      </c>
      <c r="J60" s="58">
        <v>2000</v>
      </c>
      <c r="K60" s="59">
        <f t="shared" si="1"/>
        <v>117.64705882352941</v>
      </c>
      <c r="L60" s="372">
        <v>17</v>
      </c>
      <c r="M60" s="60">
        <f t="shared" si="36"/>
        <v>1918.2352941176496</v>
      </c>
      <c r="N60" s="60">
        <f t="shared" si="3"/>
        <v>112.83737024221467</v>
      </c>
      <c r="O60" s="61">
        <f t="shared" si="4"/>
        <v>0</v>
      </c>
      <c r="P60" s="62">
        <f t="shared" si="5"/>
        <v>-4.809688581314731</v>
      </c>
      <c r="Q60" s="361">
        <f t="shared" si="6"/>
        <v>0.95911764705882474</v>
      </c>
      <c r="R60" s="566"/>
      <c r="S60" s="63">
        <v>0.70833333333333337</v>
      </c>
      <c r="T60" s="63">
        <v>0.75555555555555554</v>
      </c>
      <c r="U60" s="362" t="str">
        <f t="shared" si="38"/>
        <v/>
      </c>
      <c r="V60" s="371">
        <f t="shared" si="37"/>
        <v>67.999999999999915</v>
      </c>
      <c r="W60" s="64"/>
      <c r="X60" s="64"/>
      <c r="Y60" s="363"/>
      <c r="Z60" s="364"/>
      <c r="AA60" s="61">
        <f t="shared" si="8"/>
        <v>-81.764705882350427</v>
      </c>
      <c r="AB60" s="361">
        <f t="shared" si="9"/>
        <v>0.95911764705882474</v>
      </c>
      <c r="AC60" s="566"/>
    </row>
    <row r="61" spans="1:29" ht="15.75" customHeight="1">
      <c r="A61" s="574" t="s">
        <v>1697</v>
      </c>
      <c r="B61" s="57" t="s">
        <v>6</v>
      </c>
      <c r="C61" s="567" t="s">
        <v>40</v>
      </c>
      <c r="D61" s="568"/>
      <c r="E61" s="57">
        <v>55.32</v>
      </c>
      <c r="F61" s="69">
        <v>1604</v>
      </c>
      <c r="G61" s="362">
        <f t="shared" si="35"/>
        <v>88733.28</v>
      </c>
      <c r="H61" s="375" t="s">
        <v>5</v>
      </c>
      <c r="I61" s="372">
        <v>15</v>
      </c>
      <c r="J61" s="58">
        <v>2000</v>
      </c>
      <c r="K61" s="59">
        <f t="shared" si="1"/>
        <v>133.33333333333334</v>
      </c>
      <c r="L61" s="372">
        <v>15</v>
      </c>
      <c r="M61" s="60">
        <f t="shared" si="36"/>
        <v>1924.8000000000006</v>
      </c>
      <c r="N61" s="60">
        <f t="shared" si="3"/>
        <v>128.32000000000005</v>
      </c>
      <c r="O61" s="61">
        <f t="shared" si="4"/>
        <v>0</v>
      </c>
      <c r="P61" s="62">
        <f t="shared" si="5"/>
        <v>-5.0133333333332928</v>
      </c>
      <c r="Q61" s="361">
        <f t="shared" si="6"/>
        <v>0.96240000000000026</v>
      </c>
      <c r="R61" s="566"/>
      <c r="S61" s="63">
        <v>0.75972222222222219</v>
      </c>
      <c r="T61" s="63">
        <v>0.7944444444444444</v>
      </c>
      <c r="U61" s="362">
        <f t="shared" si="38"/>
        <v>5.9999999999999787</v>
      </c>
      <c r="V61" s="371">
        <f t="shared" si="37"/>
        <v>49.999999999999986</v>
      </c>
      <c r="W61" s="64"/>
      <c r="X61" s="64"/>
      <c r="Y61" s="569"/>
      <c r="Z61" s="570"/>
      <c r="AA61" s="61">
        <f t="shared" si="8"/>
        <v>-75.199999999999363</v>
      </c>
      <c r="AB61" s="361">
        <f t="shared" si="9"/>
        <v>0.96240000000000037</v>
      </c>
      <c r="AC61" s="566"/>
    </row>
    <row r="62" spans="1:29" ht="15.75" customHeight="1">
      <c r="A62" s="574" t="s">
        <v>117</v>
      </c>
      <c r="B62" s="57" t="s">
        <v>6</v>
      </c>
      <c r="C62" s="567" t="s">
        <v>94</v>
      </c>
      <c r="D62" s="568"/>
      <c r="E62" s="57">
        <v>57.3</v>
      </c>
      <c r="F62" s="69">
        <v>2458</v>
      </c>
      <c r="G62" s="362">
        <f t="shared" si="35"/>
        <v>140843.4</v>
      </c>
      <c r="H62" s="375" t="s">
        <v>5</v>
      </c>
      <c r="I62" s="372">
        <v>13</v>
      </c>
      <c r="J62" s="58">
        <v>2000</v>
      </c>
      <c r="K62" s="59">
        <f t="shared" si="1"/>
        <v>153.84615384615384</v>
      </c>
      <c r="L62" s="372">
        <v>13</v>
      </c>
      <c r="M62" s="60">
        <f t="shared" si="36"/>
        <v>1915.3246753246742</v>
      </c>
      <c r="N62" s="60">
        <f t="shared" si="3"/>
        <v>147.33266733266726</v>
      </c>
      <c r="O62" s="61">
        <f t="shared" si="4"/>
        <v>0</v>
      </c>
      <c r="P62" s="62">
        <f t="shared" si="5"/>
        <v>-6.5134865134865834</v>
      </c>
      <c r="Q62" s="361">
        <f t="shared" si="6"/>
        <v>0.95766233766233722</v>
      </c>
      <c r="R62" s="566"/>
      <c r="S62" s="63">
        <v>0.79930555555555549</v>
      </c>
      <c r="T62" s="63">
        <v>0.85277777777777775</v>
      </c>
      <c r="U62" s="362">
        <f t="shared" si="38"/>
        <v>6.9999999999999751</v>
      </c>
      <c r="V62" s="371">
        <f t="shared" si="37"/>
        <v>77.000000000000043</v>
      </c>
      <c r="W62" s="64"/>
      <c r="X62" s="64"/>
      <c r="Y62" s="569"/>
      <c r="Z62" s="570"/>
      <c r="AA62" s="61">
        <f t="shared" si="8"/>
        <v>-84.675324675325783</v>
      </c>
      <c r="AB62" s="361">
        <f t="shared" si="9"/>
        <v>0.9576623376623371</v>
      </c>
      <c r="AC62" s="566"/>
    </row>
    <row r="63" spans="1:29">
      <c r="A63" s="575" t="s">
        <v>1698</v>
      </c>
      <c r="B63" s="57" t="s">
        <v>1674</v>
      </c>
      <c r="C63" s="571"/>
      <c r="D63" s="571"/>
      <c r="E63" s="366"/>
      <c r="F63" s="66"/>
      <c r="G63" s="59"/>
      <c r="H63" s="373"/>
      <c r="I63" s="67">
        <v>18</v>
      </c>
      <c r="J63" s="58">
        <v>2000</v>
      </c>
      <c r="K63" s="59">
        <f t="shared" si="1"/>
        <v>111.11111111111111</v>
      </c>
      <c r="L63" s="67">
        <v>18</v>
      </c>
      <c r="M63" s="60">
        <f>AVERAGE(M56:M62)</f>
        <v>1759.5855802291421</v>
      </c>
      <c r="N63" s="59">
        <f t="shared" si="3"/>
        <v>97.754754457174556</v>
      </c>
      <c r="O63" s="61">
        <f t="shared" si="4"/>
        <v>0</v>
      </c>
      <c r="P63" s="62">
        <f t="shared" si="5"/>
        <v>-13.356356653936558</v>
      </c>
      <c r="Q63" s="361">
        <f t="shared" si="6"/>
        <v>0.87979279011457101</v>
      </c>
      <c r="R63" s="566"/>
      <c r="S63" s="70"/>
      <c r="T63" s="63"/>
      <c r="U63" s="59"/>
      <c r="V63" s="371"/>
      <c r="W63" s="59"/>
      <c r="X63" s="59"/>
      <c r="Y63" s="559"/>
      <c r="Z63" s="559"/>
      <c r="AA63" s="61">
        <f t="shared" si="8"/>
        <v>-240.41441977085788</v>
      </c>
      <c r="AB63" s="361">
        <f t="shared" si="9"/>
        <v>0.87979279011457101</v>
      </c>
      <c r="AC63" s="566"/>
    </row>
    <row r="64" spans="1:29" ht="15.75" customHeight="1">
      <c r="A64" s="572" t="s">
        <v>1699</v>
      </c>
      <c r="B64" s="373" t="s">
        <v>10</v>
      </c>
      <c r="C64" s="560" t="s">
        <v>42</v>
      </c>
      <c r="D64" s="560"/>
      <c r="E64" s="57">
        <v>26.97</v>
      </c>
      <c r="F64" s="69">
        <v>2949</v>
      </c>
      <c r="G64" s="362">
        <f t="shared" ref="G64:G69" si="39">E64*F64</f>
        <v>79534.53</v>
      </c>
      <c r="H64" s="375" t="s">
        <v>5</v>
      </c>
      <c r="I64" s="372">
        <v>8</v>
      </c>
      <c r="J64" s="58">
        <v>1500</v>
      </c>
      <c r="K64" s="59">
        <f t="shared" si="1"/>
        <v>187.5</v>
      </c>
      <c r="L64" s="372">
        <v>8</v>
      </c>
      <c r="M64" s="60">
        <f t="shared" ref="M64:M69" si="40">F64/V64*60</f>
        <v>1426.9354838709678</v>
      </c>
      <c r="N64" s="59">
        <f t="shared" si="3"/>
        <v>178.36693548387098</v>
      </c>
      <c r="O64" s="61">
        <f t="shared" si="4"/>
        <v>0</v>
      </c>
      <c r="P64" s="62">
        <f t="shared" si="5"/>
        <v>-9.1330645161290249</v>
      </c>
      <c r="Q64" s="361">
        <f t="shared" si="6"/>
        <v>0.95129032258064516</v>
      </c>
      <c r="R64" s="566">
        <f>Q70</f>
        <v>0.95893647034530849</v>
      </c>
      <c r="S64" s="63">
        <v>0.20833333333333334</v>
      </c>
      <c r="T64" s="63">
        <v>0.29444444444444445</v>
      </c>
      <c r="U64" s="362"/>
      <c r="V64" s="371">
        <f t="shared" ref="V64:V69" si="41">(T64-S64)*24*60</f>
        <v>123.99999999999999</v>
      </c>
      <c r="W64" s="68"/>
      <c r="X64" s="68"/>
      <c r="Y64" s="559"/>
      <c r="Z64" s="559"/>
      <c r="AA64" s="61">
        <f t="shared" si="8"/>
        <v>-73.064516129032199</v>
      </c>
      <c r="AB64" s="361">
        <f t="shared" si="9"/>
        <v>0.95129032258064516</v>
      </c>
      <c r="AC64" s="566">
        <f>AB70</f>
        <v>0.95893647034530838</v>
      </c>
    </row>
    <row r="65" spans="1:29" ht="15.75" customHeight="1">
      <c r="A65" s="572" t="s">
        <v>1699</v>
      </c>
      <c r="B65" s="373" t="s">
        <v>31</v>
      </c>
      <c r="C65" s="560" t="s">
        <v>41</v>
      </c>
      <c r="D65" s="560"/>
      <c r="E65" s="57">
        <v>26.78</v>
      </c>
      <c r="F65" s="69">
        <v>2761</v>
      </c>
      <c r="G65" s="362">
        <f t="shared" si="39"/>
        <v>73939.58</v>
      </c>
      <c r="H65" s="375" t="s">
        <v>5</v>
      </c>
      <c r="I65" s="372">
        <v>10</v>
      </c>
      <c r="J65" s="58">
        <v>3000</v>
      </c>
      <c r="K65" s="59">
        <f t="shared" si="1"/>
        <v>300</v>
      </c>
      <c r="L65" s="372">
        <v>10</v>
      </c>
      <c r="M65" s="60">
        <f t="shared" si="40"/>
        <v>2856.2068965517224</v>
      </c>
      <c r="N65" s="59">
        <f t="shared" si="3"/>
        <v>285.62068965517221</v>
      </c>
      <c r="O65" s="61">
        <f t="shared" si="4"/>
        <v>0</v>
      </c>
      <c r="P65" s="62">
        <f t="shared" si="5"/>
        <v>-14.379310344827786</v>
      </c>
      <c r="Q65" s="361">
        <f t="shared" si="6"/>
        <v>0.95206896551724074</v>
      </c>
      <c r="R65" s="566"/>
      <c r="S65" s="63">
        <v>0.29930555555555555</v>
      </c>
      <c r="T65" s="63">
        <v>0.33958333333333335</v>
      </c>
      <c r="U65" s="362">
        <f t="shared" ref="U65:U69" si="42">(S65-T64)*24*60</f>
        <v>6.9999999999999751</v>
      </c>
      <c r="V65" s="371">
        <f t="shared" si="41"/>
        <v>58.000000000000036</v>
      </c>
      <c r="W65" s="362"/>
      <c r="X65" s="362"/>
      <c r="Y65" s="559"/>
      <c r="Z65" s="559"/>
      <c r="AA65" s="61">
        <f t="shared" si="8"/>
        <v>-143.79310344827763</v>
      </c>
      <c r="AB65" s="361">
        <f t="shared" si="9"/>
        <v>0.95206896551724074</v>
      </c>
      <c r="AC65" s="566"/>
    </row>
    <row r="66" spans="1:29" ht="15.75" customHeight="1">
      <c r="A66" s="572" t="s">
        <v>1699</v>
      </c>
      <c r="B66" s="373" t="s">
        <v>31</v>
      </c>
      <c r="C66" s="560" t="s">
        <v>64</v>
      </c>
      <c r="D66" s="560"/>
      <c r="E66" s="57">
        <v>37.880000000000003</v>
      </c>
      <c r="F66" s="69">
        <v>2795</v>
      </c>
      <c r="G66" s="362">
        <f t="shared" si="39"/>
        <v>105874.6</v>
      </c>
      <c r="H66" s="375" t="s">
        <v>5</v>
      </c>
      <c r="I66" s="372">
        <v>10</v>
      </c>
      <c r="J66" s="58">
        <v>3000</v>
      </c>
      <c r="K66" s="59">
        <f t="shared" si="1"/>
        <v>300</v>
      </c>
      <c r="L66" s="372">
        <v>10</v>
      </c>
      <c r="M66" s="60">
        <f t="shared" si="40"/>
        <v>2891.3793103448261</v>
      </c>
      <c r="N66" s="59">
        <f t="shared" si="3"/>
        <v>289.13793103448262</v>
      </c>
      <c r="O66" s="61">
        <f t="shared" si="4"/>
        <v>0</v>
      </c>
      <c r="P66" s="62">
        <f t="shared" si="5"/>
        <v>-10.862068965517381</v>
      </c>
      <c r="Q66" s="361">
        <f t="shared" si="6"/>
        <v>0.9637931034482754</v>
      </c>
      <c r="R66" s="566"/>
      <c r="S66" s="63">
        <v>0.34375</v>
      </c>
      <c r="T66" s="63">
        <v>0.3840277777777778</v>
      </c>
      <c r="U66" s="362">
        <f t="shared" si="42"/>
        <v>5.9999999999999787</v>
      </c>
      <c r="V66" s="371">
        <f t="shared" si="41"/>
        <v>58.000000000000036</v>
      </c>
      <c r="W66" s="362"/>
      <c r="X66" s="362"/>
      <c r="Y66" s="559"/>
      <c r="Z66" s="559"/>
      <c r="AA66" s="61">
        <f t="shared" si="8"/>
        <v>-108.62068965517392</v>
      </c>
      <c r="AB66" s="361">
        <f t="shared" si="9"/>
        <v>0.9637931034482754</v>
      </c>
      <c r="AC66" s="566"/>
    </row>
    <row r="67" spans="1:29" ht="15.75" customHeight="1">
      <c r="A67" s="572" t="s">
        <v>1700</v>
      </c>
      <c r="B67" s="373" t="s">
        <v>31</v>
      </c>
      <c r="C67" s="560" t="s">
        <v>72</v>
      </c>
      <c r="D67" s="560"/>
      <c r="E67" s="57">
        <v>40.51</v>
      </c>
      <c r="F67" s="69">
        <v>2658</v>
      </c>
      <c r="G67" s="362">
        <f t="shared" si="39"/>
        <v>107675.58</v>
      </c>
      <c r="H67" s="375" t="s">
        <v>5</v>
      </c>
      <c r="I67" s="372">
        <v>8</v>
      </c>
      <c r="J67" s="58">
        <v>3000</v>
      </c>
      <c r="K67" s="59">
        <f t="shared" si="1"/>
        <v>375</v>
      </c>
      <c r="L67" s="372">
        <v>8</v>
      </c>
      <c r="M67" s="60">
        <f t="shared" si="40"/>
        <v>2899.6363636363653</v>
      </c>
      <c r="N67" s="59">
        <f t="shared" si="3"/>
        <v>362.45454545454567</v>
      </c>
      <c r="O67" s="61">
        <f t="shared" si="4"/>
        <v>0</v>
      </c>
      <c r="P67" s="62">
        <f t="shared" si="5"/>
        <v>-12.545454545454334</v>
      </c>
      <c r="Q67" s="361">
        <f t="shared" si="6"/>
        <v>0.96654545454545515</v>
      </c>
      <c r="R67" s="566"/>
      <c r="S67" s="63">
        <v>0.38819444444444445</v>
      </c>
      <c r="T67" s="63">
        <v>0.42638888888888887</v>
      </c>
      <c r="U67" s="362">
        <f t="shared" si="42"/>
        <v>5.9999999999999787</v>
      </c>
      <c r="V67" s="371">
        <f t="shared" si="41"/>
        <v>54.999999999999964</v>
      </c>
      <c r="W67" s="362"/>
      <c r="X67" s="362"/>
      <c r="Y67" s="559"/>
      <c r="Z67" s="559"/>
      <c r="AA67" s="61">
        <f t="shared" si="8"/>
        <v>-100.36363636363467</v>
      </c>
      <c r="AB67" s="361">
        <f t="shared" si="9"/>
        <v>0.96654545454545515</v>
      </c>
      <c r="AC67" s="566"/>
    </row>
    <row r="68" spans="1:29">
      <c r="A68" s="573" t="s">
        <v>93</v>
      </c>
      <c r="B68" s="373" t="s">
        <v>31</v>
      </c>
      <c r="C68" s="560" t="s">
        <v>35</v>
      </c>
      <c r="D68" s="560"/>
      <c r="E68" s="57">
        <v>35.869999999999997</v>
      </c>
      <c r="F68" s="69">
        <v>3128</v>
      </c>
      <c r="G68" s="362">
        <f t="shared" si="39"/>
        <v>112201.35999999999</v>
      </c>
      <c r="H68" s="375" t="s">
        <v>5</v>
      </c>
      <c r="I68" s="372">
        <v>9</v>
      </c>
      <c r="J68" s="58">
        <v>3000</v>
      </c>
      <c r="K68" s="59">
        <f t="shared" si="1"/>
        <v>333.33333333333331</v>
      </c>
      <c r="L68" s="372">
        <v>9</v>
      </c>
      <c r="M68" s="60">
        <f t="shared" si="40"/>
        <v>2887.3846153846148</v>
      </c>
      <c r="N68" s="59">
        <f t="shared" si="3"/>
        <v>320.82051282051276</v>
      </c>
      <c r="O68" s="61">
        <f t="shared" si="4"/>
        <v>0</v>
      </c>
      <c r="P68" s="62">
        <f t="shared" si="5"/>
        <v>-12.512820512820554</v>
      </c>
      <c r="Q68" s="361">
        <f t="shared" si="6"/>
        <v>0.96246153846153837</v>
      </c>
      <c r="R68" s="566"/>
      <c r="S68" s="63">
        <v>0.42986111111111108</v>
      </c>
      <c r="T68" s="63">
        <v>0.47499999999999998</v>
      </c>
      <c r="U68" s="362">
        <f t="shared" si="42"/>
        <v>4.9999999999999822</v>
      </c>
      <c r="V68" s="371">
        <f t="shared" si="41"/>
        <v>65.000000000000014</v>
      </c>
      <c r="W68" s="64"/>
      <c r="X68" s="64"/>
      <c r="Y68" s="559"/>
      <c r="Z68" s="559"/>
      <c r="AA68" s="61">
        <f t="shared" si="8"/>
        <v>-112.61538461538521</v>
      </c>
      <c r="AB68" s="361">
        <f t="shared" si="9"/>
        <v>0.96246153846153826</v>
      </c>
      <c r="AC68" s="566"/>
    </row>
    <row r="69" spans="1:29" ht="15" customHeight="1">
      <c r="A69" s="573" t="s">
        <v>1699</v>
      </c>
      <c r="B69" s="373" t="s">
        <v>31</v>
      </c>
      <c r="C69" s="567" t="s">
        <v>63</v>
      </c>
      <c r="D69" s="568"/>
      <c r="E69" s="57">
        <v>34.36</v>
      </c>
      <c r="F69" s="69">
        <v>2098</v>
      </c>
      <c r="G69" s="362">
        <f t="shared" si="39"/>
        <v>72087.28</v>
      </c>
      <c r="H69" s="375" t="s">
        <v>5</v>
      </c>
      <c r="I69" s="372">
        <v>10</v>
      </c>
      <c r="J69" s="58">
        <v>3000</v>
      </c>
      <c r="K69" s="59">
        <f t="shared" ref="K69:K78" si="43">J69/I69</f>
        <v>300</v>
      </c>
      <c r="L69" s="372">
        <v>10</v>
      </c>
      <c r="M69" s="60">
        <f t="shared" si="40"/>
        <v>2860.909090909091</v>
      </c>
      <c r="N69" s="59">
        <f t="shared" ref="N69:N78" si="44">M69/L69</f>
        <v>286.09090909090912</v>
      </c>
      <c r="O69" s="61">
        <f t="shared" ref="O69:O78" si="45">L69-I69</f>
        <v>0</v>
      </c>
      <c r="P69" s="62">
        <f t="shared" ref="P69:P78" si="46">N69-K69</f>
        <v>-13.909090909090878</v>
      </c>
      <c r="Q69" s="361">
        <f t="shared" ref="Q69:Q78" si="47">N69/K69</f>
        <v>0.95363636363636373</v>
      </c>
      <c r="R69" s="566"/>
      <c r="S69" s="63">
        <v>0.47986111111111107</v>
      </c>
      <c r="T69" s="63">
        <v>0.51041666666666663</v>
      </c>
      <c r="U69" s="362">
        <f t="shared" si="42"/>
        <v>6.9999999999999751</v>
      </c>
      <c r="V69" s="371">
        <f t="shared" si="41"/>
        <v>44</v>
      </c>
      <c r="W69" s="362"/>
      <c r="X69" s="362"/>
      <c r="Y69" s="569"/>
      <c r="Z69" s="570"/>
      <c r="AA69" s="61">
        <f t="shared" ref="AA69:AA78" si="48">M69-J69</f>
        <v>-139.09090909090901</v>
      </c>
      <c r="AB69" s="361">
        <f t="shared" ref="AB69:AB78" si="49">M69/J69</f>
        <v>0.95363636363636362</v>
      </c>
      <c r="AC69" s="566"/>
    </row>
    <row r="70" spans="1:29">
      <c r="A70" s="573" t="s">
        <v>1700</v>
      </c>
      <c r="B70" s="57" t="s">
        <v>1693</v>
      </c>
      <c r="C70" s="571"/>
      <c r="D70" s="571"/>
      <c r="E70" s="366"/>
      <c r="F70" s="66"/>
      <c r="G70" s="59"/>
      <c r="H70" s="373"/>
      <c r="I70" s="67">
        <v>9.1666666666666661</v>
      </c>
      <c r="J70" s="58">
        <v>2750</v>
      </c>
      <c r="K70" s="59">
        <f t="shared" si="43"/>
        <v>300</v>
      </c>
      <c r="L70" s="67">
        <v>9.1666666666666661</v>
      </c>
      <c r="M70" s="60">
        <f>AVERAGE(M64:M69)</f>
        <v>2637.0752934495981</v>
      </c>
      <c r="N70" s="59">
        <f t="shared" si="44"/>
        <v>287.68094110359255</v>
      </c>
      <c r="O70" s="61">
        <f t="shared" si="45"/>
        <v>0</v>
      </c>
      <c r="P70" s="62">
        <f t="shared" si="46"/>
        <v>-12.319058896407455</v>
      </c>
      <c r="Q70" s="361">
        <f t="shared" si="47"/>
        <v>0.95893647034530849</v>
      </c>
      <c r="R70" s="566"/>
      <c r="S70" s="63"/>
      <c r="T70" s="63"/>
      <c r="U70" s="59"/>
      <c r="V70" s="371"/>
      <c r="W70" s="59"/>
      <c r="X70" s="59"/>
      <c r="Y70" s="559"/>
      <c r="Z70" s="559"/>
      <c r="AA70" s="61">
        <f t="shared" si="48"/>
        <v>-112.92470655040188</v>
      </c>
      <c r="AB70" s="361">
        <f t="shared" si="49"/>
        <v>0.95893647034530838</v>
      </c>
      <c r="AC70" s="566"/>
    </row>
    <row r="71" spans="1:29" ht="15.75" customHeight="1">
      <c r="A71" s="563" t="s">
        <v>1701</v>
      </c>
      <c r="B71" s="373" t="s">
        <v>15</v>
      </c>
      <c r="C71" s="560" t="s">
        <v>43</v>
      </c>
      <c r="D71" s="560"/>
      <c r="E71" s="57">
        <v>20.2</v>
      </c>
      <c r="F71" s="373">
        <v>2421</v>
      </c>
      <c r="G71" s="362">
        <f t="shared" ref="G71:G77" si="50">E71*F71</f>
        <v>48904.2</v>
      </c>
      <c r="H71" s="375" t="s">
        <v>5</v>
      </c>
      <c r="I71" s="372">
        <v>19</v>
      </c>
      <c r="J71" s="58">
        <v>2400</v>
      </c>
      <c r="K71" s="59">
        <f t="shared" si="43"/>
        <v>126.31578947368421</v>
      </c>
      <c r="L71" s="372">
        <v>19</v>
      </c>
      <c r="M71" s="60">
        <f t="shared" ref="M71:M77" si="51">F71/V71*60</f>
        <v>2305.7142857142862</v>
      </c>
      <c r="N71" s="59">
        <f t="shared" si="44"/>
        <v>121.35338345864665</v>
      </c>
      <c r="O71" s="61">
        <f t="shared" si="45"/>
        <v>0</v>
      </c>
      <c r="P71" s="62">
        <f t="shared" si="46"/>
        <v>-4.9624060150375584</v>
      </c>
      <c r="Q71" s="361">
        <f t="shared" si="47"/>
        <v>0.96071428571428596</v>
      </c>
      <c r="R71" s="566">
        <f>Q78</f>
        <v>0.95785070845589726</v>
      </c>
      <c r="S71" s="63">
        <v>8.3333333333333329E-2</v>
      </c>
      <c r="T71" s="63">
        <v>0.12708333333333333</v>
      </c>
      <c r="U71" s="68"/>
      <c r="V71" s="371">
        <f t="shared" ref="V71:V77" si="52">(T71-S71)*24*60</f>
        <v>62.999999999999986</v>
      </c>
      <c r="W71" s="64">
        <f>T71</f>
        <v>0.12708333333333333</v>
      </c>
      <c r="X71" s="64">
        <f>S72</f>
        <v>0.14652777777777776</v>
      </c>
      <c r="Y71" s="559"/>
      <c r="Z71" s="559"/>
      <c r="AA71" s="61">
        <f t="shared" si="48"/>
        <v>-94.285714285713766</v>
      </c>
      <c r="AB71" s="361">
        <f t="shared" si="49"/>
        <v>0.96071428571428596</v>
      </c>
      <c r="AC71" s="566">
        <f>AB78</f>
        <v>0.95785070845589737</v>
      </c>
    </row>
    <row r="72" spans="1:29" ht="15.75" customHeight="1">
      <c r="A72" s="564" t="s">
        <v>1702</v>
      </c>
      <c r="B72" s="373" t="s">
        <v>15</v>
      </c>
      <c r="C72" s="560" t="s">
        <v>24</v>
      </c>
      <c r="D72" s="560"/>
      <c r="E72" s="57">
        <v>20.52</v>
      </c>
      <c r="F72" s="373">
        <v>3419</v>
      </c>
      <c r="G72" s="362">
        <f t="shared" si="50"/>
        <v>70157.88</v>
      </c>
      <c r="H72" s="375" t="s">
        <v>5</v>
      </c>
      <c r="I72" s="372">
        <v>18</v>
      </c>
      <c r="J72" s="58">
        <v>2400</v>
      </c>
      <c r="K72" s="59">
        <f t="shared" si="43"/>
        <v>133.33333333333334</v>
      </c>
      <c r="L72" s="372">
        <v>18</v>
      </c>
      <c r="M72" s="60">
        <f t="shared" si="51"/>
        <v>2304.9438202247188</v>
      </c>
      <c r="N72" s="59">
        <f t="shared" si="44"/>
        <v>128.05243445692884</v>
      </c>
      <c r="O72" s="61">
        <f t="shared" si="45"/>
        <v>0</v>
      </c>
      <c r="P72" s="62">
        <f t="shared" si="46"/>
        <v>-5.2808988764045068</v>
      </c>
      <c r="Q72" s="361">
        <f t="shared" si="47"/>
        <v>0.96039325842696621</v>
      </c>
      <c r="R72" s="566"/>
      <c r="S72" s="63">
        <v>0.14652777777777776</v>
      </c>
      <c r="T72" s="63">
        <v>0.20833333333333331</v>
      </c>
      <c r="U72" s="362">
        <f t="shared" ref="U72:U77" si="53">(S72-T71)*24*60</f>
        <v>27.999999999999979</v>
      </c>
      <c r="V72" s="371">
        <f t="shared" si="52"/>
        <v>89</v>
      </c>
      <c r="W72" s="64"/>
      <c r="X72" s="64"/>
      <c r="Y72" s="559"/>
      <c r="Z72" s="559"/>
      <c r="AA72" s="61">
        <f t="shared" si="48"/>
        <v>-95.05617977528118</v>
      </c>
      <c r="AB72" s="361">
        <f t="shared" si="49"/>
        <v>0.96039325842696621</v>
      </c>
      <c r="AC72" s="566"/>
    </row>
    <row r="73" spans="1:29" ht="15.75" customHeight="1">
      <c r="A73" s="564" t="s">
        <v>1701</v>
      </c>
      <c r="B73" s="373" t="s">
        <v>15</v>
      </c>
      <c r="C73" s="560" t="s">
        <v>44</v>
      </c>
      <c r="D73" s="560"/>
      <c r="E73" s="57">
        <v>19.02</v>
      </c>
      <c r="F73" s="373">
        <v>4500</v>
      </c>
      <c r="G73" s="362">
        <f t="shared" si="50"/>
        <v>85590</v>
      </c>
      <c r="H73" s="375">
        <v>2</v>
      </c>
      <c r="I73" s="372">
        <v>15</v>
      </c>
      <c r="J73" s="58">
        <v>2400</v>
      </c>
      <c r="K73" s="59">
        <f t="shared" si="43"/>
        <v>160</v>
      </c>
      <c r="L73" s="372">
        <v>15</v>
      </c>
      <c r="M73" s="60">
        <f t="shared" si="51"/>
        <v>2288.1355932203387</v>
      </c>
      <c r="N73" s="59">
        <f t="shared" si="44"/>
        <v>152.5423728813559</v>
      </c>
      <c r="O73" s="61">
        <f t="shared" si="45"/>
        <v>0</v>
      </c>
      <c r="P73" s="62">
        <f t="shared" si="46"/>
        <v>-7.4576271186440977</v>
      </c>
      <c r="Q73" s="361">
        <f t="shared" si="47"/>
        <v>0.95338983050847437</v>
      </c>
      <c r="R73" s="566"/>
      <c r="S73" s="63">
        <v>0.21319444444444444</v>
      </c>
      <c r="T73" s="63">
        <v>0.2951388888888889</v>
      </c>
      <c r="U73" s="362">
        <f t="shared" si="53"/>
        <v>7.0000000000000151</v>
      </c>
      <c r="V73" s="371">
        <f t="shared" si="52"/>
        <v>118.00000000000001</v>
      </c>
      <c r="W73" s="64"/>
      <c r="X73" s="64"/>
      <c r="Y73" s="559"/>
      <c r="Z73" s="559"/>
      <c r="AA73" s="61">
        <f t="shared" si="48"/>
        <v>-111.86440677966129</v>
      </c>
      <c r="AB73" s="361">
        <f t="shared" si="49"/>
        <v>0.95338983050847448</v>
      </c>
      <c r="AC73" s="566"/>
    </row>
    <row r="74" spans="1:29" ht="15.75" customHeight="1">
      <c r="A74" s="564" t="s">
        <v>1703</v>
      </c>
      <c r="B74" s="373" t="s">
        <v>15</v>
      </c>
      <c r="C74" s="560" t="s">
        <v>29</v>
      </c>
      <c r="D74" s="560"/>
      <c r="E74" s="57">
        <v>24.43</v>
      </c>
      <c r="F74" s="373">
        <v>5000</v>
      </c>
      <c r="G74" s="362">
        <f t="shared" si="50"/>
        <v>122150</v>
      </c>
      <c r="H74" s="375">
        <v>2</v>
      </c>
      <c r="I74" s="372">
        <v>14</v>
      </c>
      <c r="J74" s="58">
        <v>2400</v>
      </c>
      <c r="K74" s="59">
        <f t="shared" si="43"/>
        <v>171.42857142857142</v>
      </c>
      <c r="L74" s="372">
        <v>14</v>
      </c>
      <c r="M74" s="60">
        <f t="shared" si="51"/>
        <v>2290.0763358778627</v>
      </c>
      <c r="N74" s="59">
        <f t="shared" si="44"/>
        <v>163.57688113413306</v>
      </c>
      <c r="O74" s="61">
        <f t="shared" si="45"/>
        <v>0</v>
      </c>
      <c r="P74" s="62">
        <f t="shared" si="46"/>
        <v>-7.851690294438356</v>
      </c>
      <c r="Q74" s="361">
        <f t="shared" si="47"/>
        <v>0.95419847328244289</v>
      </c>
      <c r="R74" s="566"/>
      <c r="S74" s="63">
        <v>0.29930555555555555</v>
      </c>
      <c r="T74" s="63">
        <v>0.39027777777777778</v>
      </c>
      <c r="U74" s="362">
        <f t="shared" si="53"/>
        <v>5.9999999999999787</v>
      </c>
      <c r="V74" s="371">
        <f t="shared" si="52"/>
        <v>131</v>
      </c>
      <c r="W74" s="64"/>
      <c r="X74" s="64"/>
      <c r="Y74" s="559"/>
      <c r="Z74" s="559"/>
      <c r="AA74" s="61">
        <f t="shared" si="48"/>
        <v>-109.92366412213732</v>
      </c>
      <c r="AB74" s="361">
        <f t="shared" si="49"/>
        <v>0.95419847328244278</v>
      </c>
      <c r="AC74" s="566"/>
    </row>
    <row r="75" spans="1:29" ht="15.75" customHeight="1">
      <c r="A75" s="564" t="s">
        <v>1701</v>
      </c>
      <c r="B75" s="373" t="s">
        <v>15</v>
      </c>
      <c r="C75" s="560" t="s">
        <v>1183</v>
      </c>
      <c r="D75" s="560"/>
      <c r="E75" s="57">
        <v>20.21</v>
      </c>
      <c r="F75" s="373">
        <v>5146</v>
      </c>
      <c r="G75" s="362">
        <f t="shared" si="50"/>
        <v>104000.66</v>
      </c>
      <c r="H75" s="375" t="s">
        <v>5</v>
      </c>
      <c r="I75" s="372">
        <v>16</v>
      </c>
      <c r="J75" s="58">
        <v>2400</v>
      </c>
      <c r="K75" s="59">
        <f t="shared" si="43"/>
        <v>150</v>
      </c>
      <c r="L75" s="372">
        <v>16</v>
      </c>
      <c r="M75" s="60">
        <f t="shared" si="51"/>
        <v>2287.1111111111113</v>
      </c>
      <c r="N75" s="59">
        <f t="shared" si="44"/>
        <v>142.94444444444446</v>
      </c>
      <c r="O75" s="61">
        <f t="shared" si="45"/>
        <v>0</v>
      </c>
      <c r="P75" s="62">
        <f t="shared" si="46"/>
        <v>-7.0555555555555429</v>
      </c>
      <c r="Q75" s="361">
        <f t="shared" si="47"/>
        <v>0.95296296296296301</v>
      </c>
      <c r="R75" s="566"/>
      <c r="S75" s="63">
        <v>0.39444444444444443</v>
      </c>
      <c r="T75" s="63">
        <v>0.48819444444444443</v>
      </c>
      <c r="U75" s="362">
        <f t="shared" si="53"/>
        <v>5.9999999999999787</v>
      </c>
      <c r="V75" s="371">
        <f t="shared" si="52"/>
        <v>135</v>
      </c>
      <c r="W75" s="64">
        <f>T75</f>
        <v>0.48819444444444443</v>
      </c>
      <c r="X75" s="64">
        <f>S76</f>
        <v>0.52777777777777779</v>
      </c>
      <c r="Y75" s="559"/>
      <c r="Z75" s="559"/>
      <c r="AA75" s="61">
        <f t="shared" si="48"/>
        <v>-112.88888888888869</v>
      </c>
      <c r="AB75" s="361">
        <f t="shared" si="49"/>
        <v>0.95296296296296301</v>
      </c>
      <c r="AC75" s="566"/>
    </row>
    <row r="76" spans="1:29" ht="15.75" customHeight="1">
      <c r="A76" s="564" t="s">
        <v>1704</v>
      </c>
      <c r="B76" s="373" t="s">
        <v>15</v>
      </c>
      <c r="C76" s="560" t="s">
        <v>44</v>
      </c>
      <c r="D76" s="560"/>
      <c r="E76" s="57">
        <v>19.02</v>
      </c>
      <c r="F76" s="373">
        <v>5481</v>
      </c>
      <c r="G76" s="362">
        <f t="shared" si="50"/>
        <v>104248.62</v>
      </c>
      <c r="H76" s="375" t="s">
        <v>5</v>
      </c>
      <c r="I76" s="372">
        <v>15</v>
      </c>
      <c r="J76" s="58">
        <v>2400</v>
      </c>
      <c r="K76" s="59">
        <f t="shared" si="43"/>
        <v>160</v>
      </c>
      <c r="L76" s="372">
        <v>15</v>
      </c>
      <c r="M76" s="60">
        <f t="shared" si="51"/>
        <v>2299.7202797202799</v>
      </c>
      <c r="N76" s="59">
        <f t="shared" si="44"/>
        <v>153.31468531468533</v>
      </c>
      <c r="O76" s="61">
        <f t="shared" si="45"/>
        <v>0</v>
      </c>
      <c r="P76" s="62">
        <f t="shared" si="46"/>
        <v>-6.6853146853146654</v>
      </c>
      <c r="Q76" s="361">
        <f t="shared" si="47"/>
        <v>0.95821678321678339</v>
      </c>
      <c r="R76" s="566"/>
      <c r="S76" s="63">
        <v>0.52777777777777779</v>
      </c>
      <c r="T76" s="63">
        <v>0.62708333333333333</v>
      </c>
      <c r="U76" s="362">
        <f t="shared" si="53"/>
        <v>57.000000000000036</v>
      </c>
      <c r="V76" s="371">
        <f t="shared" si="52"/>
        <v>142.99999999999997</v>
      </c>
      <c r="W76" s="64"/>
      <c r="X76" s="64"/>
      <c r="Y76" s="559"/>
      <c r="Z76" s="559"/>
      <c r="AA76" s="61">
        <f t="shared" si="48"/>
        <v>-100.2797202797201</v>
      </c>
      <c r="AB76" s="361">
        <f t="shared" si="49"/>
        <v>0.95821678321678327</v>
      </c>
      <c r="AC76" s="566"/>
    </row>
    <row r="77" spans="1:29" ht="15.75" customHeight="1">
      <c r="A77" s="564" t="s">
        <v>90</v>
      </c>
      <c r="B77" s="373" t="s">
        <v>15</v>
      </c>
      <c r="C77" s="560" t="s">
        <v>29</v>
      </c>
      <c r="D77" s="560"/>
      <c r="E77" s="57">
        <v>24.43</v>
      </c>
      <c r="F77" s="373">
        <v>2432</v>
      </c>
      <c r="G77" s="362">
        <f t="shared" si="50"/>
        <v>59413.760000000002</v>
      </c>
      <c r="H77" s="375" t="s">
        <v>5</v>
      </c>
      <c r="I77" s="372">
        <v>14</v>
      </c>
      <c r="J77" s="58">
        <v>2400</v>
      </c>
      <c r="K77" s="59">
        <f t="shared" si="43"/>
        <v>171.42857142857142</v>
      </c>
      <c r="L77" s="372">
        <v>14</v>
      </c>
      <c r="M77" s="60">
        <f t="shared" si="51"/>
        <v>2316.1904761904784</v>
      </c>
      <c r="N77" s="59">
        <f t="shared" si="44"/>
        <v>165.44217687074845</v>
      </c>
      <c r="O77" s="61">
        <f t="shared" si="45"/>
        <v>0</v>
      </c>
      <c r="P77" s="62">
        <f t="shared" si="46"/>
        <v>-5.9863945578229618</v>
      </c>
      <c r="Q77" s="361">
        <f t="shared" si="47"/>
        <v>0.96507936507936609</v>
      </c>
      <c r="R77" s="566"/>
      <c r="S77" s="63">
        <v>0.63124999999999998</v>
      </c>
      <c r="T77" s="63">
        <v>0.67499999999999993</v>
      </c>
      <c r="U77" s="362">
        <f t="shared" si="53"/>
        <v>5.9999999999999787</v>
      </c>
      <c r="V77" s="371">
        <f t="shared" si="52"/>
        <v>62.999999999999936</v>
      </c>
      <c r="W77" s="64"/>
      <c r="X77" s="64"/>
      <c r="Y77" s="569"/>
      <c r="Z77" s="570"/>
      <c r="AA77" s="61">
        <f t="shared" si="48"/>
        <v>-83.809523809521579</v>
      </c>
      <c r="AB77" s="361">
        <f t="shared" si="49"/>
        <v>0.96507936507936598</v>
      </c>
      <c r="AC77" s="566"/>
    </row>
    <row r="78" spans="1:29" ht="16.5" customHeight="1">
      <c r="A78" s="565" t="s">
        <v>1701</v>
      </c>
      <c r="B78" s="57" t="s">
        <v>159</v>
      </c>
      <c r="C78" s="561"/>
      <c r="D78" s="562"/>
      <c r="E78" s="366"/>
      <c r="F78" s="66"/>
      <c r="G78" s="59"/>
      <c r="H78" s="373"/>
      <c r="I78" s="67">
        <v>15.857142857142858</v>
      </c>
      <c r="J78" s="58">
        <v>2400</v>
      </c>
      <c r="K78" s="59">
        <f t="shared" si="43"/>
        <v>151.35135135135135</v>
      </c>
      <c r="L78" s="67">
        <v>15.857142857142858</v>
      </c>
      <c r="M78" s="60">
        <f>AVERAGE(M71:M77)</f>
        <v>2298.8417002941537</v>
      </c>
      <c r="N78" s="59">
        <f t="shared" si="44"/>
        <v>144.97199911764932</v>
      </c>
      <c r="O78" s="61">
        <f t="shared" si="45"/>
        <v>0</v>
      </c>
      <c r="P78" s="62">
        <f t="shared" si="46"/>
        <v>-6.3793522337020363</v>
      </c>
      <c r="Q78" s="361">
        <f t="shared" si="47"/>
        <v>0.95785070845589726</v>
      </c>
      <c r="R78" s="566"/>
      <c r="S78" s="63"/>
      <c r="T78" s="63"/>
      <c r="U78" s="59"/>
      <c r="V78" s="371"/>
      <c r="W78" s="59"/>
      <c r="X78" s="59"/>
      <c r="Y78" s="559"/>
      <c r="Z78" s="559"/>
      <c r="AA78" s="61">
        <f t="shared" si="48"/>
        <v>-101.15829970584628</v>
      </c>
      <c r="AB78" s="361">
        <f t="shared" si="49"/>
        <v>0.95785070845589737</v>
      </c>
      <c r="AC78" s="566"/>
    </row>
    <row r="79" spans="1:29">
      <c r="D79" s="80"/>
      <c r="E79" s="80"/>
      <c r="H79" s="73"/>
    </row>
  </sheetData>
  <mergeCells count="203">
    <mergeCell ref="AC71:AC78"/>
    <mergeCell ref="C72:D72"/>
    <mergeCell ref="Y72:Z72"/>
    <mergeCell ref="C73:D73"/>
    <mergeCell ref="Y73:Z73"/>
    <mergeCell ref="C74:D74"/>
    <mergeCell ref="Y74:Z74"/>
    <mergeCell ref="C75:D75"/>
    <mergeCell ref="Y75:Z75"/>
    <mergeCell ref="C76:D76"/>
    <mergeCell ref="A71:A78"/>
    <mergeCell ref="C71:D71"/>
    <mergeCell ref="R71:R78"/>
    <mergeCell ref="Y71:Z71"/>
    <mergeCell ref="Y76:Z76"/>
    <mergeCell ref="C77:D77"/>
    <mergeCell ref="Y77:Z77"/>
    <mergeCell ref="C78:D78"/>
    <mergeCell ref="Y78:Z78"/>
    <mergeCell ref="A64:A70"/>
    <mergeCell ref="C64:D64"/>
    <mergeCell ref="R64:R70"/>
    <mergeCell ref="Y64:Z64"/>
    <mergeCell ref="Y69:Z69"/>
    <mergeCell ref="AC64:AC70"/>
    <mergeCell ref="C65:D65"/>
    <mergeCell ref="Y65:Z65"/>
    <mergeCell ref="C66:D66"/>
    <mergeCell ref="Y66:Z66"/>
    <mergeCell ref="C67:D67"/>
    <mergeCell ref="Y67:Z67"/>
    <mergeCell ref="C68:D68"/>
    <mergeCell ref="Y68:Z68"/>
    <mergeCell ref="C69:D69"/>
    <mergeCell ref="C70:D70"/>
    <mergeCell ref="Y70:Z70"/>
    <mergeCell ref="AC56:AC63"/>
    <mergeCell ref="C57:D57"/>
    <mergeCell ref="Y57:Z57"/>
    <mergeCell ref="C58:D58"/>
    <mergeCell ref="C61:D61"/>
    <mergeCell ref="AC49:AC55"/>
    <mergeCell ref="C50:D50"/>
    <mergeCell ref="Y50:Z50"/>
    <mergeCell ref="C51:D51"/>
    <mergeCell ref="Y51:Z51"/>
    <mergeCell ref="C52:D52"/>
    <mergeCell ref="Y52:Z52"/>
    <mergeCell ref="C53:D53"/>
    <mergeCell ref="Y53:Z53"/>
    <mergeCell ref="C54:D54"/>
    <mergeCell ref="Y61:Z61"/>
    <mergeCell ref="C62:D62"/>
    <mergeCell ref="Y62:Z62"/>
    <mergeCell ref="C63:D63"/>
    <mergeCell ref="Y63:Z63"/>
    <mergeCell ref="A49:A55"/>
    <mergeCell ref="C49:D49"/>
    <mergeCell ref="R49:R55"/>
    <mergeCell ref="Y49:Z49"/>
    <mergeCell ref="Y54:Z54"/>
    <mergeCell ref="C55:D55"/>
    <mergeCell ref="Y55:Z55"/>
    <mergeCell ref="A56:A63"/>
    <mergeCell ref="C56:D56"/>
    <mergeCell ref="R56:R63"/>
    <mergeCell ref="Y56:Z56"/>
    <mergeCell ref="C44:D44"/>
    <mergeCell ref="Y44:Z44"/>
    <mergeCell ref="C45:D45"/>
    <mergeCell ref="Y45:Z45"/>
    <mergeCell ref="C46:D46"/>
    <mergeCell ref="Y46:Z46"/>
    <mergeCell ref="A40:A48"/>
    <mergeCell ref="C40:D40"/>
    <mergeCell ref="R40:R48"/>
    <mergeCell ref="Y40:Z40"/>
    <mergeCell ref="C47:D47"/>
    <mergeCell ref="Y47:Z47"/>
    <mergeCell ref="C48:D48"/>
    <mergeCell ref="Y48:Z48"/>
    <mergeCell ref="AC40:AC48"/>
    <mergeCell ref="C41:D41"/>
    <mergeCell ref="Y41:Z41"/>
    <mergeCell ref="C42:D42"/>
    <mergeCell ref="Y42:Z42"/>
    <mergeCell ref="C43:D43"/>
    <mergeCell ref="Y36:Z36"/>
    <mergeCell ref="C37:D37"/>
    <mergeCell ref="Y37:Z37"/>
    <mergeCell ref="C38:D38"/>
    <mergeCell ref="Y38:Z38"/>
    <mergeCell ref="C39:D39"/>
    <mergeCell ref="Y39:Z39"/>
    <mergeCell ref="AC30:AC39"/>
    <mergeCell ref="C31:D31"/>
    <mergeCell ref="Y31:Z31"/>
    <mergeCell ref="C32:D32"/>
    <mergeCell ref="Y32:Z32"/>
    <mergeCell ref="C33:D33"/>
    <mergeCell ref="Y33:Z33"/>
    <mergeCell ref="C34:D34"/>
    <mergeCell ref="Y34:Z34"/>
    <mergeCell ref="C35:D35"/>
    <mergeCell ref="Y43:Z43"/>
    <mergeCell ref="A21:A29"/>
    <mergeCell ref="C21:D21"/>
    <mergeCell ref="R21:R29"/>
    <mergeCell ref="Y21:Z21"/>
    <mergeCell ref="C28:D28"/>
    <mergeCell ref="Y28:Z28"/>
    <mergeCell ref="C29:D29"/>
    <mergeCell ref="Y29:Z29"/>
    <mergeCell ref="A30:A39"/>
    <mergeCell ref="C30:D30"/>
    <mergeCell ref="R30:R39"/>
    <mergeCell ref="Y30:Z30"/>
    <mergeCell ref="Y35:Z35"/>
    <mergeCell ref="C36:D36"/>
    <mergeCell ref="C12:D12"/>
    <mergeCell ref="Y12:Z12"/>
    <mergeCell ref="AC21:AC29"/>
    <mergeCell ref="C22:D22"/>
    <mergeCell ref="Y22:Z22"/>
    <mergeCell ref="C23:D23"/>
    <mergeCell ref="Y23:Z23"/>
    <mergeCell ref="C24:D24"/>
    <mergeCell ref="C17:D17"/>
    <mergeCell ref="Y17:Z17"/>
    <mergeCell ref="C18:D18"/>
    <mergeCell ref="Y18:Z18"/>
    <mergeCell ref="Y19:Z19"/>
    <mergeCell ref="C20:D20"/>
    <mergeCell ref="Y20:Z20"/>
    <mergeCell ref="Y24:Z24"/>
    <mergeCell ref="C25:D25"/>
    <mergeCell ref="Y25:Z25"/>
    <mergeCell ref="C26:D26"/>
    <mergeCell ref="Y26:Z26"/>
    <mergeCell ref="C27:D27"/>
    <mergeCell ref="Y27:Z27"/>
    <mergeCell ref="H3:H4"/>
    <mergeCell ref="I3:I4"/>
    <mergeCell ref="A13:A20"/>
    <mergeCell ref="C13:D13"/>
    <mergeCell ref="R13:R20"/>
    <mergeCell ref="Y13:Z13"/>
    <mergeCell ref="AC13:AC20"/>
    <mergeCell ref="C8:D8"/>
    <mergeCell ref="Y8:Z8"/>
    <mergeCell ref="C9:D9"/>
    <mergeCell ref="Y9:Z9"/>
    <mergeCell ref="A10:A12"/>
    <mergeCell ref="C10:D10"/>
    <mergeCell ref="R10:R12"/>
    <mergeCell ref="Y10:Z10"/>
    <mergeCell ref="C14:D14"/>
    <mergeCell ref="Y14:Z14"/>
    <mergeCell ref="C15:D15"/>
    <mergeCell ref="Y15:Z15"/>
    <mergeCell ref="C16:D16"/>
    <mergeCell ref="Y16:Z16"/>
    <mergeCell ref="AC10:AC12"/>
    <mergeCell ref="C11:D11"/>
    <mergeCell ref="Y11:Z11"/>
    <mergeCell ref="A3:A4"/>
    <mergeCell ref="B3:B4"/>
    <mergeCell ref="C3:D4"/>
    <mergeCell ref="E3:E4"/>
    <mergeCell ref="F3:F4"/>
    <mergeCell ref="G3:G4"/>
    <mergeCell ref="AC3:AC4"/>
    <mergeCell ref="A5:A9"/>
    <mergeCell ref="C5:D5"/>
    <mergeCell ref="R5:R9"/>
    <mergeCell ref="Y5:Z5"/>
    <mergeCell ref="AC5:AC9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I1:K2"/>
    <mergeCell ref="L1:N2"/>
    <mergeCell ref="O1:R2"/>
    <mergeCell ref="S1:X2"/>
    <mergeCell ref="Y1:Z2"/>
    <mergeCell ref="AA1:AC2"/>
    <mergeCell ref="J3:J4"/>
    <mergeCell ref="K3:K4"/>
    <mergeCell ref="L3:L4"/>
    <mergeCell ref="M3:M4"/>
    <mergeCell ref="P3:P4"/>
    <mergeCell ref="Q3:Q4"/>
    <mergeCell ref="R3:R4"/>
    <mergeCell ref="S3:T3"/>
  </mergeCells>
  <phoneticPr fontId="3" type="noConversion"/>
  <conditionalFormatting sqref="O67:O76 O63:O64 O78 O5:O10 O12:O14 O20:O37 O39:O61">
    <cfRule type="cellIs" dxfId="1466" priority="59" operator="greaterThan">
      <formula>0</formula>
    </cfRule>
  </conditionalFormatting>
  <conditionalFormatting sqref="P5:P8 P67:P69 AA67:AA69 P71:P76 P30:P37 P64 P10 P12:P14 P21:P28 P56:P61 P40:P54 AA5:AA64 AA71:AA78">
    <cfRule type="cellIs" dxfId="1465" priority="63" operator="lessThan">
      <formula>0</formula>
    </cfRule>
  </conditionalFormatting>
  <conditionalFormatting sqref="AB67:AB69 Q67:Q76 Q63:Q64 Q78 Q5:Q10 Q12:Q14 Q20:Q37 Q39:Q61 AB5:AB64 AB71:AB78">
    <cfRule type="cellIs" dxfId="1464" priority="60" operator="greaterThan">
      <formula>1</formula>
    </cfRule>
    <cfRule type="cellIs" dxfId="1463" priority="61" operator="lessThan">
      <formula>0.8</formula>
    </cfRule>
  </conditionalFormatting>
  <conditionalFormatting sqref="AC13:AC14 R13:R14 AC67 R67:R76 R20:R26 AC20:AC26 AC29:AC37 R29:R37 AC63:AC64 R63:R64 R78 AC5:AC10 R5:R10 AC39:AC61 R39:R61">
    <cfRule type="cellIs" dxfId="1462" priority="65" operator="lessThan">
      <formula>0.8</formula>
    </cfRule>
  </conditionalFormatting>
  <conditionalFormatting sqref="AC49">
    <cfRule type="cellIs" dxfId="1461" priority="67" operator="lessThan">
      <formula>0.8</formula>
    </cfRule>
  </conditionalFormatting>
  <conditionalFormatting sqref="AC21:AC26">
    <cfRule type="cellIs" dxfId="1460" priority="64" operator="lessThan">
      <formula>0.8</formula>
    </cfRule>
  </conditionalFormatting>
  <conditionalFormatting sqref="AC30">
    <cfRule type="cellIs" dxfId="1459" priority="66" operator="lessThan">
      <formula>0.8</formula>
    </cfRule>
  </conditionalFormatting>
  <conditionalFormatting sqref="AC40:AC47">
    <cfRule type="cellIs" dxfId="1458" priority="62" operator="lessThan">
      <formula>0.8</formula>
    </cfRule>
  </conditionalFormatting>
  <conditionalFormatting sqref="AA70">
    <cfRule type="cellIs" dxfId="1457" priority="58" operator="lessThan">
      <formula>0</formula>
    </cfRule>
  </conditionalFormatting>
  <conditionalFormatting sqref="AB70">
    <cfRule type="cellIs" dxfId="1456" priority="56" operator="greaterThan">
      <formula>1</formula>
    </cfRule>
    <cfRule type="cellIs" dxfId="1455" priority="57" operator="lessThan">
      <formula>0.8</formula>
    </cfRule>
  </conditionalFormatting>
  <conditionalFormatting sqref="O15:O16">
    <cfRule type="cellIs" dxfId="1454" priority="51" operator="greaterThan">
      <formula>0</formula>
    </cfRule>
  </conditionalFormatting>
  <conditionalFormatting sqref="P15:P16">
    <cfRule type="cellIs" dxfId="1453" priority="54" operator="lessThan">
      <formula>0</formula>
    </cfRule>
  </conditionalFormatting>
  <conditionalFormatting sqref="Q15:Q16">
    <cfRule type="cellIs" dxfId="1452" priority="52" operator="greaterThan">
      <formula>1</formula>
    </cfRule>
    <cfRule type="cellIs" dxfId="1451" priority="53" operator="lessThan">
      <formula>0.8</formula>
    </cfRule>
  </conditionalFormatting>
  <conditionalFormatting sqref="R15:R16 AC15:AC16">
    <cfRule type="cellIs" dxfId="1450" priority="55" operator="lessThan">
      <formula>0.8</formula>
    </cfRule>
  </conditionalFormatting>
  <conditionalFormatting sqref="O11">
    <cfRule type="cellIs" dxfId="1449" priority="47" operator="greaterThan">
      <formula>0</formula>
    </cfRule>
  </conditionalFormatting>
  <conditionalFormatting sqref="P11">
    <cfRule type="cellIs" dxfId="1448" priority="50" operator="lessThan">
      <formula>0</formula>
    </cfRule>
  </conditionalFormatting>
  <conditionalFormatting sqref="Q11">
    <cfRule type="cellIs" dxfId="1447" priority="48" operator="greaterThan">
      <formula>1</formula>
    </cfRule>
    <cfRule type="cellIs" dxfId="1446" priority="49" operator="lessThan">
      <formula>0.8</formula>
    </cfRule>
  </conditionalFormatting>
  <conditionalFormatting sqref="O62">
    <cfRule type="cellIs" dxfId="1445" priority="42" operator="greaterThan">
      <formula>0</formula>
    </cfRule>
  </conditionalFormatting>
  <conditionalFormatting sqref="P62">
    <cfRule type="cellIs" dxfId="1444" priority="45" operator="lessThan">
      <formula>0</formula>
    </cfRule>
  </conditionalFormatting>
  <conditionalFormatting sqref="Q62">
    <cfRule type="cellIs" dxfId="1443" priority="43" operator="greaterThan">
      <formula>1</formula>
    </cfRule>
    <cfRule type="cellIs" dxfId="1442" priority="44" operator="lessThan">
      <formula>0.8</formula>
    </cfRule>
  </conditionalFormatting>
  <conditionalFormatting sqref="R62 AC62">
    <cfRule type="cellIs" dxfId="1441" priority="46" operator="lessThan">
      <formula>0.8</formula>
    </cfRule>
  </conditionalFormatting>
  <conditionalFormatting sqref="AC28 R28">
    <cfRule type="cellIs" dxfId="1440" priority="41" operator="lessThan">
      <formula>0.8</formula>
    </cfRule>
  </conditionalFormatting>
  <conditionalFormatting sqref="O66">
    <cfRule type="cellIs" dxfId="1439" priority="36" operator="greaterThan">
      <formula>0</formula>
    </cfRule>
  </conditionalFormatting>
  <conditionalFormatting sqref="P66 AA66">
    <cfRule type="cellIs" dxfId="1438" priority="39" operator="lessThan">
      <formula>0</formula>
    </cfRule>
  </conditionalFormatting>
  <conditionalFormatting sqref="Q66 AB66">
    <cfRule type="cellIs" dxfId="1437" priority="37" operator="greaterThan">
      <formula>1</formula>
    </cfRule>
    <cfRule type="cellIs" dxfId="1436" priority="38" operator="lessThan">
      <formula>0.8</formula>
    </cfRule>
  </conditionalFormatting>
  <conditionalFormatting sqref="R66 AC66">
    <cfRule type="cellIs" dxfId="1435" priority="40" operator="lessThan">
      <formula>0.8</formula>
    </cfRule>
  </conditionalFormatting>
  <conditionalFormatting sqref="O38">
    <cfRule type="cellIs" dxfId="1434" priority="31" operator="greaterThan">
      <formula>0</formula>
    </cfRule>
  </conditionalFormatting>
  <conditionalFormatting sqref="P38">
    <cfRule type="cellIs" dxfId="1433" priority="34" operator="lessThan">
      <formula>0</formula>
    </cfRule>
  </conditionalFormatting>
  <conditionalFormatting sqref="Q38">
    <cfRule type="cellIs" dxfId="1432" priority="32" operator="greaterThan">
      <formula>1</formula>
    </cfRule>
    <cfRule type="cellIs" dxfId="1431" priority="33" operator="lessThan">
      <formula>0.8</formula>
    </cfRule>
  </conditionalFormatting>
  <conditionalFormatting sqref="R38 AC38">
    <cfRule type="cellIs" dxfId="1430" priority="35" operator="lessThan">
      <formula>0.8</formula>
    </cfRule>
  </conditionalFormatting>
  <conditionalFormatting sqref="O77">
    <cfRule type="cellIs" dxfId="1429" priority="26" operator="greaterThan">
      <formula>0</formula>
    </cfRule>
  </conditionalFormatting>
  <conditionalFormatting sqref="P77">
    <cfRule type="cellIs" dxfId="1428" priority="29" operator="lessThan">
      <formula>0</formula>
    </cfRule>
  </conditionalFormatting>
  <conditionalFormatting sqref="Q77">
    <cfRule type="cellIs" dxfId="1427" priority="27" operator="greaterThan">
      <formula>1</formula>
    </cfRule>
    <cfRule type="cellIs" dxfId="1426" priority="28" operator="lessThan">
      <formula>0.8</formula>
    </cfRule>
  </conditionalFormatting>
  <conditionalFormatting sqref="R77">
    <cfRule type="cellIs" dxfId="1425" priority="30" operator="lessThan">
      <formula>0.8</formula>
    </cfRule>
  </conditionalFormatting>
  <conditionalFormatting sqref="O17:O18">
    <cfRule type="cellIs" dxfId="1424" priority="21" operator="greaterThan">
      <formula>0</formula>
    </cfRule>
  </conditionalFormatting>
  <conditionalFormatting sqref="P17:P18">
    <cfRule type="cellIs" dxfId="1423" priority="24" operator="lessThan">
      <formula>0</formula>
    </cfRule>
  </conditionalFormatting>
  <conditionalFormatting sqref="Q17:Q18">
    <cfRule type="cellIs" dxfId="1422" priority="22" operator="greaterThan">
      <formula>1</formula>
    </cfRule>
    <cfRule type="cellIs" dxfId="1421" priority="23" operator="lessThan">
      <formula>0.8</formula>
    </cfRule>
  </conditionalFormatting>
  <conditionalFormatting sqref="R17:R18 AC17:AC18">
    <cfRule type="cellIs" dxfId="1420" priority="25" operator="lessThan">
      <formula>0.8</formula>
    </cfRule>
  </conditionalFormatting>
  <conditionalFormatting sqref="R27 AC27">
    <cfRule type="cellIs" dxfId="1419" priority="20" operator="lessThan">
      <formula>0.8</formula>
    </cfRule>
  </conditionalFormatting>
  <conditionalFormatting sqref="AC27">
    <cfRule type="cellIs" dxfId="1418" priority="19" operator="lessThan">
      <formula>0.8</formula>
    </cfRule>
  </conditionalFormatting>
  <conditionalFormatting sqref="O65">
    <cfRule type="cellIs" dxfId="1417" priority="14" operator="greaterThan">
      <formula>0</formula>
    </cfRule>
  </conditionalFormatting>
  <conditionalFormatting sqref="P65 AA65">
    <cfRule type="cellIs" dxfId="1416" priority="17" operator="lessThan">
      <formula>0</formula>
    </cfRule>
  </conditionalFormatting>
  <conditionalFormatting sqref="Q65 AB65">
    <cfRule type="cellIs" dxfId="1415" priority="15" operator="greaterThan">
      <formula>1</formula>
    </cfRule>
    <cfRule type="cellIs" dxfId="1414" priority="16" operator="lessThan">
      <formula>0.8</formula>
    </cfRule>
  </conditionalFormatting>
  <conditionalFormatting sqref="R65 AC65">
    <cfRule type="cellIs" dxfId="1413" priority="18" operator="lessThan">
      <formula>0.8</formula>
    </cfRule>
  </conditionalFormatting>
  <conditionalFormatting sqref="O19">
    <cfRule type="cellIs" dxfId="1412" priority="9" operator="greaterThan">
      <formula>0</formula>
    </cfRule>
  </conditionalFormatting>
  <conditionalFormatting sqref="P19">
    <cfRule type="cellIs" dxfId="1411" priority="12" operator="lessThan">
      <formula>0</formula>
    </cfRule>
  </conditionalFormatting>
  <conditionalFormatting sqref="Q19">
    <cfRule type="cellIs" dxfId="1410" priority="10" operator="greaterThan">
      <formula>1</formula>
    </cfRule>
    <cfRule type="cellIs" dxfId="1409" priority="11" operator="lessThan">
      <formula>0.8</formula>
    </cfRule>
  </conditionalFormatting>
  <conditionalFormatting sqref="AC19 R19">
    <cfRule type="cellIs" dxfId="1408" priority="13" operator="lessThan">
      <formula>0.8</formula>
    </cfRule>
  </conditionalFormatting>
  <conditionalFormatting sqref="P9">
    <cfRule type="cellIs" dxfId="1407" priority="8" operator="lessThan">
      <formula>0</formula>
    </cfRule>
  </conditionalFormatting>
  <conditionalFormatting sqref="P20">
    <cfRule type="cellIs" dxfId="1406" priority="7" operator="lessThan">
      <formula>0</formula>
    </cfRule>
  </conditionalFormatting>
  <conditionalFormatting sqref="P29">
    <cfRule type="cellIs" dxfId="1405" priority="6" operator="lessThan">
      <formula>0</formula>
    </cfRule>
  </conditionalFormatting>
  <conditionalFormatting sqref="P39">
    <cfRule type="cellIs" dxfId="1404" priority="5" operator="lessThan">
      <formula>0</formula>
    </cfRule>
  </conditionalFormatting>
  <conditionalFormatting sqref="P55">
    <cfRule type="cellIs" dxfId="1403" priority="4" operator="lessThan">
      <formula>0</formula>
    </cfRule>
  </conditionalFormatting>
  <conditionalFormatting sqref="P63">
    <cfRule type="cellIs" dxfId="1402" priority="3" operator="lessThan">
      <formula>0</formula>
    </cfRule>
  </conditionalFormatting>
  <conditionalFormatting sqref="P70">
    <cfRule type="cellIs" dxfId="1401" priority="2" operator="lessThan">
      <formula>0</formula>
    </cfRule>
  </conditionalFormatting>
  <conditionalFormatting sqref="P78">
    <cfRule type="cellIs" dxfId="1400" priority="1" operator="lessThan">
      <formula>0</formula>
    </cfRule>
  </conditionalFormatting>
  <dataValidations count="1">
    <dataValidation type="list" allowBlank="1" showInputMessage="1" showErrorMessage="1" sqref="Z9 Z68:Z69 Y5:Z8 Y9:Y69 Z11:Z64 Y70:Z78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="85" zoomScaleNormal="85" workbookViewId="0">
      <selection activeCell="B25" sqref="B25"/>
    </sheetView>
  </sheetViews>
  <sheetFormatPr defaultColWidth="8.75" defaultRowHeight="15.75"/>
  <cols>
    <col min="1" max="1" width="8.75" style="2"/>
    <col min="2" max="2" width="17.875" style="2" customWidth="1"/>
    <col min="3" max="3" width="9.25" style="9" customWidth="1"/>
    <col min="4" max="13" width="12.625" style="2" customWidth="1"/>
    <col min="14" max="14" width="11" style="2" bestFit="1" customWidth="1"/>
    <col min="15" max="15" width="17.75" style="2" bestFit="1" customWidth="1"/>
    <col min="16" max="16" width="12.25" style="2" bestFit="1" customWidth="1"/>
    <col min="17" max="22" width="9.25" style="2" customWidth="1"/>
    <col min="23" max="23" width="10.75" style="2" customWidth="1"/>
    <col min="24" max="24" width="11" style="2" customWidth="1"/>
    <col min="25" max="16384" width="8.75" style="2"/>
  </cols>
  <sheetData>
    <row r="1" spans="2:17" ht="27.75" customHeight="1">
      <c r="B1" s="546" t="s">
        <v>1458</v>
      </c>
      <c r="C1" s="546"/>
      <c r="D1" s="546"/>
      <c r="E1" s="546"/>
      <c r="F1" s="546"/>
      <c r="G1" s="546"/>
      <c r="H1" s="546"/>
      <c r="I1" s="546"/>
      <c r="J1" s="546"/>
      <c r="K1" s="1"/>
      <c r="L1" s="1"/>
      <c r="M1" s="1"/>
      <c r="N1" s="1"/>
      <c r="O1" s="1"/>
      <c r="P1" s="1"/>
    </row>
    <row r="2" spans="2:17" ht="27.75" customHeight="1">
      <c r="B2" s="547"/>
      <c r="C2" s="547"/>
      <c r="D2" s="547"/>
      <c r="E2" s="547"/>
      <c r="F2" s="547"/>
      <c r="G2" s="547"/>
      <c r="H2" s="547"/>
      <c r="I2" s="547"/>
      <c r="J2" s="547"/>
      <c r="K2" s="3"/>
      <c r="L2" s="3"/>
      <c r="M2" s="3"/>
      <c r="N2" s="1"/>
      <c r="O2" s="1"/>
      <c r="P2" s="1"/>
    </row>
    <row r="3" spans="2:17" ht="46.5" customHeight="1">
      <c r="B3" s="4" t="s">
        <v>1459</v>
      </c>
      <c r="C3" s="548" t="str">
        <f>TEXT('1221 4度C'!A2,"yyyy.mm.ddaaaa")</f>
        <v>2025.12.21星期日</v>
      </c>
      <c r="D3" s="549"/>
      <c r="E3" s="4" t="s">
        <v>1460</v>
      </c>
      <c r="F3" s="550">
        <f>'1221 4度C'!D1</f>
        <v>193361</v>
      </c>
      <c r="G3" s="551"/>
      <c r="H3" s="4" t="s">
        <v>1461</v>
      </c>
      <c r="I3" s="552">
        <f>'1221 4度C'!F1</f>
        <v>6440197.4700000025</v>
      </c>
      <c r="J3" s="553"/>
      <c r="K3" s="5"/>
      <c r="L3" s="6"/>
      <c r="M3" s="7"/>
      <c r="N3" s="7"/>
    </row>
    <row r="4" spans="2:17" ht="28.5" customHeight="1">
      <c r="B4" s="554" t="s">
        <v>1462</v>
      </c>
      <c r="C4" s="536" t="s">
        <v>107</v>
      </c>
      <c r="D4" s="537"/>
      <c r="E4" s="557" t="s">
        <v>1463</v>
      </c>
      <c r="F4" s="558"/>
      <c r="G4" s="557" t="s">
        <v>1464</v>
      </c>
      <c r="H4" s="558"/>
      <c r="I4" s="557" t="s">
        <v>1465</v>
      </c>
      <c r="J4" s="558"/>
      <c r="L4" s="7"/>
      <c r="M4" s="7"/>
      <c r="N4" s="7"/>
    </row>
    <row r="5" spans="2:17" ht="28.5" customHeight="1">
      <c r="B5" s="555"/>
      <c r="C5" s="536" t="s">
        <v>1466</v>
      </c>
      <c r="D5" s="537"/>
      <c r="E5" s="536" t="s">
        <v>1467</v>
      </c>
      <c r="F5" s="537"/>
      <c r="G5" s="538" t="s">
        <v>1468</v>
      </c>
      <c r="H5" s="539"/>
      <c r="I5" s="540" t="s">
        <v>1469</v>
      </c>
      <c r="J5" s="541"/>
      <c r="K5" s="7"/>
      <c r="L5" s="7"/>
      <c r="M5" s="7"/>
      <c r="N5" s="7"/>
    </row>
    <row r="6" spans="2:17" ht="28.5" customHeight="1">
      <c r="B6" s="555"/>
      <c r="C6" s="536" t="s">
        <v>46</v>
      </c>
      <c r="D6" s="537"/>
      <c r="E6" s="542">
        <f>AVERAGE(D13:M13)</f>
        <v>149.44005531753027</v>
      </c>
      <c r="F6" s="543">
        <f>AVERAGE(D27:O27,D13:J13)</f>
        <v>153.43386583942734</v>
      </c>
      <c r="G6" s="544">
        <f>AVERAGE(D13:J13)</f>
        <v>153.43386583942734</v>
      </c>
      <c r="H6" s="545"/>
      <c r="I6" s="544">
        <f>AVERAGE(K13:M13)</f>
        <v>140.12116409977054</v>
      </c>
      <c r="J6" s="545"/>
      <c r="K6" s="7"/>
      <c r="L6" s="7"/>
      <c r="M6" s="7"/>
      <c r="N6" s="7"/>
    </row>
    <row r="7" spans="2:17" ht="28.5" customHeight="1">
      <c r="B7" s="555"/>
      <c r="C7" s="526" t="s">
        <v>47</v>
      </c>
      <c r="D7" s="527"/>
      <c r="E7" s="528">
        <f>AVERAGE(D14:M14)</f>
        <v>141.91764701788466</v>
      </c>
      <c r="F7" s="529">
        <f>AVERAGE(D28:O28,D14:J14)</f>
        <v>145.33856135543448</v>
      </c>
      <c r="G7" s="530">
        <f>AVERAGE(D14:J14)</f>
        <v>145.33856135543448</v>
      </c>
      <c r="H7" s="531"/>
      <c r="I7" s="530">
        <f>AVERAGE(K14:M14)</f>
        <v>133.9355135636018</v>
      </c>
      <c r="J7" s="531"/>
      <c r="K7" s="7"/>
      <c r="L7" s="7"/>
      <c r="M7" s="7"/>
      <c r="N7" s="7"/>
    </row>
    <row r="8" spans="2:17" ht="28.5" customHeight="1">
      <c r="B8" s="556"/>
      <c r="C8" s="526" t="s">
        <v>48</v>
      </c>
      <c r="D8" s="527"/>
      <c r="E8" s="532">
        <f>AVERAGE(D15:M15)</f>
        <v>0.94681210986261277</v>
      </c>
      <c r="F8" s="533">
        <f>AVERAGE(D15:J15,D29:O29)</f>
        <v>0.94293424012720384</v>
      </c>
      <c r="G8" s="534">
        <f>AVERAGE(D15:J15)</f>
        <v>0.94293424012720384</v>
      </c>
      <c r="H8" s="535"/>
      <c r="I8" s="534">
        <f>AVERAGE(K15:M15)</f>
        <v>0.95586047257856654</v>
      </c>
      <c r="J8" s="535"/>
      <c r="K8" s="8" t="s">
        <v>1470</v>
      </c>
      <c r="L8" s="7"/>
      <c r="M8" s="7"/>
      <c r="N8" s="7"/>
    </row>
    <row r="9" spans="2:17" ht="28.5" customHeight="1" thickBot="1">
      <c r="H9" s="10"/>
      <c r="N9" s="7"/>
      <c r="O9" s="7"/>
      <c r="P9" s="7"/>
      <c r="Q9" s="7"/>
    </row>
    <row r="10" spans="2:17" ht="30" customHeight="1">
      <c r="B10" s="509" t="s">
        <v>1471</v>
      </c>
      <c r="C10" s="510"/>
      <c r="D10" s="511" t="s">
        <v>1472</v>
      </c>
      <c r="E10" s="512"/>
      <c r="F10" s="512"/>
      <c r="G10" s="512"/>
      <c r="H10" s="512"/>
      <c r="I10" s="512"/>
      <c r="J10" s="513"/>
      <c r="K10" s="514" t="s">
        <v>1473</v>
      </c>
      <c r="L10" s="515"/>
      <c r="M10" s="516"/>
      <c r="P10" s="11"/>
      <c r="Q10" s="11"/>
    </row>
    <row r="11" spans="2:17" ht="17.25" customHeight="1">
      <c r="B11" s="517" t="s">
        <v>1474</v>
      </c>
      <c r="C11" s="518"/>
      <c r="D11" s="12">
        <v>1</v>
      </c>
      <c r="E11" s="13">
        <v>2</v>
      </c>
      <c r="F11" s="13">
        <v>3</v>
      </c>
      <c r="G11" s="13">
        <v>4</v>
      </c>
      <c r="H11" s="13">
        <v>5</v>
      </c>
      <c r="I11" s="13">
        <v>6</v>
      </c>
      <c r="J11" s="14">
        <v>7</v>
      </c>
      <c r="K11" s="12">
        <v>1</v>
      </c>
      <c r="L11" s="13">
        <v>2</v>
      </c>
      <c r="M11" s="14">
        <v>3</v>
      </c>
      <c r="P11" s="11"/>
      <c r="Q11" s="11"/>
    </row>
    <row r="12" spans="2:17" ht="34.15" customHeight="1">
      <c r="B12" s="519"/>
      <c r="C12" s="520"/>
      <c r="D12" s="15" t="s">
        <v>49</v>
      </c>
      <c r="E12" s="16" t="s">
        <v>50</v>
      </c>
      <c r="F12" s="16" t="s">
        <v>51</v>
      </c>
      <c r="G12" s="16" t="s">
        <v>52</v>
      </c>
      <c r="H12" s="16" t="s">
        <v>53</v>
      </c>
      <c r="I12" s="16" t="s">
        <v>54</v>
      </c>
      <c r="J12" s="17" t="s">
        <v>55</v>
      </c>
      <c r="K12" s="15" t="s">
        <v>56</v>
      </c>
      <c r="L12" s="16" t="s">
        <v>57</v>
      </c>
      <c r="M12" s="17" t="s">
        <v>58</v>
      </c>
    </row>
    <row r="13" spans="2:17" ht="40.15" customHeight="1">
      <c r="B13" s="521" t="s">
        <v>1475</v>
      </c>
      <c r="C13" s="18" t="s">
        <v>1476</v>
      </c>
      <c r="D13" s="19">
        <f>SUMIFS('1221 4度C'!$K:$K,'1221 4度C'!$A:$A,"新豐6線",'1221 4度C'!$B:$B,"平均")</f>
        <v>133.33333333333334</v>
      </c>
      <c r="E13" s="20">
        <f>SUMIFS('1221 4度C'!$K:$K,'1221 4度C'!$A:$A,"新豐2線",'1221 4度C'!$B:$B,"平均")</f>
        <v>83.333333333333329</v>
      </c>
      <c r="F13" s="21">
        <f>SUMIFS('1221 4度C'!$K:$K,'1221 4度C'!$A:$A,"新豐5線",'1221 4度C'!$B:$B,"平均")</f>
        <v>97.560975609756085</v>
      </c>
      <c r="G13" s="21">
        <f>SUMIFS('1221 4度C'!$K:$K,'1221 4度C'!$A:$A,"新豐7線",'1221 4度C'!$B:$B,"平均")</f>
        <v>118.32061068702291</v>
      </c>
      <c r="H13" s="21">
        <f>SUMIFS('1221 4度C'!$K:$K,'1221 4度C'!$A:$A,"新豐3線",'1221 4度C'!$B:$B,"平均")</f>
        <v>235.29411764705881</v>
      </c>
      <c r="I13" s="21">
        <f>SUMIFS('1221 4度C'!$K:$K,'1221 4度C'!$A:$A,"新豐1線",'1221 4度C'!$B:$B,"平均")</f>
        <v>106.19469026548673</v>
      </c>
      <c r="J13" s="22">
        <f>SUMIFS('1221 4度C'!$K:$K,'1221 4度C'!$A:$A,"新豐10線",'1221 4度C'!$B:$B,"平均")</f>
        <v>300</v>
      </c>
      <c r="K13" s="23">
        <f>SUMIFS('1221 4度C'!$K:$K,'1221 4度C'!$A:$A,"新豐8線",'1221 4度C'!$B:$B,"平均")</f>
        <v>135.84905660377356</v>
      </c>
      <c r="L13" s="24">
        <f>SUMIFS('1221 4度C'!$K:$K,'1221 4度C'!$A:$A,"新豐9線",'1221 4度C'!$B:$B,"平均")</f>
        <v>133.33333333333334</v>
      </c>
      <c r="M13" s="22">
        <f>SUMIFS('1221 4度C'!$K:$K,'1221 4度C'!$A:$A,"新豐4線",'1221 4度C'!$B:$B,"平均")</f>
        <v>151.18110236220471</v>
      </c>
    </row>
    <row r="14" spans="2:17" ht="39.6" customHeight="1">
      <c r="B14" s="522"/>
      <c r="C14" s="25" t="s">
        <v>1477</v>
      </c>
      <c r="D14" s="26">
        <f>SUMIFS('1221 4度C'!$N:$N,'1221 4度C'!$A:$A,"新豐6線",'1221 4度C'!$B:$B,"平均")</f>
        <v>127.07188309195315</v>
      </c>
      <c r="E14" s="27">
        <f>SUMIFS('1221 4度C'!$N:$N,'1221 4度C'!$A:$A,"新豐2線",'1221 4度C'!$B:$B,"平均")</f>
        <v>79.442672438343692</v>
      </c>
      <c r="F14" s="27">
        <f>SUMIFS('1221 4度C'!$N:$N,'1221 4度C'!$A:$A,"新豐5線",'1221 4度C'!$B:$B,"平均")</f>
        <v>93.524734100749782</v>
      </c>
      <c r="G14" s="27">
        <f>SUMIFS('1221 4度C'!$N:$N,'1221 4度C'!$A:$A,"新豐7線",'1221 4度C'!$B:$B,"平均")</f>
        <v>113.43475068839861</v>
      </c>
      <c r="H14" s="27">
        <f>SUMIFS('1221 4度C'!$N:$N,'1221 4度C'!$A:$A,"新豐3線",'1221 4度C'!$B:$B,"平均")</f>
        <v>224.66098843384847</v>
      </c>
      <c r="I14" s="27">
        <f>SUMIFS('1221 4度C'!$N:$N,'1221 4度C'!$A:$A,"新豐1線",'1221 4度C'!$B:$B,"平均")</f>
        <v>91.714162962632699</v>
      </c>
      <c r="J14" s="28">
        <f>SUMIFS('1221 4度C'!$N:$N,'1221 4度C'!$A:$A,"新豐10線",'1221 4度C'!$B:$B,"平均")</f>
        <v>287.5207377721149</v>
      </c>
      <c r="K14" s="29">
        <f>SUMIFS('1221 4度C'!$N:$N,'1221 4度C'!$A:$A,"新豐8線",'1221 4度C'!$B:$B,"平均")</f>
        <v>129.7199732508775</v>
      </c>
      <c r="L14" s="30">
        <f>SUMIFS('1221 4度C'!$N:$N,'1221 4度C'!$A:$A,"新豐9線",'1221 4度C'!$B:$B,"平均")</f>
        <v>127.57723154101407</v>
      </c>
      <c r="M14" s="28">
        <f>SUMIFS('1221 4度C'!$N:$N,'1221 4度C'!$A:$A,"新豐4線",'1221 4度C'!$B:$B,"平均")</f>
        <v>144.50933589891383</v>
      </c>
    </row>
    <row r="15" spans="2:17" ht="40.15" customHeight="1">
      <c r="B15" s="523"/>
      <c r="C15" s="31" t="s">
        <v>1478</v>
      </c>
      <c r="D15" s="32">
        <f t="shared" ref="D15:M15" si="0">D14/D13</f>
        <v>0.95303912318964856</v>
      </c>
      <c r="E15" s="33">
        <f t="shared" si="0"/>
        <v>0.95331206926012435</v>
      </c>
      <c r="F15" s="33">
        <f t="shared" si="0"/>
        <v>0.95862852453268543</v>
      </c>
      <c r="G15" s="33">
        <f t="shared" si="0"/>
        <v>0.95870660259227203</v>
      </c>
      <c r="H15" s="33">
        <f t="shared" si="0"/>
        <v>0.95480920084385601</v>
      </c>
      <c r="I15" s="33">
        <f t="shared" si="0"/>
        <v>0.86364170123145789</v>
      </c>
      <c r="J15" s="34">
        <f t="shared" si="0"/>
        <v>0.95840245924038303</v>
      </c>
      <c r="K15" s="32">
        <f t="shared" si="0"/>
        <v>0.95488313643007061</v>
      </c>
      <c r="L15" s="33">
        <f t="shared" si="0"/>
        <v>0.95682923655760543</v>
      </c>
      <c r="M15" s="34">
        <f t="shared" si="0"/>
        <v>0.95586904474802392</v>
      </c>
    </row>
    <row r="16" spans="2:17" ht="17.25" customHeight="1">
      <c r="B16" s="524" t="s">
        <v>1479</v>
      </c>
      <c r="C16" s="35" t="s">
        <v>1480</v>
      </c>
      <c r="D16" s="49">
        <f>VLOOKUP("新豐6線",'1221 4度C'!$A:$T,19,0)</f>
        <v>0.70833333333333337</v>
      </c>
      <c r="E16" s="50">
        <f>VLOOKUP("新豐2線",'1221 4度C'!$A:$T,19,0)</f>
        <v>0.16666666666666666</v>
      </c>
      <c r="F16" s="50">
        <f>VLOOKUP("新豐5線",'1221 4度C'!$A:$T,19,0)</f>
        <v>0.20833333333333334</v>
      </c>
      <c r="G16" s="50">
        <f>VLOOKUP("新豐7線",'1221 4度C'!$A:$T,19,0)</f>
        <v>0.20833333333333334</v>
      </c>
      <c r="H16" s="50">
        <f>VLOOKUP("新豐3線",'1221 4度C'!$A:$T,19,0)</f>
        <v>8.3333333333333329E-2</v>
      </c>
      <c r="I16" s="50">
        <f>VLOOKUP("新豐1線",'1221 4度C'!$A:$T,19,0)</f>
        <v>0.20833333333333334</v>
      </c>
      <c r="J16" s="51">
        <f>VLOOKUP("新豐10線",'1221 4度C'!$A:$T,19,0)</f>
        <v>0.20833333333333334</v>
      </c>
      <c r="K16" s="36">
        <f>VLOOKUP("新豐8線",'1221 4度C'!$A:$T,19,0)</f>
        <v>8.3333333333333329E-2</v>
      </c>
      <c r="L16" s="37">
        <f>VLOOKUP("新豐9線",'1221 4度C'!$A:$T,19,0)</f>
        <v>8.3333333333333329E-2</v>
      </c>
      <c r="M16" s="38">
        <f>VLOOKUP("新豐4線",'1221 4度C'!$A:$T,19,0)</f>
        <v>8.3333333333333329E-2</v>
      </c>
    </row>
    <row r="17" spans="2:13" ht="17.25" customHeight="1">
      <c r="B17" s="525"/>
      <c r="C17" s="35" t="s">
        <v>1481</v>
      </c>
      <c r="D17" s="36">
        <f>LOOKUP(2,1/(('1221 4度C'!$A:$A="新豐6線")*('1221 4度C'!$T:$T&lt;&gt;"")),'1221 4度C'!$T:$T)</f>
        <v>0.86458333333333337</v>
      </c>
      <c r="E17" s="50">
        <f>LOOKUP(2,1/(('1221 4度C'!$A:$A="新豐2線")*('1221 4度C'!$T:$T&lt;&gt;"")),'1221 4度C'!$T:$T)</f>
        <v>0.5131944444444444</v>
      </c>
      <c r="F17" s="50">
        <f>LOOKUP(2,1/(('1221 4度C'!$A:$A="新豐5線")*('1221 4度C'!$T:$T&lt;&gt;"")),'1221 4度C'!$T:$T)</f>
        <v>0.9604166666666667</v>
      </c>
      <c r="G17" s="50">
        <f>LOOKUP(2,1/(('1221 4度C'!$A:$A="新豐7線")*('1221 4度C'!$T:$T&lt;&gt;"")),'1221 4度C'!$T:$T)</f>
        <v>0.84444444444444433</v>
      </c>
      <c r="H17" s="50">
        <f>LOOKUP(2,1/(('1221 4度C'!$A:$A="新豐3線")*('1221 4度C'!$T:$T&lt;&gt;"")),'1221 4度C'!$T:$T)</f>
        <v>0.54236111111111107</v>
      </c>
      <c r="I17" s="50">
        <f>LOOKUP(2,1/(('1221 4度C'!$A:$A="新豐1線")*('1221 4度C'!$T:$T&lt;&gt;"")),'1221 4度C'!$T:$T)</f>
        <v>0.80138888888888893</v>
      </c>
      <c r="J17" s="51">
        <f>LOOKUP(2,1/(('1221 4度C'!$A:$A="新豐10線")*('1221 4度C'!$T:$T&lt;&gt;"")),'1221 4度C'!$T:$T)</f>
        <v>0.5131944444444444</v>
      </c>
      <c r="K17" s="49">
        <f>LOOKUP(2,1/(('1221 4度C'!$A:$A="新豐8線")*('1221 4度C'!$T:$T&lt;&gt;"")),'1221 4度C'!$T:$T)</f>
        <v>0.77916666666666667</v>
      </c>
      <c r="L17" s="50">
        <f>LOOKUP(2,1/(('1221 4度C'!$A:$A="新豐9線")*('1221 4度C'!$T:$T&lt;&gt;"")),'1221 4度C'!$T:$T)</f>
        <v>0.66805555555555562</v>
      </c>
      <c r="M17" s="51">
        <f>LOOKUP(2,1/(('1221 4度C'!$A:$A="新豐4線")*('1221 4度C'!$T:$T&lt;&gt;"")),'1221 4度C'!$T:$T)</f>
        <v>0.77361111111111103</v>
      </c>
    </row>
    <row r="18" spans="2:13" ht="17.25" customHeight="1">
      <c r="B18" s="503" t="s">
        <v>1482</v>
      </c>
      <c r="C18" s="504"/>
      <c r="D18" s="39">
        <f>SUMIFS('1221 4度C'!$I:$I,'1221 4度C'!$A:$A,"新豐6線",'1221 4度C'!$B:$B,"平均")</f>
        <v>15</v>
      </c>
      <c r="E18" s="40">
        <f>SUMIFS('1221 4度C'!$I:$I,'1221 4度C'!$A:$A,"新豐2線",'1221 4度C'!$B:$B,"平均")</f>
        <v>18</v>
      </c>
      <c r="F18" s="40">
        <f>SUMIFS('1221 4度C'!$I:$I,'1221 4度C'!$A:$A,"新豐5線",'1221 4度C'!$B:$B,"平均")</f>
        <v>17.571428571428573</v>
      </c>
      <c r="G18" s="40">
        <f>SUMIFS('1221 4度C'!$I:$I,'1221 4度C'!$A:$A,"新豐7線",'1221 4度C'!$B:$B,"平均")</f>
        <v>16.375</v>
      </c>
      <c r="H18" s="40">
        <f>SUMIFS('1221 4度C'!$I:$I,'1221 4度C'!$A:$A,"新豐3線",'1221 4度C'!$B:$B,"平均")</f>
        <v>11.333333333333334</v>
      </c>
      <c r="I18" s="40">
        <f>SUMIFS('1221 4度C'!$I:$I,'1221 4度C'!$A:$A,"新豐1線",'1221 4度C'!$B:$B,"平均")</f>
        <v>18.833333333333332</v>
      </c>
      <c r="J18" s="41">
        <f>SUMIFS('1221 4度C'!$I:$I,'1221 4度C'!$A:$A,"新豐10線",'1221 4度C'!$B:$B,"平均")</f>
        <v>9.1666666666666661</v>
      </c>
      <c r="K18" s="39">
        <f>SUMIFS('1221 4度C'!$I:$I,'1221 4度C'!$A:$A,"新豐8線",'1221 4度C'!$B:$B,"平均")</f>
        <v>17.666666666666668</v>
      </c>
      <c r="L18" s="40">
        <f>SUMIFS('1221 4度C'!$I:$I,'1221 4度C'!$A:$A,"新豐9線",'1221 4度C'!$B:$B,"平均")</f>
        <v>18</v>
      </c>
      <c r="M18" s="41">
        <f>SUMIFS('1221 4度C'!$I:$I,'1221 4度C'!$A:$A,"新豐4線",'1221 4度C'!$B:$B,"平均")</f>
        <v>15.875</v>
      </c>
    </row>
    <row r="19" spans="2:13" ht="17.25" customHeight="1">
      <c r="B19" s="503" t="s">
        <v>1483</v>
      </c>
      <c r="C19" s="504"/>
      <c r="D19" s="42" t="s">
        <v>59</v>
      </c>
      <c r="E19" s="43" t="s">
        <v>60</v>
      </c>
      <c r="F19" s="43" t="s">
        <v>1484</v>
      </c>
      <c r="G19" s="43" t="s">
        <v>1484</v>
      </c>
      <c r="H19" s="43" t="s">
        <v>61</v>
      </c>
      <c r="I19" s="43" t="s">
        <v>59</v>
      </c>
      <c r="J19" s="44" t="s">
        <v>61</v>
      </c>
      <c r="K19" s="42" t="s">
        <v>1485</v>
      </c>
      <c r="L19" s="43" t="s">
        <v>1485</v>
      </c>
      <c r="M19" s="44" t="s">
        <v>1485</v>
      </c>
    </row>
    <row r="20" spans="2:13" ht="17.25" customHeight="1">
      <c r="B20" s="503" t="s">
        <v>1486</v>
      </c>
      <c r="C20" s="504"/>
      <c r="D20" s="42"/>
      <c r="E20" s="43"/>
      <c r="F20" s="43" t="s">
        <v>1487</v>
      </c>
      <c r="G20" s="43" t="s">
        <v>59</v>
      </c>
      <c r="H20" s="43"/>
      <c r="I20" s="43"/>
      <c r="J20" s="44"/>
      <c r="K20" s="42"/>
      <c r="L20" s="43"/>
      <c r="M20" s="44"/>
    </row>
    <row r="21" spans="2:13" ht="17.25" customHeight="1" thickBot="1">
      <c r="B21" s="505" t="s">
        <v>1488</v>
      </c>
      <c r="C21" s="506"/>
      <c r="D21" s="45"/>
      <c r="E21" s="46" t="s">
        <v>1489</v>
      </c>
      <c r="F21" s="507" t="s">
        <v>1490</v>
      </c>
      <c r="G21" s="508"/>
      <c r="H21" s="46" t="s">
        <v>1491</v>
      </c>
      <c r="I21" s="46" t="s">
        <v>1492</v>
      </c>
      <c r="J21" s="47" t="s">
        <v>1491</v>
      </c>
      <c r="K21" s="48"/>
      <c r="L21" s="46"/>
      <c r="M21" s="4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20:C20"/>
    <mergeCell ref="B21:C21"/>
    <mergeCell ref="F21:G21"/>
    <mergeCell ref="K10:M10"/>
    <mergeCell ref="B11:C12"/>
    <mergeCell ref="B13:B15"/>
    <mergeCell ref="B18:C18"/>
    <mergeCell ref="B19:C19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1399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C78"/>
  <sheetViews>
    <sheetView zoomScale="80" zoomScaleNormal="80" workbookViewId="0">
      <pane ySplit="4" topLeftCell="A5" activePane="bottomLeft" state="frozen"/>
      <selection activeCell="A9" sqref="A9"/>
      <selection pane="bottomLeft" activeCell="A9" sqref="A9:A11"/>
    </sheetView>
  </sheetViews>
  <sheetFormatPr defaultColWidth="8" defaultRowHeight="15.75"/>
  <cols>
    <col min="1" max="1" width="15.125" style="54" customWidth="1"/>
    <col min="2" max="2" width="19.375" style="73" customWidth="1"/>
    <col min="3" max="3" width="15.25" style="73" customWidth="1"/>
    <col min="4" max="4" width="17.5" style="73" customWidth="1"/>
    <col min="5" max="5" width="7.5" style="73" bestFit="1" customWidth="1"/>
    <col min="6" max="6" width="14.375" style="73" bestFit="1" customWidth="1"/>
    <col min="7" max="7" width="14.375" style="54" customWidth="1"/>
    <col min="8" max="8" width="8" style="54" customWidth="1"/>
    <col min="9" max="9" width="5.875" style="54" customWidth="1"/>
    <col min="10" max="10" width="10.625" style="54" customWidth="1"/>
    <col min="11" max="11" width="14.625" style="54" customWidth="1"/>
    <col min="12" max="12" width="7.25" style="54" bestFit="1" customWidth="1"/>
    <col min="13" max="13" width="8" style="54" customWidth="1"/>
    <col min="14" max="14" width="12" style="54" customWidth="1"/>
    <col min="15" max="15" width="6" style="54" customWidth="1"/>
    <col min="16" max="16" width="9.25" style="54" customWidth="1"/>
    <col min="17" max="17" width="11.5" style="54" customWidth="1"/>
    <col min="18" max="18" width="8.5" style="54" customWidth="1"/>
    <col min="19" max="19" width="10.125" style="73" bestFit="1" customWidth="1"/>
    <col min="20" max="20" width="7.625" style="73" bestFit="1" customWidth="1"/>
    <col min="21" max="21" width="10.25" style="54" bestFit="1" customWidth="1"/>
    <col min="22" max="22" width="8.75" style="71" customWidth="1"/>
    <col min="23" max="23" width="7.375" style="54" customWidth="1"/>
    <col min="24" max="24" width="6.875" style="54" bestFit="1" customWidth="1"/>
    <col min="25" max="25" width="12.75" style="54" customWidth="1"/>
    <col min="26" max="26" width="18.875" style="54" customWidth="1"/>
    <col min="27" max="27" width="13.125" style="54" bestFit="1" customWidth="1"/>
    <col min="28" max="28" width="10.375" style="54" customWidth="1"/>
    <col min="29" max="29" width="9.375" style="54" customWidth="1"/>
    <col min="30" max="30" width="8" style="54"/>
    <col min="31" max="31" width="24.625" style="54" bestFit="1" customWidth="1"/>
    <col min="32" max="16384" width="8" style="54"/>
  </cols>
  <sheetData>
    <row r="1" spans="1:29" ht="26.25" customHeight="1">
      <c r="A1" s="52" t="s">
        <v>146</v>
      </c>
      <c r="B1" s="74"/>
      <c r="C1" s="75" t="s">
        <v>1493</v>
      </c>
      <c r="D1" s="76">
        <v>193361</v>
      </c>
      <c r="E1" s="344" t="s">
        <v>1494</v>
      </c>
      <c r="F1" s="74">
        <v>6440197.4700000025</v>
      </c>
      <c r="G1" s="52" t="s">
        <v>1495</v>
      </c>
      <c r="H1" s="53">
        <f>L8+L11+L54+L61+L19+L68+L38+L47+L28+L77</f>
        <v>157.82142857142858</v>
      </c>
      <c r="I1" s="607" t="s">
        <v>1496</v>
      </c>
      <c r="J1" s="607"/>
      <c r="K1" s="607"/>
      <c r="L1" s="607" t="s">
        <v>1497</v>
      </c>
      <c r="M1" s="607"/>
      <c r="N1" s="607"/>
      <c r="O1" s="607" t="s">
        <v>1498</v>
      </c>
      <c r="P1" s="607"/>
      <c r="Q1" s="607"/>
      <c r="R1" s="607"/>
      <c r="S1" s="607" t="s">
        <v>1499</v>
      </c>
      <c r="T1" s="607"/>
      <c r="U1" s="607"/>
      <c r="V1" s="607"/>
      <c r="W1" s="607"/>
      <c r="X1" s="607"/>
      <c r="Y1" s="607" t="s">
        <v>1500</v>
      </c>
      <c r="Z1" s="607"/>
      <c r="AA1" s="607" t="s">
        <v>1501</v>
      </c>
      <c r="AB1" s="608"/>
      <c r="AC1" s="608"/>
    </row>
    <row r="2" spans="1:29" ht="26.25" customHeight="1">
      <c r="A2" s="55">
        <v>46012</v>
      </c>
      <c r="B2" s="56" t="s">
        <v>574</v>
      </c>
      <c r="C2" s="75" t="s">
        <v>1475</v>
      </c>
      <c r="D2" s="77">
        <v>141.91764701788466</v>
      </c>
      <c r="E2" s="78" t="s">
        <v>0</v>
      </c>
      <c r="F2" s="79">
        <v>33.306599934836925</v>
      </c>
      <c r="G2" s="52" t="s">
        <v>1502</v>
      </c>
      <c r="H2" s="345">
        <f>COUNT(H5:H77)</f>
        <v>10</v>
      </c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8"/>
      <c r="AB2" s="608"/>
      <c r="AC2" s="608"/>
    </row>
    <row r="3" spans="1:29" ht="23.25" customHeight="1">
      <c r="A3" s="559" t="s">
        <v>1503</v>
      </c>
      <c r="B3" s="604" t="s">
        <v>1504</v>
      </c>
      <c r="C3" s="604" t="s">
        <v>217</v>
      </c>
      <c r="D3" s="604"/>
      <c r="E3" s="609" t="s">
        <v>111</v>
      </c>
      <c r="F3" s="604" t="s">
        <v>1505</v>
      </c>
      <c r="G3" s="605" t="s">
        <v>1506</v>
      </c>
      <c r="H3" s="598" t="s">
        <v>1507</v>
      </c>
      <c r="I3" s="596" t="s">
        <v>1508</v>
      </c>
      <c r="J3" s="601" t="s">
        <v>83</v>
      </c>
      <c r="K3" s="603" t="s">
        <v>1475</v>
      </c>
      <c r="L3" s="596" t="s">
        <v>1508</v>
      </c>
      <c r="M3" s="601" t="s">
        <v>1509</v>
      </c>
      <c r="N3" s="603" t="s">
        <v>1475</v>
      </c>
      <c r="O3" s="596" t="s">
        <v>1508</v>
      </c>
      <c r="P3" s="603" t="s">
        <v>1475</v>
      </c>
      <c r="Q3" s="602" t="s">
        <v>1510</v>
      </c>
      <c r="R3" s="574" t="s">
        <v>114</v>
      </c>
      <c r="S3" s="604" t="s">
        <v>1</v>
      </c>
      <c r="T3" s="604"/>
      <c r="U3" s="598" t="s">
        <v>2</v>
      </c>
      <c r="V3" s="598" t="s">
        <v>1511</v>
      </c>
      <c r="W3" s="559" t="s">
        <v>1512</v>
      </c>
      <c r="X3" s="559"/>
      <c r="Y3" s="599" t="s">
        <v>1513</v>
      </c>
      <c r="Z3" s="600"/>
      <c r="AA3" s="601" t="s">
        <v>1514</v>
      </c>
      <c r="AB3" s="602" t="s">
        <v>1510</v>
      </c>
      <c r="AC3" s="574" t="s">
        <v>1515</v>
      </c>
    </row>
    <row r="4" spans="1:29">
      <c r="A4" s="559"/>
      <c r="B4" s="604"/>
      <c r="C4" s="604"/>
      <c r="D4" s="604"/>
      <c r="E4" s="610"/>
      <c r="F4" s="604"/>
      <c r="G4" s="606"/>
      <c r="H4" s="598"/>
      <c r="I4" s="596"/>
      <c r="J4" s="601"/>
      <c r="K4" s="603"/>
      <c r="L4" s="596"/>
      <c r="M4" s="601"/>
      <c r="N4" s="603"/>
      <c r="O4" s="596"/>
      <c r="P4" s="603"/>
      <c r="Q4" s="602"/>
      <c r="R4" s="574"/>
      <c r="S4" s="344" t="s">
        <v>3</v>
      </c>
      <c r="T4" s="344" t="s">
        <v>4</v>
      </c>
      <c r="U4" s="598"/>
      <c r="V4" s="598"/>
      <c r="W4" s="332" t="s">
        <v>1516</v>
      </c>
      <c r="X4" s="332" t="s">
        <v>1517</v>
      </c>
      <c r="Y4" s="600"/>
      <c r="Z4" s="600"/>
      <c r="AA4" s="601"/>
      <c r="AB4" s="602"/>
      <c r="AC4" s="574"/>
    </row>
    <row r="5" spans="1:29">
      <c r="A5" s="595" t="s">
        <v>1518</v>
      </c>
      <c r="B5" s="57" t="s">
        <v>6</v>
      </c>
      <c r="C5" s="597" t="s">
        <v>9</v>
      </c>
      <c r="D5" s="597"/>
      <c r="E5" s="57">
        <v>50.67</v>
      </c>
      <c r="F5" s="344">
        <v>1653</v>
      </c>
      <c r="G5" s="332">
        <f t="shared" ref="G5:G7" si="0">E5*F5</f>
        <v>83757.510000000009</v>
      </c>
      <c r="H5" s="346" t="s">
        <v>5</v>
      </c>
      <c r="I5" s="342">
        <v>17</v>
      </c>
      <c r="J5" s="58">
        <v>2000</v>
      </c>
      <c r="K5" s="59">
        <f t="shared" ref="K5:K68" si="1">J5/I5</f>
        <v>117.64705882352941</v>
      </c>
      <c r="L5" s="342">
        <v>17</v>
      </c>
      <c r="M5" s="60">
        <f t="shared" ref="M5:M7" si="2">F5/V5*60</f>
        <v>1907.3076923076933</v>
      </c>
      <c r="N5" s="59">
        <f t="shared" ref="N5:N68" si="3">M5/L5</f>
        <v>112.19457013574666</v>
      </c>
      <c r="O5" s="61">
        <f t="shared" ref="O5:O68" si="4">L5-I5</f>
        <v>0</v>
      </c>
      <c r="P5" s="62">
        <f t="shared" ref="P5:P68" si="5">N5-K5</f>
        <v>-5.452488687782747</v>
      </c>
      <c r="Q5" s="334">
        <f t="shared" ref="Q5:Q68" si="6">N5/K5</f>
        <v>0.95365384615384663</v>
      </c>
      <c r="R5" s="566">
        <f>Q8</f>
        <v>0.95303912318964856</v>
      </c>
      <c r="S5" s="63">
        <v>0.70833333333333337</v>
      </c>
      <c r="T5" s="63">
        <v>0.74444444444444446</v>
      </c>
      <c r="U5" s="332"/>
      <c r="V5" s="343">
        <f t="shared" ref="V5:V7" si="7">(T5-S5)*24*60</f>
        <v>51.999999999999972</v>
      </c>
      <c r="W5" s="64"/>
      <c r="X5" s="65"/>
      <c r="Y5" s="559"/>
      <c r="Z5" s="559"/>
      <c r="AA5" s="61">
        <f t="shared" ref="AA5:AA68" si="8">M5-J5</f>
        <v>-92.692307692306713</v>
      </c>
      <c r="AB5" s="334">
        <f t="shared" ref="AB5:AB68" si="9">M5/J5</f>
        <v>0.95365384615384663</v>
      </c>
      <c r="AC5" s="566">
        <f>AB8</f>
        <v>0.95303912318964867</v>
      </c>
    </row>
    <row r="6" spans="1:29">
      <c r="A6" s="596" t="s">
        <v>1519</v>
      </c>
      <c r="B6" s="57" t="s">
        <v>6</v>
      </c>
      <c r="C6" s="597" t="s">
        <v>8</v>
      </c>
      <c r="D6" s="597"/>
      <c r="E6" s="57">
        <v>50.49</v>
      </c>
      <c r="F6" s="344">
        <v>2321</v>
      </c>
      <c r="G6" s="332">
        <f t="shared" si="0"/>
        <v>117187.29000000001</v>
      </c>
      <c r="H6" s="346" t="s">
        <v>5</v>
      </c>
      <c r="I6" s="342">
        <v>15</v>
      </c>
      <c r="J6" s="58">
        <v>2000</v>
      </c>
      <c r="K6" s="59">
        <f t="shared" si="1"/>
        <v>133.33333333333334</v>
      </c>
      <c r="L6" s="342">
        <v>15</v>
      </c>
      <c r="M6" s="60">
        <f t="shared" si="2"/>
        <v>1907.6712328767107</v>
      </c>
      <c r="N6" s="59">
        <f t="shared" si="3"/>
        <v>127.17808219178072</v>
      </c>
      <c r="O6" s="61">
        <f t="shared" si="4"/>
        <v>0</v>
      </c>
      <c r="P6" s="62">
        <f t="shared" si="5"/>
        <v>-6.1552511415526254</v>
      </c>
      <c r="Q6" s="334">
        <f t="shared" si="6"/>
        <v>0.95383561643835535</v>
      </c>
      <c r="R6" s="566"/>
      <c r="S6" s="63">
        <v>0.74930555555555556</v>
      </c>
      <c r="T6" s="63">
        <v>0.8</v>
      </c>
      <c r="U6" s="332">
        <f t="shared" ref="U6:U7" si="10">IF(S6=TIME(17,0,0),"",(S6-T5)*24*60)</f>
        <v>6.9999999999999751</v>
      </c>
      <c r="V6" s="343">
        <f t="shared" si="7"/>
        <v>73.000000000000057</v>
      </c>
      <c r="W6" s="64"/>
      <c r="X6" s="64"/>
      <c r="Y6" s="559"/>
      <c r="Z6" s="559"/>
      <c r="AA6" s="61">
        <f t="shared" si="8"/>
        <v>-92.328767123289254</v>
      </c>
      <c r="AB6" s="334">
        <f t="shared" si="9"/>
        <v>0.95383561643835535</v>
      </c>
      <c r="AC6" s="566"/>
    </row>
    <row r="7" spans="1:29">
      <c r="A7" s="596" t="s">
        <v>1519</v>
      </c>
      <c r="B7" s="57" t="s">
        <v>6</v>
      </c>
      <c r="C7" s="590" t="s">
        <v>94</v>
      </c>
      <c r="D7" s="591"/>
      <c r="E7" s="57">
        <v>57.3</v>
      </c>
      <c r="F7" s="344">
        <v>2728</v>
      </c>
      <c r="G7" s="332">
        <f t="shared" si="0"/>
        <v>156314.4</v>
      </c>
      <c r="H7" s="346" t="s">
        <v>5</v>
      </c>
      <c r="I7" s="342">
        <v>13</v>
      </c>
      <c r="J7" s="58">
        <v>2000</v>
      </c>
      <c r="K7" s="59">
        <f t="shared" si="1"/>
        <v>153.84615384615384</v>
      </c>
      <c r="L7" s="342">
        <v>13</v>
      </c>
      <c r="M7" s="60">
        <f t="shared" si="2"/>
        <v>1903.2558139534881</v>
      </c>
      <c r="N7" s="59">
        <f t="shared" si="3"/>
        <v>146.40429338103755</v>
      </c>
      <c r="O7" s="61">
        <f t="shared" si="4"/>
        <v>0</v>
      </c>
      <c r="P7" s="62">
        <f t="shared" si="5"/>
        <v>-7.4418604651162923</v>
      </c>
      <c r="Q7" s="334">
        <f t="shared" si="6"/>
        <v>0.95162790697674415</v>
      </c>
      <c r="R7" s="566"/>
      <c r="S7" s="63">
        <v>0.80486111111111114</v>
      </c>
      <c r="T7" s="63">
        <v>0.86458333333333337</v>
      </c>
      <c r="U7" s="332">
        <f t="shared" si="10"/>
        <v>6.9999999999999751</v>
      </c>
      <c r="V7" s="343">
        <f t="shared" si="7"/>
        <v>86.000000000000014</v>
      </c>
      <c r="W7" s="64"/>
      <c r="X7" s="64"/>
      <c r="Y7" s="569"/>
      <c r="Z7" s="570"/>
      <c r="AA7" s="61">
        <f t="shared" si="8"/>
        <v>-96.744186046511913</v>
      </c>
      <c r="AB7" s="334">
        <f t="shared" si="9"/>
        <v>0.95162790697674404</v>
      </c>
      <c r="AC7" s="566"/>
    </row>
    <row r="8" spans="1:29">
      <c r="A8" s="596" t="s">
        <v>1519</v>
      </c>
      <c r="B8" s="57" t="s">
        <v>1520</v>
      </c>
      <c r="C8" s="571"/>
      <c r="D8" s="571"/>
      <c r="E8" s="339"/>
      <c r="F8" s="66"/>
      <c r="G8" s="59"/>
      <c r="H8" s="344"/>
      <c r="I8" s="67">
        <v>15</v>
      </c>
      <c r="J8" s="58">
        <v>2000</v>
      </c>
      <c r="K8" s="59">
        <f t="shared" si="1"/>
        <v>133.33333333333334</v>
      </c>
      <c r="L8" s="67">
        <v>15</v>
      </c>
      <c r="M8" s="60">
        <f>AVERAGE(M5:M7)</f>
        <v>1906.0782463792973</v>
      </c>
      <c r="N8" s="59">
        <f t="shared" si="3"/>
        <v>127.07188309195315</v>
      </c>
      <c r="O8" s="61">
        <f t="shared" si="4"/>
        <v>0</v>
      </c>
      <c r="P8" s="62">
        <f t="shared" si="5"/>
        <v>-6.2614502413801887</v>
      </c>
      <c r="Q8" s="334">
        <f t="shared" si="6"/>
        <v>0.95303912318964856</v>
      </c>
      <c r="R8" s="566"/>
      <c r="S8" s="63"/>
      <c r="T8" s="63"/>
      <c r="U8" s="332"/>
      <c r="V8" s="343"/>
      <c r="W8" s="59"/>
      <c r="X8" s="59"/>
      <c r="Y8" s="559"/>
      <c r="Z8" s="559"/>
      <c r="AA8" s="61">
        <f t="shared" si="8"/>
        <v>-93.921753620702702</v>
      </c>
      <c r="AB8" s="334">
        <f t="shared" si="9"/>
        <v>0.95303912318964867</v>
      </c>
      <c r="AC8" s="566"/>
    </row>
    <row r="9" spans="1:29" ht="15.75" customHeight="1">
      <c r="A9" s="594" t="s">
        <v>1521</v>
      </c>
      <c r="B9" s="57" t="s">
        <v>10</v>
      </c>
      <c r="C9" s="590" t="s">
        <v>14</v>
      </c>
      <c r="D9" s="591"/>
      <c r="E9" s="57">
        <v>39.619999999999997</v>
      </c>
      <c r="F9" s="344">
        <v>4304</v>
      </c>
      <c r="G9" s="332">
        <f t="shared" ref="G9:G10" si="11">E9*F9</f>
        <v>170524.47999999998</v>
      </c>
      <c r="H9" s="346" t="s">
        <v>5</v>
      </c>
      <c r="I9" s="342">
        <v>19</v>
      </c>
      <c r="J9" s="58">
        <v>1500</v>
      </c>
      <c r="K9" s="59">
        <f t="shared" si="1"/>
        <v>78.94736842105263</v>
      </c>
      <c r="L9" s="342">
        <v>19</v>
      </c>
      <c r="M9" s="60">
        <f t="shared" ref="M9:M10" si="12">F9/V9*60</f>
        <v>1426.7403314917133</v>
      </c>
      <c r="N9" s="59">
        <f t="shared" si="3"/>
        <v>75.091596394300694</v>
      </c>
      <c r="O9" s="61">
        <f t="shared" si="4"/>
        <v>0</v>
      </c>
      <c r="P9" s="62">
        <f t="shared" si="5"/>
        <v>-3.8557720267519358</v>
      </c>
      <c r="Q9" s="334">
        <f t="shared" si="6"/>
        <v>0.9511602209944755</v>
      </c>
      <c r="R9" s="566">
        <f>Q11</f>
        <v>0.95331206926012435</v>
      </c>
      <c r="S9" s="63">
        <v>0.16666666666666666</v>
      </c>
      <c r="T9" s="63">
        <v>0.29236111111111107</v>
      </c>
      <c r="U9" s="332"/>
      <c r="V9" s="343">
        <f t="shared" ref="V9:V10" si="13">(T9-S9)*24*60</f>
        <v>180.99999999999994</v>
      </c>
      <c r="W9" s="64">
        <f>T9</f>
        <v>0.29236111111111107</v>
      </c>
      <c r="X9" s="64">
        <f>S10</f>
        <v>0.31111111111111106</v>
      </c>
      <c r="Y9" s="559"/>
      <c r="Z9" s="559"/>
      <c r="AA9" s="61">
        <f t="shared" si="8"/>
        <v>-73.259668508286722</v>
      </c>
      <c r="AB9" s="334">
        <f t="shared" si="9"/>
        <v>0.9511602209944755</v>
      </c>
      <c r="AC9" s="566">
        <f>AB11</f>
        <v>0.95331206926012435</v>
      </c>
    </row>
    <row r="10" spans="1:29" ht="15.75" customHeight="1">
      <c r="A10" s="594" t="s">
        <v>1521</v>
      </c>
      <c r="B10" s="57" t="s">
        <v>10</v>
      </c>
      <c r="C10" s="590" t="s">
        <v>11</v>
      </c>
      <c r="D10" s="591"/>
      <c r="E10" s="57">
        <v>39.799999999999997</v>
      </c>
      <c r="F10" s="344">
        <v>6951</v>
      </c>
      <c r="G10" s="332">
        <f t="shared" si="11"/>
        <v>276649.8</v>
      </c>
      <c r="H10" s="346" t="s">
        <v>5</v>
      </c>
      <c r="I10" s="342">
        <v>17</v>
      </c>
      <c r="J10" s="58">
        <v>1500</v>
      </c>
      <c r="K10" s="59">
        <f t="shared" si="1"/>
        <v>88.235294117647058</v>
      </c>
      <c r="L10" s="342">
        <v>17</v>
      </c>
      <c r="M10" s="60">
        <f t="shared" si="12"/>
        <v>1433.1958762886597</v>
      </c>
      <c r="N10" s="59">
        <f t="shared" si="3"/>
        <v>84.305639781685869</v>
      </c>
      <c r="O10" s="61">
        <f t="shared" si="4"/>
        <v>0</v>
      </c>
      <c r="P10" s="62">
        <f t="shared" si="5"/>
        <v>-3.9296543359611888</v>
      </c>
      <c r="Q10" s="334">
        <f t="shared" si="6"/>
        <v>0.9554639175257732</v>
      </c>
      <c r="R10" s="566"/>
      <c r="S10" s="63">
        <v>0.31111111111111106</v>
      </c>
      <c r="T10" s="63">
        <v>0.5131944444444444</v>
      </c>
      <c r="U10" s="332">
        <f t="shared" ref="U10" si="14">IF(S10=TIME(17,0,0),"",(S10-T9)*24*60)</f>
        <v>26.999999999999986</v>
      </c>
      <c r="V10" s="343">
        <f t="shared" si="13"/>
        <v>291</v>
      </c>
      <c r="W10" s="64"/>
      <c r="X10" s="64"/>
      <c r="Y10" s="559"/>
      <c r="Z10" s="559"/>
      <c r="AA10" s="61">
        <f t="shared" si="8"/>
        <v>-66.804123711340253</v>
      </c>
      <c r="AB10" s="334">
        <f t="shared" si="9"/>
        <v>0.9554639175257732</v>
      </c>
      <c r="AC10" s="566"/>
    </row>
    <row r="11" spans="1:29" ht="16.5" customHeight="1">
      <c r="A11" s="594" t="s">
        <v>1521</v>
      </c>
      <c r="B11" s="57" t="s">
        <v>1520</v>
      </c>
      <c r="C11" s="571"/>
      <c r="D11" s="571"/>
      <c r="E11" s="339"/>
      <c r="F11" s="58"/>
      <c r="G11" s="60"/>
      <c r="H11" s="344"/>
      <c r="I11" s="67">
        <v>18</v>
      </c>
      <c r="J11" s="58">
        <v>1500</v>
      </c>
      <c r="K11" s="59">
        <f t="shared" si="1"/>
        <v>83.333333333333329</v>
      </c>
      <c r="L11" s="67">
        <v>18</v>
      </c>
      <c r="M11" s="60">
        <f>AVERAGE(M9:M10)</f>
        <v>1429.9681038901865</v>
      </c>
      <c r="N11" s="59">
        <f t="shared" si="3"/>
        <v>79.442672438343692</v>
      </c>
      <c r="O11" s="61">
        <f t="shared" si="4"/>
        <v>0</v>
      </c>
      <c r="P11" s="62">
        <f t="shared" si="5"/>
        <v>-3.8906608949896366</v>
      </c>
      <c r="Q11" s="334">
        <f t="shared" si="6"/>
        <v>0.95331206926012435</v>
      </c>
      <c r="R11" s="566"/>
      <c r="S11" s="63"/>
      <c r="T11" s="63"/>
      <c r="U11" s="59"/>
      <c r="V11" s="343"/>
      <c r="W11" s="59"/>
      <c r="X11" s="59"/>
      <c r="Y11" s="559"/>
      <c r="Z11" s="559"/>
      <c r="AA11" s="61">
        <f t="shared" si="8"/>
        <v>-70.031896109813488</v>
      </c>
      <c r="AB11" s="334">
        <f t="shared" si="9"/>
        <v>0.95331206926012435</v>
      </c>
      <c r="AC11" s="566"/>
    </row>
    <row r="12" spans="1:29" ht="16.5" customHeight="1">
      <c r="A12" s="592" t="s">
        <v>1522</v>
      </c>
      <c r="B12" s="344" t="s">
        <v>12</v>
      </c>
      <c r="C12" s="584" t="s">
        <v>13</v>
      </c>
      <c r="D12" s="584"/>
      <c r="E12" s="57">
        <v>41</v>
      </c>
      <c r="F12" s="344">
        <v>2210</v>
      </c>
      <c r="G12" s="332">
        <f t="shared" ref="G12:G18" si="15">E12*F12</f>
        <v>90610</v>
      </c>
      <c r="H12" s="346" t="s">
        <v>5</v>
      </c>
      <c r="I12" s="342">
        <v>26</v>
      </c>
      <c r="J12" s="58">
        <v>1500</v>
      </c>
      <c r="K12" s="59">
        <f t="shared" si="1"/>
        <v>57.692307692307693</v>
      </c>
      <c r="L12" s="342">
        <v>26</v>
      </c>
      <c r="M12" s="60">
        <f t="shared" ref="M12:M18" si="16">F12/V12*60</f>
        <v>1425.8064516129027</v>
      </c>
      <c r="N12" s="59">
        <f t="shared" si="3"/>
        <v>54.838709677419338</v>
      </c>
      <c r="O12" s="61">
        <f t="shared" si="4"/>
        <v>0</v>
      </c>
      <c r="P12" s="62">
        <f t="shared" si="5"/>
        <v>-2.8535980148883553</v>
      </c>
      <c r="Q12" s="334">
        <f t="shared" si="6"/>
        <v>0.95053763440860184</v>
      </c>
      <c r="R12" s="566">
        <f>Q19</f>
        <v>0.95862852453268543</v>
      </c>
      <c r="S12" s="63">
        <v>0.20833333333333334</v>
      </c>
      <c r="T12" s="63">
        <v>0.2729166666666667</v>
      </c>
      <c r="U12" s="332"/>
      <c r="V12" s="343">
        <f t="shared" ref="V12:V18" si="17">(T12-S12)*24*60</f>
        <v>93.000000000000028</v>
      </c>
      <c r="W12" s="68"/>
      <c r="X12" s="68"/>
      <c r="Y12" s="559"/>
      <c r="Z12" s="559"/>
      <c r="AA12" s="61">
        <f t="shared" si="8"/>
        <v>-74.19354838709728</v>
      </c>
      <c r="AB12" s="334">
        <f t="shared" si="9"/>
        <v>0.95053763440860184</v>
      </c>
      <c r="AC12" s="566">
        <f>AB19</f>
        <v>0.95862852453268532</v>
      </c>
    </row>
    <row r="13" spans="1:29" ht="16.5" customHeight="1">
      <c r="A13" s="593" t="s">
        <v>1522</v>
      </c>
      <c r="B13" s="344" t="s">
        <v>657</v>
      </c>
      <c r="C13" s="584" t="s">
        <v>236</v>
      </c>
      <c r="D13" s="584"/>
      <c r="E13" s="57">
        <v>72.400000000000006</v>
      </c>
      <c r="F13" s="344">
        <v>1475</v>
      </c>
      <c r="G13" s="332">
        <f t="shared" si="15"/>
        <v>106790.00000000001</v>
      </c>
      <c r="H13" s="346" t="s">
        <v>5</v>
      </c>
      <c r="I13" s="342">
        <v>18</v>
      </c>
      <c r="J13" s="58">
        <v>1500</v>
      </c>
      <c r="K13" s="59">
        <f t="shared" si="1"/>
        <v>83.333333333333329</v>
      </c>
      <c r="L13" s="342">
        <v>18</v>
      </c>
      <c r="M13" s="60">
        <f t="shared" si="16"/>
        <v>1450.8196721311472</v>
      </c>
      <c r="N13" s="59">
        <f t="shared" si="3"/>
        <v>80.601092896174848</v>
      </c>
      <c r="O13" s="61">
        <f t="shared" si="4"/>
        <v>0</v>
      </c>
      <c r="P13" s="62">
        <f t="shared" si="5"/>
        <v>-2.732240437158481</v>
      </c>
      <c r="Q13" s="334">
        <f t="shared" si="6"/>
        <v>0.96721311475409821</v>
      </c>
      <c r="R13" s="566"/>
      <c r="S13" s="63">
        <v>0.27847222222222223</v>
      </c>
      <c r="T13" s="63">
        <v>0.32083333333333336</v>
      </c>
      <c r="U13" s="332">
        <f t="shared" ref="U13:U18" si="18">IF(S13=TIME(17,0,0),"",(S13-T12)*24*60)</f>
        <v>7.9999999999999716</v>
      </c>
      <c r="V13" s="343">
        <f t="shared" si="17"/>
        <v>61.000000000000021</v>
      </c>
      <c r="W13" s="64"/>
      <c r="X13" s="64"/>
      <c r="Y13" s="559"/>
      <c r="Z13" s="559"/>
      <c r="AA13" s="61">
        <f t="shared" si="8"/>
        <v>-49.180327868852828</v>
      </c>
      <c r="AB13" s="334">
        <f t="shared" si="9"/>
        <v>0.9672131147540981</v>
      </c>
      <c r="AC13" s="566"/>
    </row>
    <row r="14" spans="1:29" ht="16.5" customHeight="1">
      <c r="A14" s="593" t="s">
        <v>1522</v>
      </c>
      <c r="B14" s="344" t="s">
        <v>6</v>
      </c>
      <c r="C14" s="584" t="s">
        <v>95</v>
      </c>
      <c r="D14" s="584"/>
      <c r="E14" s="57">
        <v>50.98</v>
      </c>
      <c r="F14" s="344">
        <v>1000</v>
      </c>
      <c r="G14" s="332">
        <f t="shared" si="15"/>
        <v>50980</v>
      </c>
      <c r="H14" s="346">
        <v>2</v>
      </c>
      <c r="I14" s="342">
        <v>16</v>
      </c>
      <c r="J14" s="58">
        <v>2000</v>
      </c>
      <c r="K14" s="59">
        <f t="shared" si="1"/>
        <v>125</v>
      </c>
      <c r="L14" s="342">
        <v>16</v>
      </c>
      <c r="M14" s="60">
        <f t="shared" si="16"/>
        <v>1935.483870967739</v>
      </c>
      <c r="N14" s="59">
        <f t="shared" si="3"/>
        <v>120.96774193548369</v>
      </c>
      <c r="O14" s="61">
        <f t="shared" si="4"/>
        <v>0</v>
      </c>
      <c r="P14" s="62">
        <f t="shared" si="5"/>
        <v>-4.0322580645163129</v>
      </c>
      <c r="Q14" s="334">
        <f t="shared" si="6"/>
        <v>0.96774193548386944</v>
      </c>
      <c r="R14" s="566"/>
      <c r="S14" s="63">
        <v>0.70833333333333337</v>
      </c>
      <c r="T14" s="63">
        <v>0.72986111111111118</v>
      </c>
      <c r="U14" s="332" t="str">
        <f t="shared" si="18"/>
        <v/>
      </c>
      <c r="V14" s="343">
        <f t="shared" si="17"/>
        <v>31.00000000000005</v>
      </c>
      <c r="W14" s="64"/>
      <c r="X14" s="64"/>
      <c r="Y14" s="559"/>
      <c r="Z14" s="559"/>
      <c r="AA14" s="61">
        <f t="shared" si="8"/>
        <v>-64.516129032261006</v>
      </c>
      <c r="AB14" s="334">
        <f t="shared" si="9"/>
        <v>0.96774193548386944</v>
      </c>
      <c r="AC14" s="566"/>
    </row>
    <row r="15" spans="1:29" ht="16.5" customHeight="1">
      <c r="A15" s="593" t="s">
        <v>1522</v>
      </c>
      <c r="B15" s="344" t="s">
        <v>6</v>
      </c>
      <c r="C15" s="584" t="s">
        <v>18</v>
      </c>
      <c r="D15" s="584"/>
      <c r="E15" s="57">
        <v>50.92</v>
      </c>
      <c r="F15" s="344">
        <v>2701</v>
      </c>
      <c r="G15" s="332">
        <f t="shared" si="15"/>
        <v>137534.92000000001</v>
      </c>
      <c r="H15" s="346" t="s">
        <v>5</v>
      </c>
      <c r="I15" s="342">
        <v>15</v>
      </c>
      <c r="J15" s="58">
        <v>2000</v>
      </c>
      <c r="K15" s="59">
        <f t="shared" si="1"/>
        <v>133.33333333333334</v>
      </c>
      <c r="L15" s="342">
        <v>15</v>
      </c>
      <c r="M15" s="60">
        <f t="shared" si="16"/>
        <v>1906.5882352941173</v>
      </c>
      <c r="N15" s="59">
        <f t="shared" si="3"/>
        <v>127.10588235294115</v>
      </c>
      <c r="O15" s="61">
        <f t="shared" si="4"/>
        <v>0</v>
      </c>
      <c r="P15" s="62">
        <f t="shared" si="5"/>
        <v>-6.2274509803921916</v>
      </c>
      <c r="Q15" s="334">
        <f t="shared" si="6"/>
        <v>0.95329411764705851</v>
      </c>
      <c r="R15" s="566"/>
      <c r="S15" s="63">
        <v>0.73402777777777783</v>
      </c>
      <c r="T15" s="63">
        <v>0.79305555555555562</v>
      </c>
      <c r="U15" s="332">
        <f t="shared" si="18"/>
        <v>5.9999999999999787</v>
      </c>
      <c r="V15" s="343">
        <f t="shared" si="17"/>
        <v>85.000000000000014</v>
      </c>
      <c r="W15" s="64"/>
      <c r="X15" s="64"/>
      <c r="Y15" s="559"/>
      <c r="Z15" s="559"/>
      <c r="AA15" s="61">
        <f t="shared" si="8"/>
        <v>-93.411764705882661</v>
      </c>
      <c r="AB15" s="334">
        <f t="shared" si="9"/>
        <v>0.95329411764705863</v>
      </c>
      <c r="AC15" s="566"/>
    </row>
    <row r="16" spans="1:29" ht="16.5" customHeight="1">
      <c r="A16" s="593" t="s">
        <v>1522</v>
      </c>
      <c r="B16" s="344" t="s">
        <v>6</v>
      </c>
      <c r="C16" s="584" t="s">
        <v>99</v>
      </c>
      <c r="D16" s="584"/>
      <c r="E16" s="57">
        <v>53.68</v>
      </c>
      <c r="F16" s="344">
        <v>1000</v>
      </c>
      <c r="G16" s="332">
        <f t="shared" si="15"/>
        <v>53680</v>
      </c>
      <c r="H16" s="346">
        <v>2</v>
      </c>
      <c r="I16" s="342">
        <v>16</v>
      </c>
      <c r="J16" s="58">
        <v>1500</v>
      </c>
      <c r="K16" s="59">
        <f t="shared" si="1"/>
        <v>93.75</v>
      </c>
      <c r="L16" s="342">
        <v>16</v>
      </c>
      <c r="M16" s="60">
        <f t="shared" si="16"/>
        <v>1428.5714285714282</v>
      </c>
      <c r="N16" s="59">
        <f t="shared" si="3"/>
        <v>89.285714285714263</v>
      </c>
      <c r="O16" s="61">
        <f t="shared" si="4"/>
        <v>0</v>
      </c>
      <c r="P16" s="62">
        <f t="shared" si="5"/>
        <v>-4.4642857142857366</v>
      </c>
      <c r="Q16" s="334">
        <f t="shared" si="6"/>
        <v>0.95238095238095211</v>
      </c>
      <c r="R16" s="566"/>
      <c r="S16" s="63">
        <v>0.79861111111111116</v>
      </c>
      <c r="T16" s="63">
        <v>0.82777777777777783</v>
      </c>
      <c r="U16" s="332">
        <f t="shared" si="18"/>
        <v>7.9999999999999716</v>
      </c>
      <c r="V16" s="343">
        <f t="shared" si="17"/>
        <v>42.000000000000014</v>
      </c>
      <c r="W16" s="64">
        <f>T16</f>
        <v>0.82777777777777783</v>
      </c>
      <c r="X16" s="64">
        <f>S17</f>
        <v>0.86875000000000002</v>
      </c>
      <c r="Y16" s="559"/>
      <c r="Z16" s="559"/>
      <c r="AA16" s="61">
        <f t="shared" si="8"/>
        <v>-71.428571428571786</v>
      </c>
      <c r="AB16" s="334">
        <f t="shared" si="9"/>
        <v>0.95238095238095211</v>
      </c>
      <c r="AC16" s="566"/>
    </row>
    <row r="17" spans="1:29" ht="16.5" customHeight="1">
      <c r="A17" s="593" t="s">
        <v>1523</v>
      </c>
      <c r="B17" s="344" t="s">
        <v>6</v>
      </c>
      <c r="C17" s="585" t="s">
        <v>99</v>
      </c>
      <c r="D17" s="586"/>
      <c r="E17" s="57">
        <v>53.68</v>
      </c>
      <c r="F17" s="344">
        <v>1711</v>
      </c>
      <c r="G17" s="332">
        <f t="shared" si="15"/>
        <v>91846.48</v>
      </c>
      <c r="H17" s="346" t="s">
        <v>5</v>
      </c>
      <c r="I17" s="342">
        <v>16</v>
      </c>
      <c r="J17" s="58">
        <v>1500</v>
      </c>
      <c r="K17" s="59">
        <f t="shared" si="1"/>
        <v>93.75</v>
      </c>
      <c r="L17" s="342">
        <v>16</v>
      </c>
      <c r="M17" s="60">
        <f t="shared" si="16"/>
        <v>1445.9154929577451</v>
      </c>
      <c r="N17" s="59">
        <f t="shared" si="3"/>
        <v>90.369718309859067</v>
      </c>
      <c r="O17" s="61">
        <f t="shared" si="4"/>
        <v>0</v>
      </c>
      <c r="P17" s="62">
        <f t="shared" si="5"/>
        <v>-3.3802816901409329</v>
      </c>
      <c r="Q17" s="334">
        <f t="shared" si="6"/>
        <v>0.96394366197183001</v>
      </c>
      <c r="R17" s="566"/>
      <c r="S17" s="63">
        <v>0.86875000000000002</v>
      </c>
      <c r="T17" s="63">
        <v>0.91805555555555562</v>
      </c>
      <c r="U17" s="332">
        <f t="shared" si="18"/>
        <v>58.99999999999995</v>
      </c>
      <c r="V17" s="343">
        <f t="shared" si="17"/>
        <v>71.000000000000071</v>
      </c>
      <c r="W17" s="64"/>
      <c r="X17" s="64"/>
      <c r="Y17" s="569"/>
      <c r="Z17" s="570"/>
      <c r="AA17" s="61">
        <f t="shared" si="8"/>
        <v>-54.084507042254927</v>
      </c>
      <c r="AB17" s="334">
        <f t="shared" si="9"/>
        <v>0.96394366197183001</v>
      </c>
      <c r="AC17" s="566"/>
    </row>
    <row r="18" spans="1:29" ht="16.5" customHeight="1">
      <c r="A18" s="593" t="s">
        <v>1523</v>
      </c>
      <c r="B18" s="344" t="s">
        <v>6</v>
      </c>
      <c r="C18" s="340" t="s">
        <v>95</v>
      </c>
      <c r="D18" s="341"/>
      <c r="E18" s="57">
        <v>50.98</v>
      </c>
      <c r="F18" s="344">
        <v>1783</v>
      </c>
      <c r="G18" s="332">
        <f t="shared" si="15"/>
        <v>90897.34</v>
      </c>
      <c r="H18" s="346" t="s">
        <v>5</v>
      </c>
      <c r="I18" s="342">
        <v>16</v>
      </c>
      <c r="J18" s="58">
        <v>2000</v>
      </c>
      <c r="K18" s="59">
        <f t="shared" si="1"/>
        <v>125</v>
      </c>
      <c r="L18" s="342">
        <v>16</v>
      </c>
      <c r="M18" s="60">
        <f t="shared" si="16"/>
        <v>1910.3571428571445</v>
      </c>
      <c r="N18" s="59">
        <f t="shared" si="3"/>
        <v>119.39732142857153</v>
      </c>
      <c r="O18" s="61">
        <f t="shared" si="4"/>
        <v>0</v>
      </c>
      <c r="P18" s="62">
        <f t="shared" si="5"/>
        <v>-5.6026785714284699</v>
      </c>
      <c r="Q18" s="334">
        <f t="shared" si="6"/>
        <v>0.95517857142857221</v>
      </c>
      <c r="R18" s="566"/>
      <c r="S18" s="63">
        <v>0.92152777777777783</v>
      </c>
      <c r="T18" s="63">
        <v>0.9604166666666667</v>
      </c>
      <c r="U18" s="332">
        <f t="shared" si="18"/>
        <v>4.9999999999999822</v>
      </c>
      <c r="V18" s="343">
        <f t="shared" si="17"/>
        <v>55.999999999999957</v>
      </c>
      <c r="W18" s="64"/>
      <c r="X18" s="64"/>
      <c r="Y18" s="569"/>
      <c r="Z18" s="570"/>
      <c r="AA18" s="61">
        <f t="shared" si="8"/>
        <v>-89.642857142855519</v>
      </c>
      <c r="AB18" s="334">
        <f t="shared" si="9"/>
        <v>0.95517857142857221</v>
      </c>
      <c r="AC18" s="566"/>
    </row>
    <row r="19" spans="1:29" ht="16.5" customHeight="1">
      <c r="A19" s="593" t="s">
        <v>1523</v>
      </c>
      <c r="B19" s="57" t="s">
        <v>1524</v>
      </c>
      <c r="C19" s="571"/>
      <c r="D19" s="571"/>
      <c r="E19" s="339"/>
      <c r="F19" s="66"/>
      <c r="G19" s="59"/>
      <c r="H19" s="344"/>
      <c r="I19" s="67">
        <v>17.571428571428573</v>
      </c>
      <c r="J19" s="58">
        <v>1714.2857142857142</v>
      </c>
      <c r="K19" s="59">
        <f t="shared" si="1"/>
        <v>97.560975609756085</v>
      </c>
      <c r="L19" s="67">
        <v>17.571428571428573</v>
      </c>
      <c r="M19" s="60">
        <f>AVERAGE(M12:M18)</f>
        <v>1643.3631849131748</v>
      </c>
      <c r="N19" s="59">
        <f t="shared" si="3"/>
        <v>93.524734100749782</v>
      </c>
      <c r="O19" s="61">
        <f t="shared" si="4"/>
        <v>0</v>
      </c>
      <c r="P19" s="62">
        <f t="shared" si="5"/>
        <v>-4.0362415090063024</v>
      </c>
      <c r="Q19" s="334">
        <f t="shared" si="6"/>
        <v>0.95862852453268543</v>
      </c>
      <c r="R19" s="566"/>
      <c r="S19" s="63"/>
      <c r="T19" s="63"/>
      <c r="U19" s="332"/>
      <c r="V19" s="343"/>
      <c r="W19" s="59"/>
      <c r="X19" s="59"/>
      <c r="Y19" s="559"/>
      <c r="Z19" s="559"/>
      <c r="AA19" s="61">
        <f t="shared" si="8"/>
        <v>-70.922529372539429</v>
      </c>
      <c r="AB19" s="334">
        <f t="shared" si="9"/>
        <v>0.95862852453268532</v>
      </c>
      <c r="AC19" s="566"/>
    </row>
    <row r="20" spans="1:29" ht="15.75" customHeight="1">
      <c r="A20" s="588" t="s">
        <v>1525</v>
      </c>
      <c r="B20" s="57" t="s">
        <v>12</v>
      </c>
      <c r="C20" s="584" t="s">
        <v>19</v>
      </c>
      <c r="D20" s="584"/>
      <c r="E20" s="57">
        <v>43.14</v>
      </c>
      <c r="F20" s="344">
        <v>1081</v>
      </c>
      <c r="G20" s="332">
        <f t="shared" ref="G20:G27" si="19">E20*F20</f>
        <v>46634.340000000004</v>
      </c>
      <c r="H20" s="346" t="s">
        <v>5</v>
      </c>
      <c r="I20" s="342">
        <v>17</v>
      </c>
      <c r="J20" s="58">
        <v>2000</v>
      </c>
      <c r="K20" s="59">
        <f t="shared" si="1"/>
        <v>117.64705882352941</v>
      </c>
      <c r="L20" s="342">
        <v>17</v>
      </c>
      <c r="M20" s="60">
        <f t="shared" ref="M20:M27" si="20">F20/V20*60</f>
        <v>1907.6470588235293</v>
      </c>
      <c r="N20" s="59">
        <f t="shared" si="3"/>
        <v>112.21453287197231</v>
      </c>
      <c r="O20" s="61">
        <f t="shared" si="4"/>
        <v>0</v>
      </c>
      <c r="P20" s="62">
        <f t="shared" si="5"/>
        <v>-5.4325259515570963</v>
      </c>
      <c r="Q20" s="334">
        <f t="shared" si="6"/>
        <v>0.95382352941176463</v>
      </c>
      <c r="R20" s="566">
        <f>Q28</f>
        <v>0.95870660259227203</v>
      </c>
      <c r="S20" s="63">
        <v>0.20833333333333334</v>
      </c>
      <c r="T20" s="63">
        <v>0.23194444444444445</v>
      </c>
      <c r="U20" s="332"/>
      <c r="V20" s="343">
        <f t="shared" ref="V20:V27" si="21">(T20-S20)*24*60</f>
        <v>34</v>
      </c>
      <c r="W20" s="68"/>
      <c r="X20" s="68"/>
      <c r="Y20" s="559"/>
      <c r="Z20" s="559"/>
      <c r="AA20" s="61">
        <f t="shared" si="8"/>
        <v>-92.352941176470722</v>
      </c>
      <c r="AB20" s="334">
        <f t="shared" si="9"/>
        <v>0.95382352941176463</v>
      </c>
      <c r="AC20" s="566">
        <f>AB28</f>
        <v>0.95870660259227214</v>
      </c>
    </row>
    <row r="21" spans="1:29" ht="15.75" customHeight="1">
      <c r="A21" s="589" t="s">
        <v>1526</v>
      </c>
      <c r="B21" s="57" t="s">
        <v>65</v>
      </c>
      <c r="C21" s="584" t="s">
        <v>97</v>
      </c>
      <c r="D21" s="584"/>
      <c r="E21" s="57">
        <v>49.9</v>
      </c>
      <c r="F21" s="344">
        <v>1468</v>
      </c>
      <c r="G21" s="332">
        <f t="shared" si="19"/>
        <v>73253.2</v>
      </c>
      <c r="H21" s="346" t="s">
        <v>5</v>
      </c>
      <c r="I21" s="342">
        <v>17</v>
      </c>
      <c r="J21" s="58">
        <v>2000</v>
      </c>
      <c r="K21" s="59">
        <f t="shared" si="1"/>
        <v>117.64705882352941</v>
      </c>
      <c r="L21" s="342">
        <v>17</v>
      </c>
      <c r="M21" s="60">
        <f t="shared" si="20"/>
        <v>1914.7826086956507</v>
      </c>
      <c r="N21" s="59">
        <f t="shared" si="3"/>
        <v>112.63427109974415</v>
      </c>
      <c r="O21" s="61">
        <f t="shared" si="4"/>
        <v>0</v>
      </c>
      <c r="P21" s="62">
        <f t="shared" si="5"/>
        <v>-5.0127877237852516</v>
      </c>
      <c r="Q21" s="334">
        <f t="shared" si="6"/>
        <v>0.95739130434782538</v>
      </c>
      <c r="R21" s="566"/>
      <c r="S21" s="63">
        <v>0.23750000000000002</v>
      </c>
      <c r="T21" s="63">
        <v>0.26944444444444449</v>
      </c>
      <c r="U21" s="332">
        <f t="shared" ref="U21:U27" si="22">IF(S21=TIME(17,0,0),"",(S21-T20)*24*60)</f>
        <v>8.0000000000000107</v>
      </c>
      <c r="V21" s="343">
        <f t="shared" si="21"/>
        <v>46.000000000000036</v>
      </c>
      <c r="W21" s="64"/>
      <c r="X21" s="332"/>
      <c r="Y21" s="559"/>
      <c r="Z21" s="559"/>
      <c r="AA21" s="61">
        <f t="shared" si="8"/>
        <v>-85.217391304349349</v>
      </c>
      <c r="AB21" s="334">
        <f t="shared" si="9"/>
        <v>0.95739130434782538</v>
      </c>
      <c r="AC21" s="566"/>
    </row>
    <row r="22" spans="1:29" ht="15.75" customHeight="1">
      <c r="A22" s="589" t="s">
        <v>1526</v>
      </c>
      <c r="B22" s="57" t="s">
        <v>6</v>
      </c>
      <c r="C22" s="584" t="s">
        <v>20</v>
      </c>
      <c r="D22" s="584"/>
      <c r="E22" s="57">
        <v>57.73</v>
      </c>
      <c r="F22" s="344">
        <v>3091</v>
      </c>
      <c r="G22" s="332">
        <f t="shared" si="19"/>
        <v>178443.43</v>
      </c>
      <c r="H22" s="346" t="s">
        <v>5</v>
      </c>
      <c r="I22" s="342">
        <v>14</v>
      </c>
      <c r="J22" s="58">
        <v>2000</v>
      </c>
      <c r="K22" s="59">
        <f t="shared" si="1"/>
        <v>142.85714285714286</v>
      </c>
      <c r="L22" s="342">
        <v>14</v>
      </c>
      <c r="M22" s="60">
        <f t="shared" si="20"/>
        <v>1911.9587628865984</v>
      </c>
      <c r="N22" s="59">
        <f t="shared" si="3"/>
        <v>136.56848306332844</v>
      </c>
      <c r="O22" s="61">
        <f t="shared" si="4"/>
        <v>0</v>
      </c>
      <c r="P22" s="62">
        <f t="shared" si="5"/>
        <v>-6.2886597938144178</v>
      </c>
      <c r="Q22" s="334">
        <f t="shared" si="6"/>
        <v>0.95597938144329908</v>
      </c>
      <c r="R22" s="566"/>
      <c r="S22" s="63">
        <v>0.27500000000000002</v>
      </c>
      <c r="T22" s="63">
        <v>0.34236111111111112</v>
      </c>
      <c r="U22" s="332">
        <f t="shared" si="22"/>
        <v>7.9999999999999716</v>
      </c>
      <c r="V22" s="343">
        <f t="shared" si="21"/>
        <v>96.999999999999972</v>
      </c>
      <c r="W22" s="64"/>
      <c r="X22" s="332"/>
      <c r="Y22" s="559"/>
      <c r="Z22" s="559"/>
      <c r="AA22" s="61">
        <f t="shared" si="8"/>
        <v>-88.041237113401621</v>
      </c>
      <c r="AB22" s="334">
        <f t="shared" si="9"/>
        <v>0.95597938144329919</v>
      </c>
      <c r="AC22" s="566"/>
    </row>
    <row r="23" spans="1:29" ht="15.75" customHeight="1">
      <c r="A23" s="589" t="s">
        <v>1526</v>
      </c>
      <c r="B23" s="57" t="s">
        <v>6</v>
      </c>
      <c r="C23" s="584" t="s">
        <v>21</v>
      </c>
      <c r="D23" s="584"/>
      <c r="E23" s="57">
        <v>53.68</v>
      </c>
      <c r="F23" s="344">
        <v>1806</v>
      </c>
      <c r="G23" s="332">
        <f t="shared" si="19"/>
        <v>96946.08</v>
      </c>
      <c r="H23" s="346" t="s">
        <v>5</v>
      </c>
      <c r="I23" s="342">
        <v>16</v>
      </c>
      <c r="J23" s="58">
        <v>2000</v>
      </c>
      <c r="K23" s="59">
        <f t="shared" si="1"/>
        <v>125</v>
      </c>
      <c r="L23" s="342">
        <v>16</v>
      </c>
      <c r="M23" s="60">
        <f t="shared" si="20"/>
        <v>1901.0526315789486</v>
      </c>
      <c r="N23" s="59">
        <f t="shared" si="3"/>
        <v>118.81578947368429</v>
      </c>
      <c r="O23" s="61">
        <f t="shared" si="4"/>
        <v>0</v>
      </c>
      <c r="P23" s="62">
        <f t="shared" si="5"/>
        <v>-6.1842105263157094</v>
      </c>
      <c r="Q23" s="334">
        <f t="shared" si="6"/>
        <v>0.95052631578947433</v>
      </c>
      <c r="R23" s="566"/>
      <c r="S23" s="63">
        <v>0.34791666666666665</v>
      </c>
      <c r="T23" s="63">
        <v>0.38749999999999996</v>
      </c>
      <c r="U23" s="332">
        <f t="shared" si="22"/>
        <v>7.9999999999999716</v>
      </c>
      <c r="V23" s="343">
        <f t="shared" si="21"/>
        <v>56.999999999999957</v>
      </c>
      <c r="W23" s="64"/>
      <c r="X23" s="332"/>
      <c r="Y23" s="559"/>
      <c r="Z23" s="559"/>
      <c r="AA23" s="61">
        <f t="shared" si="8"/>
        <v>-98.947368421051351</v>
      </c>
      <c r="AB23" s="334">
        <f t="shared" si="9"/>
        <v>0.95052631578947433</v>
      </c>
      <c r="AC23" s="566"/>
    </row>
    <row r="24" spans="1:29" ht="15.75" customHeight="1">
      <c r="A24" s="589" t="s">
        <v>1525</v>
      </c>
      <c r="B24" s="57" t="s">
        <v>6</v>
      </c>
      <c r="C24" s="584" t="s">
        <v>96</v>
      </c>
      <c r="D24" s="584"/>
      <c r="E24" s="57">
        <v>49.91</v>
      </c>
      <c r="F24" s="344">
        <v>1227</v>
      </c>
      <c r="G24" s="332">
        <f t="shared" si="19"/>
        <v>61239.569999999992</v>
      </c>
      <c r="H24" s="346" t="s">
        <v>5</v>
      </c>
      <c r="I24" s="342">
        <v>17</v>
      </c>
      <c r="J24" s="58">
        <v>2000</v>
      </c>
      <c r="K24" s="59">
        <f t="shared" si="1"/>
        <v>117.64705882352941</v>
      </c>
      <c r="L24" s="342">
        <v>17</v>
      </c>
      <c r="M24" s="60">
        <f t="shared" si="20"/>
        <v>1937.3684210526299</v>
      </c>
      <c r="N24" s="59">
        <f t="shared" si="3"/>
        <v>113.96284829721353</v>
      </c>
      <c r="O24" s="61">
        <f t="shared" si="4"/>
        <v>0</v>
      </c>
      <c r="P24" s="62">
        <f t="shared" si="5"/>
        <v>-3.68421052631588</v>
      </c>
      <c r="Q24" s="334">
        <f t="shared" si="6"/>
        <v>0.96868421052631504</v>
      </c>
      <c r="R24" s="566"/>
      <c r="S24" s="63">
        <v>0.39166666666666661</v>
      </c>
      <c r="T24" s="63">
        <v>0.41805555555555551</v>
      </c>
      <c r="U24" s="332">
        <f t="shared" si="22"/>
        <v>5.9999999999999787</v>
      </c>
      <c r="V24" s="343">
        <f t="shared" si="21"/>
        <v>38.000000000000028</v>
      </c>
      <c r="W24" s="64"/>
      <c r="X24" s="332"/>
      <c r="Y24" s="559"/>
      <c r="Z24" s="559"/>
      <c r="AA24" s="61">
        <f t="shared" si="8"/>
        <v>-62.631578947370144</v>
      </c>
      <c r="AB24" s="334">
        <f t="shared" si="9"/>
        <v>0.96868421052631493</v>
      </c>
      <c r="AC24" s="566"/>
    </row>
    <row r="25" spans="1:29" ht="15.75" customHeight="1">
      <c r="A25" s="589" t="s">
        <v>1526</v>
      </c>
      <c r="B25" s="57" t="s">
        <v>6</v>
      </c>
      <c r="C25" s="584" t="s">
        <v>22</v>
      </c>
      <c r="D25" s="584"/>
      <c r="E25" s="57">
        <v>54.09</v>
      </c>
      <c r="F25" s="344">
        <v>1796</v>
      </c>
      <c r="G25" s="332">
        <f t="shared" si="19"/>
        <v>97145.64</v>
      </c>
      <c r="H25" s="346" t="s">
        <v>5</v>
      </c>
      <c r="I25" s="342">
        <v>19</v>
      </c>
      <c r="J25" s="58">
        <v>2000</v>
      </c>
      <c r="K25" s="59">
        <f t="shared" si="1"/>
        <v>105.26315789473684</v>
      </c>
      <c r="L25" s="342">
        <v>19</v>
      </c>
      <c r="M25" s="60">
        <f t="shared" si="20"/>
        <v>1924.2857142857158</v>
      </c>
      <c r="N25" s="59">
        <f t="shared" si="3"/>
        <v>101.27819548872189</v>
      </c>
      <c r="O25" s="61">
        <f t="shared" si="4"/>
        <v>0</v>
      </c>
      <c r="P25" s="62">
        <f t="shared" si="5"/>
        <v>-3.9849624060149438</v>
      </c>
      <c r="Q25" s="334">
        <f t="shared" si="6"/>
        <v>0.96214285714285808</v>
      </c>
      <c r="R25" s="566"/>
      <c r="S25" s="63">
        <v>0.70833333333333337</v>
      </c>
      <c r="T25" s="63">
        <v>0.74722222222222223</v>
      </c>
      <c r="U25" s="332" t="str">
        <f t="shared" si="22"/>
        <v/>
      </c>
      <c r="V25" s="343">
        <f t="shared" si="21"/>
        <v>55.999999999999957</v>
      </c>
      <c r="W25" s="64"/>
      <c r="X25" s="68"/>
      <c r="Y25" s="559"/>
      <c r="Z25" s="559"/>
      <c r="AA25" s="61">
        <f t="shared" si="8"/>
        <v>-75.714285714284188</v>
      </c>
      <c r="AB25" s="334">
        <f t="shared" si="9"/>
        <v>0.96214285714285785</v>
      </c>
      <c r="AC25" s="566"/>
    </row>
    <row r="26" spans="1:29" ht="15.75" customHeight="1">
      <c r="A26" s="589" t="s">
        <v>1526</v>
      </c>
      <c r="B26" s="57" t="s">
        <v>6</v>
      </c>
      <c r="C26" s="584" t="s">
        <v>69</v>
      </c>
      <c r="D26" s="584"/>
      <c r="E26" s="57">
        <v>57.73</v>
      </c>
      <c r="F26" s="344">
        <v>1514</v>
      </c>
      <c r="G26" s="332">
        <f t="shared" si="19"/>
        <v>87403.22</v>
      </c>
      <c r="H26" s="346" t="s">
        <v>5</v>
      </c>
      <c r="I26" s="342">
        <v>16</v>
      </c>
      <c r="J26" s="58">
        <v>1500</v>
      </c>
      <c r="K26" s="59">
        <f t="shared" si="1"/>
        <v>93.75</v>
      </c>
      <c r="L26" s="342">
        <v>16</v>
      </c>
      <c r="M26" s="60">
        <f t="shared" si="20"/>
        <v>1441.9047619047633</v>
      </c>
      <c r="N26" s="59">
        <f t="shared" si="3"/>
        <v>90.119047619047706</v>
      </c>
      <c r="O26" s="61">
        <f t="shared" si="4"/>
        <v>0</v>
      </c>
      <c r="P26" s="62">
        <f t="shared" si="5"/>
        <v>-3.6309523809522943</v>
      </c>
      <c r="Q26" s="334">
        <f t="shared" si="6"/>
        <v>0.96126984126984216</v>
      </c>
      <c r="R26" s="566"/>
      <c r="S26" s="63">
        <v>0.75138888888888888</v>
      </c>
      <c r="T26" s="63">
        <v>0.79513888888888884</v>
      </c>
      <c r="U26" s="332">
        <f t="shared" si="22"/>
        <v>5.9999999999999787</v>
      </c>
      <c r="V26" s="343">
        <f t="shared" si="21"/>
        <v>62.999999999999936</v>
      </c>
      <c r="W26" s="64"/>
      <c r="X26" s="68"/>
      <c r="Y26" s="569"/>
      <c r="Z26" s="570"/>
      <c r="AA26" s="61">
        <f t="shared" si="8"/>
        <v>-58.095238095236709</v>
      </c>
      <c r="AB26" s="334">
        <f t="shared" si="9"/>
        <v>0.96126984126984216</v>
      </c>
      <c r="AC26" s="566"/>
    </row>
    <row r="27" spans="1:29" ht="15.75" customHeight="1">
      <c r="A27" s="589" t="s">
        <v>1525</v>
      </c>
      <c r="B27" s="57" t="s">
        <v>6</v>
      </c>
      <c r="C27" s="585" t="s">
        <v>68</v>
      </c>
      <c r="D27" s="586"/>
      <c r="E27" s="57">
        <v>50.67</v>
      </c>
      <c r="F27" s="344">
        <v>2017</v>
      </c>
      <c r="G27" s="332">
        <f t="shared" si="19"/>
        <v>102201.39</v>
      </c>
      <c r="H27" s="346" t="s">
        <v>5</v>
      </c>
      <c r="I27" s="342">
        <v>15</v>
      </c>
      <c r="J27" s="58">
        <v>2000</v>
      </c>
      <c r="K27" s="59">
        <f t="shared" si="1"/>
        <v>133.33333333333334</v>
      </c>
      <c r="L27" s="342">
        <v>15</v>
      </c>
      <c r="M27" s="60">
        <f t="shared" si="20"/>
        <v>1920.9523809523828</v>
      </c>
      <c r="N27" s="59">
        <f t="shared" si="3"/>
        <v>128.06349206349219</v>
      </c>
      <c r="O27" s="61">
        <f t="shared" si="4"/>
        <v>0</v>
      </c>
      <c r="P27" s="62">
        <f t="shared" si="5"/>
        <v>-5.2698412698411516</v>
      </c>
      <c r="Q27" s="334">
        <f t="shared" si="6"/>
        <v>0.96047619047619137</v>
      </c>
      <c r="R27" s="566"/>
      <c r="S27" s="63">
        <v>0.80069444444444438</v>
      </c>
      <c r="T27" s="63">
        <v>0.84444444444444433</v>
      </c>
      <c r="U27" s="332">
        <f t="shared" si="22"/>
        <v>7.9999999999999716</v>
      </c>
      <c r="V27" s="343">
        <f t="shared" si="21"/>
        <v>62.999999999999936</v>
      </c>
      <c r="W27" s="64"/>
      <c r="X27" s="64"/>
      <c r="Y27" s="569"/>
      <c r="Z27" s="570"/>
      <c r="AA27" s="61">
        <f t="shared" si="8"/>
        <v>-79.047619047617218</v>
      </c>
      <c r="AB27" s="334">
        <f t="shared" si="9"/>
        <v>0.96047619047619137</v>
      </c>
      <c r="AC27" s="566"/>
    </row>
    <row r="28" spans="1:29" ht="15.75" customHeight="1">
      <c r="A28" s="589" t="s">
        <v>1525</v>
      </c>
      <c r="B28" s="57" t="s">
        <v>1524</v>
      </c>
      <c r="C28" s="571"/>
      <c r="D28" s="571"/>
      <c r="E28" s="339"/>
      <c r="F28" s="344"/>
      <c r="G28" s="332"/>
      <c r="H28" s="344"/>
      <c r="I28" s="67">
        <v>16.375</v>
      </c>
      <c r="J28" s="58">
        <v>1937.5</v>
      </c>
      <c r="K28" s="59">
        <f t="shared" si="1"/>
        <v>118.32061068702291</v>
      </c>
      <c r="L28" s="67">
        <v>16.375</v>
      </c>
      <c r="M28" s="60">
        <f>AVERAGE(M20:M27)</f>
        <v>1857.4940425225273</v>
      </c>
      <c r="N28" s="59">
        <f t="shared" si="3"/>
        <v>113.43475068839861</v>
      </c>
      <c r="O28" s="61">
        <f t="shared" si="4"/>
        <v>0</v>
      </c>
      <c r="P28" s="62">
        <f t="shared" si="5"/>
        <v>-4.8858599986242979</v>
      </c>
      <c r="Q28" s="334">
        <f t="shared" si="6"/>
        <v>0.95870660259227203</v>
      </c>
      <c r="R28" s="566"/>
      <c r="S28" s="63"/>
      <c r="T28" s="63"/>
      <c r="U28" s="59"/>
      <c r="V28" s="343"/>
      <c r="W28" s="59"/>
      <c r="X28" s="59"/>
      <c r="Y28" s="559"/>
      <c r="Z28" s="559"/>
      <c r="AA28" s="61">
        <f t="shared" si="8"/>
        <v>-80.005957477472748</v>
      </c>
      <c r="AB28" s="334">
        <f t="shared" si="9"/>
        <v>0.95870660259227214</v>
      </c>
      <c r="AC28" s="566"/>
    </row>
    <row r="29" spans="1:29" ht="15.75" customHeight="1">
      <c r="A29" s="587" t="s">
        <v>1527</v>
      </c>
      <c r="B29" s="57" t="s">
        <v>15</v>
      </c>
      <c r="C29" s="584" t="s">
        <v>26</v>
      </c>
      <c r="D29" s="584"/>
      <c r="E29" s="57">
        <v>31.29</v>
      </c>
      <c r="F29" s="344">
        <v>4500</v>
      </c>
      <c r="G29" s="332">
        <f t="shared" ref="G29:G37" si="23">E29*F29</f>
        <v>140805</v>
      </c>
      <c r="H29" s="346">
        <v>2</v>
      </c>
      <c r="I29" s="342">
        <v>18</v>
      </c>
      <c r="J29" s="58">
        <v>2400</v>
      </c>
      <c r="K29" s="59">
        <f t="shared" si="1"/>
        <v>133.33333333333334</v>
      </c>
      <c r="L29" s="342">
        <v>18</v>
      </c>
      <c r="M29" s="60">
        <f t="shared" ref="M29:M37" si="24">F29/V29*60</f>
        <v>2288.1355932203392</v>
      </c>
      <c r="N29" s="59">
        <f t="shared" si="3"/>
        <v>127.11864406779662</v>
      </c>
      <c r="O29" s="61">
        <f t="shared" si="4"/>
        <v>0</v>
      </c>
      <c r="P29" s="62">
        <f t="shared" si="5"/>
        <v>-6.2146892655367196</v>
      </c>
      <c r="Q29" s="334">
        <f t="shared" si="6"/>
        <v>0.95338983050847459</v>
      </c>
      <c r="R29" s="566">
        <f>Q38</f>
        <v>0.95488313643007061</v>
      </c>
      <c r="S29" s="63">
        <v>8.3333333333333329E-2</v>
      </c>
      <c r="T29" s="63">
        <v>0.16527777777777777</v>
      </c>
      <c r="U29" s="332"/>
      <c r="V29" s="343">
        <f t="shared" ref="V29:V37" si="25">(T29-S29)*24*60</f>
        <v>118</v>
      </c>
      <c r="W29" s="64">
        <f>T29</f>
        <v>0.16527777777777777</v>
      </c>
      <c r="X29" s="64">
        <f>S30</f>
        <v>0.18611111111111112</v>
      </c>
      <c r="Y29" s="559"/>
      <c r="Z29" s="559"/>
      <c r="AA29" s="61">
        <f t="shared" si="8"/>
        <v>-111.86440677966084</v>
      </c>
      <c r="AB29" s="334">
        <f t="shared" si="9"/>
        <v>0.9533898305084747</v>
      </c>
      <c r="AC29" s="566">
        <f>AB38</f>
        <v>0.95488313643007061</v>
      </c>
    </row>
    <row r="30" spans="1:29" ht="15.75" customHeight="1">
      <c r="A30" s="587" t="s">
        <v>1527</v>
      </c>
      <c r="B30" s="57" t="s">
        <v>15</v>
      </c>
      <c r="C30" s="584" t="s">
        <v>23</v>
      </c>
      <c r="D30" s="584"/>
      <c r="E30" s="57">
        <v>26.2</v>
      </c>
      <c r="F30" s="344">
        <v>3300</v>
      </c>
      <c r="G30" s="332">
        <f t="shared" si="23"/>
        <v>86460</v>
      </c>
      <c r="H30" s="346">
        <v>2</v>
      </c>
      <c r="I30" s="342">
        <v>20</v>
      </c>
      <c r="J30" s="58">
        <v>2400</v>
      </c>
      <c r="K30" s="59">
        <f t="shared" si="1"/>
        <v>120</v>
      </c>
      <c r="L30" s="342">
        <v>20</v>
      </c>
      <c r="M30" s="60">
        <f t="shared" si="24"/>
        <v>2302.3255813953483</v>
      </c>
      <c r="N30" s="59">
        <f t="shared" si="3"/>
        <v>115.11627906976742</v>
      </c>
      <c r="O30" s="61">
        <f t="shared" si="4"/>
        <v>0</v>
      </c>
      <c r="P30" s="62">
        <f t="shared" si="5"/>
        <v>-4.8837209302325846</v>
      </c>
      <c r="Q30" s="334">
        <f t="shared" si="6"/>
        <v>0.95930232558139517</v>
      </c>
      <c r="R30" s="566"/>
      <c r="S30" s="63">
        <v>0.18611111111111112</v>
      </c>
      <c r="T30" s="63">
        <v>0.24583333333333335</v>
      </c>
      <c r="U30" s="332">
        <f t="shared" ref="U30:U37" si="26">(S30-T29)*24*60</f>
        <v>30.000000000000014</v>
      </c>
      <c r="V30" s="343">
        <f t="shared" si="25"/>
        <v>86.000000000000014</v>
      </c>
      <c r="W30" s="64"/>
      <c r="X30" s="64"/>
      <c r="Y30" s="559"/>
      <c r="Z30" s="559"/>
      <c r="AA30" s="61">
        <f t="shared" si="8"/>
        <v>-97.674418604651692</v>
      </c>
      <c r="AB30" s="334">
        <f t="shared" si="9"/>
        <v>0.95930232558139517</v>
      </c>
      <c r="AC30" s="566"/>
    </row>
    <row r="31" spans="1:29" ht="15.75" customHeight="1">
      <c r="A31" s="587" t="s">
        <v>1528</v>
      </c>
      <c r="B31" s="57" t="s">
        <v>15</v>
      </c>
      <c r="C31" s="584" t="s">
        <v>70</v>
      </c>
      <c r="D31" s="584"/>
      <c r="E31" s="57">
        <v>25.99</v>
      </c>
      <c r="F31" s="344">
        <v>3000</v>
      </c>
      <c r="G31" s="332">
        <f t="shared" si="23"/>
        <v>77970</v>
      </c>
      <c r="H31" s="346">
        <v>2</v>
      </c>
      <c r="I31" s="342">
        <v>14</v>
      </c>
      <c r="J31" s="58">
        <v>2400</v>
      </c>
      <c r="K31" s="59">
        <f t="shared" si="1"/>
        <v>171.42857142857142</v>
      </c>
      <c r="L31" s="342">
        <v>14</v>
      </c>
      <c r="M31" s="60">
        <f t="shared" si="24"/>
        <v>2307.6923076923063</v>
      </c>
      <c r="N31" s="59">
        <f t="shared" si="3"/>
        <v>164.83516483516473</v>
      </c>
      <c r="O31" s="61">
        <f t="shared" si="4"/>
        <v>0</v>
      </c>
      <c r="P31" s="62">
        <f t="shared" si="5"/>
        <v>-6.5934065934066837</v>
      </c>
      <c r="Q31" s="334">
        <f t="shared" si="6"/>
        <v>0.96153846153846101</v>
      </c>
      <c r="R31" s="566"/>
      <c r="S31" s="63">
        <v>0.25138888888888888</v>
      </c>
      <c r="T31" s="63">
        <v>0.30555555555555558</v>
      </c>
      <c r="U31" s="332">
        <f t="shared" si="26"/>
        <v>7.9999999999999716</v>
      </c>
      <c r="V31" s="343">
        <f t="shared" si="25"/>
        <v>78.000000000000043</v>
      </c>
      <c r="W31" s="64"/>
      <c r="X31" s="64"/>
      <c r="Y31" s="559"/>
      <c r="Z31" s="559"/>
      <c r="AA31" s="61">
        <f t="shared" si="8"/>
        <v>-92.307692307693742</v>
      </c>
      <c r="AB31" s="334">
        <f t="shared" si="9"/>
        <v>0.9615384615384609</v>
      </c>
      <c r="AC31" s="566"/>
    </row>
    <row r="32" spans="1:29" ht="15.75" customHeight="1">
      <c r="A32" s="587" t="s">
        <v>1527</v>
      </c>
      <c r="B32" s="57" t="s">
        <v>15</v>
      </c>
      <c r="C32" s="584" t="s">
        <v>45</v>
      </c>
      <c r="D32" s="584"/>
      <c r="E32" s="57">
        <v>20.52</v>
      </c>
      <c r="F32" s="344">
        <v>5377</v>
      </c>
      <c r="G32" s="332">
        <f t="shared" si="23"/>
        <v>110336.04</v>
      </c>
      <c r="H32" s="346" t="s">
        <v>5</v>
      </c>
      <c r="I32" s="342">
        <v>18</v>
      </c>
      <c r="J32" s="58">
        <v>2400</v>
      </c>
      <c r="K32" s="59">
        <f t="shared" si="1"/>
        <v>133.33333333333334</v>
      </c>
      <c r="L32" s="342">
        <v>18</v>
      </c>
      <c r="M32" s="60">
        <f t="shared" si="24"/>
        <v>2288.0851063829791</v>
      </c>
      <c r="N32" s="59">
        <f t="shared" si="3"/>
        <v>127.11583924349884</v>
      </c>
      <c r="O32" s="61">
        <f t="shared" si="4"/>
        <v>0</v>
      </c>
      <c r="P32" s="62">
        <f t="shared" si="5"/>
        <v>-6.2174940898345028</v>
      </c>
      <c r="Q32" s="334">
        <f t="shared" si="6"/>
        <v>0.95336879432624122</v>
      </c>
      <c r="R32" s="566"/>
      <c r="S32" s="63">
        <v>0.31111111111111112</v>
      </c>
      <c r="T32" s="63">
        <v>0.40902777777777777</v>
      </c>
      <c r="U32" s="332">
        <f t="shared" si="26"/>
        <v>7.9999999999999716</v>
      </c>
      <c r="V32" s="343">
        <f t="shared" si="25"/>
        <v>140.99999999999997</v>
      </c>
      <c r="W32" s="64"/>
      <c r="X32" s="64"/>
      <c r="Y32" s="559"/>
      <c r="Z32" s="559"/>
      <c r="AA32" s="61">
        <f t="shared" si="8"/>
        <v>-111.91489361702088</v>
      </c>
      <c r="AB32" s="334">
        <f t="shared" si="9"/>
        <v>0.95336879432624133</v>
      </c>
      <c r="AC32" s="566"/>
    </row>
    <row r="33" spans="1:29" ht="15.75" customHeight="1">
      <c r="A33" s="587" t="s">
        <v>1527</v>
      </c>
      <c r="B33" s="57" t="s">
        <v>15</v>
      </c>
      <c r="C33" s="584" t="s">
        <v>98</v>
      </c>
      <c r="D33" s="584"/>
      <c r="E33" s="57">
        <v>25.98</v>
      </c>
      <c r="F33" s="344">
        <v>4757</v>
      </c>
      <c r="G33" s="332">
        <f t="shared" si="23"/>
        <v>123586.86</v>
      </c>
      <c r="H33" s="346" t="s">
        <v>5</v>
      </c>
      <c r="I33" s="342">
        <v>21</v>
      </c>
      <c r="J33" s="58">
        <v>2400</v>
      </c>
      <c r="K33" s="59">
        <f t="shared" si="1"/>
        <v>114.28571428571429</v>
      </c>
      <c r="L33" s="342">
        <v>21</v>
      </c>
      <c r="M33" s="60">
        <f t="shared" si="24"/>
        <v>2283.3599999999992</v>
      </c>
      <c r="N33" s="59">
        <f t="shared" si="3"/>
        <v>108.73142857142854</v>
      </c>
      <c r="O33" s="61">
        <f t="shared" si="4"/>
        <v>0</v>
      </c>
      <c r="P33" s="62">
        <f t="shared" si="5"/>
        <v>-5.5542857142857542</v>
      </c>
      <c r="Q33" s="334">
        <f t="shared" si="6"/>
        <v>0.95139999999999969</v>
      </c>
      <c r="R33" s="566"/>
      <c r="S33" s="63">
        <v>0.41249999999999998</v>
      </c>
      <c r="T33" s="63">
        <v>0.49930555555555556</v>
      </c>
      <c r="U33" s="332">
        <f t="shared" si="26"/>
        <v>4.9999999999999822</v>
      </c>
      <c r="V33" s="343">
        <f t="shared" si="25"/>
        <v>125.00000000000003</v>
      </c>
      <c r="W33" s="64"/>
      <c r="X33" s="64"/>
      <c r="Y33" s="559"/>
      <c r="Z33" s="559"/>
      <c r="AA33" s="61">
        <f t="shared" si="8"/>
        <v>-116.64000000000078</v>
      </c>
      <c r="AB33" s="334">
        <f t="shared" si="9"/>
        <v>0.95139999999999969</v>
      </c>
      <c r="AC33" s="566"/>
    </row>
    <row r="34" spans="1:29" ht="15.75" customHeight="1">
      <c r="A34" s="587" t="s">
        <v>1527</v>
      </c>
      <c r="B34" s="57" t="s">
        <v>15</v>
      </c>
      <c r="C34" s="584" t="s">
        <v>100</v>
      </c>
      <c r="D34" s="584"/>
      <c r="E34" s="57">
        <v>28.51</v>
      </c>
      <c r="F34" s="344">
        <v>1221</v>
      </c>
      <c r="G34" s="332">
        <f t="shared" si="23"/>
        <v>34810.71</v>
      </c>
      <c r="H34" s="346" t="s">
        <v>5</v>
      </c>
      <c r="I34" s="342">
        <v>16</v>
      </c>
      <c r="J34" s="58">
        <v>2400</v>
      </c>
      <c r="K34" s="59">
        <f t="shared" si="1"/>
        <v>150</v>
      </c>
      <c r="L34" s="342">
        <v>16</v>
      </c>
      <c r="M34" s="60">
        <f t="shared" si="24"/>
        <v>2289.3749999999968</v>
      </c>
      <c r="N34" s="59">
        <f t="shared" si="3"/>
        <v>143.0859374999998</v>
      </c>
      <c r="O34" s="61">
        <f t="shared" si="4"/>
        <v>0</v>
      </c>
      <c r="P34" s="62">
        <f t="shared" si="5"/>
        <v>-6.914062500000199</v>
      </c>
      <c r="Q34" s="334">
        <f t="shared" si="6"/>
        <v>0.95390624999999862</v>
      </c>
      <c r="R34" s="566"/>
      <c r="S34" s="63">
        <v>0.50277777777777777</v>
      </c>
      <c r="T34" s="63">
        <v>0.52500000000000002</v>
      </c>
      <c r="U34" s="332">
        <f t="shared" si="26"/>
        <v>4.9999999999999822</v>
      </c>
      <c r="V34" s="343">
        <f t="shared" si="25"/>
        <v>32.000000000000043</v>
      </c>
      <c r="W34" s="64">
        <f>T34</f>
        <v>0.52500000000000002</v>
      </c>
      <c r="X34" s="64">
        <f>S35</f>
        <v>0.56458333333333333</v>
      </c>
      <c r="Y34" s="559"/>
      <c r="Z34" s="559"/>
      <c r="AA34" s="61">
        <f t="shared" si="8"/>
        <v>-110.62500000000318</v>
      </c>
      <c r="AB34" s="334">
        <f t="shared" si="9"/>
        <v>0.95390624999999862</v>
      </c>
      <c r="AC34" s="566"/>
    </row>
    <row r="35" spans="1:29" ht="15.75" customHeight="1">
      <c r="A35" s="587" t="s">
        <v>1527</v>
      </c>
      <c r="B35" s="57" t="s">
        <v>15</v>
      </c>
      <c r="C35" s="584" t="s">
        <v>26</v>
      </c>
      <c r="D35" s="584"/>
      <c r="E35" s="57">
        <v>31.29</v>
      </c>
      <c r="F35" s="344">
        <v>6238</v>
      </c>
      <c r="G35" s="332">
        <f t="shared" si="23"/>
        <v>195187.02</v>
      </c>
      <c r="H35" s="346" t="s">
        <v>5</v>
      </c>
      <c r="I35" s="342">
        <v>18</v>
      </c>
      <c r="J35" s="58">
        <v>2400</v>
      </c>
      <c r="K35" s="59">
        <f t="shared" si="1"/>
        <v>133.33333333333334</v>
      </c>
      <c r="L35" s="342">
        <v>18</v>
      </c>
      <c r="M35" s="60">
        <f t="shared" si="24"/>
        <v>2282.1951219512189</v>
      </c>
      <c r="N35" s="59">
        <f t="shared" si="3"/>
        <v>126.78861788617883</v>
      </c>
      <c r="O35" s="61">
        <f t="shared" si="4"/>
        <v>0</v>
      </c>
      <c r="P35" s="62">
        <f t="shared" si="5"/>
        <v>-6.5447154471545161</v>
      </c>
      <c r="Q35" s="334">
        <f t="shared" si="6"/>
        <v>0.95091463414634114</v>
      </c>
      <c r="R35" s="566"/>
      <c r="S35" s="63">
        <v>0.56458333333333333</v>
      </c>
      <c r="T35" s="63">
        <v>0.67847222222222225</v>
      </c>
      <c r="U35" s="332">
        <f t="shared" si="26"/>
        <v>56.999999999999957</v>
      </c>
      <c r="V35" s="343">
        <f t="shared" si="25"/>
        <v>164.00000000000006</v>
      </c>
      <c r="W35" s="64"/>
      <c r="X35" s="64"/>
      <c r="Y35" s="559"/>
      <c r="Z35" s="559"/>
      <c r="AA35" s="61">
        <f t="shared" si="8"/>
        <v>-117.80487804878112</v>
      </c>
      <c r="AB35" s="334">
        <f t="shared" si="9"/>
        <v>0.95091463414634125</v>
      </c>
      <c r="AC35" s="566"/>
    </row>
    <row r="36" spans="1:29" ht="15.75" customHeight="1">
      <c r="A36" s="587" t="s">
        <v>1527</v>
      </c>
      <c r="B36" s="57" t="s">
        <v>15</v>
      </c>
      <c r="C36" s="584" t="s">
        <v>23</v>
      </c>
      <c r="D36" s="584"/>
      <c r="E36" s="57">
        <v>26.2</v>
      </c>
      <c r="F36" s="344">
        <v>2554</v>
      </c>
      <c r="G36" s="332">
        <f t="shared" si="23"/>
        <v>66914.8</v>
      </c>
      <c r="H36" s="346" t="s">
        <v>5</v>
      </c>
      <c r="I36" s="342">
        <v>20</v>
      </c>
      <c r="J36" s="58">
        <v>2400</v>
      </c>
      <c r="K36" s="59">
        <f t="shared" si="1"/>
        <v>120</v>
      </c>
      <c r="L36" s="342">
        <v>20</v>
      </c>
      <c r="M36" s="60">
        <f t="shared" si="24"/>
        <v>2287.1641791044749</v>
      </c>
      <c r="N36" s="59">
        <f t="shared" si="3"/>
        <v>114.35820895522374</v>
      </c>
      <c r="O36" s="61">
        <f t="shared" si="4"/>
        <v>0</v>
      </c>
      <c r="P36" s="62">
        <f t="shared" si="5"/>
        <v>-5.6417910447762551</v>
      </c>
      <c r="Q36" s="334">
        <f t="shared" si="6"/>
        <v>0.95298507462686455</v>
      </c>
      <c r="R36" s="566"/>
      <c r="S36" s="63">
        <v>0.68402777777777779</v>
      </c>
      <c r="T36" s="63">
        <v>0.73055555555555562</v>
      </c>
      <c r="U36" s="332">
        <f t="shared" si="26"/>
        <v>7.9999999999999716</v>
      </c>
      <c r="V36" s="343">
        <f t="shared" si="25"/>
        <v>67.000000000000085</v>
      </c>
      <c r="W36" s="64"/>
      <c r="X36" s="64"/>
      <c r="Y36" s="559"/>
      <c r="Z36" s="559"/>
      <c r="AA36" s="61">
        <f t="shared" si="8"/>
        <v>-112.8358208955251</v>
      </c>
      <c r="AB36" s="334">
        <f t="shared" si="9"/>
        <v>0.95298507462686455</v>
      </c>
      <c r="AC36" s="566"/>
    </row>
    <row r="37" spans="1:29" ht="15.75" customHeight="1">
      <c r="A37" s="587" t="s">
        <v>1528</v>
      </c>
      <c r="B37" s="57" t="s">
        <v>15</v>
      </c>
      <c r="C37" s="585" t="s">
        <v>70</v>
      </c>
      <c r="D37" s="586"/>
      <c r="E37" s="57">
        <v>25.99</v>
      </c>
      <c r="F37" s="344">
        <v>2412</v>
      </c>
      <c r="G37" s="332">
        <f t="shared" si="23"/>
        <v>62687.88</v>
      </c>
      <c r="H37" s="346" t="s">
        <v>5</v>
      </c>
      <c r="I37" s="342">
        <v>14</v>
      </c>
      <c r="J37" s="58">
        <v>2400</v>
      </c>
      <c r="K37" s="59">
        <f t="shared" si="1"/>
        <v>171.42857142857142</v>
      </c>
      <c r="L37" s="342">
        <v>14</v>
      </c>
      <c r="M37" s="60">
        <f t="shared" si="24"/>
        <v>2297.1428571428596</v>
      </c>
      <c r="N37" s="59">
        <f t="shared" si="3"/>
        <v>164.0816326530614</v>
      </c>
      <c r="O37" s="61">
        <f t="shared" si="4"/>
        <v>0</v>
      </c>
      <c r="P37" s="62">
        <f t="shared" si="5"/>
        <v>-7.3469387755100115</v>
      </c>
      <c r="Q37" s="334">
        <f t="shared" si="6"/>
        <v>0.95714285714285829</v>
      </c>
      <c r="R37" s="566"/>
      <c r="S37" s="63">
        <v>0.73541666666666672</v>
      </c>
      <c r="T37" s="63">
        <v>0.77916666666666667</v>
      </c>
      <c r="U37" s="332">
        <f t="shared" si="26"/>
        <v>6.9999999999999751</v>
      </c>
      <c r="V37" s="343">
        <f t="shared" si="25"/>
        <v>62.999999999999936</v>
      </c>
      <c r="W37" s="64"/>
      <c r="X37" s="64"/>
      <c r="Y37" s="569"/>
      <c r="Z37" s="570"/>
      <c r="AA37" s="61">
        <f t="shared" si="8"/>
        <v>-102.85714285714039</v>
      </c>
      <c r="AB37" s="334">
        <f t="shared" si="9"/>
        <v>0.95714285714285818</v>
      </c>
      <c r="AC37" s="566"/>
    </row>
    <row r="38" spans="1:29" ht="15.75" customHeight="1">
      <c r="A38" s="587" t="s">
        <v>1527</v>
      </c>
      <c r="B38" s="57" t="s">
        <v>1529</v>
      </c>
      <c r="C38" s="571"/>
      <c r="D38" s="571"/>
      <c r="E38" s="339"/>
      <c r="F38" s="344"/>
      <c r="G38" s="332"/>
      <c r="H38" s="344"/>
      <c r="I38" s="67">
        <v>17.666666666666668</v>
      </c>
      <c r="J38" s="58">
        <v>2400</v>
      </c>
      <c r="K38" s="59">
        <f t="shared" si="1"/>
        <v>135.84905660377356</v>
      </c>
      <c r="L38" s="67">
        <v>17.666666666666668</v>
      </c>
      <c r="M38" s="60">
        <f>AVERAGE(M29:M37)</f>
        <v>2291.7195274321693</v>
      </c>
      <c r="N38" s="59">
        <f t="shared" si="3"/>
        <v>129.7199732508775</v>
      </c>
      <c r="O38" s="61">
        <f t="shared" si="4"/>
        <v>0</v>
      </c>
      <c r="P38" s="62">
        <f t="shared" si="5"/>
        <v>-6.1290833528960604</v>
      </c>
      <c r="Q38" s="334">
        <f t="shared" si="6"/>
        <v>0.95488313643007061</v>
      </c>
      <c r="R38" s="566"/>
      <c r="S38" s="63"/>
      <c r="T38" s="63"/>
      <c r="U38" s="332"/>
      <c r="V38" s="343"/>
      <c r="W38" s="332"/>
      <c r="X38" s="332"/>
      <c r="Y38" s="559"/>
      <c r="Z38" s="559"/>
      <c r="AA38" s="61">
        <f t="shared" si="8"/>
        <v>-108.28047256783066</v>
      </c>
      <c r="AB38" s="334">
        <f t="shared" si="9"/>
        <v>0.95488313643007061</v>
      </c>
      <c r="AC38" s="566"/>
    </row>
    <row r="39" spans="1:29" ht="15.75" customHeight="1">
      <c r="A39" s="582" t="s">
        <v>1530</v>
      </c>
      <c r="B39" s="57" t="s">
        <v>15</v>
      </c>
      <c r="C39" s="560" t="s">
        <v>101</v>
      </c>
      <c r="D39" s="560"/>
      <c r="E39" s="57">
        <v>22.69</v>
      </c>
      <c r="F39" s="344">
        <v>2021</v>
      </c>
      <c r="G39" s="332">
        <f t="shared" ref="G39:G46" si="27">E39*F39</f>
        <v>45856.490000000005</v>
      </c>
      <c r="H39" s="346" t="s">
        <v>5</v>
      </c>
      <c r="I39" s="342">
        <v>15</v>
      </c>
      <c r="J39" s="58">
        <v>2400</v>
      </c>
      <c r="K39" s="59">
        <f t="shared" si="1"/>
        <v>160</v>
      </c>
      <c r="L39" s="342">
        <v>15</v>
      </c>
      <c r="M39" s="60">
        <f t="shared" ref="M39:M46" si="28">F39/V39*60</f>
        <v>2287.9245283018868</v>
      </c>
      <c r="N39" s="59">
        <f t="shared" si="3"/>
        <v>152.52830188679246</v>
      </c>
      <c r="O39" s="61">
        <f t="shared" si="4"/>
        <v>0</v>
      </c>
      <c r="P39" s="62">
        <f t="shared" si="5"/>
        <v>-7.4716981132075375</v>
      </c>
      <c r="Q39" s="334">
        <f t="shared" si="6"/>
        <v>0.95330188679245287</v>
      </c>
      <c r="R39" s="566">
        <f>Q47</f>
        <v>0.95682923655760543</v>
      </c>
      <c r="S39" s="63">
        <v>8.3333333333333329E-2</v>
      </c>
      <c r="T39" s="63">
        <v>0.12013888888888888</v>
      </c>
      <c r="U39" s="332"/>
      <c r="V39" s="343">
        <f t="shared" ref="V39:V46" si="29">(T39-S39)*24*60</f>
        <v>52.999999999999993</v>
      </c>
      <c r="W39" s="68">
        <f>T39</f>
        <v>0.12013888888888888</v>
      </c>
      <c r="X39" s="68">
        <f>S40</f>
        <v>0.1388888888888889</v>
      </c>
      <c r="Y39" s="559"/>
      <c r="Z39" s="559"/>
      <c r="AA39" s="61">
        <f t="shared" si="8"/>
        <v>-112.07547169811323</v>
      </c>
      <c r="AB39" s="334">
        <f t="shared" si="9"/>
        <v>0.95330188679245287</v>
      </c>
      <c r="AC39" s="566">
        <f>AB47</f>
        <v>0.95682923655760554</v>
      </c>
    </row>
    <row r="40" spans="1:29" ht="15.75" customHeight="1">
      <c r="A40" s="582" t="s">
        <v>1530</v>
      </c>
      <c r="B40" s="57" t="s">
        <v>15</v>
      </c>
      <c r="C40" s="560" t="s">
        <v>27</v>
      </c>
      <c r="D40" s="560"/>
      <c r="E40" s="57">
        <v>26.2</v>
      </c>
      <c r="F40" s="344">
        <v>3500</v>
      </c>
      <c r="G40" s="332">
        <f t="shared" si="27"/>
        <v>91700</v>
      </c>
      <c r="H40" s="346">
        <v>2</v>
      </c>
      <c r="I40" s="342">
        <v>18</v>
      </c>
      <c r="J40" s="58">
        <v>2400</v>
      </c>
      <c r="K40" s="59">
        <f t="shared" si="1"/>
        <v>133.33333333333334</v>
      </c>
      <c r="L40" s="342">
        <v>18</v>
      </c>
      <c r="M40" s="60">
        <f t="shared" si="28"/>
        <v>2307.6923076923076</v>
      </c>
      <c r="N40" s="59">
        <f t="shared" si="3"/>
        <v>128.2051282051282</v>
      </c>
      <c r="O40" s="61">
        <f t="shared" si="4"/>
        <v>0</v>
      </c>
      <c r="P40" s="62">
        <f t="shared" si="5"/>
        <v>-5.1282051282051384</v>
      </c>
      <c r="Q40" s="334">
        <f t="shared" si="6"/>
        <v>0.96153846153846145</v>
      </c>
      <c r="R40" s="566"/>
      <c r="S40" s="63">
        <v>0.1388888888888889</v>
      </c>
      <c r="T40" s="63">
        <v>0.20208333333333334</v>
      </c>
      <c r="U40" s="332">
        <f t="shared" ref="U40:U46" si="30">(S40-T39)*24*60</f>
        <v>27.000000000000025</v>
      </c>
      <c r="V40" s="343">
        <f t="shared" si="29"/>
        <v>91</v>
      </c>
      <c r="W40" s="332"/>
      <c r="X40" s="332"/>
      <c r="Y40" s="559"/>
      <c r="Z40" s="559"/>
      <c r="AA40" s="61">
        <f t="shared" si="8"/>
        <v>-92.307692307692378</v>
      </c>
      <c r="AB40" s="334">
        <f t="shared" si="9"/>
        <v>0.96153846153846156</v>
      </c>
      <c r="AC40" s="566"/>
    </row>
    <row r="41" spans="1:29">
      <c r="A41" s="583" t="s">
        <v>1530</v>
      </c>
      <c r="B41" s="57" t="s">
        <v>15</v>
      </c>
      <c r="C41" s="560" t="s">
        <v>25</v>
      </c>
      <c r="D41" s="560"/>
      <c r="E41" s="57">
        <v>26.18</v>
      </c>
      <c r="F41" s="344">
        <v>2926</v>
      </c>
      <c r="G41" s="332">
        <f t="shared" si="27"/>
        <v>76602.679999999993</v>
      </c>
      <c r="H41" s="346" t="s">
        <v>5</v>
      </c>
      <c r="I41" s="342">
        <v>19</v>
      </c>
      <c r="J41" s="58">
        <v>2400</v>
      </c>
      <c r="K41" s="59">
        <f t="shared" si="1"/>
        <v>126.31578947368421</v>
      </c>
      <c r="L41" s="342">
        <v>19</v>
      </c>
      <c r="M41" s="60">
        <f t="shared" si="28"/>
        <v>2309.9999999999995</v>
      </c>
      <c r="N41" s="59">
        <f t="shared" si="3"/>
        <v>121.57894736842103</v>
      </c>
      <c r="O41" s="61">
        <f t="shared" si="4"/>
        <v>0</v>
      </c>
      <c r="P41" s="62">
        <f t="shared" si="5"/>
        <v>-4.7368421052631788</v>
      </c>
      <c r="Q41" s="334">
        <f t="shared" si="6"/>
        <v>0.9624999999999998</v>
      </c>
      <c r="R41" s="566"/>
      <c r="S41" s="63">
        <v>0.2076388888888889</v>
      </c>
      <c r="T41" s="63">
        <v>0.26041666666666669</v>
      </c>
      <c r="U41" s="332">
        <f t="shared" si="30"/>
        <v>8.0000000000000107</v>
      </c>
      <c r="V41" s="343">
        <f t="shared" si="29"/>
        <v>76.000000000000014</v>
      </c>
      <c r="W41" s="332"/>
      <c r="X41" s="332"/>
      <c r="Y41" s="559"/>
      <c r="Z41" s="559"/>
      <c r="AA41" s="61">
        <f t="shared" si="8"/>
        <v>-90.000000000000455</v>
      </c>
      <c r="AB41" s="334">
        <f t="shared" si="9"/>
        <v>0.9624999999999998</v>
      </c>
      <c r="AC41" s="566"/>
    </row>
    <row r="42" spans="1:29">
      <c r="A42" s="583" t="s">
        <v>1530</v>
      </c>
      <c r="B42" s="57" t="s">
        <v>15</v>
      </c>
      <c r="C42" s="560" t="s">
        <v>28</v>
      </c>
      <c r="D42" s="560"/>
      <c r="E42" s="57">
        <v>26.39</v>
      </c>
      <c r="F42" s="344">
        <v>4500</v>
      </c>
      <c r="G42" s="332">
        <f t="shared" si="27"/>
        <v>118755</v>
      </c>
      <c r="H42" s="346">
        <v>2</v>
      </c>
      <c r="I42" s="342">
        <v>19</v>
      </c>
      <c r="J42" s="58">
        <v>2400</v>
      </c>
      <c r="K42" s="59">
        <f t="shared" si="1"/>
        <v>126.31578947368421</v>
      </c>
      <c r="L42" s="342">
        <v>19</v>
      </c>
      <c r="M42" s="60">
        <f t="shared" si="28"/>
        <v>2288.1355932203396</v>
      </c>
      <c r="N42" s="59">
        <f t="shared" si="3"/>
        <v>120.42818911685998</v>
      </c>
      <c r="O42" s="61">
        <f t="shared" si="4"/>
        <v>0</v>
      </c>
      <c r="P42" s="62">
        <f t="shared" si="5"/>
        <v>-5.8876003568242226</v>
      </c>
      <c r="Q42" s="334">
        <f t="shared" si="6"/>
        <v>0.95338983050847492</v>
      </c>
      <c r="R42" s="566"/>
      <c r="S42" s="63">
        <v>0.2638888888888889</v>
      </c>
      <c r="T42" s="63">
        <v>0.34583333333333333</v>
      </c>
      <c r="U42" s="332">
        <f t="shared" si="30"/>
        <v>4.9999999999999822</v>
      </c>
      <c r="V42" s="343">
        <f t="shared" si="29"/>
        <v>117.99999999999999</v>
      </c>
      <c r="W42" s="64"/>
      <c r="X42" s="64"/>
      <c r="Y42" s="559"/>
      <c r="Z42" s="559"/>
      <c r="AA42" s="61">
        <f t="shared" si="8"/>
        <v>-111.86440677966038</v>
      </c>
      <c r="AB42" s="334">
        <f t="shared" si="9"/>
        <v>0.95338983050847481</v>
      </c>
      <c r="AC42" s="566"/>
    </row>
    <row r="43" spans="1:29">
      <c r="A43" s="583" t="s">
        <v>1530</v>
      </c>
      <c r="B43" s="57" t="s">
        <v>15</v>
      </c>
      <c r="C43" s="560" t="s">
        <v>658</v>
      </c>
      <c r="D43" s="560"/>
      <c r="E43" s="57">
        <v>22.69</v>
      </c>
      <c r="F43" s="344">
        <v>4723</v>
      </c>
      <c r="G43" s="332">
        <f t="shared" si="27"/>
        <v>107164.87000000001</v>
      </c>
      <c r="H43" s="346" t="s">
        <v>5</v>
      </c>
      <c r="I43" s="342">
        <v>16</v>
      </c>
      <c r="J43" s="58">
        <v>2400</v>
      </c>
      <c r="K43" s="59">
        <f t="shared" si="1"/>
        <v>150</v>
      </c>
      <c r="L43" s="342">
        <v>16</v>
      </c>
      <c r="M43" s="60">
        <f t="shared" si="28"/>
        <v>2285.3225806451605</v>
      </c>
      <c r="N43" s="59">
        <f t="shared" si="3"/>
        <v>142.83266129032253</v>
      </c>
      <c r="O43" s="61">
        <f t="shared" si="4"/>
        <v>0</v>
      </c>
      <c r="P43" s="62">
        <f t="shared" si="5"/>
        <v>-7.1673387096774661</v>
      </c>
      <c r="Q43" s="334">
        <f t="shared" si="6"/>
        <v>0.95221774193548359</v>
      </c>
      <c r="R43" s="566"/>
      <c r="S43" s="63">
        <v>0.34930555555555554</v>
      </c>
      <c r="T43" s="63">
        <v>0.43541666666666667</v>
      </c>
      <c r="U43" s="332">
        <f t="shared" si="30"/>
        <v>4.9999999999999822</v>
      </c>
      <c r="V43" s="343">
        <f t="shared" si="29"/>
        <v>124.00000000000004</v>
      </c>
      <c r="W43" s="64"/>
      <c r="X43" s="64"/>
      <c r="Y43" s="559"/>
      <c r="Z43" s="559"/>
      <c r="AA43" s="61">
        <f t="shared" si="8"/>
        <v>-114.67741935483946</v>
      </c>
      <c r="AB43" s="334">
        <f t="shared" si="9"/>
        <v>0.95221774193548359</v>
      </c>
      <c r="AC43" s="566"/>
    </row>
    <row r="44" spans="1:29">
      <c r="A44" s="583" t="s">
        <v>1530</v>
      </c>
      <c r="B44" s="57" t="s">
        <v>15</v>
      </c>
      <c r="C44" s="560" t="s">
        <v>16</v>
      </c>
      <c r="D44" s="560"/>
      <c r="E44" s="57">
        <v>24.45</v>
      </c>
      <c r="F44" s="344">
        <v>2959</v>
      </c>
      <c r="G44" s="332">
        <f t="shared" si="27"/>
        <v>72347.55</v>
      </c>
      <c r="H44" s="346" t="s">
        <v>5</v>
      </c>
      <c r="I44" s="342">
        <v>20</v>
      </c>
      <c r="J44" s="58">
        <v>2400</v>
      </c>
      <c r="K44" s="59">
        <f t="shared" si="1"/>
        <v>120</v>
      </c>
      <c r="L44" s="342">
        <v>20</v>
      </c>
      <c r="M44" s="60">
        <f t="shared" si="28"/>
        <v>2305.7142857142844</v>
      </c>
      <c r="N44" s="59">
        <f t="shared" si="3"/>
        <v>115.28571428571422</v>
      </c>
      <c r="O44" s="61">
        <f t="shared" si="4"/>
        <v>0</v>
      </c>
      <c r="P44" s="62">
        <f t="shared" si="5"/>
        <v>-4.7142857142857792</v>
      </c>
      <c r="Q44" s="334">
        <f t="shared" si="6"/>
        <v>0.96071428571428519</v>
      </c>
      <c r="R44" s="566"/>
      <c r="S44" s="63">
        <v>0.43888888888888888</v>
      </c>
      <c r="T44" s="63">
        <v>0.49236111111111114</v>
      </c>
      <c r="U44" s="332">
        <f t="shared" si="30"/>
        <v>4.9999999999999822</v>
      </c>
      <c r="V44" s="343">
        <f t="shared" si="29"/>
        <v>77.000000000000043</v>
      </c>
      <c r="W44" s="64">
        <f>T44</f>
        <v>0.49236111111111114</v>
      </c>
      <c r="X44" s="64">
        <f>S45</f>
        <v>0.53402777777777777</v>
      </c>
      <c r="Y44" s="559"/>
      <c r="Z44" s="559"/>
      <c r="AA44" s="61">
        <f t="shared" si="8"/>
        <v>-94.285714285715585</v>
      </c>
      <c r="AB44" s="334">
        <f t="shared" si="9"/>
        <v>0.96071428571428519</v>
      </c>
      <c r="AC44" s="566"/>
    </row>
    <row r="45" spans="1:29">
      <c r="A45" s="583" t="s">
        <v>1530</v>
      </c>
      <c r="B45" s="57" t="s">
        <v>15</v>
      </c>
      <c r="C45" s="560" t="s">
        <v>27</v>
      </c>
      <c r="D45" s="560"/>
      <c r="E45" s="57">
        <v>26.2</v>
      </c>
      <c r="F45" s="344">
        <v>4235</v>
      </c>
      <c r="G45" s="332">
        <f t="shared" si="27"/>
        <v>110957</v>
      </c>
      <c r="H45" s="346" t="s">
        <v>5</v>
      </c>
      <c r="I45" s="342">
        <v>18</v>
      </c>
      <c r="J45" s="58">
        <v>2400</v>
      </c>
      <c r="K45" s="59">
        <f t="shared" si="1"/>
        <v>133.33333333333334</v>
      </c>
      <c r="L45" s="342">
        <v>18</v>
      </c>
      <c r="M45" s="60">
        <f t="shared" si="28"/>
        <v>2289.1891891891878</v>
      </c>
      <c r="N45" s="59">
        <f t="shared" si="3"/>
        <v>127.1771771771771</v>
      </c>
      <c r="O45" s="61">
        <f t="shared" si="4"/>
        <v>0</v>
      </c>
      <c r="P45" s="62">
        <f t="shared" si="5"/>
        <v>-6.1561561561562428</v>
      </c>
      <c r="Q45" s="334">
        <f t="shared" si="6"/>
        <v>0.95382882882882813</v>
      </c>
      <c r="R45" s="566"/>
      <c r="S45" s="63">
        <v>0.53402777777777777</v>
      </c>
      <c r="T45" s="63">
        <v>0.61111111111111116</v>
      </c>
      <c r="U45" s="332">
        <f t="shared" si="30"/>
        <v>59.999999999999943</v>
      </c>
      <c r="V45" s="343">
        <f t="shared" si="29"/>
        <v>111.00000000000009</v>
      </c>
      <c r="W45" s="64"/>
      <c r="X45" s="64"/>
      <c r="Y45" s="569"/>
      <c r="Z45" s="570"/>
      <c r="AA45" s="61">
        <f t="shared" si="8"/>
        <v>-110.8108108108122</v>
      </c>
      <c r="AB45" s="334">
        <f t="shared" si="9"/>
        <v>0.95382882882882825</v>
      </c>
      <c r="AC45" s="566"/>
    </row>
    <row r="46" spans="1:29">
      <c r="A46" s="583" t="s">
        <v>1530</v>
      </c>
      <c r="B46" s="57" t="s">
        <v>15</v>
      </c>
      <c r="C46" s="560" t="s">
        <v>28</v>
      </c>
      <c r="D46" s="560"/>
      <c r="E46" s="57">
        <v>26.39</v>
      </c>
      <c r="F46" s="344">
        <v>2948</v>
      </c>
      <c r="G46" s="332">
        <f t="shared" si="27"/>
        <v>77797.72</v>
      </c>
      <c r="H46" s="346" t="s">
        <v>5</v>
      </c>
      <c r="I46" s="342">
        <v>19</v>
      </c>
      <c r="J46" s="58">
        <v>2400</v>
      </c>
      <c r="K46" s="59">
        <f t="shared" si="1"/>
        <v>126.31578947368421</v>
      </c>
      <c r="L46" s="342">
        <v>19</v>
      </c>
      <c r="M46" s="60">
        <f t="shared" si="28"/>
        <v>2297.142857142856</v>
      </c>
      <c r="N46" s="59">
        <f t="shared" si="3"/>
        <v>120.90225563909769</v>
      </c>
      <c r="O46" s="61">
        <f t="shared" si="4"/>
        <v>0</v>
      </c>
      <c r="P46" s="62">
        <f t="shared" si="5"/>
        <v>-5.4135338345865165</v>
      </c>
      <c r="Q46" s="334">
        <f t="shared" si="6"/>
        <v>0.95714285714285674</v>
      </c>
      <c r="R46" s="566"/>
      <c r="S46" s="63">
        <v>0.61458333333333337</v>
      </c>
      <c r="T46" s="63">
        <v>0.66805555555555562</v>
      </c>
      <c r="U46" s="332">
        <f t="shared" si="30"/>
        <v>4.9999999999999822</v>
      </c>
      <c r="V46" s="343">
        <f t="shared" si="29"/>
        <v>77.000000000000043</v>
      </c>
      <c r="W46" s="64"/>
      <c r="X46" s="64"/>
      <c r="Y46" s="569"/>
      <c r="Z46" s="570"/>
      <c r="AA46" s="61">
        <f t="shared" si="8"/>
        <v>-102.85714285714403</v>
      </c>
      <c r="AB46" s="334">
        <f t="shared" si="9"/>
        <v>0.95714285714285663</v>
      </c>
      <c r="AC46" s="566"/>
    </row>
    <row r="47" spans="1:29">
      <c r="A47" s="583" t="s">
        <v>1531</v>
      </c>
      <c r="B47" s="66" t="s">
        <v>1524</v>
      </c>
      <c r="C47" s="571"/>
      <c r="D47" s="571"/>
      <c r="E47" s="339"/>
      <c r="F47" s="66"/>
      <c r="G47" s="59"/>
      <c r="H47" s="344"/>
      <c r="I47" s="67">
        <v>18</v>
      </c>
      <c r="J47" s="58">
        <v>2400</v>
      </c>
      <c r="K47" s="59">
        <f t="shared" si="1"/>
        <v>133.33333333333334</v>
      </c>
      <c r="L47" s="67">
        <v>18</v>
      </c>
      <c r="M47" s="60">
        <f>AVERAGE(M39:M46)</f>
        <v>2296.3901677382532</v>
      </c>
      <c r="N47" s="59">
        <f t="shared" si="3"/>
        <v>127.57723154101407</v>
      </c>
      <c r="O47" s="61">
        <f t="shared" si="4"/>
        <v>0</v>
      </c>
      <c r="P47" s="62">
        <f t="shared" si="5"/>
        <v>-5.7561017923192708</v>
      </c>
      <c r="Q47" s="334">
        <f t="shared" si="6"/>
        <v>0.95682923655760543</v>
      </c>
      <c r="R47" s="566"/>
      <c r="S47" s="63"/>
      <c r="T47" s="63"/>
      <c r="U47" s="59"/>
      <c r="V47" s="343"/>
      <c r="W47" s="59"/>
      <c r="X47" s="59"/>
      <c r="Y47" s="559"/>
      <c r="Z47" s="559"/>
      <c r="AA47" s="61">
        <f t="shared" si="8"/>
        <v>-103.60983226174676</v>
      </c>
      <c r="AB47" s="334">
        <f t="shared" si="9"/>
        <v>0.95682923655760554</v>
      </c>
      <c r="AC47" s="566"/>
    </row>
    <row r="48" spans="1:29" ht="15.75" customHeight="1">
      <c r="A48" s="576" t="s">
        <v>1532</v>
      </c>
      <c r="B48" s="57" t="s">
        <v>31</v>
      </c>
      <c r="C48" s="567" t="s">
        <v>32</v>
      </c>
      <c r="D48" s="568"/>
      <c r="E48" s="57">
        <v>21.13</v>
      </c>
      <c r="F48" s="344">
        <v>6101</v>
      </c>
      <c r="G48" s="332">
        <f t="shared" ref="G48:G53" si="31">E48*F48</f>
        <v>128914.12999999999</v>
      </c>
      <c r="H48" s="346" t="s">
        <v>5</v>
      </c>
      <c r="I48" s="342">
        <v>10</v>
      </c>
      <c r="J48" s="58">
        <v>3000</v>
      </c>
      <c r="K48" s="59">
        <f t="shared" si="1"/>
        <v>300</v>
      </c>
      <c r="L48" s="342">
        <v>10</v>
      </c>
      <c r="M48" s="60">
        <f t="shared" ref="M48:M53" si="32">F48/V48*60</f>
        <v>2859.84375</v>
      </c>
      <c r="N48" s="60">
        <f t="shared" si="3"/>
        <v>285.984375</v>
      </c>
      <c r="O48" s="61">
        <f t="shared" si="4"/>
        <v>0</v>
      </c>
      <c r="P48" s="62">
        <f t="shared" si="5"/>
        <v>-14.015625</v>
      </c>
      <c r="Q48" s="334">
        <f t="shared" si="6"/>
        <v>0.95328124999999997</v>
      </c>
      <c r="R48" s="579">
        <f>Q54</f>
        <v>0.95480920084385601</v>
      </c>
      <c r="S48" s="63">
        <v>8.3333333333333329E-2</v>
      </c>
      <c r="T48" s="63">
        <v>0.17222222222222222</v>
      </c>
      <c r="U48" s="68"/>
      <c r="V48" s="343">
        <f t="shared" ref="V48:V53" si="33">(T48-S48)*24*60</f>
        <v>128</v>
      </c>
      <c r="W48" s="64">
        <f>T48</f>
        <v>0.17222222222222222</v>
      </c>
      <c r="X48" s="64">
        <f>S49</f>
        <v>0.19375000000000001</v>
      </c>
      <c r="Y48" s="569"/>
      <c r="Z48" s="570"/>
      <c r="AA48" s="61">
        <f t="shared" si="8"/>
        <v>-140.15625</v>
      </c>
      <c r="AB48" s="334">
        <f t="shared" si="9"/>
        <v>0.95328124999999997</v>
      </c>
      <c r="AC48" s="579">
        <f>AB54</f>
        <v>0.95480920084385612</v>
      </c>
    </row>
    <row r="49" spans="1:29" ht="15.75" customHeight="1">
      <c r="A49" s="577" t="s">
        <v>1532</v>
      </c>
      <c r="B49" s="57" t="s">
        <v>31</v>
      </c>
      <c r="C49" s="567" t="s">
        <v>33</v>
      </c>
      <c r="D49" s="568"/>
      <c r="E49" s="57">
        <v>27.17</v>
      </c>
      <c r="F49" s="344">
        <v>7909</v>
      </c>
      <c r="G49" s="332">
        <f t="shared" si="31"/>
        <v>214887.53000000003</v>
      </c>
      <c r="H49" s="346" t="s">
        <v>5</v>
      </c>
      <c r="I49" s="342">
        <v>10</v>
      </c>
      <c r="J49" s="58">
        <v>3000</v>
      </c>
      <c r="K49" s="59">
        <f t="shared" si="1"/>
        <v>300</v>
      </c>
      <c r="L49" s="342">
        <v>10</v>
      </c>
      <c r="M49" s="60">
        <f t="shared" si="32"/>
        <v>2858.674698795181</v>
      </c>
      <c r="N49" s="60">
        <f t="shared" si="3"/>
        <v>285.86746987951813</v>
      </c>
      <c r="O49" s="61">
        <f t="shared" si="4"/>
        <v>0</v>
      </c>
      <c r="P49" s="62">
        <f t="shared" si="5"/>
        <v>-14.132530120481874</v>
      </c>
      <c r="Q49" s="334">
        <f t="shared" si="6"/>
        <v>0.95289156626506044</v>
      </c>
      <c r="R49" s="580"/>
      <c r="S49" s="63">
        <v>0.19375000000000001</v>
      </c>
      <c r="T49" s="63">
        <v>0.30902777777777779</v>
      </c>
      <c r="U49" s="332">
        <f t="shared" ref="U49:U53" si="34">(S49-T48)*24*60</f>
        <v>31.000000000000011</v>
      </c>
      <c r="V49" s="343">
        <f t="shared" si="33"/>
        <v>166</v>
      </c>
      <c r="W49" s="64"/>
      <c r="X49" s="64"/>
      <c r="Y49" s="569"/>
      <c r="Z49" s="570"/>
      <c r="AA49" s="61">
        <f t="shared" si="8"/>
        <v>-141.32530120481897</v>
      </c>
      <c r="AB49" s="334">
        <f t="shared" si="9"/>
        <v>0.95289156626506033</v>
      </c>
      <c r="AC49" s="580"/>
    </row>
    <row r="50" spans="1:29" ht="15.75" customHeight="1">
      <c r="A50" s="577" t="s">
        <v>1532</v>
      </c>
      <c r="B50" s="57" t="s">
        <v>31</v>
      </c>
      <c r="C50" s="567" t="s">
        <v>36</v>
      </c>
      <c r="D50" s="568"/>
      <c r="E50" s="57">
        <v>36.14</v>
      </c>
      <c r="F50" s="344">
        <v>1099</v>
      </c>
      <c r="G50" s="332">
        <f t="shared" si="31"/>
        <v>39717.86</v>
      </c>
      <c r="H50" s="346" t="s">
        <v>5</v>
      </c>
      <c r="I50" s="342">
        <v>9</v>
      </c>
      <c r="J50" s="58">
        <v>3000</v>
      </c>
      <c r="K50" s="59">
        <f t="shared" si="1"/>
        <v>333.33333333333331</v>
      </c>
      <c r="L50" s="342">
        <v>9</v>
      </c>
      <c r="M50" s="60">
        <f t="shared" si="32"/>
        <v>2866.9565217391305</v>
      </c>
      <c r="N50" s="60">
        <f t="shared" si="3"/>
        <v>318.55072463768118</v>
      </c>
      <c r="O50" s="61">
        <f t="shared" si="4"/>
        <v>0</v>
      </c>
      <c r="P50" s="62">
        <f t="shared" si="5"/>
        <v>-14.782608695652129</v>
      </c>
      <c r="Q50" s="334">
        <f t="shared" si="6"/>
        <v>0.95565217391304358</v>
      </c>
      <c r="R50" s="580"/>
      <c r="S50" s="63">
        <v>0.3125</v>
      </c>
      <c r="T50" s="63">
        <v>0.32847222222222222</v>
      </c>
      <c r="U50" s="332">
        <f t="shared" si="34"/>
        <v>4.9999999999999822</v>
      </c>
      <c r="V50" s="343">
        <f t="shared" si="33"/>
        <v>23</v>
      </c>
      <c r="W50" s="64"/>
      <c r="X50" s="64"/>
      <c r="Y50" s="569"/>
      <c r="Z50" s="570"/>
      <c r="AA50" s="61">
        <f t="shared" si="8"/>
        <v>-133.04347826086951</v>
      </c>
      <c r="AB50" s="334">
        <f t="shared" si="9"/>
        <v>0.95565217391304347</v>
      </c>
      <c r="AC50" s="580"/>
    </row>
    <row r="51" spans="1:29" ht="15.75" customHeight="1">
      <c r="A51" s="577" t="s">
        <v>1533</v>
      </c>
      <c r="B51" s="57" t="s">
        <v>31</v>
      </c>
      <c r="C51" s="567" t="s">
        <v>34</v>
      </c>
      <c r="D51" s="568"/>
      <c r="E51" s="57">
        <v>35.119999999999997</v>
      </c>
      <c r="F51" s="344">
        <v>4907</v>
      </c>
      <c r="G51" s="332">
        <f t="shared" si="31"/>
        <v>172333.84</v>
      </c>
      <c r="H51" s="346" t="s">
        <v>5</v>
      </c>
      <c r="I51" s="342">
        <v>10</v>
      </c>
      <c r="J51" s="58">
        <v>3000</v>
      </c>
      <c r="K51" s="59">
        <f t="shared" si="1"/>
        <v>300</v>
      </c>
      <c r="L51" s="342">
        <v>10</v>
      </c>
      <c r="M51" s="60">
        <f t="shared" si="32"/>
        <v>2858.4466019417468</v>
      </c>
      <c r="N51" s="60">
        <f t="shared" si="3"/>
        <v>285.84466019417471</v>
      </c>
      <c r="O51" s="61">
        <f t="shared" si="4"/>
        <v>0</v>
      </c>
      <c r="P51" s="62">
        <f t="shared" si="5"/>
        <v>-14.155339805825292</v>
      </c>
      <c r="Q51" s="334">
        <f t="shared" si="6"/>
        <v>0.95281553398058239</v>
      </c>
      <c r="R51" s="580"/>
      <c r="S51" s="63">
        <v>0.33402777777777776</v>
      </c>
      <c r="T51" s="63">
        <v>0.40555555555555556</v>
      </c>
      <c r="U51" s="332">
        <f t="shared" si="34"/>
        <v>7.9999999999999716</v>
      </c>
      <c r="V51" s="343">
        <f t="shared" si="33"/>
        <v>103.00000000000003</v>
      </c>
      <c r="W51" s="64"/>
      <c r="X51" s="64"/>
      <c r="Y51" s="569"/>
      <c r="Z51" s="570"/>
      <c r="AA51" s="61">
        <f t="shared" si="8"/>
        <v>-141.55339805825315</v>
      </c>
      <c r="AB51" s="334">
        <f t="shared" si="9"/>
        <v>0.95281553398058227</v>
      </c>
      <c r="AC51" s="580"/>
    </row>
    <row r="52" spans="1:29" ht="15.75" customHeight="1">
      <c r="A52" s="577" t="s">
        <v>1533</v>
      </c>
      <c r="B52" s="57" t="s">
        <v>31</v>
      </c>
      <c r="C52" s="567" t="s">
        <v>71</v>
      </c>
      <c r="D52" s="568"/>
      <c r="E52" s="57">
        <v>31</v>
      </c>
      <c r="F52" s="344">
        <v>2088</v>
      </c>
      <c r="G52" s="332">
        <f t="shared" si="31"/>
        <v>64728</v>
      </c>
      <c r="H52" s="346" t="s">
        <v>5</v>
      </c>
      <c r="I52" s="342">
        <v>13</v>
      </c>
      <c r="J52" s="58">
        <v>2000</v>
      </c>
      <c r="K52" s="59">
        <f t="shared" si="1"/>
        <v>153.84615384615384</v>
      </c>
      <c r="L52" s="342">
        <v>13</v>
      </c>
      <c r="M52" s="60">
        <f t="shared" si="32"/>
        <v>1927.384615384615</v>
      </c>
      <c r="N52" s="60">
        <f t="shared" si="3"/>
        <v>148.26035502958578</v>
      </c>
      <c r="O52" s="61">
        <f t="shared" si="4"/>
        <v>0</v>
      </c>
      <c r="P52" s="62">
        <f t="shared" si="5"/>
        <v>-5.5857988165680581</v>
      </c>
      <c r="Q52" s="334">
        <f t="shared" si="6"/>
        <v>0.96369230769230763</v>
      </c>
      <c r="R52" s="580"/>
      <c r="S52" s="63">
        <v>0.41111111111111109</v>
      </c>
      <c r="T52" s="63">
        <v>0.45624999999999999</v>
      </c>
      <c r="U52" s="332">
        <f t="shared" si="34"/>
        <v>7.9999999999999716</v>
      </c>
      <c r="V52" s="343">
        <f t="shared" si="33"/>
        <v>65.000000000000014</v>
      </c>
      <c r="W52" s="64"/>
      <c r="X52" s="64"/>
      <c r="Y52" s="569"/>
      <c r="Z52" s="570"/>
      <c r="AA52" s="61">
        <f t="shared" si="8"/>
        <v>-72.615384615384983</v>
      </c>
      <c r="AB52" s="334">
        <f t="shared" si="9"/>
        <v>0.96369230769230751</v>
      </c>
      <c r="AC52" s="580"/>
    </row>
    <row r="53" spans="1:29" ht="15.75" customHeight="1">
      <c r="A53" s="577" t="s">
        <v>1533</v>
      </c>
      <c r="B53" s="57" t="s">
        <v>31</v>
      </c>
      <c r="C53" s="567" t="s">
        <v>659</v>
      </c>
      <c r="D53" s="568"/>
      <c r="E53" s="57">
        <v>37.880000000000003</v>
      </c>
      <c r="F53" s="344">
        <v>3716</v>
      </c>
      <c r="G53" s="332">
        <f t="shared" si="31"/>
        <v>140762.08000000002</v>
      </c>
      <c r="H53" s="346" t="s">
        <v>5</v>
      </c>
      <c r="I53" s="342">
        <v>16</v>
      </c>
      <c r="J53" s="58">
        <v>2000</v>
      </c>
      <c r="K53" s="59">
        <f t="shared" si="1"/>
        <v>125</v>
      </c>
      <c r="L53" s="342">
        <v>16</v>
      </c>
      <c r="M53" s="60">
        <f t="shared" si="32"/>
        <v>1905.6410256410259</v>
      </c>
      <c r="N53" s="60">
        <f t="shared" si="3"/>
        <v>119.10256410256412</v>
      </c>
      <c r="O53" s="61">
        <f t="shared" si="4"/>
        <v>0</v>
      </c>
      <c r="P53" s="62">
        <f t="shared" si="5"/>
        <v>-5.8974358974358836</v>
      </c>
      <c r="Q53" s="334">
        <f t="shared" si="6"/>
        <v>0.95282051282051294</v>
      </c>
      <c r="R53" s="580"/>
      <c r="S53" s="63">
        <v>0.46111111111111108</v>
      </c>
      <c r="T53" s="63">
        <v>0.54236111111111107</v>
      </c>
      <c r="U53" s="332">
        <f t="shared" si="34"/>
        <v>6.9999999999999751</v>
      </c>
      <c r="V53" s="343">
        <f t="shared" si="33"/>
        <v>116.99999999999999</v>
      </c>
      <c r="W53" s="64"/>
      <c r="X53" s="64"/>
      <c r="Y53" s="569"/>
      <c r="Z53" s="570"/>
      <c r="AA53" s="61">
        <f t="shared" si="8"/>
        <v>-94.358974358974137</v>
      </c>
      <c r="AB53" s="334">
        <f t="shared" si="9"/>
        <v>0.95282051282051294</v>
      </c>
      <c r="AC53" s="580"/>
    </row>
    <row r="54" spans="1:29" ht="15.75" customHeight="1">
      <c r="A54" s="578" t="s">
        <v>1532</v>
      </c>
      <c r="B54" s="57" t="s">
        <v>1524</v>
      </c>
      <c r="C54" s="561"/>
      <c r="D54" s="562"/>
      <c r="E54" s="333"/>
      <c r="F54" s="344"/>
      <c r="G54" s="332"/>
      <c r="H54" s="344"/>
      <c r="I54" s="67">
        <v>11.333333333333334</v>
      </c>
      <c r="J54" s="58">
        <v>2666.6666666666665</v>
      </c>
      <c r="K54" s="59">
        <f t="shared" si="1"/>
        <v>235.29411764705881</v>
      </c>
      <c r="L54" s="67">
        <v>11.333333333333334</v>
      </c>
      <c r="M54" s="60">
        <f>AVERAGE(M48:M53)</f>
        <v>2546.1578689169496</v>
      </c>
      <c r="N54" s="59">
        <f t="shared" si="3"/>
        <v>224.66098843384847</v>
      </c>
      <c r="O54" s="61">
        <f t="shared" si="4"/>
        <v>0</v>
      </c>
      <c r="P54" s="62">
        <f t="shared" si="5"/>
        <v>-10.633129213210339</v>
      </c>
      <c r="Q54" s="334">
        <f t="shared" si="6"/>
        <v>0.95480920084385601</v>
      </c>
      <c r="R54" s="581"/>
      <c r="S54" s="63"/>
      <c r="T54" s="63"/>
      <c r="U54" s="332"/>
      <c r="V54" s="343"/>
      <c r="W54" s="64"/>
      <c r="X54" s="64"/>
      <c r="Y54" s="569"/>
      <c r="Z54" s="570"/>
      <c r="AA54" s="61">
        <f t="shared" si="8"/>
        <v>-120.5087977497169</v>
      </c>
      <c r="AB54" s="334">
        <f t="shared" si="9"/>
        <v>0.95480920084385612</v>
      </c>
      <c r="AC54" s="581"/>
    </row>
    <row r="55" spans="1:29" ht="15.75" customHeight="1">
      <c r="A55" s="574" t="s">
        <v>1534</v>
      </c>
      <c r="B55" s="57" t="s">
        <v>10</v>
      </c>
      <c r="C55" s="560" t="s">
        <v>37</v>
      </c>
      <c r="D55" s="560"/>
      <c r="E55" s="57">
        <v>46</v>
      </c>
      <c r="F55" s="69">
        <v>2228</v>
      </c>
      <c r="G55" s="332">
        <f t="shared" ref="G55:G60" si="35">E55*F55</f>
        <v>102488</v>
      </c>
      <c r="H55" s="346" t="s">
        <v>5</v>
      </c>
      <c r="I55" s="342">
        <v>17</v>
      </c>
      <c r="J55" s="58">
        <v>2000</v>
      </c>
      <c r="K55" s="59">
        <f t="shared" si="1"/>
        <v>117.64705882352941</v>
      </c>
      <c r="L55" s="342">
        <v>17</v>
      </c>
      <c r="M55" s="60">
        <f t="shared" ref="M55:M60" si="36">F55/V55*60</f>
        <v>1909.7142857142849</v>
      </c>
      <c r="N55" s="60">
        <f t="shared" si="3"/>
        <v>112.33613445378147</v>
      </c>
      <c r="O55" s="61">
        <f t="shared" si="4"/>
        <v>0</v>
      </c>
      <c r="P55" s="62">
        <f t="shared" si="5"/>
        <v>-5.3109243697479371</v>
      </c>
      <c r="Q55" s="334">
        <f t="shared" si="6"/>
        <v>0.95485714285714252</v>
      </c>
      <c r="R55" s="566">
        <f>Q61</f>
        <v>0.86364170123145789</v>
      </c>
      <c r="S55" s="63">
        <v>0.20833333333333334</v>
      </c>
      <c r="T55" s="63">
        <v>0.25694444444444448</v>
      </c>
      <c r="U55" s="68"/>
      <c r="V55" s="343">
        <f t="shared" ref="V55:V60" si="37">(T55-S55)*24*60</f>
        <v>70.000000000000028</v>
      </c>
      <c r="W55" s="68"/>
      <c r="X55" s="68"/>
      <c r="Y55" s="559"/>
      <c r="Z55" s="559"/>
      <c r="AA55" s="61">
        <f t="shared" si="8"/>
        <v>-90.28571428571513</v>
      </c>
      <c r="AB55" s="334">
        <f t="shared" si="9"/>
        <v>0.9548571428571424</v>
      </c>
      <c r="AC55" s="566">
        <f>AB61</f>
        <v>0.86364170123145789</v>
      </c>
    </row>
    <row r="56" spans="1:29" ht="15.75" customHeight="1">
      <c r="A56" s="574" t="s">
        <v>1534</v>
      </c>
      <c r="B56" s="57" t="s">
        <v>10</v>
      </c>
      <c r="C56" s="560" t="s">
        <v>38</v>
      </c>
      <c r="D56" s="560"/>
      <c r="E56" s="57">
        <v>46</v>
      </c>
      <c r="F56" s="69">
        <v>2338</v>
      </c>
      <c r="G56" s="332">
        <f t="shared" si="35"/>
        <v>107548</v>
      </c>
      <c r="H56" s="346" t="s">
        <v>5</v>
      </c>
      <c r="I56" s="342">
        <v>17</v>
      </c>
      <c r="J56" s="58">
        <v>2000</v>
      </c>
      <c r="K56" s="59">
        <f t="shared" si="1"/>
        <v>117.64705882352941</v>
      </c>
      <c r="L56" s="342">
        <v>17</v>
      </c>
      <c r="M56" s="60">
        <f t="shared" si="36"/>
        <v>1921.6438356164388</v>
      </c>
      <c r="N56" s="60">
        <f t="shared" si="3"/>
        <v>113.03787268331993</v>
      </c>
      <c r="O56" s="61">
        <f t="shared" si="4"/>
        <v>0</v>
      </c>
      <c r="P56" s="62">
        <f t="shared" si="5"/>
        <v>-4.6091861402094736</v>
      </c>
      <c r="Q56" s="334">
        <f t="shared" si="6"/>
        <v>0.96082191780821946</v>
      </c>
      <c r="R56" s="566"/>
      <c r="S56" s="63">
        <v>0.26180555555555557</v>
      </c>
      <c r="T56" s="63">
        <v>0.3125</v>
      </c>
      <c r="U56" s="332">
        <f t="shared" ref="U56:U60" si="38">IF(S56=TIME(17,0,0),"",(S56-T55)*24*60)</f>
        <v>6.9999999999999751</v>
      </c>
      <c r="V56" s="343">
        <f t="shared" si="37"/>
        <v>72.999999999999986</v>
      </c>
      <c r="W56" s="64"/>
      <c r="X56" s="64"/>
      <c r="Y56" s="559"/>
      <c r="Z56" s="559"/>
      <c r="AA56" s="61">
        <f t="shared" si="8"/>
        <v>-78.356164383561236</v>
      </c>
      <c r="AB56" s="334">
        <f t="shared" si="9"/>
        <v>0.96082191780821935</v>
      </c>
      <c r="AC56" s="566"/>
    </row>
    <row r="57" spans="1:29" ht="15.75" customHeight="1">
      <c r="A57" s="574" t="s">
        <v>1534</v>
      </c>
      <c r="B57" s="57" t="s">
        <v>6</v>
      </c>
      <c r="C57" s="567" t="s">
        <v>1181</v>
      </c>
      <c r="D57" s="568"/>
      <c r="E57" s="57">
        <v>51.86</v>
      </c>
      <c r="F57" s="69">
        <v>1393</v>
      </c>
      <c r="G57" s="332">
        <f t="shared" si="35"/>
        <v>72240.98</v>
      </c>
      <c r="H57" s="346" t="s">
        <v>5</v>
      </c>
      <c r="I57" s="342">
        <v>25</v>
      </c>
      <c r="J57" s="58">
        <v>2000</v>
      </c>
      <c r="K57" s="59">
        <f t="shared" si="1"/>
        <v>80</v>
      </c>
      <c r="L57" s="342">
        <v>25</v>
      </c>
      <c r="M57" s="60">
        <f t="shared" si="36"/>
        <v>1247.4626865671642</v>
      </c>
      <c r="N57" s="60">
        <f t="shared" si="3"/>
        <v>49.898507462686567</v>
      </c>
      <c r="O57" s="61">
        <f t="shared" si="4"/>
        <v>0</v>
      </c>
      <c r="P57" s="62">
        <f t="shared" si="5"/>
        <v>-30.101492537313433</v>
      </c>
      <c r="Q57" s="334">
        <f t="shared" si="6"/>
        <v>0.62373134328358204</v>
      </c>
      <c r="R57" s="566"/>
      <c r="S57" s="63">
        <v>0.31736111111111109</v>
      </c>
      <c r="T57" s="63">
        <v>0.36388888888888887</v>
      </c>
      <c r="U57" s="332">
        <f t="shared" si="38"/>
        <v>6.9999999999999751</v>
      </c>
      <c r="V57" s="343">
        <f t="shared" si="37"/>
        <v>67</v>
      </c>
      <c r="W57" s="64"/>
      <c r="X57" s="64"/>
      <c r="Y57" s="337"/>
      <c r="Z57" s="338"/>
      <c r="AA57" s="61">
        <f t="shared" si="8"/>
        <v>-752.53731343283584</v>
      </c>
      <c r="AB57" s="334">
        <f t="shared" si="9"/>
        <v>0.62373134328358204</v>
      </c>
      <c r="AC57" s="566"/>
    </row>
    <row r="58" spans="1:29" ht="15.75" customHeight="1">
      <c r="A58" s="574" t="s">
        <v>1535</v>
      </c>
      <c r="B58" s="57" t="s">
        <v>6</v>
      </c>
      <c r="C58" s="335" t="s">
        <v>1182</v>
      </c>
      <c r="D58" s="336"/>
      <c r="E58" s="57">
        <v>56.43</v>
      </c>
      <c r="F58" s="69">
        <v>2635</v>
      </c>
      <c r="G58" s="332">
        <f t="shared" si="35"/>
        <v>148693.04999999999</v>
      </c>
      <c r="H58" s="346" t="s">
        <v>5</v>
      </c>
      <c r="I58" s="342">
        <v>22</v>
      </c>
      <c r="J58" s="58">
        <v>2000</v>
      </c>
      <c r="K58" s="59">
        <f t="shared" si="1"/>
        <v>90.909090909090907</v>
      </c>
      <c r="L58" s="342">
        <v>22</v>
      </c>
      <c r="M58" s="60">
        <f t="shared" si="36"/>
        <v>1437.272727272727</v>
      </c>
      <c r="N58" s="60">
        <f t="shared" si="3"/>
        <v>65.330578512396684</v>
      </c>
      <c r="O58" s="61">
        <f t="shared" si="4"/>
        <v>0</v>
      </c>
      <c r="P58" s="62">
        <f t="shared" si="5"/>
        <v>-25.578512396694222</v>
      </c>
      <c r="Q58" s="334">
        <f t="shared" si="6"/>
        <v>0.71863636363636352</v>
      </c>
      <c r="R58" s="566"/>
      <c r="S58" s="63">
        <v>0.36944444444444441</v>
      </c>
      <c r="T58" s="63">
        <v>0.4458333333333333</v>
      </c>
      <c r="U58" s="332">
        <f t="shared" si="38"/>
        <v>7.9999999999999716</v>
      </c>
      <c r="V58" s="343">
        <f t="shared" si="37"/>
        <v>110.00000000000001</v>
      </c>
      <c r="W58" s="64"/>
      <c r="X58" s="64"/>
      <c r="Y58" s="337"/>
      <c r="Z58" s="338"/>
      <c r="AA58" s="61">
        <f t="shared" si="8"/>
        <v>-562.72727272727298</v>
      </c>
      <c r="AB58" s="334">
        <f t="shared" si="9"/>
        <v>0.71863636363636352</v>
      </c>
      <c r="AC58" s="566"/>
    </row>
    <row r="59" spans="1:29" ht="15.75" customHeight="1">
      <c r="A59" s="574" t="s">
        <v>1534</v>
      </c>
      <c r="B59" s="57" t="s">
        <v>6</v>
      </c>
      <c r="C59" s="335" t="s">
        <v>39</v>
      </c>
      <c r="D59" s="336"/>
      <c r="E59" s="57">
        <v>55.56</v>
      </c>
      <c r="F59" s="69">
        <v>2372</v>
      </c>
      <c r="G59" s="332">
        <f t="shared" si="35"/>
        <v>131788.32</v>
      </c>
      <c r="H59" s="346" t="s">
        <v>5</v>
      </c>
      <c r="I59" s="342">
        <v>17</v>
      </c>
      <c r="J59" s="58">
        <v>2000</v>
      </c>
      <c r="K59" s="59">
        <f t="shared" si="1"/>
        <v>117.64705882352941</v>
      </c>
      <c r="L59" s="342">
        <v>17</v>
      </c>
      <c r="M59" s="60">
        <f t="shared" si="36"/>
        <v>1923.2432432432417</v>
      </c>
      <c r="N59" s="60">
        <f t="shared" si="3"/>
        <v>113.13195548489658</v>
      </c>
      <c r="O59" s="61">
        <f t="shared" si="4"/>
        <v>0</v>
      </c>
      <c r="P59" s="62">
        <f t="shared" si="5"/>
        <v>-4.5151033386328265</v>
      </c>
      <c r="Q59" s="334">
        <f t="shared" si="6"/>
        <v>0.96162162162162101</v>
      </c>
      <c r="R59" s="566"/>
      <c r="S59" s="63">
        <v>0.70833333333333337</v>
      </c>
      <c r="T59" s="63">
        <v>0.7597222222222223</v>
      </c>
      <c r="U59" s="332" t="str">
        <f t="shared" si="38"/>
        <v/>
      </c>
      <c r="V59" s="343">
        <f t="shared" si="37"/>
        <v>74.000000000000057</v>
      </c>
      <c r="W59" s="64"/>
      <c r="X59" s="64"/>
      <c r="Y59" s="337"/>
      <c r="Z59" s="338"/>
      <c r="AA59" s="61">
        <f t="shared" si="8"/>
        <v>-76.75675675675825</v>
      </c>
      <c r="AB59" s="334">
        <f t="shared" si="9"/>
        <v>0.9616216216216209</v>
      </c>
      <c r="AC59" s="566"/>
    </row>
    <row r="60" spans="1:29" ht="15.75" customHeight="1">
      <c r="A60" s="574" t="s">
        <v>1534</v>
      </c>
      <c r="B60" s="57" t="s">
        <v>6</v>
      </c>
      <c r="C60" s="567" t="s">
        <v>40</v>
      </c>
      <c r="D60" s="568"/>
      <c r="E60" s="57">
        <v>55.32</v>
      </c>
      <c r="F60" s="69">
        <v>1764</v>
      </c>
      <c r="G60" s="332">
        <f t="shared" si="35"/>
        <v>97584.48</v>
      </c>
      <c r="H60" s="346" t="s">
        <v>5</v>
      </c>
      <c r="I60" s="342">
        <v>15</v>
      </c>
      <c r="J60" s="58">
        <v>2000</v>
      </c>
      <c r="K60" s="59">
        <f t="shared" si="1"/>
        <v>133.33333333333334</v>
      </c>
      <c r="L60" s="342">
        <v>15</v>
      </c>
      <c r="M60" s="60">
        <f t="shared" si="36"/>
        <v>1924.3636363636374</v>
      </c>
      <c r="N60" s="60">
        <f t="shared" si="3"/>
        <v>128.29090909090917</v>
      </c>
      <c r="O60" s="61">
        <f t="shared" si="4"/>
        <v>0</v>
      </c>
      <c r="P60" s="62">
        <f t="shared" si="5"/>
        <v>-5.0424242424241754</v>
      </c>
      <c r="Q60" s="334">
        <f t="shared" si="6"/>
        <v>0.96218181818181869</v>
      </c>
      <c r="R60" s="566"/>
      <c r="S60" s="63">
        <v>0.76319444444444451</v>
      </c>
      <c r="T60" s="63">
        <v>0.80138888888888893</v>
      </c>
      <c r="U60" s="332">
        <f t="shared" si="38"/>
        <v>4.9999999999999822</v>
      </c>
      <c r="V60" s="343">
        <f t="shared" si="37"/>
        <v>54.999999999999964</v>
      </c>
      <c r="W60" s="64"/>
      <c r="X60" s="64"/>
      <c r="Y60" s="569"/>
      <c r="Z60" s="570"/>
      <c r="AA60" s="61">
        <f t="shared" si="8"/>
        <v>-75.636363636362603</v>
      </c>
      <c r="AB60" s="334">
        <f t="shared" si="9"/>
        <v>0.96218181818181869</v>
      </c>
      <c r="AC60" s="566"/>
    </row>
    <row r="61" spans="1:29">
      <c r="A61" s="575" t="s">
        <v>1534</v>
      </c>
      <c r="B61" s="57" t="s">
        <v>1524</v>
      </c>
      <c r="C61" s="571"/>
      <c r="D61" s="571"/>
      <c r="E61" s="339"/>
      <c r="F61" s="66"/>
      <c r="G61" s="59"/>
      <c r="H61" s="344"/>
      <c r="I61" s="67">
        <v>18.833333333333332</v>
      </c>
      <c r="J61" s="58">
        <v>2000</v>
      </c>
      <c r="K61" s="59">
        <f t="shared" si="1"/>
        <v>106.19469026548673</v>
      </c>
      <c r="L61" s="67">
        <v>18.833333333333332</v>
      </c>
      <c r="M61" s="60">
        <f>AVERAGE(M55:M60)</f>
        <v>1727.2834024629158</v>
      </c>
      <c r="N61" s="59">
        <f t="shared" si="3"/>
        <v>91.714162962632699</v>
      </c>
      <c r="O61" s="61">
        <f t="shared" si="4"/>
        <v>0</v>
      </c>
      <c r="P61" s="62">
        <f t="shared" si="5"/>
        <v>-14.480527302854028</v>
      </c>
      <c r="Q61" s="334">
        <f t="shared" si="6"/>
        <v>0.86364170123145789</v>
      </c>
      <c r="R61" s="566"/>
      <c r="S61" s="70"/>
      <c r="T61" s="63"/>
      <c r="U61" s="59"/>
      <c r="V61" s="343"/>
      <c r="W61" s="59"/>
      <c r="X61" s="59"/>
      <c r="Y61" s="559"/>
      <c r="Z61" s="559"/>
      <c r="AA61" s="61">
        <f t="shared" si="8"/>
        <v>-272.71659753708423</v>
      </c>
      <c r="AB61" s="334">
        <f t="shared" si="9"/>
        <v>0.86364170123145789</v>
      </c>
      <c r="AC61" s="566"/>
    </row>
    <row r="62" spans="1:29" ht="15.75" customHeight="1">
      <c r="A62" s="572" t="s">
        <v>1536</v>
      </c>
      <c r="B62" s="344" t="s">
        <v>10</v>
      </c>
      <c r="C62" s="560" t="s">
        <v>42</v>
      </c>
      <c r="D62" s="560"/>
      <c r="E62" s="57">
        <v>26.97</v>
      </c>
      <c r="F62" s="69">
        <v>3045</v>
      </c>
      <c r="G62" s="332">
        <f t="shared" ref="G62:G67" si="39">E62*F62</f>
        <v>82123.649999999994</v>
      </c>
      <c r="H62" s="346" t="s">
        <v>5</v>
      </c>
      <c r="I62" s="342">
        <v>8</v>
      </c>
      <c r="J62" s="58">
        <v>1500</v>
      </c>
      <c r="K62" s="59">
        <f t="shared" si="1"/>
        <v>187.5</v>
      </c>
      <c r="L62" s="342">
        <v>8</v>
      </c>
      <c r="M62" s="60">
        <f t="shared" ref="M62:M67" si="40">F62/V62*60</f>
        <v>1427.3437500000002</v>
      </c>
      <c r="N62" s="59">
        <f t="shared" si="3"/>
        <v>178.41796875000003</v>
      </c>
      <c r="O62" s="61">
        <f t="shared" si="4"/>
        <v>0</v>
      </c>
      <c r="P62" s="62">
        <f t="shared" si="5"/>
        <v>-9.0820312499999716</v>
      </c>
      <c r="Q62" s="334">
        <f t="shared" si="6"/>
        <v>0.9515625000000002</v>
      </c>
      <c r="R62" s="566">
        <f>Q68</f>
        <v>0.95840245924038303</v>
      </c>
      <c r="S62" s="63">
        <v>0.20833333333333334</v>
      </c>
      <c r="T62" s="63">
        <v>0.29722222222222222</v>
      </c>
      <c r="U62" s="332"/>
      <c r="V62" s="343">
        <f t="shared" ref="V62:V67" si="41">(T62-S62)*24*60</f>
        <v>127.99999999999997</v>
      </c>
      <c r="W62" s="68"/>
      <c r="X62" s="68"/>
      <c r="Y62" s="559"/>
      <c r="Z62" s="559"/>
      <c r="AA62" s="61">
        <f t="shared" si="8"/>
        <v>-72.656249999999773</v>
      </c>
      <c r="AB62" s="334">
        <f t="shared" si="9"/>
        <v>0.9515625000000002</v>
      </c>
      <c r="AC62" s="566">
        <f>AB68</f>
        <v>0.95840245924038292</v>
      </c>
    </row>
    <row r="63" spans="1:29" ht="15.75" customHeight="1">
      <c r="A63" s="572" t="s">
        <v>1537</v>
      </c>
      <c r="B63" s="344" t="s">
        <v>31</v>
      </c>
      <c r="C63" s="560" t="s">
        <v>41</v>
      </c>
      <c r="D63" s="560"/>
      <c r="E63" s="57">
        <v>26.78</v>
      </c>
      <c r="F63" s="69">
        <v>2848</v>
      </c>
      <c r="G63" s="332">
        <f t="shared" si="39"/>
        <v>76269.440000000002</v>
      </c>
      <c r="H63" s="346" t="s">
        <v>5</v>
      </c>
      <c r="I63" s="342">
        <v>10</v>
      </c>
      <c r="J63" s="58">
        <v>3000</v>
      </c>
      <c r="K63" s="59">
        <f t="shared" si="1"/>
        <v>300</v>
      </c>
      <c r="L63" s="342">
        <v>10</v>
      </c>
      <c r="M63" s="60">
        <f t="shared" si="40"/>
        <v>2896.2711864406765</v>
      </c>
      <c r="N63" s="59">
        <f t="shared" si="3"/>
        <v>289.62711864406765</v>
      </c>
      <c r="O63" s="61">
        <f t="shared" si="4"/>
        <v>0</v>
      </c>
      <c r="P63" s="62">
        <f t="shared" si="5"/>
        <v>-10.37288135593235</v>
      </c>
      <c r="Q63" s="334">
        <f t="shared" si="6"/>
        <v>0.96542372881355887</v>
      </c>
      <c r="R63" s="566"/>
      <c r="S63" s="63">
        <v>0.30138888888888887</v>
      </c>
      <c r="T63" s="63">
        <v>0.34236111111111112</v>
      </c>
      <c r="U63" s="332">
        <f t="shared" ref="U63:U67" si="42">(S63-T62)*24*60</f>
        <v>5.9999999999999787</v>
      </c>
      <c r="V63" s="343">
        <f t="shared" si="41"/>
        <v>59.000000000000028</v>
      </c>
      <c r="W63" s="332"/>
      <c r="X63" s="332"/>
      <c r="Y63" s="559"/>
      <c r="Z63" s="559"/>
      <c r="AA63" s="61">
        <f t="shared" si="8"/>
        <v>-103.7288135593235</v>
      </c>
      <c r="AB63" s="334">
        <f t="shared" si="9"/>
        <v>0.96542372881355887</v>
      </c>
      <c r="AC63" s="566"/>
    </row>
    <row r="64" spans="1:29" ht="15.75" customHeight="1">
      <c r="A64" s="572" t="s">
        <v>1537</v>
      </c>
      <c r="B64" s="344" t="s">
        <v>31</v>
      </c>
      <c r="C64" s="560" t="s">
        <v>64</v>
      </c>
      <c r="D64" s="560"/>
      <c r="E64" s="57">
        <v>37.880000000000003</v>
      </c>
      <c r="F64" s="69">
        <v>2865</v>
      </c>
      <c r="G64" s="332">
        <f t="shared" si="39"/>
        <v>108526.20000000001</v>
      </c>
      <c r="H64" s="346" t="s">
        <v>5</v>
      </c>
      <c r="I64" s="342">
        <v>10</v>
      </c>
      <c r="J64" s="58">
        <v>3000</v>
      </c>
      <c r="K64" s="59">
        <f t="shared" si="1"/>
        <v>300</v>
      </c>
      <c r="L64" s="342">
        <v>10</v>
      </c>
      <c r="M64" s="60">
        <f t="shared" si="40"/>
        <v>2864.9999999999986</v>
      </c>
      <c r="N64" s="59">
        <f t="shared" si="3"/>
        <v>286.49999999999989</v>
      </c>
      <c r="O64" s="61">
        <f t="shared" si="4"/>
        <v>0</v>
      </c>
      <c r="P64" s="62">
        <f t="shared" si="5"/>
        <v>-13.500000000000114</v>
      </c>
      <c r="Q64" s="334">
        <f t="shared" si="6"/>
        <v>0.95499999999999963</v>
      </c>
      <c r="R64" s="566"/>
      <c r="S64" s="63">
        <v>0.34722222222222221</v>
      </c>
      <c r="T64" s="63">
        <v>0.3888888888888889</v>
      </c>
      <c r="U64" s="332">
        <f t="shared" si="42"/>
        <v>6.9999999999999751</v>
      </c>
      <c r="V64" s="343">
        <f t="shared" si="41"/>
        <v>60.000000000000028</v>
      </c>
      <c r="W64" s="332"/>
      <c r="X64" s="332"/>
      <c r="Y64" s="559"/>
      <c r="Z64" s="559"/>
      <c r="AA64" s="61">
        <f t="shared" si="8"/>
        <v>-135.00000000000136</v>
      </c>
      <c r="AB64" s="334">
        <f t="shared" si="9"/>
        <v>0.95499999999999952</v>
      </c>
      <c r="AC64" s="566"/>
    </row>
    <row r="65" spans="1:29" ht="15.75" customHeight="1">
      <c r="A65" s="572" t="s">
        <v>1537</v>
      </c>
      <c r="B65" s="344" t="s">
        <v>31</v>
      </c>
      <c r="C65" s="560" t="s">
        <v>72</v>
      </c>
      <c r="D65" s="560"/>
      <c r="E65" s="57">
        <v>40.51</v>
      </c>
      <c r="F65" s="69">
        <v>2431</v>
      </c>
      <c r="G65" s="332">
        <f t="shared" si="39"/>
        <v>98479.81</v>
      </c>
      <c r="H65" s="346" t="s">
        <v>5</v>
      </c>
      <c r="I65" s="342">
        <v>8</v>
      </c>
      <c r="J65" s="58">
        <v>3000</v>
      </c>
      <c r="K65" s="59">
        <f t="shared" si="1"/>
        <v>375</v>
      </c>
      <c r="L65" s="342">
        <v>8</v>
      </c>
      <c r="M65" s="60">
        <f t="shared" si="40"/>
        <v>2860.0000000000009</v>
      </c>
      <c r="N65" s="59">
        <f t="shared" si="3"/>
        <v>357.50000000000011</v>
      </c>
      <c r="O65" s="61">
        <f t="shared" si="4"/>
        <v>0</v>
      </c>
      <c r="P65" s="62">
        <f t="shared" si="5"/>
        <v>-17.499999999999886</v>
      </c>
      <c r="Q65" s="334">
        <f t="shared" si="6"/>
        <v>0.95333333333333359</v>
      </c>
      <c r="R65" s="566"/>
      <c r="S65" s="63">
        <v>0.39305555555555555</v>
      </c>
      <c r="T65" s="63">
        <v>0.4284722222222222</v>
      </c>
      <c r="U65" s="332">
        <f t="shared" si="42"/>
        <v>5.9999999999999787</v>
      </c>
      <c r="V65" s="343">
        <f t="shared" si="41"/>
        <v>50.999999999999979</v>
      </c>
      <c r="W65" s="332"/>
      <c r="X65" s="332"/>
      <c r="Y65" s="559"/>
      <c r="Z65" s="559"/>
      <c r="AA65" s="61">
        <f t="shared" si="8"/>
        <v>-139.99999999999909</v>
      </c>
      <c r="AB65" s="334">
        <f t="shared" si="9"/>
        <v>0.95333333333333359</v>
      </c>
      <c r="AC65" s="566"/>
    </row>
    <row r="66" spans="1:29">
      <c r="A66" s="573" t="s">
        <v>1537</v>
      </c>
      <c r="B66" s="344" t="s">
        <v>31</v>
      </c>
      <c r="C66" s="560" t="s">
        <v>35</v>
      </c>
      <c r="D66" s="560"/>
      <c r="E66" s="57">
        <v>35.869999999999997</v>
      </c>
      <c r="F66" s="69">
        <v>3137</v>
      </c>
      <c r="G66" s="332">
        <f t="shared" si="39"/>
        <v>112524.18999999999</v>
      </c>
      <c r="H66" s="346" t="s">
        <v>5</v>
      </c>
      <c r="I66" s="342">
        <v>9</v>
      </c>
      <c r="J66" s="58">
        <v>3000</v>
      </c>
      <c r="K66" s="59">
        <f t="shared" si="1"/>
        <v>333.33333333333331</v>
      </c>
      <c r="L66" s="342">
        <v>9</v>
      </c>
      <c r="M66" s="60">
        <f t="shared" si="40"/>
        <v>2895.6923076923072</v>
      </c>
      <c r="N66" s="59">
        <f t="shared" si="3"/>
        <v>321.74358974358967</v>
      </c>
      <c r="O66" s="61">
        <f t="shared" si="4"/>
        <v>0</v>
      </c>
      <c r="P66" s="62">
        <f t="shared" si="5"/>
        <v>-11.589743589743648</v>
      </c>
      <c r="Q66" s="334">
        <f t="shared" si="6"/>
        <v>0.965230769230769</v>
      </c>
      <c r="R66" s="566"/>
      <c r="S66" s="63">
        <v>0.43333333333333329</v>
      </c>
      <c r="T66" s="63">
        <v>0.47847222222222219</v>
      </c>
      <c r="U66" s="332">
        <f t="shared" si="42"/>
        <v>6.9999999999999751</v>
      </c>
      <c r="V66" s="343">
        <f t="shared" si="41"/>
        <v>65.000000000000014</v>
      </c>
      <c r="W66" s="64"/>
      <c r="X66" s="64"/>
      <c r="Y66" s="559"/>
      <c r="Z66" s="559"/>
      <c r="AA66" s="61">
        <f t="shared" si="8"/>
        <v>-104.30769230769283</v>
      </c>
      <c r="AB66" s="334">
        <f t="shared" si="9"/>
        <v>0.965230769230769</v>
      </c>
      <c r="AC66" s="566"/>
    </row>
    <row r="67" spans="1:29" ht="15" customHeight="1">
      <c r="A67" s="573" t="s">
        <v>1537</v>
      </c>
      <c r="B67" s="344" t="s">
        <v>31</v>
      </c>
      <c r="C67" s="567" t="s">
        <v>63</v>
      </c>
      <c r="D67" s="568"/>
      <c r="E67" s="57">
        <v>34.36</v>
      </c>
      <c r="F67" s="69">
        <v>2152</v>
      </c>
      <c r="G67" s="332">
        <f t="shared" si="39"/>
        <v>73942.720000000001</v>
      </c>
      <c r="H67" s="346" t="s">
        <v>5</v>
      </c>
      <c r="I67" s="342">
        <v>10</v>
      </c>
      <c r="J67" s="58">
        <v>3000</v>
      </c>
      <c r="K67" s="59">
        <f t="shared" si="1"/>
        <v>300</v>
      </c>
      <c r="L67" s="342">
        <v>10</v>
      </c>
      <c r="M67" s="60">
        <f t="shared" si="40"/>
        <v>2869.3333333333335</v>
      </c>
      <c r="N67" s="59">
        <f t="shared" si="3"/>
        <v>286.93333333333334</v>
      </c>
      <c r="O67" s="61">
        <f t="shared" si="4"/>
        <v>0</v>
      </c>
      <c r="P67" s="62">
        <f t="shared" si="5"/>
        <v>-13.066666666666663</v>
      </c>
      <c r="Q67" s="334">
        <f t="shared" si="6"/>
        <v>0.95644444444444443</v>
      </c>
      <c r="R67" s="566"/>
      <c r="S67" s="63">
        <v>0.4819444444444444</v>
      </c>
      <c r="T67" s="63">
        <v>0.5131944444444444</v>
      </c>
      <c r="U67" s="332">
        <f t="shared" si="42"/>
        <v>4.9999999999999822</v>
      </c>
      <c r="V67" s="343">
        <f t="shared" si="41"/>
        <v>45</v>
      </c>
      <c r="W67" s="332"/>
      <c r="X67" s="332"/>
      <c r="Y67" s="569"/>
      <c r="Z67" s="570"/>
      <c r="AA67" s="61">
        <f t="shared" si="8"/>
        <v>-130.66666666666652</v>
      </c>
      <c r="AB67" s="334">
        <f t="shared" si="9"/>
        <v>0.95644444444444454</v>
      </c>
      <c r="AC67" s="566"/>
    </row>
    <row r="68" spans="1:29">
      <c r="A68" s="573" t="s">
        <v>1537</v>
      </c>
      <c r="B68" s="57" t="s">
        <v>1524</v>
      </c>
      <c r="C68" s="571"/>
      <c r="D68" s="571"/>
      <c r="E68" s="339"/>
      <c r="F68" s="66"/>
      <c r="G68" s="59"/>
      <c r="H68" s="344"/>
      <c r="I68" s="67">
        <v>9.1666666666666661</v>
      </c>
      <c r="J68" s="58">
        <v>2750</v>
      </c>
      <c r="K68" s="59">
        <f t="shared" si="1"/>
        <v>300</v>
      </c>
      <c r="L68" s="67">
        <v>9.1666666666666661</v>
      </c>
      <c r="M68" s="60">
        <f>AVERAGE(M62:M67)</f>
        <v>2635.606762911053</v>
      </c>
      <c r="N68" s="59">
        <f t="shared" si="3"/>
        <v>287.5207377721149</v>
      </c>
      <c r="O68" s="61">
        <f t="shared" si="4"/>
        <v>0</v>
      </c>
      <c r="P68" s="62">
        <f t="shared" si="5"/>
        <v>-12.479262227885101</v>
      </c>
      <c r="Q68" s="334">
        <f t="shared" si="6"/>
        <v>0.95840245924038303</v>
      </c>
      <c r="R68" s="566"/>
      <c r="S68" s="63"/>
      <c r="T68" s="63"/>
      <c r="U68" s="59"/>
      <c r="V68" s="343"/>
      <c r="W68" s="59"/>
      <c r="X68" s="59"/>
      <c r="Y68" s="559"/>
      <c r="Z68" s="559"/>
      <c r="AA68" s="61">
        <f t="shared" si="8"/>
        <v>-114.39323708894699</v>
      </c>
      <c r="AB68" s="334">
        <f t="shared" si="9"/>
        <v>0.95840245924038292</v>
      </c>
      <c r="AC68" s="566"/>
    </row>
    <row r="69" spans="1:29" ht="15.75" customHeight="1">
      <c r="A69" s="563" t="s">
        <v>1538</v>
      </c>
      <c r="B69" s="344" t="s">
        <v>15</v>
      </c>
      <c r="C69" s="560" t="s">
        <v>43</v>
      </c>
      <c r="D69" s="560"/>
      <c r="E69" s="57">
        <v>20.2</v>
      </c>
      <c r="F69" s="344">
        <v>2595</v>
      </c>
      <c r="G69" s="332">
        <f t="shared" ref="G69:G76" si="43">E69*F69</f>
        <v>52419</v>
      </c>
      <c r="H69" s="346" t="s">
        <v>5</v>
      </c>
      <c r="I69" s="342">
        <v>19</v>
      </c>
      <c r="J69" s="58">
        <v>2400</v>
      </c>
      <c r="K69" s="59">
        <f t="shared" ref="K69:K77" si="44">J69/I69</f>
        <v>126.31578947368421</v>
      </c>
      <c r="L69" s="342">
        <v>19</v>
      </c>
      <c r="M69" s="60">
        <f t="shared" ref="M69:M76" si="45">F69/V69*60</f>
        <v>2289.7058823529424</v>
      </c>
      <c r="N69" s="59">
        <f t="shared" ref="N69:N77" si="46">M69/L69</f>
        <v>120.51083591331276</v>
      </c>
      <c r="O69" s="61">
        <f t="shared" ref="O69:O77" si="47">L69-I69</f>
        <v>0</v>
      </c>
      <c r="P69" s="62">
        <f t="shared" ref="P69:P77" si="48">N69-K69</f>
        <v>-5.8049535603714446</v>
      </c>
      <c r="Q69" s="334">
        <f t="shared" ref="Q69:Q77" si="49">N69/K69</f>
        <v>0.95404411764705943</v>
      </c>
      <c r="R69" s="566">
        <f>Q77</f>
        <v>0.95586904474802392</v>
      </c>
      <c r="S69" s="63">
        <v>8.3333333333333329E-2</v>
      </c>
      <c r="T69" s="63">
        <v>0.13055555555555554</v>
      </c>
      <c r="U69" s="68"/>
      <c r="V69" s="343">
        <f t="shared" ref="V69:V76" si="50">(T69-S69)*24*60</f>
        <v>67.999999999999972</v>
      </c>
      <c r="W69" s="64">
        <f>T69</f>
        <v>0.13055555555555554</v>
      </c>
      <c r="X69" s="64">
        <f>S70</f>
        <v>0.15069444444444444</v>
      </c>
      <c r="Y69" s="559"/>
      <c r="Z69" s="559"/>
      <c r="AA69" s="61">
        <f t="shared" ref="AA69:AA77" si="51">M69-J69</f>
        <v>-110.29411764705765</v>
      </c>
      <c r="AB69" s="334">
        <f t="shared" ref="AB69:AB77" si="52">M69/J69</f>
        <v>0.95404411764705932</v>
      </c>
      <c r="AC69" s="566">
        <f>AB77</f>
        <v>0.95586904474802381</v>
      </c>
    </row>
    <row r="70" spans="1:29" ht="15.75" customHeight="1">
      <c r="A70" s="564" t="s">
        <v>1539</v>
      </c>
      <c r="B70" s="344" t="s">
        <v>15</v>
      </c>
      <c r="C70" s="560" t="s">
        <v>24</v>
      </c>
      <c r="D70" s="560"/>
      <c r="E70" s="57">
        <v>20.52</v>
      </c>
      <c r="F70" s="344">
        <v>3824</v>
      </c>
      <c r="G70" s="332">
        <f t="shared" si="43"/>
        <v>78468.479999999996</v>
      </c>
      <c r="H70" s="346" t="s">
        <v>5</v>
      </c>
      <c r="I70" s="342">
        <v>18</v>
      </c>
      <c r="J70" s="58">
        <v>2400</v>
      </c>
      <c r="K70" s="59">
        <f t="shared" si="44"/>
        <v>133.33333333333334</v>
      </c>
      <c r="L70" s="342">
        <v>18</v>
      </c>
      <c r="M70" s="60">
        <f t="shared" si="45"/>
        <v>2294.4</v>
      </c>
      <c r="N70" s="59">
        <f t="shared" si="46"/>
        <v>127.46666666666667</v>
      </c>
      <c r="O70" s="61">
        <f t="shared" si="47"/>
        <v>0</v>
      </c>
      <c r="P70" s="62">
        <f t="shared" si="48"/>
        <v>-5.8666666666666742</v>
      </c>
      <c r="Q70" s="334">
        <f t="shared" si="49"/>
        <v>0.95599999999999996</v>
      </c>
      <c r="R70" s="566"/>
      <c r="S70" s="63">
        <v>0.15069444444444444</v>
      </c>
      <c r="T70" s="63">
        <v>0.22013888888888888</v>
      </c>
      <c r="U70" s="332">
        <f t="shared" ref="U70:U76" si="53">(S70-T69)*24*60</f>
        <v>29.000000000000018</v>
      </c>
      <c r="V70" s="343">
        <f t="shared" si="50"/>
        <v>100</v>
      </c>
      <c r="W70" s="64"/>
      <c r="X70" s="64"/>
      <c r="Y70" s="559"/>
      <c r="Z70" s="559"/>
      <c r="AA70" s="61">
        <f t="shared" si="51"/>
        <v>-105.59999999999991</v>
      </c>
      <c r="AB70" s="334">
        <f t="shared" si="52"/>
        <v>0.95600000000000007</v>
      </c>
      <c r="AC70" s="566"/>
    </row>
    <row r="71" spans="1:29" ht="15.75" customHeight="1">
      <c r="A71" s="564" t="s">
        <v>1538</v>
      </c>
      <c r="B71" s="344" t="s">
        <v>15</v>
      </c>
      <c r="C71" s="560" t="s">
        <v>44</v>
      </c>
      <c r="D71" s="560"/>
      <c r="E71" s="57">
        <v>19.02</v>
      </c>
      <c r="F71" s="344">
        <v>4500</v>
      </c>
      <c r="G71" s="332">
        <f t="shared" si="43"/>
        <v>85590</v>
      </c>
      <c r="H71" s="346">
        <v>2</v>
      </c>
      <c r="I71" s="342">
        <v>15</v>
      </c>
      <c r="J71" s="58">
        <v>2400</v>
      </c>
      <c r="K71" s="59">
        <f t="shared" si="44"/>
        <v>160</v>
      </c>
      <c r="L71" s="342">
        <v>15</v>
      </c>
      <c r="M71" s="60">
        <f t="shared" si="45"/>
        <v>2288.1355932203387</v>
      </c>
      <c r="N71" s="59">
        <f t="shared" si="46"/>
        <v>152.5423728813559</v>
      </c>
      <c r="O71" s="61">
        <f t="shared" si="47"/>
        <v>0</v>
      </c>
      <c r="P71" s="62">
        <f t="shared" si="48"/>
        <v>-7.4576271186440977</v>
      </c>
      <c r="Q71" s="334">
        <f t="shared" si="49"/>
        <v>0.95338983050847437</v>
      </c>
      <c r="R71" s="566"/>
      <c r="S71" s="63">
        <v>0.22569444444444445</v>
      </c>
      <c r="T71" s="63">
        <v>0.30763888888888891</v>
      </c>
      <c r="U71" s="332">
        <f t="shared" si="53"/>
        <v>8.0000000000000107</v>
      </c>
      <c r="V71" s="343">
        <f t="shared" si="50"/>
        <v>118.00000000000001</v>
      </c>
      <c r="W71" s="64"/>
      <c r="X71" s="64"/>
      <c r="Y71" s="559"/>
      <c r="Z71" s="559"/>
      <c r="AA71" s="61">
        <f t="shared" si="51"/>
        <v>-111.86440677966129</v>
      </c>
      <c r="AB71" s="334">
        <f t="shared" si="52"/>
        <v>0.95338983050847448</v>
      </c>
      <c r="AC71" s="566"/>
    </row>
    <row r="72" spans="1:29" ht="15.75" customHeight="1">
      <c r="A72" s="564" t="s">
        <v>1538</v>
      </c>
      <c r="B72" s="344" t="s">
        <v>15</v>
      </c>
      <c r="C72" s="560" t="s">
        <v>29</v>
      </c>
      <c r="D72" s="560"/>
      <c r="E72" s="57">
        <v>24.43</v>
      </c>
      <c r="F72" s="344">
        <v>5000</v>
      </c>
      <c r="G72" s="332">
        <f t="shared" si="43"/>
        <v>122150</v>
      </c>
      <c r="H72" s="346">
        <v>2</v>
      </c>
      <c r="I72" s="342">
        <v>14</v>
      </c>
      <c r="J72" s="58">
        <v>2400</v>
      </c>
      <c r="K72" s="59">
        <f t="shared" si="44"/>
        <v>171.42857142857142</v>
      </c>
      <c r="L72" s="342">
        <v>14</v>
      </c>
      <c r="M72" s="60">
        <f t="shared" si="45"/>
        <v>2290.0763358778627</v>
      </c>
      <c r="N72" s="59">
        <f t="shared" si="46"/>
        <v>163.57688113413306</v>
      </c>
      <c r="O72" s="61">
        <f t="shared" si="47"/>
        <v>0</v>
      </c>
      <c r="P72" s="62">
        <f t="shared" si="48"/>
        <v>-7.851690294438356</v>
      </c>
      <c r="Q72" s="334">
        <f t="shared" si="49"/>
        <v>0.95419847328244289</v>
      </c>
      <c r="R72" s="566"/>
      <c r="S72" s="63">
        <v>0.31319444444444444</v>
      </c>
      <c r="T72" s="63">
        <v>0.40416666666666667</v>
      </c>
      <c r="U72" s="332">
        <f t="shared" si="53"/>
        <v>7.9999999999999716</v>
      </c>
      <c r="V72" s="343">
        <f t="shared" si="50"/>
        <v>131</v>
      </c>
      <c r="W72" s="64"/>
      <c r="X72" s="64"/>
      <c r="Y72" s="559"/>
      <c r="Z72" s="559"/>
      <c r="AA72" s="61">
        <f t="shared" si="51"/>
        <v>-109.92366412213732</v>
      </c>
      <c r="AB72" s="334">
        <f t="shared" si="52"/>
        <v>0.95419847328244278</v>
      </c>
      <c r="AC72" s="566"/>
    </row>
    <row r="73" spans="1:29" ht="15.75" customHeight="1">
      <c r="A73" s="564" t="s">
        <v>1540</v>
      </c>
      <c r="B73" s="344" t="s">
        <v>15</v>
      </c>
      <c r="C73" s="560" t="s">
        <v>1183</v>
      </c>
      <c r="D73" s="560"/>
      <c r="E73" s="57">
        <v>20.21</v>
      </c>
      <c r="F73" s="344">
        <v>4500</v>
      </c>
      <c r="G73" s="332">
        <f t="shared" si="43"/>
        <v>90945</v>
      </c>
      <c r="H73" s="346">
        <v>2</v>
      </c>
      <c r="I73" s="342">
        <v>16</v>
      </c>
      <c r="J73" s="58">
        <v>2400</v>
      </c>
      <c r="K73" s="59">
        <f t="shared" si="44"/>
        <v>150</v>
      </c>
      <c r="L73" s="342">
        <v>16</v>
      </c>
      <c r="M73" s="60">
        <f t="shared" si="45"/>
        <v>2288.1355932203396</v>
      </c>
      <c r="N73" s="59">
        <f t="shared" si="46"/>
        <v>143.00847457627123</v>
      </c>
      <c r="O73" s="61">
        <f t="shared" si="47"/>
        <v>0</v>
      </c>
      <c r="P73" s="62">
        <f t="shared" si="48"/>
        <v>-6.9915254237287741</v>
      </c>
      <c r="Q73" s="334">
        <f t="shared" si="49"/>
        <v>0.95338983050847481</v>
      </c>
      <c r="R73" s="566"/>
      <c r="S73" s="63">
        <v>0.40833333333333333</v>
      </c>
      <c r="T73" s="63">
        <v>0.49027777777777776</v>
      </c>
      <c r="U73" s="332">
        <f t="shared" si="53"/>
        <v>5.9999999999999787</v>
      </c>
      <c r="V73" s="343">
        <f t="shared" si="50"/>
        <v>117.99999999999999</v>
      </c>
      <c r="W73" s="64">
        <f>T73</f>
        <v>0.49027777777777776</v>
      </c>
      <c r="X73" s="64">
        <f>S74</f>
        <v>0.52986111111111101</v>
      </c>
      <c r="Y73" s="559"/>
      <c r="Z73" s="559"/>
      <c r="AA73" s="61">
        <f t="shared" si="51"/>
        <v>-111.86440677966038</v>
      </c>
      <c r="AB73" s="334">
        <f t="shared" si="52"/>
        <v>0.95338983050847481</v>
      </c>
      <c r="AC73" s="566"/>
    </row>
    <row r="74" spans="1:29" ht="15.75" customHeight="1">
      <c r="A74" s="564" t="s">
        <v>1539</v>
      </c>
      <c r="B74" s="344" t="s">
        <v>15</v>
      </c>
      <c r="C74" s="560" t="s">
        <v>44</v>
      </c>
      <c r="D74" s="560"/>
      <c r="E74" s="57">
        <v>19.02</v>
      </c>
      <c r="F74" s="344">
        <v>6602</v>
      </c>
      <c r="G74" s="332">
        <f t="shared" si="43"/>
        <v>125570.04</v>
      </c>
      <c r="H74" s="346" t="s">
        <v>5</v>
      </c>
      <c r="I74" s="342">
        <v>15</v>
      </c>
      <c r="J74" s="58">
        <v>2400</v>
      </c>
      <c r="K74" s="59">
        <f t="shared" si="44"/>
        <v>160</v>
      </c>
      <c r="L74" s="342">
        <v>15</v>
      </c>
      <c r="M74" s="60">
        <f t="shared" si="45"/>
        <v>2289.710982658959</v>
      </c>
      <c r="N74" s="59">
        <f t="shared" si="46"/>
        <v>152.6473988439306</v>
      </c>
      <c r="O74" s="61">
        <f t="shared" si="47"/>
        <v>0</v>
      </c>
      <c r="P74" s="62">
        <f t="shared" si="48"/>
        <v>-7.3526011560693973</v>
      </c>
      <c r="Q74" s="334">
        <f t="shared" si="49"/>
        <v>0.95404624277456629</v>
      </c>
      <c r="R74" s="566"/>
      <c r="S74" s="63">
        <v>0.52986111111111101</v>
      </c>
      <c r="T74" s="63">
        <v>0.64999999999999991</v>
      </c>
      <c r="U74" s="332">
        <f t="shared" si="53"/>
        <v>56.999999999999879</v>
      </c>
      <c r="V74" s="343">
        <f t="shared" si="50"/>
        <v>173.00000000000003</v>
      </c>
      <c r="W74" s="64"/>
      <c r="X74" s="64"/>
      <c r="Y74" s="559"/>
      <c r="Z74" s="559"/>
      <c r="AA74" s="61">
        <f t="shared" si="51"/>
        <v>-110.28901734104102</v>
      </c>
      <c r="AB74" s="334">
        <f t="shared" si="52"/>
        <v>0.95404624277456629</v>
      </c>
      <c r="AC74" s="566"/>
    </row>
    <row r="75" spans="1:29" ht="15.75" customHeight="1">
      <c r="A75" s="564" t="s">
        <v>1540</v>
      </c>
      <c r="B75" s="344" t="s">
        <v>15</v>
      </c>
      <c r="C75" s="560" t="s">
        <v>1183</v>
      </c>
      <c r="D75" s="560"/>
      <c r="E75" s="57">
        <v>20.21</v>
      </c>
      <c r="F75" s="344">
        <v>2958</v>
      </c>
      <c r="G75" s="332">
        <f t="shared" si="43"/>
        <v>59781.18</v>
      </c>
      <c r="H75" s="346" t="s">
        <v>5</v>
      </c>
      <c r="I75" s="342">
        <v>16</v>
      </c>
      <c r="J75" s="58">
        <v>2400</v>
      </c>
      <c r="K75" s="59">
        <f t="shared" si="44"/>
        <v>150</v>
      </c>
      <c r="L75" s="342">
        <v>16</v>
      </c>
      <c r="M75" s="60">
        <f t="shared" si="45"/>
        <v>2304.9350649350636</v>
      </c>
      <c r="N75" s="59">
        <f t="shared" si="46"/>
        <v>144.05844155844147</v>
      </c>
      <c r="O75" s="61">
        <f t="shared" si="47"/>
        <v>0</v>
      </c>
      <c r="P75" s="62">
        <f t="shared" si="48"/>
        <v>-5.9415584415585272</v>
      </c>
      <c r="Q75" s="334">
        <f t="shared" si="49"/>
        <v>0.96038961038960979</v>
      </c>
      <c r="R75" s="566"/>
      <c r="S75" s="63">
        <v>0.65486111111111101</v>
      </c>
      <c r="T75" s="63">
        <v>0.70833333333333326</v>
      </c>
      <c r="U75" s="332">
        <f t="shared" si="53"/>
        <v>6.9999999999999751</v>
      </c>
      <c r="V75" s="343">
        <f t="shared" si="50"/>
        <v>77.000000000000043</v>
      </c>
      <c r="W75" s="64"/>
      <c r="X75" s="64"/>
      <c r="Y75" s="569"/>
      <c r="Z75" s="570"/>
      <c r="AA75" s="61">
        <f t="shared" si="51"/>
        <v>-95.064935064936435</v>
      </c>
      <c r="AB75" s="334">
        <f t="shared" si="52"/>
        <v>0.96038961038960979</v>
      </c>
      <c r="AC75" s="566"/>
    </row>
    <row r="76" spans="1:29" ht="15.75" customHeight="1">
      <c r="A76" s="564" t="s">
        <v>1539</v>
      </c>
      <c r="B76" s="344" t="s">
        <v>15</v>
      </c>
      <c r="C76" s="560" t="s">
        <v>29</v>
      </c>
      <c r="D76" s="560"/>
      <c r="E76" s="57">
        <v>24.43</v>
      </c>
      <c r="F76" s="344">
        <v>3346</v>
      </c>
      <c r="G76" s="332">
        <f t="shared" si="43"/>
        <v>81742.78</v>
      </c>
      <c r="H76" s="346" t="s">
        <v>5</v>
      </c>
      <c r="I76" s="342">
        <v>14</v>
      </c>
      <c r="J76" s="58">
        <v>2400</v>
      </c>
      <c r="K76" s="59">
        <f t="shared" si="44"/>
        <v>171.42857142857142</v>
      </c>
      <c r="L76" s="342">
        <v>14</v>
      </c>
      <c r="M76" s="60">
        <f t="shared" si="45"/>
        <v>2307.5862068965512</v>
      </c>
      <c r="N76" s="59">
        <f t="shared" si="46"/>
        <v>164.82758620689651</v>
      </c>
      <c r="O76" s="61">
        <f t="shared" si="47"/>
        <v>0</v>
      </c>
      <c r="P76" s="62">
        <f t="shared" si="48"/>
        <v>-6.6009852216749039</v>
      </c>
      <c r="Q76" s="334">
        <f t="shared" si="49"/>
        <v>0.96149425287356305</v>
      </c>
      <c r="R76" s="566"/>
      <c r="S76" s="63">
        <v>0.71319444444444435</v>
      </c>
      <c r="T76" s="63">
        <v>0.77361111111111103</v>
      </c>
      <c r="U76" s="332">
        <f t="shared" si="53"/>
        <v>6.9999999999999751</v>
      </c>
      <c r="V76" s="343">
        <f t="shared" si="50"/>
        <v>87.000000000000014</v>
      </c>
      <c r="W76" s="64"/>
      <c r="X76" s="64"/>
      <c r="Y76" s="569"/>
      <c r="Z76" s="570"/>
      <c r="AA76" s="61">
        <f t="shared" si="51"/>
        <v>-92.413793103448825</v>
      </c>
      <c r="AB76" s="334">
        <f t="shared" si="52"/>
        <v>0.96149425287356294</v>
      </c>
      <c r="AC76" s="566"/>
    </row>
    <row r="77" spans="1:29" ht="16.5" customHeight="1">
      <c r="A77" s="565" t="s">
        <v>1538</v>
      </c>
      <c r="B77" s="57" t="s">
        <v>1541</v>
      </c>
      <c r="C77" s="561"/>
      <c r="D77" s="562"/>
      <c r="E77" s="339"/>
      <c r="F77" s="66"/>
      <c r="G77" s="59"/>
      <c r="H77" s="344"/>
      <c r="I77" s="67">
        <v>15.875</v>
      </c>
      <c r="J77" s="58">
        <v>2400</v>
      </c>
      <c r="K77" s="59">
        <f t="shared" si="44"/>
        <v>151.18110236220471</v>
      </c>
      <c r="L77" s="67">
        <v>15.875</v>
      </c>
      <c r="M77" s="60">
        <f>AVERAGE(M69:M76)</f>
        <v>2294.085707395257</v>
      </c>
      <c r="N77" s="59">
        <f t="shared" si="46"/>
        <v>144.50933589891383</v>
      </c>
      <c r="O77" s="61">
        <f t="shared" si="47"/>
        <v>0</v>
      </c>
      <c r="P77" s="62">
        <f t="shared" si="48"/>
        <v>-6.6717664632908793</v>
      </c>
      <c r="Q77" s="334">
        <f t="shared" si="49"/>
        <v>0.95586904474802392</v>
      </c>
      <c r="R77" s="566"/>
      <c r="S77" s="63"/>
      <c r="T77" s="63"/>
      <c r="U77" s="59"/>
      <c r="V77" s="343"/>
      <c r="W77" s="59"/>
      <c r="X77" s="59"/>
      <c r="Y77" s="559"/>
      <c r="Z77" s="559"/>
      <c r="AA77" s="61">
        <f t="shared" si="51"/>
        <v>-105.91429260474297</v>
      </c>
      <c r="AB77" s="334">
        <f t="shared" si="52"/>
        <v>0.95586904474802381</v>
      </c>
      <c r="AC77" s="566"/>
    </row>
    <row r="78" spans="1:29">
      <c r="D78" s="80"/>
      <c r="E78" s="80"/>
    </row>
  </sheetData>
  <mergeCells count="201">
    <mergeCell ref="A69:A77"/>
    <mergeCell ref="C69:D69"/>
    <mergeCell ref="R69:R77"/>
    <mergeCell ref="Y69:Z69"/>
    <mergeCell ref="AC69:AC77"/>
    <mergeCell ref="C70:D70"/>
    <mergeCell ref="Y70:Z70"/>
    <mergeCell ref="C71:D71"/>
    <mergeCell ref="Y71:Z71"/>
    <mergeCell ref="C72:D72"/>
    <mergeCell ref="C76:D76"/>
    <mergeCell ref="Y76:Z76"/>
    <mergeCell ref="C77:D77"/>
    <mergeCell ref="Y77:Z77"/>
    <mergeCell ref="Y72:Z72"/>
    <mergeCell ref="C73:D73"/>
    <mergeCell ref="Y73:Z73"/>
    <mergeCell ref="C74:D74"/>
    <mergeCell ref="Y74:Z74"/>
    <mergeCell ref="C75:D75"/>
    <mergeCell ref="Y75:Z75"/>
    <mergeCell ref="A62:A68"/>
    <mergeCell ref="C62:D62"/>
    <mergeCell ref="R62:R68"/>
    <mergeCell ref="Y62:Z62"/>
    <mergeCell ref="Y67:Z67"/>
    <mergeCell ref="C68:D68"/>
    <mergeCell ref="Y68:Z68"/>
    <mergeCell ref="AC62:AC68"/>
    <mergeCell ref="C63:D63"/>
    <mergeCell ref="Y63:Z63"/>
    <mergeCell ref="C64:D64"/>
    <mergeCell ref="Y64:Z64"/>
    <mergeCell ref="C65:D65"/>
    <mergeCell ref="Y65:Z65"/>
    <mergeCell ref="C66:D66"/>
    <mergeCell ref="Y66:Z66"/>
    <mergeCell ref="C67:D67"/>
    <mergeCell ref="AC55:AC61"/>
    <mergeCell ref="C56:D56"/>
    <mergeCell ref="Y56:Z56"/>
    <mergeCell ref="C57:D57"/>
    <mergeCell ref="C60:D60"/>
    <mergeCell ref="AC48:AC54"/>
    <mergeCell ref="C49:D49"/>
    <mergeCell ref="Y49:Z49"/>
    <mergeCell ref="C50:D50"/>
    <mergeCell ref="Y50:Z50"/>
    <mergeCell ref="C51:D51"/>
    <mergeCell ref="Y51:Z51"/>
    <mergeCell ref="C52:D52"/>
    <mergeCell ref="Y52:Z52"/>
    <mergeCell ref="C53:D53"/>
    <mergeCell ref="Y60:Z60"/>
    <mergeCell ref="C61:D61"/>
    <mergeCell ref="Y61:Z61"/>
    <mergeCell ref="A48:A54"/>
    <mergeCell ref="C48:D48"/>
    <mergeCell ref="R48:R54"/>
    <mergeCell ref="Y48:Z48"/>
    <mergeCell ref="Y53:Z53"/>
    <mergeCell ref="C54:D54"/>
    <mergeCell ref="Y54:Z54"/>
    <mergeCell ref="A55:A61"/>
    <mergeCell ref="C55:D55"/>
    <mergeCell ref="R55:R61"/>
    <mergeCell ref="Y55:Z55"/>
    <mergeCell ref="C43:D43"/>
    <mergeCell ref="Y43:Z43"/>
    <mergeCell ref="C44:D44"/>
    <mergeCell ref="Y44:Z44"/>
    <mergeCell ref="C45:D45"/>
    <mergeCell ref="Y45:Z45"/>
    <mergeCell ref="A39:A47"/>
    <mergeCell ref="C39:D39"/>
    <mergeCell ref="R39:R47"/>
    <mergeCell ref="Y39:Z39"/>
    <mergeCell ref="C46:D46"/>
    <mergeCell ref="Y46:Z46"/>
    <mergeCell ref="C47:D47"/>
    <mergeCell ref="Y47:Z47"/>
    <mergeCell ref="AC39:AC47"/>
    <mergeCell ref="C40:D40"/>
    <mergeCell ref="Y40:Z40"/>
    <mergeCell ref="C41:D41"/>
    <mergeCell ref="Y41:Z41"/>
    <mergeCell ref="C42:D42"/>
    <mergeCell ref="Y35:Z35"/>
    <mergeCell ref="C36:D36"/>
    <mergeCell ref="Y36:Z36"/>
    <mergeCell ref="C37:D37"/>
    <mergeCell ref="Y37:Z37"/>
    <mergeCell ref="C38:D38"/>
    <mergeCell ref="Y38:Z38"/>
    <mergeCell ref="AC29:AC38"/>
    <mergeCell ref="C30:D30"/>
    <mergeCell ref="Y30:Z30"/>
    <mergeCell ref="C31:D31"/>
    <mergeCell ref="Y31:Z31"/>
    <mergeCell ref="C32:D32"/>
    <mergeCell ref="Y32:Z32"/>
    <mergeCell ref="C33:D33"/>
    <mergeCell ref="Y33:Z33"/>
    <mergeCell ref="C34:D34"/>
    <mergeCell ref="Y42:Z42"/>
    <mergeCell ref="A20:A28"/>
    <mergeCell ref="C20:D20"/>
    <mergeCell ref="R20:R28"/>
    <mergeCell ref="Y20:Z20"/>
    <mergeCell ref="C27:D27"/>
    <mergeCell ref="Y27:Z27"/>
    <mergeCell ref="C28:D28"/>
    <mergeCell ref="Y28:Z28"/>
    <mergeCell ref="A29:A38"/>
    <mergeCell ref="C29:D29"/>
    <mergeCell ref="R29:R38"/>
    <mergeCell ref="Y29:Z29"/>
    <mergeCell ref="Y34:Z34"/>
    <mergeCell ref="C35:D35"/>
    <mergeCell ref="AC20:AC28"/>
    <mergeCell ref="C21:D21"/>
    <mergeCell ref="Y21:Z21"/>
    <mergeCell ref="C22:D22"/>
    <mergeCell ref="Y22:Z22"/>
    <mergeCell ref="C23:D23"/>
    <mergeCell ref="C16:D16"/>
    <mergeCell ref="Y16:Z16"/>
    <mergeCell ref="C17:D17"/>
    <mergeCell ref="Y17:Z17"/>
    <mergeCell ref="Y18:Z18"/>
    <mergeCell ref="C19:D19"/>
    <mergeCell ref="Y19:Z19"/>
    <mergeCell ref="Y23:Z23"/>
    <mergeCell ref="C24:D24"/>
    <mergeCell ref="Y24:Z24"/>
    <mergeCell ref="C25:D25"/>
    <mergeCell ref="Y25:Z25"/>
    <mergeCell ref="C26:D26"/>
    <mergeCell ref="Y26:Z26"/>
    <mergeCell ref="H3:H4"/>
    <mergeCell ref="I3:I4"/>
    <mergeCell ref="A12:A19"/>
    <mergeCell ref="C12:D12"/>
    <mergeCell ref="R12:R19"/>
    <mergeCell ref="Y12:Z12"/>
    <mergeCell ref="AC12:AC19"/>
    <mergeCell ref="C8:D8"/>
    <mergeCell ref="Y8:Z8"/>
    <mergeCell ref="A9:A11"/>
    <mergeCell ref="C9:D9"/>
    <mergeCell ref="R9:R11"/>
    <mergeCell ref="Y9:Z9"/>
    <mergeCell ref="C13:D13"/>
    <mergeCell ref="Y13:Z13"/>
    <mergeCell ref="C14:D14"/>
    <mergeCell ref="Y14:Z14"/>
    <mergeCell ref="C15:D15"/>
    <mergeCell ref="Y15:Z15"/>
    <mergeCell ref="AC9:AC11"/>
    <mergeCell ref="C10:D10"/>
    <mergeCell ref="Y10:Z10"/>
    <mergeCell ref="C11:D11"/>
    <mergeCell ref="Y11:Z11"/>
    <mergeCell ref="A3:A4"/>
    <mergeCell ref="B3:B4"/>
    <mergeCell ref="C3:D4"/>
    <mergeCell ref="E3:E4"/>
    <mergeCell ref="F3:F4"/>
    <mergeCell ref="G3:G4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I1:K2"/>
    <mergeCell ref="L1:N2"/>
    <mergeCell ref="O1:R2"/>
    <mergeCell ref="S1:X2"/>
    <mergeCell ref="Y1:Z2"/>
    <mergeCell ref="AA1:AC2"/>
    <mergeCell ref="J3:J4"/>
    <mergeCell ref="K3:K4"/>
    <mergeCell ref="L3:L4"/>
    <mergeCell ref="M3:M4"/>
    <mergeCell ref="P3:P4"/>
    <mergeCell ref="Q3:Q4"/>
    <mergeCell ref="R3:R4"/>
    <mergeCell ref="S3:T3"/>
  </mergeCells>
  <phoneticPr fontId="3" type="noConversion"/>
  <conditionalFormatting sqref="O65:O74 O77 O5:O9 O11:O13 O19:O36 O38:O62">
    <cfRule type="cellIs" dxfId="1398" priority="59" operator="greaterThan">
      <formula>0</formula>
    </cfRule>
  </conditionalFormatting>
  <conditionalFormatting sqref="P5:P7 P65:P67 AA65:AA67 P69:P74 P29:P36 P62 P9 P11:P13 P20:P27 P55:P60 P39:P53 AA5:AA62 AA69:AA77">
    <cfRule type="cellIs" dxfId="1397" priority="63" operator="lessThan">
      <formula>0</formula>
    </cfRule>
  </conditionalFormatting>
  <conditionalFormatting sqref="AB65:AB67 Q65:Q74 Q77 Q5:Q9 Q11:Q13 Q19:Q36 Q38:Q62 AB5:AB62 AB69:AB77">
    <cfRule type="cellIs" dxfId="1396" priority="60" operator="greaterThan">
      <formula>1</formula>
    </cfRule>
    <cfRule type="cellIs" dxfId="1395" priority="61" operator="lessThan">
      <formula>0.8</formula>
    </cfRule>
  </conditionalFormatting>
  <conditionalFormatting sqref="AC12:AC13 R12:R13 AC65 R65:R74 R19:R25 AC19:AC25 AC28:AC36 R28:R36 R77 AC5:AC9 R5:R9 AC38:AC62 R38:R62">
    <cfRule type="cellIs" dxfId="1394" priority="65" operator="lessThan">
      <formula>0.8</formula>
    </cfRule>
  </conditionalFormatting>
  <conditionalFormatting sqref="AC48">
    <cfRule type="cellIs" dxfId="1393" priority="67" operator="lessThan">
      <formula>0.8</formula>
    </cfRule>
  </conditionalFormatting>
  <conditionalFormatting sqref="AC20:AC25">
    <cfRule type="cellIs" dxfId="1392" priority="64" operator="lessThan">
      <formula>0.8</formula>
    </cfRule>
  </conditionalFormatting>
  <conditionalFormatting sqref="AC29">
    <cfRule type="cellIs" dxfId="1391" priority="66" operator="lessThan">
      <formula>0.8</formula>
    </cfRule>
  </conditionalFormatting>
  <conditionalFormatting sqref="AC39:AC46">
    <cfRule type="cellIs" dxfId="1390" priority="62" operator="lessThan">
      <formula>0.8</formula>
    </cfRule>
  </conditionalFormatting>
  <conditionalFormatting sqref="AA68">
    <cfRule type="cellIs" dxfId="1389" priority="58" operator="lessThan">
      <formula>0</formula>
    </cfRule>
  </conditionalFormatting>
  <conditionalFormatting sqref="AB68">
    <cfRule type="cellIs" dxfId="1388" priority="56" operator="greaterThan">
      <formula>1</formula>
    </cfRule>
    <cfRule type="cellIs" dxfId="1387" priority="57" operator="lessThan">
      <formula>0.8</formula>
    </cfRule>
  </conditionalFormatting>
  <conditionalFormatting sqref="O14:O15">
    <cfRule type="cellIs" dxfId="1386" priority="51" operator="greaterThan">
      <formula>0</formula>
    </cfRule>
  </conditionalFormatting>
  <conditionalFormatting sqref="P14:P15">
    <cfRule type="cellIs" dxfId="1385" priority="54" operator="lessThan">
      <formula>0</formula>
    </cfRule>
  </conditionalFormatting>
  <conditionalFormatting sqref="Q14:Q15">
    <cfRule type="cellIs" dxfId="1384" priority="52" operator="greaterThan">
      <formula>1</formula>
    </cfRule>
    <cfRule type="cellIs" dxfId="1383" priority="53" operator="lessThan">
      <formula>0.8</formula>
    </cfRule>
  </conditionalFormatting>
  <conditionalFormatting sqref="R14:R15 AC14:AC15">
    <cfRule type="cellIs" dxfId="1382" priority="55" operator="lessThan">
      <formula>0.8</formula>
    </cfRule>
  </conditionalFormatting>
  <conditionalFormatting sqref="O10">
    <cfRule type="cellIs" dxfId="1381" priority="47" operator="greaterThan">
      <formula>0</formula>
    </cfRule>
  </conditionalFormatting>
  <conditionalFormatting sqref="P10">
    <cfRule type="cellIs" dxfId="1380" priority="50" operator="lessThan">
      <formula>0</formula>
    </cfRule>
  </conditionalFormatting>
  <conditionalFormatting sqref="Q10">
    <cfRule type="cellIs" dxfId="1379" priority="48" operator="greaterThan">
      <formula>1</formula>
    </cfRule>
    <cfRule type="cellIs" dxfId="1378" priority="49" operator="lessThan">
      <formula>0.8</formula>
    </cfRule>
  </conditionalFormatting>
  <conditionalFormatting sqref="AC27 R27">
    <cfRule type="cellIs" dxfId="1377" priority="46" operator="lessThan">
      <formula>0.8</formula>
    </cfRule>
  </conditionalFormatting>
  <conditionalFormatting sqref="O64">
    <cfRule type="cellIs" dxfId="1376" priority="41" operator="greaterThan">
      <formula>0</formula>
    </cfRule>
  </conditionalFormatting>
  <conditionalFormatting sqref="P64 AA64">
    <cfRule type="cellIs" dxfId="1375" priority="44" operator="lessThan">
      <formula>0</formula>
    </cfRule>
  </conditionalFormatting>
  <conditionalFormatting sqref="Q64 AB64">
    <cfRule type="cellIs" dxfId="1374" priority="42" operator="greaterThan">
      <formula>1</formula>
    </cfRule>
    <cfRule type="cellIs" dxfId="1373" priority="43" operator="lessThan">
      <formula>0.8</formula>
    </cfRule>
  </conditionalFormatting>
  <conditionalFormatting sqref="R64 AC64">
    <cfRule type="cellIs" dxfId="1372" priority="45" operator="lessThan">
      <formula>0.8</formula>
    </cfRule>
  </conditionalFormatting>
  <conditionalFormatting sqref="O37">
    <cfRule type="cellIs" dxfId="1371" priority="36" operator="greaterThan">
      <formula>0</formula>
    </cfRule>
  </conditionalFormatting>
  <conditionalFormatting sqref="P37">
    <cfRule type="cellIs" dxfId="1370" priority="39" operator="lessThan">
      <formula>0</formula>
    </cfRule>
  </conditionalFormatting>
  <conditionalFormatting sqref="Q37">
    <cfRule type="cellIs" dxfId="1369" priority="37" operator="greaterThan">
      <formula>1</formula>
    </cfRule>
    <cfRule type="cellIs" dxfId="1368" priority="38" operator="lessThan">
      <formula>0.8</formula>
    </cfRule>
  </conditionalFormatting>
  <conditionalFormatting sqref="R37 AC37">
    <cfRule type="cellIs" dxfId="1367" priority="40" operator="lessThan">
      <formula>0.8</formula>
    </cfRule>
  </conditionalFormatting>
  <conditionalFormatting sqref="O75">
    <cfRule type="cellIs" dxfId="1366" priority="31" operator="greaterThan">
      <formula>0</formula>
    </cfRule>
  </conditionalFormatting>
  <conditionalFormatting sqref="P75">
    <cfRule type="cellIs" dxfId="1365" priority="34" operator="lessThan">
      <formula>0</formula>
    </cfRule>
  </conditionalFormatting>
  <conditionalFormatting sqref="Q75">
    <cfRule type="cellIs" dxfId="1364" priority="32" operator="greaterThan">
      <formula>1</formula>
    </cfRule>
    <cfRule type="cellIs" dxfId="1363" priority="33" operator="lessThan">
      <formula>0.8</formula>
    </cfRule>
  </conditionalFormatting>
  <conditionalFormatting sqref="R75">
    <cfRule type="cellIs" dxfId="1362" priority="35" operator="lessThan">
      <formula>0.8</formula>
    </cfRule>
  </conditionalFormatting>
  <conditionalFormatting sqref="O16:O17">
    <cfRule type="cellIs" dxfId="1361" priority="26" operator="greaterThan">
      <formula>0</formula>
    </cfRule>
  </conditionalFormatting>
  <conditionalFormatting sqref="P16:P17">
    <cfRule type="cellIs" dxfId="1360" priority="29" operator="lessThan">
      <formula>0</formula>
    </cfRule>
  </conditionalFormatting>
  <conditionalFormatting sqref="Q16:Q17">
    <cfRule type="cellIs" dxfId="1359" priority="27" operator="greaterThan">
      <formula>1</formula>
    </cfRule>
    <cfRule type="cellIs" dxfId="1358" priority="28" operator="lessThan">
      <formula>0.8</formula>
    </cfRule>
  </conditionalFormatting>
  <conditionalFormatting sqref="R16:R17 AC16:AC17">
    <cfRule type="cellIs" dxfId="1357" priority="30" operator="lessThan">
      <formula>0.8</formula>
    </cfRule>
  </conditionalFormatting>
  <conditionalFormatting sqref="R26 AC26">
    <cfRule type="cellIs" dxfId="1356" priority="25" operator="lessThan">
      <formula>0.8</formula>
    </cfRule>
  </conditionalFormatting>
  <conditionalFormatting sqref="AC26">
    <cfRule type="cellIs" dxfId="1355" priority="24" operator="lessThan">
      <formula>0.8</formula>
    </cfRule>
  </conditionalFormatting>
  <conditionalFormatting sqref="O63">
    <cfRule type="cellIs" dxfId="1354" priority="19" operator="greaterThan">
      <formula>0</formula>
    </cfRule>
  </conditionalFormatting>
  <conditionalFormatting sqref="P63 AA63">
    <cfRule type="cellIs" dxfId="1353" priority="22" operator="lessThan">
      <formula>0</formula>
    </cfRule>
  </conditionalFormatting>
  <conditionalFormatting sqref="Q63 AB63">
    <cfRule type="cellIs" dxfId="1352" priority="20" operator="greaterThan">
      <formula>1</formula>
    </cfRule>
    <cfRule type="cellIs" dxfId="1351" priority="21" operator="lessThan">
      <formula>0.8</formula>
    </cfRule>
  </conditionalFormatting>
  <conditionalFormatting sqref="R63 AC63">
    <cfRule type="cellIs" dxfId="1350" priority="23" operator="lessThan">
      <formula>0.8</formula>
    </cfRule>
  </conditionalFormatting>
  <conditionalFormatting sqref="O18">
    <cfRule type="cellIs" dxfId="1349" priority="14" operator="greaterThan">
      <formula>0</formula>
    </cfRule>
  </conditionalFormatting>
  <conditionalFormatting sqref="P18">
    <cfRule type="cellIs" dxfId="1348" priority="17" operator="lessThan">
      <formula>0</formula>
    </cfRule>
  </conditionalFormatting>
  <conditionalFormatting sqref="Q18">
    <cfRule type="cellIs" dxfId="1347" priority="15" operator="greaterThan">
      <formula>1</formula>
    </cfRule>
    <cfRule type="cellIs" dxfId="1346" priority="16" operator="lessThan">
      <formula>0.8</formula>
    </cfRule>
  </conditionalFormatting>
  <conditionalFormatting sqref="AC18 R18">
    <cfRule type="cellIs" dxfId="1345" priority="18" operator="lessThan">
      <formula>0.8</formula>
    </cfRule>
  </conditionalFormatting>
  <conditionalFormatting sqref="P8">
    <cfRule type="cellIs" dxfId="1344" priority="13" operator="lessThan">
      <formula>0</formula>
    </cfRule>
  </conditionalFormatting>
  <conditionalFormatting sqref="P19">
    <cfRule type="cellIs" dxfId="1343" priority="12" operator="lessThan">
      <formula>0</formula>
    </cfRule>
  </conditionalFormatting>
  <conditionalFormatting sqref="P28">
    <cfRule type="cellIs" dxfId="1342" priority="11" operator="lessThan">
      <formula>0</formula>
    </cfRule>
  </conditionalFormatting>
  <conditionalFormatting sqref="P38">
    <cfRule type="cellIs" dxfId="1341" priority="10" operator="lessThan">
      <formula>0</formula>
    </cfRule>
  </conditionalFormatting>
  <conditionalFormatting sqref="P54">
    <cfRule type="cellIs" dxfId="1340" priority="9" operator="lessThan">
      <formula>0</formula>
    </cfRule>
  </conditionalFormatting>
  <conditionalFormatting sqref="P61">
    <cfRule type="cellIs" dxfId="1339" priority="8" operator="lessThan">
      <formula>0</formula>
    </cfRule>
  </conditionalFormatting>
  <conditionalFormatting sqref="P68">
    <cfRule type="cellIs" dxfId="1338" priority="7" operator="lessThan">
      <formula>0</formula>
    </cfRule>
  </conditionalFormatting>
  <conditionalFormatting sqref="P77">
    <cfRule type="cellIs" dxfId="1337" priority="6" operator="lessThan">
      <formula>0</formula>
    </cfRule>
  </conditionalFormatting>
  <conditionalFormatting sqref="O76">
    <cfRule type="cellIs" dxfId="1336" priority="1" operator="greaterThan">
      <formula>0</formula>
    </cfRule>
  </conditionalFormatting>
  <conditionalFormatting sqref="P76">
    <cfRule type="cellIs" dxfId="1335" priority="4" operator="lessThan">
      <formula>0</formula>
    </cfRule>
  </conditionalFormatting>
  <conditionalFormatting sqref="Q76">
    <cfRule type="cellIs" dxfId="1334" priority="2" operator="greaterThan">
      <formula>1</formula>
    </cfRule>
    <cfRule type="cellIs" dxfId="1333" priority="3" operator="lessThan">
      <formula>0.8</formula>
    </cfRule>
  </conditionalFormatting>
  <conditionalFormatting sqref="R76">
    <cfRule type="cellIs" dxfId="1332" priority="5" operator="lessThan">
      <formula>0.8</formula>
    </cfRule>
  </conditionalFormatting>
  <dataValidations count="1">
    <dataValidation type="list" allowBlank="1" showInputMessage="1" showErrorMessage="1" sqref="Z8 Z66:Z67 Y5:Z7 Y8:Y67 Z10:Z62 Y68:Z77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="85" zoomScaleNormal="85" workbookViewId="0">
      <selection activeCell="A9" sqref="A9"/>
    </sheetView>
  </sheetViews>
  <sheetFormatPr defaultColWidth="8.75" defaultRowHeight="15.75"/>
  <cols>
    <col min="1" max="1" width="8.75" style="2"/>
    <col min="2" max="2" width="17.875" style="2" customWidth="1"/>
    <col min="3" max="3" width="9.25" style="9" customWidth="1"/>
    <col min="4" max="13" width="12.625" style="2" customWidth="1"/>
    <col min="14" max="14" width="11" style="2" bestFit="1" customWidth="1"/>
    <col min="15" max="15" width="17.75" style="2" bestFit="1" customWidth="1"/>
    <col min="16" max="16" width="12.25" style="2" bestFit="1" customWidth="1"/>
    <col min="17" max="22" width="9.25" style="2" customWidth="1"/>
    <col min="23" max="23" width="10.75" style="2" customWidth="1"/>
    <col min="24" max="24" width="11" style="2" customWidth="1"/>
    <col min="25" max="16384" width="8.75" style="2"/>
  </cols>
  <sheetData>
    <row r="1" spans="2:17" ht="27.75" customHeight="1">
      <c r="B1" s="546" t="s">
        <v>1402</v>
      </c>
      <c r="C1" s="546"/>
      <c r="D1" s="546"/>
      <c r="E1" s="546"/>
      <c r="F1" s="546"/>
      <c r="G1" s="546"/>
      <c r="H1" s="546"/>
      <c r="I1" s="546"/>
      <c r="J1" s="546"/>
      <c r="K1" s="1"/>
      <c r="L1" s="1"/>
      <c r="M1" s="1"/>
      <c r="N1" s="1"/>
      <c r="O1" s="1"/>
      <c r="P1" s="1"/>
    </row>
    <row r="2" spans="2:17" ht="27.75" customHeight="1">
      <c r="B2" s="547"/>
      <c r="C2" s="547"/>
      <c r="D2" s="547"/>
      <c r="E2" s="547"/>
      <c r="F2" s="547"/>
      <c r="G2" s="547"/>
      <c r="H2" s="547"/>
      <c r="I2" s="547"/>
      <c r="J2" s="547"/>
      <c r="K2" s="3"/>
      <c r="L2" s="3"/>
      <c r="M2" s="3"/>
      <c r="N2" s="1"/>
      <c r="O2" s="1"/>
      <c r="P2" s="1"/>
    </row>
    <row r="3" spans="2:17" ht="46.5" customHeight="1">
      <c r="B3" s="4" t="s">
        <v>865</v>
      </c>
      <c r="C3" s="548" t="str">
        <f>TEXT('1220 4度C'!A2,"yyyy.mm.ddaaaa")</f>
        <v>2025.12.20星期六</v>
      </c>
      <c r="D3" s="549"/>
      <c r="E3" s="4" t="s">
        <v>1403</v>
      </c>
      <c r="F3" s="550">
        <f>'1220 4度C'!D1</f>
        <v>152018</v>
      </c>
      <c r="G3" s="551"/>
      <c r="H3" s="4" t="s">
        <v>1404</v>
      </c>
      <c r="I3" s="552">
        <f>'1220 4度C'!F1</f>
        <v>5169373.1399999978</v>
      </c>
      <c r="J3" s="553"/>
      <c r="K3" s="5"/>
      <c r="L3" s="6"/>
      <c r="M3" s="7"/>
      <c r="N3" s="7"/>
    </row>
    <row r="4" spans="2:17" ht="28.5" customHeight="1">
      <c r="B4" s="554" t="s">
        <v>1405</v>
      </c>
      <c r="C4" s="536" t="s">
        <v>1406</v>
      </c>
      <c r="D4" s="537"/>
      <c r="E4" s="557" t="s">
        <v>1407</v>
      </c>
      <c r="F4" s="558"/>
      <c r="G4" s="557" t="s">
        <v>1408</v>
      </c>
      <c r="H4" s="558"/>
      <c r="I4" s="557" t="s">
        <v>1409</v>
      </c>
      <c r="J4" s="558"/>
      <c r="L4" s="7"/>
      <c r="M4" s="7"/>
      <c r="N4" s="7"/>
    </row>
    <row r="5" spans="2:17" ht="28.5" customHeight="1">
      <c r="B5" s="555"/>
      <c r="C5" s="536" t="s">
        <v>1410</v>
      </c>
      <c r="D5" s="537"/>
      <c r="E5" s="536" t="s">
        <v>1411</v>
      </c>
      <c r="F5" s="537"/>
      <c r="G5" s="538" t="s">
        <v>1412</v>
      </c>
      <c r="H5" s="539"/>
      <c r="I5" s="540" t="s">
        <v>1413</v>
      </c>
      <c r="J5" s="541"/>
      <c r="K5" s="7"/>
      <c r="L5" s="7"/>
      <c r="M5" s="7"/>
      <c r="N5" s="7"/>
    </row>
    <row r="6" spans="2:17" ht="28.5" customHeight="1">
      <c r="B6" s="555"/>
      <c r="C6" s="536" t="s">
        <v>46</v>
      </c>
      <c r="D6" s="537"/>
      <c r="E6" s="542">
        <f>AVERAGE(D13:M13)</f>
        <v>148.57721986977987</v>
      </c>
      <c r="F6" s="543">
        <f>AVERAGE(D27:O27,D13:J13)</f>
        <v>152.61987874257707</v>
      </c>
      <c r="G6" s="544">
        <f>AVERAGE(D13:J13)</f>
        <v>152.61987874257707</v>
      </c>
      <c r="H6" s="545"/>
      <c r="I6" s="544">
        <f>AVERAGE(K13:M13)</f>
        <v>139.14434916658638</v>
      </c>
      <c r="J6" s="545"/>
      <c r="K6" s="7"/>
      <c r="L6" s="7"/>
      <c r="M6" s="7"/>
      <c r="N6" s="7"/>
    </row>
    <row r="7" spans="2:17" ht="28.5" customHeight="1">
      <c r="B7" s="555"/>
      <c r="C7" s="526" t="s">
        <v>47</v>
      </c>
      <c r="D7" s="527"/>
      <c r="E7" s="528">
        <f>AVERAGE(D14:M14)</f>
        <v>141.5736043877283</v>
      </c>
      <c r="F7" s="529">
        <f>AVERAGE(D28:O28,D14:J14)</f>
        <v>145.11776975634351</v>
      </c>
      <c r="G7" s="530">
        <f>AVERAGE(D14:J14)</f>
        <v>145.11776975634351</v>
      </c>
      <c r="H7" s="531"/>
      <c r="I7" s="530">
        <f>AVERAGE(K14:M14)</f>
        <v>133.30388519429289</v>
      </c>
      <c r="J7" s="531"/>
      <c r="K7" s="7"/>
      <c r="L7" s="7"/>
      <c r="M7" s="7"/>
      <c r="N7" s="7"/>
    </row>
    <row r="8" spans="2:17" ht="28.5" customHeight="1">
      <c r="B8" s="556"/>
      <c r="C8" s="526" t="s">
        <v>48</v>
      </c>
      <c r="D8" s="527"/>
      <c r="E8" s="532">
        <f>AVERAGE(D15:M15)</f>
        <v>0.95031193716889395</v>
      </c>
      <c r="F8" s="533">
        <f>AVERAGE(D15:J15,D29:O29)</f>
        <v>0.94698301776251181</v>
      </c>
      <c r="G8" s="534">
        <f>AVERAGE(D15:J15)</f>
        <v>0.94698301776251181</v>
      </c>
      <c r="H8" s="535"/>
      <c r="I8" s="534">
        <f>AVERAGE(K15:M15)</f>
        <v>0.9580794157837853</v>
      </c>
      <c r="J8" s="535"/>
      <c r="K8" s="8" t="s">
        <v>1414</v>
      </c>
      <c r="L8" s="7"/>
      <c r="M8" s="7"/>
      <c r="N8" s="7"/>
    </row>
    <row r="9" spans="2:17" ht="28.5" customHeight="1" thickBot="1">
      <c r="H9" s="10"/>
      <c r="N9" s="7"/>
      <c r="O9" s="7"/>
      <c r="P9" s="7"/>
      <c r="Q9" s="7"/>
    </row>
    <row r="10" spans="2:17" ht="30" customHeight="1">
      <c r="B10" s="509" t="s">
        <v>1415</v>
      </c>
      <c r="C10" s="510"/>
      <c r="D10" s="511" t="s">
        <v>1416</v>
      </c>
      <c r="E10" s="512"/>
      <c r="F10" s="512"/>
      <c r="G10" s="512"/>
      <c r="H10" s="512"/>
      <c r="I10" s="512"/>
      <c r="J10" s="513"/>
      <c r="K10" s="514" t="s">
        <v>1417</v>
      </c>
      <c r="L10" s="515"/>
      <c r="M10" s="516"/>
      <c r="P10" s="11"/>
      <c r="Q10" s="11"/>
    </row>
    <row r="11" spans="2:17" ht="17.25" customHeight="1">
      <c r="B11" s="517" t="s">
        <v>1418</v>
      </c>
      <c r="C11" s="518"/>
      <c r="D11" s="12">
        <v>1</v>
      </c>
      <c r="E11" s="13">
        <v>2</v>
      </c>
      <c r="F11" s="13">
        <v>3</v>
      </c>
      <c r="G11" s="13">
        <v>4</v>
      </c>
      <c r="H11" s="13">
        <v>5</v>
      </c>
      <c r="I11" s="13">
        <v>6</v>
      </c>
      <c r="J11" s="14">
        <v>7</v>
      </c>
      <c r="K11" s="12">
        <v>1</v>
      </c>
      <c r="L11" s="13">
        <v>2</v>
      </c>
      <c r="M11" s="14">
        <v>3</v>
      </c>
      <c r="P11" s="11"/>
      <c r="Q11" s="11"/>
    </row>
    <row r="12" spans="2:17" ht="34.15" customHeight="1">
      <c r="B12" s="519"/>
      <c r="C12" s="520"/>
      <c r="D12" s="15" t="s">
        <v>49</v>
      </c>
      <c r="E12" s="16" t="s">
        <v>50</v>
      </c>
      <c r="F12" s="16" t="s">
        <v>51</v>
      </c>
      <c r="G12" s="16" t="s">
        <v>52</v>
      </c>
      <c r="H12" s="16" t="s">
        <v>53</v>
      </c>
      <c r="I12" s="16" t="s">
        <v>54</v>
      </c>
      <c r="J12" s="17" t="s">
        <v>55</v>
      </c>
      <c r="K12" s="15" t="s">
        <v>56</v>
      </c>
      <c r="L12" s="16" t="s">
        <v>57</v>
      </c>
      <c r="M12" s="17" t="s">
        <v>58</v>
      </c>
    </row>
    <row r="13" spans="2:17" ht="40.15" customHeight="1">
      <c r="B13" s="521" t="s">
        <v>1419</v>
      </c>
      <c r="C13" s="18" t="s">
        <v>1420</v>
      </c>
      <c r="D13" s="19">
        <f>SUMIFS('1220 4度C'!$K:$K,'1220 4度C'!$A:$A,"新豐6線",'1220 4度C'!$B:$B,"平均")</f>
        <v>133.33333333333334</v>
      </c>
      <c r="E13" s="20">
        <f>SUMIFS('1220 4度C'!$K:$K,'1220 4度C'!$A:$A,"新豐2線",'1220 4度C'!$B:$B,"平均")</f>
        <v>83.333333333333329</v>
      </c>
      <c r="F13" s="21">
        <f>SUMIFS('1220 4度C'!$K:$K,'1220 4度C'!$A:$A,"新豐5線",'1220 4度C'!$B:$B,"平均")</f>
        <v>93.406593406593416</v>
      </c>
      <c r="G13" s="21">
        <f>SUMIFS('1220 4度C'!$K:$K,'1220 4度C'!$A:$A,"新豐7線",'1220 4度C'!$B:$B,"平均")</f>
        <v>118.32061068702291</v>
      </c>
      <c r="H13" s="21">
        <f>SUMIFS('1220 4度C'!$K:$K,'1220 4度C'!$A:$A,"新豐3線",'1220 4度C'!$B:$B,"平均")</f>
        <v>235.29411764705881</v>
      </c>
      <c r="I13" s="21">
        <f>SUMIFS('1220 4度C'!$K:$K,'1220 4度C'!$A:$A,"新豐1線",'1220 4度C'!$B:$B,"平均")</f>
        <v>104.65116279069768</v>
      </c>
      <c r="J13" s="22">
        <f>SUMIFS('1220 4度C'!$K:$K,'1220 4度C'!$A:$A,"新豐10線",'1220 4度C'!$B:$B,"平均")</f>
        <v>300</v>
      </c>
      <c r="K13" s="23">
        <f>SUMIFS('1220 4度C'!$K:$K,'1220 4度C'!$A:$A,"新豐8線",'1220 4度C'!$B:$B,"平均")</f>
        <v>134.4</v>
      </c>
      <c r="L13" s="24">
        <f>SUMIFS('1220 4度C'!$K:$K,'1220 4度C'!$A:$A,"新豐9線",'1220 4度C'!$B:$B,"平均")</f>
        <v>134.57943925233647</v>
      </c>
      <c r="M13" s="22">
        <f>SUMIFS('1220 4度C'!$K:$K,'1220 4度C'!$A:$A,"新豐4線",'1220 4度C'!$B:$B,"平均")</f>
        <v>148.45360824742266</v>
      </c>
    </row>
    <row r="14" spans="2:17" ht="39.6" customHeight="1">
      <c r="B14" s="522"/>
      <c r="C14" s="25" t="s">
        <v>1421</v>
      </c>
      <c r="D14" s="26">
        <f>SUMIFS('1220 4度C'!$N:$N,'1220 4度C'!$A:$A,"新豐6線",'1220 4度C'!$B:$B,"平均")</f>
        <v>128.26670309653917</v>
      </c>
      <c r="E14" s="27">
        <f>SUMIFS('1220 4度C'!$N:$N,'1220 4度C'!$A:$A,"新豐2線",'1220 4度C'!$B:$B,"平均")</f>
        <v>79.666346564233876</v>
      </c>
      <c r="F14" s="27">
        <f>SUMIFS('1220 4度C'!$N:$N,'1220 4度C'!$A:$A,"新豐5線",'1220 4度C'!$B:$B,"平均")</f>
        <v>89.304676016748161</v>
      </c>
      <c r="G14" s="27">
        <f>SUMIFS('1220 4度C'!$N:$N,'1220 4度C'!$A:$A,"新豐7線",'1220 4度C'!$B:$B,"平均")</f>
        <v>113.88174657568938</v>
      </c>
      <c r="H14" s="27">
        <f>SUMIFS('1220 4度C'!$N:$N,'1220 4度C'!$A:$A,"新豐3線",'1220 4度C'!$B:$B,"平均")</f>
        <v>225.44836350097376</v>
      </c>
      <c r="I14" s="27">
        <f>SUMIFS('1220 4度C'!$N:$N,'1220 4度C'!$A:$A,"新豐1線",'1220 4度C'!$B:$B,"平均")</f>
        <v>91.602457263059875</v>
      </c>
      <c r="J14" s="28">
        <f>SUMIFS('1220 4度C'!$N:$N,'1220 4度C'!$A:$A,"新豐10線",'1220 4度C'!$B:$B,"平均")</f>
        <v>287.65409527716042</v>
      </c>
      <c r="K14" s="29">
        <f>SUMIFS('1220 4度C'!$N:$N,'1220 4度C'!$A:$A,"新豐8線",'1220 4度C'!$B:$B,"平均")</f>
        <v>128.82979085725566</v>
      </c>
      <c r="L14" s="30">
        <f>SUMIFS('1220 4度C'!$N:$N,'1220 4度C'!$A:$A,"新豐9線",'1220 4度C'!$B:$B,"平均")</f>
        <v>129.08980059109948</v>
      </c>
      <c r="M14" s="28">
        <f>SUMIFS('1220 4度C'!$N:$N,'1220 4度C'!$A:$A,"新豐4線",'1220 4度C'!$B:$B,"平均")</f>
        <v>141.99206413452347</v>
      </c>
    </row>
    <row r="15" spans="2:17" ht="40.15" customHeight="1">
      <c r="B15" s="523"/>
      <c r="C15" s="31" t="s">
        <v>1422</v>
      </c>
      <c r="D15" s="32">
        <f t="shared" ref="D15:M15" si="0">D14/D13</f>
        <v>0.96200027322404369</v>
      </c>
      <c r="E15" s="33">
        <f t="shared" si="0"/>
        <v>0.95599615877080657</v>
      </c>
      <c r="F15" s="33">
        <f t="shared" si="0"/>
        <v>0.9560853550028332</v>
      </c>
      <c r="G15" s="33">
        <f t="shared" si="0"/>
        <v>0.96248443880098755</v>
      </c>
      <c r="H15" s="33">
        <f t="shared" si="0"/>
        <v>0.95815554487913845</v>
      </c>
      <c r="I15" s="33">
        <f t="shared" si="0"/>
        <v>0.87531236940257207</v>
      </c>
      <c r="J15" s="34">
        <f t="shared" si="0"/>
        <v>0.95884698425720138</v>
      </c>
      <c r="K15" s="32">
        <f t="shared" si="0"/>
        <v>0.95855499149743795</v>
      </c>
      <c r="L15" s="33">
        <f t="shared" si="0"/>
        <v>0.95920893494775294</v>
      </c>
      <c r="M15" s="34">
        <f t="shared" si="0"/>
        <v>0.95647432090616513</v>
      </c>
    </row>
    <row r="16" spans="2:17" ht="17.25" customHeight="1">
      <c r="B16" s="524" t="s">
        <v>1423</v>
      </c>
      <c r="C16" s="35" t="s">
        <v>1424</v>
      </c>
      <c r="D16" s="49">
        <f>VLOOKUP("新豐6線",'1220 4度C'!$A:$T,19,0)</f>
        <v>0.70833333333333337</v>
      </c>
      <c r="E16" s="50">
        <f>VLOOKUP("新豐2線",'1220 4度C'!$A:$T,19,0)</f>
        <v>0.16666666666666666</v>
      </c>
      <c r="F16" s="50">
        <f>VLOOKUP("新豐5線",'1220 4度C'!$A:$T,19,0)</f>
        <v>0.20833333333333334</v>
      </c>
      <c r="G16" s="50">
        <f>VLOOKUP("新豐7線",'1220 4度C'!$A:$T,19,0)</f>
        <v>0.20833333333333334</v>
      </c>
      <c r="H16" s="50">
        <f>VLOOKUP("新豐3線",'1220 4度C'!$A:$T,19,0)</f>
        <v>8.3333333333333329E-2</v>
      </c>
      <c r="I16" s="50">
        <f>VLOOKUP("新豐1線",'1220 4度C'!$A:$T,19,0)</f>
        <v>0.20833333333333334</v>
      </c>
      <c r="J16" s="51">
        <f>VLOOKUP("新豐10線",'1220 4度C'!$A:$T,19,0)</f>
        <v>0.20833333333333334</v>
      </c>
      <c r="K16" s="36">
        <f>VLOOKUP("新豐8線",'1220 4度C'!$A:$T,19,0)</f>
        <v>8.3333333333333329E-2</v>
      </c>
      <c r="L16" s="37">
        <f>VLOOKUP("新豐9線",'1220 4度C'!$A:$T,19,0)</f>
        <v>8.3333333333333329E-2</v>
      </c>
      <c r="M16" s="38">
        <f>VLOOKUP("新豐4線",'1220 4度C'!$A:$T,19,0)</f>
        <v>8.3333333333333329E-2</v>
      </c>
    </row>
    <row r="17" spans="2:13" ht="17.25" customHeight="1">
      <c r="B17" s="525"/>
      <c r="C17" s="35" t="s">
        <v>1425</v>
      </c>
      <c r="D17" s="36">
        <f>LOOKUP(2,1/(('1220 4度C'!$A:$A="新豐6線")*('1220 4度C'!$T:$T&lt;&gt;"")),'1220 4度C'!$T:$T)</f>
        <v>0.84652777777777777</v>
      </c>
      <c r="E17" s="50">
        <f>LOOKUP(2,1/(('1220 4度C'!$A:$A="新豐2線")*('1220 4度C'!$T:$T&lt;&gt;"")),'1220 4度C'!$T:$T)</f>
        <v>0.4375</v>
      </c>
      <c r="F17" s="50">
        <f>LOOKUP(2,1/(('1220 4度C'!$A:$A="新豐5線")*('1220 4度C'!$T:$T&lt;&gt;"")),'1220 4度C'!$T:$T)</f>
        <v>0.86458333333333337</v>
      </c>
      <c r="G17" s="50">
        <f>LOOKUP(2,1/(('1220 4度C'!$A:$A="新豐7線")*('1220 4度C'!$T:$T&lt;&gt;"")),'1220 4度C'!$T:$T)</f>
        <v>0.82361111111111107</v>
      </c>
      <c r="H17" s="50">
        <f>LOOKUP(2,1/(('1220 4度C'!$A:$A="新豐3線")*('1220 4度C'!$T:$T&lt;&gt;"")),'1220 4度C'!$T:$T)</f>
        <v>0.46527777777777779</v>
      </c>
      <c r="I17" s="50">
        <f>LOOKUP(2,1/(('1220 4度C'!$A:$A="新豐1線")*('1220 4度C'!$T:$T&lt;&gt;"")),'1220 4度C'!$T:$T)</f>
        <v>0.83680555555555558</v>
      </c>
      <c r="J17" s="51">
        <f>LOOKUP(2,1/(('1220 4度C'!$A:$A="新豐10線")*('1220 4度C'!$T:$T&lt;&gt;"")),'1220 4度C'!$T:$T)</f>
        <v>0.47777777777777763</v>
      </c>
      <c r="K17" s="49">
        <f>LOOKUP(2,1/(('1220 4度C'!$A:$A="新豐8線")*('1220 4度C'!$T:$T&lt;&gt;"")),'1220 4度C'!$T:$T)</f>
        <v>0.59444444444444444</v>
      </c>
      <c r="L17" s="50">
        <f>LOOKUP(2,1/(('1220 4度C'!$A:$A="新豐9線")*('1220 4度C'!$T:$T&lt;&gt;"")),'1220 4度C'!$T:$T)</f>
        <v>0.47847222222222219</v>
      </c>
      <c r="M17" s="51">
        <f>LOOKUP(2,1/(('1220 4度C'!$A:$A="新豐4線")*('1220 4度C'!$T:$T&lt;&gt;"")),'1220 4度C'!$T:$T)</f>
        <v>0.61736111111111092</v>
      </c>
    </row>
    <row r="18" spans="2:13" ht="17.25" customHeight="1">
      <c r="B18" s="503" t="s">
        <v>1426</v>
      </c>
      <c r="C18" s="504"/>
      <c r="D18" s="39">
        <f>SUMIFS('1220 4度C'!$I:$I,'1220 4度C'!$A:$A,"新豐6線",'1220 4度C'!$B:$B,"平均")</f>
        <v>15</v>
      </c>
      <c r="E18" s="40">
        <f>SUMIFS('1220 4度C'!$I:$I,'1220 4度C'!$A:$A,"新豐2線",'1220 4度C'!$B:$B,"平均")</f>
        <v>18</v>
      </c>
      <c r="F18" s="40">
        <f>SUMIFS('1220 4度C'!$I:$I,'1220 4度C'!$A:$A,"新豐5線",'1220 4度C'!$B:$B,"平均")</f>
        <v>18.2</v>
      </c>
      <c r="G18" s="40">
        <f>SUMIFS('1220 4度C'!$I:$I,'1220 4度C'!$A:$A,"新豐7線",'1220 4度C'!$B:$B,"平均")</f>
        <v>16.375</v>
      </c>
      <c r="H18" s="40">
        <f>SUMIFS('1220 4度C'!$I:$I,'1220 4度C'!$A:$A,"新豐3線",'1220 4度C'!$B:$B,"平均")</f>
        <v>11.333333333333334</v>
      </c>
      <c r="I18" s="40">
        <f>SUMIFS('1220 4度C'!$I:$I,'1220 4度C'!$A:$A,"新豐1線",'1220 4度C'!$B:$B,"平均")</f>
        <v>18.428571428571427</v>
      </c>
      <c r="J18" s="41">
        <f>SUMIFS('1220 4度C'!$I:$I,'1220 4度C'!$A:$A,"新豐10線",'1220 4度C'!$B:$B,"平均")</f>
        <v>9.1666666666666661</v>
      </c>
      <c r="K18" s="39">
        <f>SUMIFS('1220 4度C'!$I:$I,'1220 4度C'!$A:$A,"新豐8線",'1220 4度C'!$B:$B,"平均")</f>
        <v>17.857142857142858</v>
      </c>
      <c r="L18" s="40">
        <f>SUMIFS('1220 4度C'!$I:$I,'1220 4度C'!$A:$A,"新豐9線",'1220 4度C'!$B:$B,"平均")</f>
        <v>17.833333333333332</v>
      </c>
      <c r="M18" s="41">
        <f>SUMIFS('1220 4度C'!$I:$I,'1220 4度C'!$A:$A,"新豐4線",'1220 4度C'!$B:$B,"平均")</f>
        <v>16.166666666666668</v>
      </c>
    </row>
    <row r="19" spans="2:13" ht="17.25" customHeight="1">
      <c r="B19" s="503" t="s">
        <v>1427</v>
      </c>
      <c r="C19" s="504"/>
      <c r="D19" s="42" t="s">
        <v>59</v>
      </c>
      <c r="E19" s="43" t="s">
        <v>60</v>
      </c>
      <c r="F19" s="43" t="s">
        <v>1428</v>
      </c>
      <c r="G19" s="43" t="s">
        <v>1428</v>
      </c>
      <c r="H19" s="43" t="s">
        <v>61</v>
      </c>
      <c r="I19" s="43" t="s">
        <v>59</v>
      </c>
      <c r="J19" s="44" t="s">
        <v>61</v>
      </c>
      <c r="K19" s="42" t="s">
        <v>1429</v>
      </c>
      <c r="L19" s="43" t="s">
        <v>1429</v>
      </c>
      <c r="M19" s="44" t="s">
        <v>1429</v>
      </c>
    </row>
    <row r="20" spans="2:13" ht="17.25" customHeight="1">
      <c r="B20" s="503" t="s">
        <v>1430</v>
      </c>
      <c r="C20" s="504"/>
      <c r="D20" s="42"/>
      <c r="E20" s="43"/>
      <c r="F20" s="43" t="s">
        <v>1431</v>
      </c>
      <c r="G20" s="43" t="s">
        <v>59</v>
      </c>
      <c r="H20" s="43"/>
      <c r="I20" s="43"/>
      <c r="J20" s="44"/>
      <c r="K20" s="42"/>
      <c r="L20" s="43"/>
      <c r="M20" s="44"/>
    </row>
    <row r="21" spans="2:13" ht="17.25" customHeight="1" thickBot="1">
      <c r="B21" s="505" t="s">
        <v>1432</v>
      </c>
      <c r="C21" s="506"/>
      <c r="D21" s="45"/>
      <c r="E21" s="46" t="s">
        <v>1433</v>
      </c>
      <c r="F21" s="507" t="s">
        <v>1434</v>
      </c>
      <c r="G21" s="508"/>
      <c r="H21" s="46" t="s">
        <v>1435</v>
      </c>
      <c r="I21" s="46" t="s">
        <v>1436</v>
      </c>
      <c r="J21" s="47" t="s">
        <v>1437</v>
      </c>
      <c r="K21" s="48"/>
      <c r="L21" s="46"/>
      <c r="M21" s="4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20:C20"/>
    <mergeCell ref="B21:C21"/>
    <mergeCell ref="F21:G21"/>
    <mergeCell ref="K10:M10"/>
    <mergeCell ref="B11:C12"/>
    <mergeCell ref="B13:B15"/>
    <mergeCell ref="B18:C18"/>
    <mergeCell ref="B19:C19"/>
  </mergeCells>
  <phoneticPr fontId="3" type="noConversion"/>
  <conditionalFormatting sqref="D15:M15">
    <cfRule type="cellIs" dxfId="1331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C71"/>
  <sheetViews>
    <sheetView zoomScale="80" zoomScaleNormal="80" workbookViewId="0">
      <pane ySplit="4" topLeftCell="A5" activePane="bottomLeft" state="frozen"/>
      <selection activeCell="A9" sqref="A9"/>
      <selection pane="bottomLeft" activeCell="A9" sqref="A9:A11"/>
    </sheetView>
  </sheetViews>
  <sheetFormatPr defaultColWidth="8" defaultRowHeight="15.75"/>
  <cols>
    <col min="1" max="1" width="15.125" style="54" customWidth="1"/>
    <col min="2" max="2" width="19.375" style="54" customWidth="1"/>
    <col min="3" max="3" width="15.25" style="54" customWidth="1"/>
    <col min="4" max="4" width="17.5" style="54" customWidth="1"/>
    <col min="5" max="5" width="7.5" style="54" bestFit="1" customWidth="1"/>
    <col min="6" max="6" width="14.375" style="54" bestFit="1" customWidth="1"/>
    <col min="7" max="7" width="14.375" style="54" customWidth="1"/>
    <col min="8" max="8" width="8" style="54" customWidth="1"/>
    <col min="9" max="9" width="5.875" style="54" customWidth="1"/>
    <col min="10" max="10" width="10.625" style="54" customWidth="1"/>
    <col min="11" max="11" width="14.625" style="54" customWidth="1"/>
    <col min="12" max="12" width="7.25" style="54" bestFit="1" customWidth="1"/>
    <col min="13" max="13" width="8" style="54" customWidth="1"/>
    <col min="14" max="14" width="12" style="54" customWidth="1"/>
    <col min="15" max="15" width="6" style="54" customWidth="1"/>
    <col min="16" max="16" width="9.25" style="54" customWidth="1"/>
    <col min="17" max="17" width="11.5" style="54" customWidth="1"/>
    <col min="18" max="18" width="8.5" style="54" customWidth="1"/>
    <col min="19" max="19" width="10.125" style="73" bestFit="1" customWidth="1"/>
    <col min="20" max="20" width="7.625" style="73" bestFit="1" customWidth="1"/>
    <col min="21" max="21" width="10.25" style="54" bestFit="1" customWidth="1"/>
    <col min="22" max="22" width="8.75" style="71" customWidth="1"/>
    <col min="23" max="23" width="7.375" style="54" customWidth="1"/>
    <col min="24" max="24" width="6.875" style="54" bestFit="1" customWidth="1"/>
    <col min="25" max="25" width="12.75" style="54" customWidth="1"/>
    <col min="26" max="26" width="18.875" style="54" customWidth="1"/>
    <col min="27" max="27" width="13.125" style="54" bestFit="1" customWidth="1"/>
    <col min="28" max="28" width="10.375" style="54" customWidth="1"/>
    <col min="29" max="29" width="9.375" style="54" customWidth="1"/>
    <col min="30" max="30" width="8" style="54"/>
    <col min="31" max="31" width="24.625" style="54" bestFit="1" customWidth="1"/>
    <col min="32" max="16384" width="8" style="54"/>
  </cols>
  <sheetData>
    <row r="1" spans="1:29" ht="26.25" customHeight="1">
      <c r="A1" s="52" t="s">
        <v>1438</v>
      </c>
      <c r="B1" s="52"/>
      <c r="C1" s="117" t="s">
        <v>1439</v>
      </c>
      <c r="D1" s="118">
        <f>SUM(F5:F70)</f>
        <v>152018</v>
      </c>
      <c r="E1" s="322" t="s">
        <v>695</v>
      </c>
      <c r="F1" s="52">
        <f>SUM(G5:G70)</f>
        <v>5169373.1399999978</v>
      </c>
      <c r="G1" s="52" t="s">
        <v>900</v>
      </c>
      <c r="H1" s="53">
        <v>158.36071428571429</v>
      </c>
      <c r="I1" s="607" t="s">
        <v>76</v>
      </c>
      <c r="J1" s="607"/>
      <c r="K1" s="607"/>
      <c r="L1" s="607" t="s">
        <v>1440</v>
      </c>
      <c r="M1" s="607"/>
      <c r="N1" s="607"/>
      <c r="O1" s="607" t="s">
        <v>699</v>
      </c>
      <c r="P1" s="607"/>
      <c r="Q1" s="607"/>
      <c r="R1" s="607"/>
      <c r="S1" s="607" t="s">
        <v>1441</v>
      </c>
      <c r="T1" s="607"/>
      <c r="U1" s="607"/>
      <c r="V1" s="607"/>
      <c r="W1" s="607"/>
      <c r="X1" s="607"/>
      <c r="Y1" s="607" t="s">
        <v>77</v>
      </c>
      <c r="Z1" s="607"/>
      <c r="AA1" s="607" t="s">
        <v>110</v>
      </c>
      <c r="AB1" s="608"/>
      <c r="AC1" s="608"/>
    </row>
    <row r="2" spans="1:29" ht="26.25" customHeight="1">
      <c r="A2" s="55">
        <v>46011</v>
      </c>
      <c r="B2" s="56" t="s">
        <v>497</v>
      </c>
      <c r="C2" s="117" t="s">
        <v>854</v>
      </c>
      <c r="D2" s="119">
        <f>AVERAGE(N8,N11,N48,N56,N17,N63,N26,N34,N41,N70)</f>
        <v>141.57360438772832</v>
      </c>
      <c r="E2" s="120" t="s">
        <v>0</v>
      </c>
      <c r="F2" s="121">
        <f>F1/D1</f>
        <v>34.005006907076776</v>
      </c>
      <c r="G2" s="52" t="s">
        <v>1442</v>
      </c>
      <c r="H2" s="330">
        <v>3</v>
      </c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8"/>
      <c r="AB2" s="608"/>
      <c r="AC2" s="608"/>
    </row>
    <row r="3" spans="1:29" ht="23.25" customHeight="1">
      <c r="A3" s="559" t="s">
        <v>703</v>
      </c>
      <c r="B3" s="559" t="s">
        <v>1443</v>
      </c>
      <c r="C3" s="559" t="s">
        <v>705</v>
      </c>
      <c r="D3" s="559"/>
      <c r="E3" s="605" t="s">
        <v>111</v>
      </c>
      <c r="F3" s="559" t="s">
        <v>79</v>
      </c>
      <c r="G3" s="605" t="s">
        <v>80</v>
      </c>
      <c r="H3" s="598" t="s">
        <v>81</v>
      </c>
      <c r="I3" s="596" t="s">
        <v>911</v>
      </c>
      <c r="J3" s="601" t="s">
        <v>1444</v>
      </c>
      <c r="K3" s="603" t="s">
        <v>854</v>
      </c>
      <c r="L3" s="596" t="s">
        <v>1445</v>
      </c>
      <c r="M3" s="601" t="s">
        <v>83</v>
      </c>
      <c r="N3" s="603" t="s">
        <v>854</v>
      </c>
      <c r="O3" s="596" t="s">
        <v>911</v>
      </c>
      <c r="P3" s="603" t="s">
        <v>854</v>
      </c>
      <c r="Q3" s="602" t="s">
        <v>84</v>
      </c>
      <c r="R3" s="574" t="s">
        <v>713</v>
      </c>
      <c r="S3" s="604" t="s">
        <v>1</v>
      </c>
      <c r="T3" s="604"/>
      <c r="U3" s="598" t="s">
        <v>2</v>
      </c>
      <c r="V3" s="598" t="s">
        <v>714</v>
      </c>
      <c r="W3" s="559" t="s">
        <v>112</v>
      </c>
      <c r="X3" s="559"/>
      <c r="Y3" s="599" t="s">
        <v>113</v>
      </c>
      <c r="Z3" s="600"/>
      <c r="AA3" s="601" t="s">
        <v>1446</v>
      </c>
      <c r="AB3" s="602" t="s">
        <v>1447</v>
      </c>
      <c r="AC3" s="574" t="s">
        <v>1448</v>
      </c>
    </row>
    <row r="4" spans="1:29">
      <c r="A4" s="559"/>
      <c r="B4" s="559"/>
      <c r="C4" s="559"/>
      <c r="D4" s="559"/>
      <c r="E4" s="606"/>
      <c r="F4" s="559"/>
      <c r="G4" s="606"/>
      <c r="H4" s="598"/>
      <c r="I4" s="596"/>
      <c r="J4" s="601"/>
      <c r="K4" s="603"/>
      <c r="L4" s="596"/>
      <c r="M4" s="601"/>
      <c r="N4" s="603"/>
      <c r="O4" s="596"/>
      <c r="P4" s="603"/>
      <c r="Q4" s="602"/>
      <c r="R4" s="574"/>
      <c r="S4" s="329" t="s">
        <v>3</v>
      </c>
      <c r="T4" s="329" t="s">
        <v>4</v>
      </c>
      <c r="U4" s="598"/>
      <c r="V4" s="598"/>
      <c r="W4" s="322" t="s">
        <v>1449</v>
      </c>
      <c r="X4" s="322" t="s">
        <v>721</v>
      </c>
      <c r="Y4" s="600"/>
      <c r="Z4" s="600"/>
      <c r="AA4" s="601"/>
      <c r="AB4" s="602"/>
      <c r="AC4" s="574"/>
    </row>
    <row r="5" spans="1:29">
      <c r="A5" s="595" t="s">
        <v>1450</v>
      </c>
      <c r="B5" s="57" t="s">
        <v>6</v>
      </c>
      <c r="C5" s="597" t="s">
        <v>9</v>
      </c>
      <c r="D5" s="597"/>
      <c r="E5" s="57">
        <v>50.67</v>
      </c>
      <c r="F5" s="329">
        <v>1546</v>
      </c>
      <c r="G5" s="322">
        <f t="shared" ref="G5:G7" si="0">E5*F5</f>
        <v>78335.820000000007</v>
      </c>
      <c r="H5" s="331" t="s">
        <v>5</v>
      </c>
      <c r="I5" s="327">
        <v>17</v>
      </c>
      <c r="J5" s="58">
        <v>2000</v>
      </c>
      <c r="K5" s="59">
        <f t="shared" ref="K5:K68" si="1">J5/I5</f>
        <v>117.64705882352941</v>
      </c>
      <c r="L5" s="327">
        <v>17</v>
      </c>
      <c r="M5" s="60">
        <f t="shared" ref="M5:M7" si="2">F5/V5*60</f>
        <v>1932.5000000000005</v>
      </c>
      <c r="N5" s="59">
        <f t="shared" ref="N5:N68" si="3">M5/L5</f>
        <v>113.67647058823532</v>
      </c>
      <c r="O5" s="61">
        <f t="shared" ref="O5:O68" si="4">L5-I5</f>
        <v>0</v>
      </c>
      <c r="P5" s="62">
        <f t="shared" ref="P5:P68" si="5">N5-K5</f>
        <v>-3.9705882352940876</v>
      </c>
      <c r="Q5" s="323">
        <f t="shared" ref="Q5:Q68" si="6">N5/K5</f>
        <v>0.96625000000000028</v>
      </c>
      <c r="R5" s="566">
        <f>Q8</f>
        <v>0.96200027322404369</v>
      </c>
      <c r="S5" s="63">
        <v>0.70833333333333337</v>
      </c>
      <c r="T5" s="63">
        <v>0.7416666666666667</v>
      </c>
      <c r="U5" s="322"/>
      <c r="V5" s="328">
        <f t="shared" ref="V5:V7" si="7">(T5-S5)*24*60</f>
        <v>47.999999999999986</v>
      </c>
      <c r="W5" s="64"/>
      <c r="X5" s="65"/>
      <c r="Y5" s="559"/>
      <c r="Z5" s="559"/>
      <c r="AA5" s="61">
        <f t="shared" ref="AA5:AA68" si="8">M5-J5</f>
        <v>-67.499999999999545</v>
      </c>
      <c r="AB5" s="323">
        <f t="shared" ref="AB5:AB68" si="9">M5/J5</f>
        <v>0.96625000000000028</v>
      </c>
      <c r="AC5" s="566">
        <f>AB8</f>
        <v>0.9620002732240438</v>
      </c>
    </row>
    <row r="6" spans="1:29">
      <c r="A6" s="596" t="s">
        <v>116</v>
      </c>
      <c r="B6" s="57" t="s">
        <v>6</v>
      </c>
      <c r="C6" s="597" t="s">
        <v>8</v>
      </c>
      <c r="D6" s="597"/>
      <c r="E6" s="57">
        <v>50.49</v>
      </c>
      <c r="F6" s="329">
        <v>1958</v>
      </c>
      <c r="G6" s="322">
        <f t="shared" si="0"/>
        <v>98859.42</v>
      </c>
      <c r="H6" s="331" t="s">
        <v>5</v>
      </c>
      <c r="I6" s="327">
        <v>15</v>
      </c>
      <c r="J6" s="58">
        <v>2000</v>
      </c>
      <c r="K6" s="59">
        <f t="shared" si="1"/>
        <v>133.33333333333334</v>
      </c>
      <c r="L6" s="327">
        <v>15</v>
      </c>
      <c r="M6" s="60">
        <f t="shared" si="2"/>
        <v>1925.9016393442641</v>
      </c>
      <c r="N6" s="59">
        <f t="shared" si="3"/>
        <v>128.39344262295094</v>
      </c>
      <c r="O6" s="61">
        <f t="shared" si="4"/>
        <v>0</v>
      </c>
      <c r="P6" s="62">
        <f t="shared" si="5"/>
        <v>-4.9398907103824001</v>
      </c>
      <c r="Q6" s="323">
        <f t="shared" si="6"/>
        <v>0.96295081967213203</v>
      </c>
      <c r="R6" s="566"/>
      <c r="S6" s="63">
        <v>0.74652777777777779</v>
      </c>
      <c r="T6" s="63">
        <v>0.78888888888888886</v>
      </c>
      <c r="U6" s="322">
        <f t="shared" ref="U6:U7" si="10">IF(S6=TIME(17,0,0),"",(S6-T5)*24*60)</f>
        <v>6.9999999999999751</v>
      </c>
      <c r="V6" s="328">
        <f t="shared" si="7"/>
        <v>60.999999999999943</v>
      </c>
      <c r="W6" s="64"/>
      <c r="X6" s="64"/>
      <c r="Y6" s="559"/>
      <c r="Z6" s="559"/>
      <c r="AA6" s="61">
        <f t="shared" si="8"/>
        <v>-74.09836065573586</v>
      </c>
      <c r="AB6" s="323">
        <f t="shared" si="9"/>
        <v>0.96295081967213203</v>
      </c>
      <c r="AC6" s="566"/>
    </row>
    <row r="7" spans="1:29">
      <c r="A7" s="596" t="s">
        <v>116</v>
      </c>
      <c r="B7" s="57" t="s">
        <v>6</v>
      </c>
      <c r="C7" s="590" t="s">
        <v>94</v>
      </c>
      <c r="D7" s="591"/>
      <c r="E7" s="57">
        <v>57.3</v>
      </c>
      <c r="F7" s="329">
        <v>2392</v>
      </c>
      <c r="G7" s="322">
        <f t="shared" si="0"/>
        <v>137061.6</v>
      </c>
      <c r="H7" s="331" t="s">
        <v>5</v>
      </c>
      <c r="I7" s="327">
        <v>13</v>
      </c>
      <c r="J7" s="58">
        <v>2000</v>
      </c>
      <c r="K7" s="59">
        <f t="shared" si="1"/>
        <v>153.84615384615384</v>
      </c>
      <c r="L7" s="327">
        <v>13</v>
      </c>
      <c r="M7" s="60">
        <f t="shared" si="2"/>
        <v>1913.5999999999985</v>
      </c>
      <c r="N7" s="59">
        <f t="shared" si="3"/>
        <v>147.19999999999987</v>
      </c>
      <c r="O7" s="61">
        <f t="shared" si="4"/>
        <v>0</v>
      </c>
      <c r="P7" s="62">
        <f t="shared" si="5"/>
        <v>-6.6461538461539647</v>
      </c>
      <c r="Q7" s="323">
        <f t="shared" si="6"/>
        <v>0.95679999999999921</v>
      </c>
      <c r="R7" s="566"/>
      <c r="S7" s="63">
        <v>0.7944444444444444</v>
      </c>
      <c r="T7" s="63">
        <v>0.84652777777777777</v>
      </c>
      <c r="U7" s="322">
        <f t="shared" si="10"/>
        <v>7.9999999999999716</v>
      </c>
      <c r="V7" s="328">
        <f t="shared" si="7"/>
        <v>75.000000000000057</v>
      </c>
      <c r="W7" s="64"/>
      <c r="X7" s="64"/>
      <c r="Y7" s="569"/>
      <c r="Z7" s="570"/>
      <c r="AA7" s="61">
        <f t="shared" si="8"/>
        <v>-86.400000000001455</v>
      </c>
      <c r="AB7" s="323">
        <f t="shared" si="9"/>
        <v>0.95679999999999932</v>
      </c>
      <c r="AC7" s="566"/>
    </row>
    <row r="8" spans="1:29">
      <c r="A8" s="596" t="s">
        <v>116</v>
      </c>
      <c r="B8" s="57" t="s">
        <v>67</v>
      </c>
      <c r="C8" s="571"/>
      <c r="D8" s="571"/>
      <c r="E8" s="326"/>
      <c r="F8" s="66"/>
      <c r="G8" s="59"/>
      <c r="H8" s="329"/>
      <c r="I8" s="67">
        <v>15</v>
      </c>
      <c r="J8" s="58">
        <v>2000</v>
      </c>
      <c r="K8" s="59">
        <f t="shared" si="1"/>
        <v>133.33333333333334</v>
      </c>
      <c r="L8" s="67">
        <v>15</v>
      </c>
      <c r="M8" s="60">
        <f>AVERAGE(M5:M7)</f>
        <v>1924.0005464480876</v>
      </c>
      <c r="N8" s="59">
        <f t="shared" si="3"/>
        <v>128.26670309653917</v>
      </c>
      <c r="O8" s="61">
        <f t="shared" si="4"/>
        <v>0</v>
      </c>
      <c r="P8" s="62">
        <f t="shared" si="5"/>
        <v>-5.0666302367941682</v>
      </c>
      <c r="Q8" s="323">
        <f t="shared" si="6"/>
        <v>0.96200027322404369</v>
      </c>
      <c r="R8" s="566"/>
      <c r="S8" s="63"/>
      <c r="T8" s="63"/>
      <c r="U8" s="322"/>
      <c r="V8" s="328"/>
      <c r="W8" s="59"/>
      <c r="X8" s="59"/>
      <c r="Y8" s="559"/>
      <c r="Z8" s="559"/>
      <c r="AA8" s="61">
        <f t="shared" si="8"/>
        <v>-75.999453551912438</v>
      </c>
      <c r="AB8" s="323">
        <f t="shared" si="9"/>
        <v>0.9620002732240438</v>
      </c>
      <c r="AC8" s="566"/>
    </row>
    <row r="9" spans="1:29" ht="15.75" customHeight="1">
      <c r="A9" s="594" t="s">
        <v>85</v>
      </c>
      <c r="B9" s="57" t="s">
        <v>10</v>
      </c>
      <c r="C9" s="590" t="s">
        <v>14</v>
      </c>
      <c r="D9" s="591"/>
      <c r="E9" s="57">
        <v>39.619999999999997</v>
      </c>
      <c r="F9" s="329">
        <v>3397</v>
      </c>
      <c r="G9" s="322">
        <f t="shared" ref="G9:G10" si="11">E9*F9</f>
        <v>134589.13999999998</v>
      </c>
      <c r="H9" s="331" t="s">
        <v>5</v>
      </c>
      <c r="I9" s="327">
        <v>19</v>
      </c>
      <c r="J9" s="58">
        <v>1500</v>
      </c>
      <c r="K9" s="59">
        <f t="shared" si="1"/>
        <v>78.94736842105263</v>
      </c>
      <c r="L9" s="327">
        <v>19</v>
      </c>
      <c r="M9" s="60">
        <f t="shared" ref="M9:M10" si="12">F9/V9*60</f>
        <v>1435.3521126760561</v>
      </c>
      <c r="N9" s="59">
        <f t="shared" si="3"/>
        <v>75.544848035581893</v>
      </c>
      <c r="O9" s="61">
        <f t="shared" si="4"/>
        <v>0</v>
      </c>
      <c r="P9" s="62">
        <f t="shared" si="5"/>
        <v>-3.4025203854707371</v>
      </c>
      <c r="Q9" s="323">
        <f t="shared" si="6"/>
        <v>0.95690140845070404</v>
      </c>
      <c r="R9" s="566">
        <f>Q11</f>
        <v>0.95599615877080657</v>
      </c>
      <c r="S9" s="63">
        <v>0.16666666666666666</v>
      </c>
      <c r="T9" s="63">
        <v>0.26527777777777778</v>
      </c>
      <c r="U9" s="322"/>
      <c r="V9" s="328">
        <f t="shared" ref="V9:V10" si="13">(T9-S9)*24*60</f>
        <v>142.00000000000003</v>
      </c>
      <c r="W9" s="64">
        <f>T9</f>
        <v>0.26527777777777778</v>
      </c>
      <c r="X9" s="64">
        <f>S10</f>
        <v>0.28472222222222221</v>
      </c>
      <c r="Y9" s="559"/>
      <c r="Z9" s="559"/>
      <c r="AA9" s="61">
        <f t="shared" si="8"/>
        <v>-64.647887323943905</v>
      </c>
      <c r="AB9" s="323">
        <f t="shared" si="9"/>
        <v>0.95690140845070404</v>
      </c>
      <c r="AC9" s="566">
        <f>AB11</f>
        <v>0.95599615877080657</v>
      </c>
    </row>
    <row r="10" spans="1:29" ht="15.75" customHeight="1">
      <c r="A10" s="594" t="s">
        <v>85</v>
      </c>
      <c r="B10" s="57" t="s">
        <v>10</v>
      </c>
      <c r="C10" s="590" t="s">
        <v>11</v>
      </c>
      <c r="D10" s="591"/>
      <c r="E10" s="57">
        <v>39.799999999999997</v>
      </c>
      <c r="F10" s="329">
        <v>5253</v>
      </c>
      <c r="G10" s="322">
        <f t="shared" si="11"/>
        <v>209069.4</v>
      </c>
      <c r="H10" s="331" t="s">
        <v>5</v>
      </c>
      <c r="I10" s="327">
        <v>17</v>
      </c>
      <c r="J10" s="58">
        <v>1500</v>
      </c>
      <c r="K10" s="59">
        <f t="shared" si="1"/>
        <v>88.235294117647058</v>
      </c>
      <c r="L10" s="327">
        <v>17</v>
      </c>
      <c r="M10" s="60">
        <f t="shared" si="12"/>
        <v>1432.6363636363635</v>
      </c>
      <c r="N10" s="59">
        <f t="shared" si="3"/>
        <v>84.272727272727266</v>
      </c>
      <c r="O10" s="61">
        <f t="shared" si="4"/>
        <v>0</v>
      </c>
      <c r="P10" s="62">
        <f t="shared" si="5"/>
        <v>-3.9625668449197917</v>
      </c>
      <c r="Q10" s="323">
        <f t="shared" si="6"/>
        <v>0.95509090909090899</v>
      </c>
      <c r="R10" s="566"/>
      <c r="S10" s="63">
        <v>0.28472222222222221</v>
      </c>
      <c r="T10" s="63">
        <v>0.4375</v>
      </c>
      <c r="U10" s="322">
        <f t="shared" ref="U10" si="14">IF(S10=TIME(17,0,0),"",(S10-T9)*24*60)</f>
        <v>27.999999999999979</v>
      </c>
      <c r="V10" s="328">
        <f t="shared" si="13"/>
        <v>220.00000000000003</v>
      </c>
      <c r="W10" s="64"/>
      <c r="X10" s="64"/>
      <c r="Y10" s="559"/>
      <c r="Z10" s="559"/>
      <c r="AA10" s="61">
        <f t="shared" si="8"/>
        <v>-67.363636363636488</v>
      </c>
      <c r="AB10" s="323">
        <f t="shared" si="9"/>
        <v>0.95509090909090899</v>
      </c>
      <c r="AC10" s="566"/>
    </row>
    <row r="11" spans="1:29" ht="16.5" customHeight="1">
      <c r="A11" s="594" t="s">
        <v>85</v>
      </c>
      <c r="B11" s="57" t="s">
        <v>1451</v>
      </c>
      <c r="C11" s="571"/>
      <c r="D11" s="571"/>
      <c r="E11" s="326"/>
      <c r="F11" s="58"/>
      <c r="G11" s="60"/>
      <c r="H11" s="329"/>
      <c r="I11" s="67">
        <v>18</v>
      </c>
      <c r="J11" s="58">
        <v>1500</v>
      </c>
      <c r="K11" s="59">
        <f t="shared" si="1"/>
        <v>83.333333333333329</v>
      </c>
      <c r="L11" s="67">
        <v>18</v>
      </c>
      <c r="M11" s="60">
        <f>AVERAGE(M9:M10)</f>
        <v>1433.9942381562098</v>
      </c>
      <c r="N11" s="59">
        <f t="shared" si="3"/>
        <v>79.666346564233876</v>
      </c>
      <c r="O11" s="61">
        <f t="shared" si="4"/>
        <v>0</v>
      </c>
      <c r="P11" s="62">
        <f t="shared" si="5"/>
        <v>-3.6669867690994522</v>
      </c>
      <c r="Q11" s="323">
        <f t="shared" si="6"/>
        <v>0.95599615877080657</v>
      </c>
      <c r="R11" s="566"/>
      <c r="S11" s="63"/>
      <c r="T11" s="63"/>
      <c r="U11" s="59"/>
      <c r="V11" s="328"/>
      <c r="W11" s="59"/>
      <c r="X11" s="59"/>
      <c r="Y11" s="559"/>
      <c r="Z11" s="559"/>
      <c r="AA11" s="61">
        <f t="shared" si="8"/>
        <v>-66.005761843790197</v>
      </c>
      <c r="AB11" s="323">
        <f t="shared" si="9"/>
        <v>0.95599615877080657</v>
      </c>
      <c r="AC11" s="566"/>
    </row>
    <row r="12" spans="1:29" ht="16.5" customHeight="1">
      <c r="A12" s="592" t="s">
        <v>726</v>
      </c>
      <c r="B12" s="329" t="s">
        <v>12</v>
      </c>
      <c r="C12" s="584" t="s">
        <v>13</v>
      </c>
      <c r="D12" s="584"/>
      <c r="E12" s="57">
        <v>41</v>
      </c>
      <c r="F12" s="329">
        <v>2007</v>
      </c>
      <c r="G12" s="322">
        <f t="shared" ref="G12:G16" si="15">E12*F12</f>
        <v>82287</v>
      </c>
      <c r="H12" s="331" t="s">
        <v>5</v>
      </c>
      <c r="I12" s="327">
        <v>26</v>
      </c>
      <c r="J12" s="58">
        <v>1500</v>
      </c>
      <c r="K12" s="59">
        <f t="shared" si="1"/>
        <v>57.692307692307693</v>
      </c>
      <c r="L12" s="327">
        <v>26</v>
      </c>
      <c r="M12" s="60">
        <f t="shared" ref="M12:M16" si="16">F12/V12*60</f>
        <v>1433.5714285714287</v>
      </c>
      <c r="N12" s="59">
        <f t="shared" si="3"/>
        <v>55.137362637362642</v>
      </c>
      <c r="O12" s="61">
        <f t="shared" si="4"/>
        <v>0</v>
      </c>
      <c r="P12" s="62">
        <f t="shared" si="5"/>
        <v>-2.5549450549450512</v>
      </c>
      <c r="Q12" s="323">
        <f t="shared" si="6"/>
        <v>0.95571428571428574</v>
      </c>
      <c r="R12" s="566">
        <f>Q17</f>
        <v>0.9560853550028332</v>
      </c>
      <c r="S12" s="63">
        <v>0.20833333333333334</v>
      </c>
      <c r="T12" s="63">
        <v>0.26666666666666666</v>
      </c>
      <c r="U12" s="322"/>
      <c r="V12" s="328">
        <f t="shared" ref="V12:V16" si="17">(T12-S12)*24*60</f>
        <v>83.999999999999986</v>
      </c>
      <c r="W12" s="68"/>
      <c r="X12" s="68"/>
      <c r="Y12" s="559"/>
      <c r="Z12" s="559"/>
      <c r="AA12" s="61">
        <f t="shared" si="8"/>
        <v>-66.428571428571331</v>
      </c>
      <c r="AB12" s="323">
        <f t="shared" si="9"/>
        <v>0.95571428571428574</v>
      </c>
      <c r="AC12" s="566">
        <f>AB17</f>
        <v>0.9560853550028332</v>
      </c>
    </row>
    <row r="13" spans="1:29" ht="16.5" customHeight="1">
      <c r="A13" s="593" t="s">
        <v>726</v>
      </c>
      <c r="B13" s="329" t="s">
        <v>657</v>
      </c>
      <c r="C13" s="584" t="s">
        <v>236</v>
      </c>
      <c r="D13" s="584"/>
      <c r="E13" s="57">
        <v>72.400000000000006</v>
      </c>
      <c r="F13" s="329">
        <v>1201</v>
      </c>
      <c r="G13" s="322">
        <f t="shared" si="15"/>
        <v>86952.400000000009</v>
      </c>
      <c r="H13" s="331" t="s">
        <v>5</v>
      </c>
      <c r="I13" s="327">
        <v>18</v>
      </c>
      <c r="J13" s="58">
        <v>1500</v>
      </c>
      <c r="K13" s="59">
        <f t="shared" si="1"/>
        <v>83.333333333333329</v>
      </c>
      <c r="L13" s="327">
        <v>18</v>
      </c>
      <c r="M13" s="60">
        <f t="shared" si="16"/>
        <v>1441.2000000000005</v>
      </c>
      <c r="N13" s="59">
        <f t="shared" si="3"/>
        <v>80.066666666666691</v>
      </c>
      <c r="O13" s="61">
        <f t="shared" si="4"/>
        <v>0</v>
      </c>
      <c r="P13" s="62">
        <f t="shared" si="5"/>
        <v>-3.2666666666666373</v>
      </c>
      <c r="Q13" s="323">
        <f t="shared" si="6"/>
        <v>0.96080000000000032</v>
      </c>
      <c r="R13" s="566"/>
      <c r="S13" s="63">
        <v>0.27083333333333331</v>
      </c>
      <c r="T13" s="63">
        <v>0.30555555555555552</v>
      </c>
      <c r="U13" s="322">
        <f t="shared" ref="U13:U16" si="18">IF(S13=TIME(17,0,0),"",(S13-T12)*24*60)</f>
        <v>5.9999999999999787</v>
      </c>
      <c r="V13" s="328">
        <f t="shared" si="17"/>
        <v>49.999999999999986</v>
      </c>
      <c r="W13" s="64"/>
      <c r="X13" s="64"/>
      <c r="Y13" s="559"/>
      <c r="Z13" s="559"/>
      <c r="AA13" s="61">
        <f t="shared" si="8"/>
        <v>-58.7999999999995</v>
      </c>
      <c r="AB13" s="323">
        <f t="shared" si="9"/>
        <v>0.96080000000000032</v>
      </c>
      <c r="AC13" s="566"/>
    </row>
    <row r="14" spans="1:29" ht="16.5" customHeight="1">
      <c r="A14" s="593" t="s">
        <v>1452</v>
      </c>
      <c r="B14" s="329" t="s">
        <v>6</v>
      </c>
      <c r="C14" s="584" t="s">
        <v>95</v>
      </c>
      <c r="D14" s="584"/>
      <c r="E14" s="57">
        <v>50.98</v>
      </c>
      <c r="F14" s="329">
        <v>2701</v>
      </c>
      <c r="G14" s="322">
        <f t="shared" si="15"/>
        <v>137696.97999999998</v>
      </c>
      <c r="H14" s="331" t="s">
        <v>5</v>
      </c>
      <c r="I14" s="327">
        <v>16</v>
      </c>
      <c r="J14" s="58">
        <v>2000</v>
      </c>
      <c r="K14" s="59">
        <f t="shared" si="1"/>
        <v>125</v>
      </c>
      <c r="L14" s="327">
        <v>16</v>
      </c>
      <c r="M14" s="60">
        <f t="shared" si="16"/>
        <v>1906.5882352941173</v>
      </c>
      <c r="N14" s="59">
        <f t="shared" si="3"/>
        <v>119.16176470588233</v>
      </c>
      <c r="O14" s="61">
        <f t="shared" si="4"/>
        <v>0</v>
      </c>
      <c r="P14" s="62">
        <f t="shared" si="5"/>
        <v>-5.8382352941176663</v>
      </c>
      <c r="Q14" s="323">
        <f t="shared" si="6"/>
        <v>0.95329411764705863</v>
      </c>
      <c r="R14" s="566"/>
      <c r="S14" s="63">
        <v>0.70833333333333337</v>
      </c>
      <c r="T14" s="63">
        <v>0.76736111111111116</v>
      </c>
      <c r="U14" s="322" t="str">
        <f t="shared" si="18"/>
        <v/>
      </c>
      <c r="V14" s="328">
        <f t="shared" si="17"/>
        <v>85.000000000000014</v>
      </c>
      <c r="W14" s="64"/>
      <c r="X14" s="64"/>
      <c r="Y14" s="559"/>
      <c r="Z14" s="559"/>
      <c r="AA14" s="61">
        <f t="shared" si="8"/>
        <v>-93.411764705882661</v>
      </c>
      <c r="AB14" s="323">
        <f t="shared" si="9"/>
        <v>0.95329411764705863</v>
      </c>
      <c r="AC14" s="566"/>
    </row>
    <row r="15" spans="1:29" ht="16.5" customHeight="1">
      <c r="A15" s="593" t="s">
        <v>1452</v>
      </c>
      <c r="B15" s="329" t="s">
        <v>6</v>
      </c>
      <c r="C15" s="584" t="s">
        <v>18</v>
      </c>
      <c r="D15" s="584"/>
      <c r="E15" s="57">
        <v>50.92</v>
      </c>
      <c r="F15" s="329">
        <v>2604</v>
      </c>
      <c r="G15" s="322">
        <f t="shared" si="15"/>
        <v>132595.68</v>
      </c>
      <c r="H15" s="331" t="s">
        <v>5</v>
      </c>
      <c r="I15" s="327">
        <v>15</v>
      </c>
      <c r="J15" s="58">
        <v>2000</v>
      </c>
      <c r="K15" s="59">
        <f t="shared" si="1"/>
        <v>133.33333333333334</v>
      </c>
      <c r="L15" s="327">
        <v>15</v>
      </c>
      <c r="M15" s="60">
        <f t="shared" si="16"/>
        <v>1905.3658536585358</v>
      </c>
      <c r="N15" s="59">
        <f t="shared" si="3"/>
        <v>127.02439024390239</v>
      </c>
      <c r="O15" s="61">
        <f t="shared" si="4"/>
        <v>0</v>
      </c>
      <c r="P15" s="62">
        <f t="shared" si="5"/>
        <v>-6.3089430894309544</v>
      </c>
      <c r="Q15" s="323">
        <f t="shared" si="6"/>
        <v>0.95268292682926781</v>
      </c>
      <c r="R15" s="566"/>
      <c r="S15" s="63">
        <v>0.77222222222222225</v>
      </c>
      <c r="T15" s="63">
        <v>0.82916666666666672</v>
      </c>
      <c r="U15" s="322">
        <f t="shared" si="18"/>
        <v>6.9999999999999751</v>
      </c>
      <c r="V15" s="328">
        <f t="shared" si="17"/>
        <v>82.000000000000028</v>
      </c>
      <c r="W15" s="64"/>
      <c r="X15" s="64"/>
      <c r="Y15" s="559"/>
      <c r="Z15" s="559"/>
      <c r="AA15" s="61">
        <f t="shared" si="8"/>
        <v>-94.634146341464202</v>
      </c>
      <c r="AB15" s="323">
        <f t="shared" si="9"/>
        <v>0.95268292682926792</v>
      </c>
      <c r="AC15" s="566"/>
    </row>
    <row r="16" spans="1:29" ht="16.5" customHeight="1">
      <c r="A16" s="593" t="s">
        <v>726</v>
      </c>
      <c r="B16" s="329" t="s">
        <v>6</v>
      </c>
      <c r="C16" s="584" t="s">
        <v>99</v>
      </c>
      <c r="D16" s="584"/>
      <c r="E16" s="57">
        <v>53.68</v>
      </c>
      <c r="F16" s="329">
        <v>1032</v>
      </c>
      <c r="G16" s="322">
        <f t="shared" si="15"/>
        <v>55397.760000000002</v>
      </c>
      <c r="H16" s="331" t="s">
        <v>5</v>
      </c>
      <c r="I16" s="327">
        <v>16</v>
      </c>
      <c r="J16" s="58">
        <v>1500</v>
      </c>
      <c r="K16" s="59">
        <f t="shared" si="1"/>
        <v>93.75</v>
      </c>
      <c r="L16" s="327">
        <v>16</v>
      </c>
      <c r="M16" s="60">
        <f t="shared" si="16"/>
        <v>1439.9999999999998</v>
      </c>
      <c r="N16" s="59">
        <f t="shared" si="3"/>
        <v>89.999999999999986</v>
      </c>
      <c r="O16" s="61">
        <f t="shared" si="4"/>
        <v>0</v>
      </c>
      <c r="P16" s="62">
        <f t="shared" si="5"/>
        <v>-3.7500000000000142</v>
      </c>
      <c r="Q16" s="323">
        <f t="shared" si="6"/>
        <v>0.95999999999999985</v>
      </c>
      <c r="R16" s="566"/>
      <c r="S16" s="63">
        <v>0.83472222222222225</v>
      </c>
      <c r="T16" s="63">
        <v>0.86458333333333337</v>
      </c>
      <c r="U16" s="322">
        <f t="shared" si="18"/>
        <v>7.9999999999999716</v>
      </c>
      <c r="V16" s="328">
        <f t="shared" si="17"/>
        <v>43.000000000000007</v>
      </c>
      <c r="W16" s="64"/>
      <c r="X16" s="64"/>
      <c r="Y16" s="559"/>
      <c r="Z16" s="559"/>
      <c r="AA16" s="61">
        <f t="shared" si="8"/>
        <v>-60.000000000000227</v>
      </c>
      <c r="AB16" s="323">
        <f t="shared" si="9"/>
        <v>0.95999999999999985</v>
      </c>
      <c r="AC16" s="566"/>
    </row>
    <row r="17" spans="1:29" ht="16.5" customHeight="1">
      <c r="A17" s="593" t="s">
        <v>1452</v>
      </c>
      <c r="B17" s="57" t="s">
        <v>67</v>
      </c>
      <c r="C17" s="571"/>
      <c r="D17" s="571"/>
      <c r="E17" s="326"/>
      <c r="F17" s="66"/>
      <c r="G17" s="59"/>
      <c r="H17" s="329"/>
      <c r="I17" s="67">
        <v>18.2</v>
      </c>
      <c r="J17" s="58">
        <v>1700</v>
      </c>
      <c r="K17" s="59">
        <f t="shared" si="1"/>
        <v>93.406593406593416</v>
      </c>
      <c r="L17" s="67">
        <v>18.2</v>
      </c>
      <c r="M17" s="60">
        <f>AVERAGE(M12:M16)</f>
        <v>1625.3451035048165</v>
      </c>
      <c r="N17" s="59">
        <f t="shared" si="3"/>
        <v>89.304676016748161</v>
      </c>
      <c r="O17" s="61">
        <f t="shared" si="4"/>
        <v>0</v>
      </c>
      <c r="P17" s="62">
        <f t="shared" si="5"/>
        <v>-4.101917389845255</v>
      </c>
      <c r="Q17" s="323">
        <f t="shared" si="6"/>
        <v>0.9560853550028332</v>
      </c>
      <c r="R17" s="566"/>
      <c r="S17" s="63"/>
      <c r="T17" s="63"/>
      <c r="U17" s="322"/>
      <c r="V17" s="328"/>
      <c r="W17" s="59"/>
      <c r="X17" s="59"/>
      <c r="Y17" s="559"/>
      <c r="Z17" s="559"/>
      <c r="AA17" s="61">
        <f t="shared" si="8"/>
        <v>-74.654896495183493</v>
      </c>
      <c r="AB17" s="323">
        <f t="shared" si="9"/>
        <v>0.9560853550028332</v>
      </c>
      <c r="AC17" s="566"/>
    </row>
    <row r="18" spans="1:29" ht="15.75" customHeight="1">
      <c r="A18" s="588" t="s">
        <v>86</v>
      </c>
      <c r="B18" s="57" t="s">
        <v>12</v>
      </c>
      <c r="C18" s="584" t="s">
        <v>19</v>
      </c>
      <c r="D18" s="584"/>
      <c r="E18" s="57">
        <v>43.14</v>
      </c>
      <c r="F18" s="329">
        <v>959</v>
      </c>
      <c r="G18" s="322">
        <f t="shared" ref="G18:G25" si="19">E18*F18</f>
        <v>41371.26</v>
      </c>
      <c r="H18" s="331" t="s">
        <v>5</v>
      </c>
      <c r="I18" s="327">
        <v>17</v>
      </c>
      <c r="J18" s="58">
        <v>2000</v>
      </c>
      <c r="K18" s="59">
        <f t="shared" si="1"/>
        <v>117.64705882352941</v>
      </c>
      <c r="L18" s="327">
        <v>17</v>
      </c>
      <c r="M18" s="60">
        <f t="shared" ref="M18:M25" si="20">F18/V18*60</f>
        <v>1917.9999999999991</v>
      </c>
      <c r="N18" s="59">
        <f t="shared" si="3"/>
        <v>112.82352941176465</v>
      </c>
      <c r="O18" s="61">
        <f t="shared" si="4"/>
        <v>0</v>
      </c>
      <c r="P18" s="62">
        <f t="shared" si="5"/>
        <v>-4.8235294117647527</v>
      </c>
      <c r="Q18" s="323">
        <f t="shared" si="6"/>
        <v>0.95899999999999963</v>
      </c>
      <c r="R18" s="566">
        <f>Q26</f>
        <v>0.96248443880098755</v>
      </c>
      <c r="S18" s="63">
        <v>0.20833333333333334</v>
      </c>
      <c r="T18" s="63">
        <v>0.22916666666666669</v>
      </c>
      <c r="U18" s="322"/>
      <c r="V18" s="328">
        <f t="shared" ref="V18:V25" si="21">(T18-S18)*24*60</f>
        <v>30.000000000000014</v>
      </c>
      <c r="W18" s="68"/>
      <c r="X18" s="68"/>
      <c r="Y18" s="559"/>
      <c r="Z18" s="559"/>
      <c r="AA18" s="61">
        <f t="shared" si="8"/>
        <v>-82.000000000000909</v>
      </c>
      <c r="AB18" s="323">
        <f t="shared" si="9"/>
        <v>0.95899999999999952</v>
      </c>
      <c r="AC18" s="566">
        <f>AB26</f>
        <v>0.96248443880098766</v>
      </c>
    </row>
    <row r="19" spans="1:29" ht="15.75" customHeight="1">
      <c r="A19" s="589" t="s">
        <v>1453</v>
      </c>
      <c r="B19" s="57" t="s">
        <v>65</v>
      </c>
      <c r="C19" s="584" t="s">
        <v>97</v>
      </c>
      <c r="D19" s="584"/>
      <c r="E19" s="57">
        <v>49.9</v>
      </c>
      <c r="F19" s="329">
        <v>1123</v>
      </c>
      <c r="G19" s="322">
        <f t="shared" si="19"/>
        <v>56037.7</v>
      </c>
      <c r="H19" s="331" t="s">
        <v>5</v>
      </c>
      <c r="I19" s="327">
        <v>17</v>
      </c>
      <c r="J19" s="58">
        <v>2000</v>
      </c>
      <c r="K19" s="59">
        <f t="shared" si="1"/>
        <v>117.64705882352941</v>
      </c>
      <c r="L19" s="327">
        <v>17</v>
      </c>
      <c r="M19" s="60">
        <f t="shared" si="20"/>
        <v>1925.1428571428573</v>
      </c>
      <c r="N19" s="59">
        <f t="shared" si="3"/>
        <v>113.24369747899161</v>
      </c>
      <c r="O19" s="61">
        <f t="shared" si="4"/>
        <v>0</v>
      </c>
      <c r="P19" s="62">
        <f t="shared" si="5"/>
        <v>-4.4033613445377995</v>
      </c>
      <c r="Q19" s="323">
        <f t="shared" si="6"/>
        <v>0.96257142857142874</v>
      </c>
      <c r="R19" s="566"/>
      <c r="S19" s="63">
        <v>0.23333333333333336</v>
      </c>
      <c r="T19" s="63">
        <v>0.25763888888888892</v>
      </c>
      <c r="U19" s="322">
        <f t="shared" ref="U19:U25" si="22">IF(S19=TIME(17,0,0),"",(S19-T18)*24*60)</f>
        <v>6.0000000000000187</v>
      </c>
      <c r="V19" s="328">
        <f t="shared" si="21"/>
        <v>34.999999999999993</v>
      </c>
      <c r="W19" s="64"/>
      <c r="X19" s="322"/>
      <c r="Y19" s="559"/>
      <c r="Z19" s="559"/>
      <c r="AA19" s="61">
        <f t="shared" si="8"/>
        <v>-74.857142857142662</v>
      </c>
      <c r="AB19" s="323">
        <f t="shared" si="9"/>
        <v>0.96257142857142863</v>
      </c>
      <c r="AC19" s="566"/>
    </row>
    <row r="20" spans="1:29" ht="15.75" customHeight="1">
      <c r="A20" s="589" t="s">
        <v>86</v>
      </c>
      <c r="B20" s="57" t="s">
        <v>6</v>
      </c>
      <c r="C20" s="584" t="s">
        <v>20</v>
      </c>
      <c r="D20" s="584"/>
      <c r="E20" s="57">
        <v>57.73</v>
      </c>
      <c r="F20" s="329">
        <v>2414</v>
      </c>
      <c r="G20" s="322">
        <f t="shared" si="19"/>
        <v>139360.22</v>
      </c>
      <c r="H20" s="331" t="s">
        <v>5</v>
      </c>
      <c r="I20" s="327">
        <v>14</v>
      </c>
      <c r="J20" s="58">
        <v>2000</v>
      </c>
      <c r="K20" s="59">
        <f t="shared" si="1"/>
        <v>142.85714285714286</v>
      </c>
      <c r="L20" s="327">
        <v>14</v>
      </c>
      <c r="M20" s="60">
        <f t="shared" si="20"/>
        <v>1905.7894736842111</v>
      </c>
      <c r="N20" s="59">
        <f t="shared" si="3"/>
        <v>136.12781954887222</v>
      </c>
      <c r="O20" s="61">
        <f t="shared" si="4"/>
        <v>0</v>
      </c>
      <c r="P20" s="62">
        <f t="shared" si="5"/>
        <v>-6.7293233082706365</v>
      </c>
      <c r="Q20" s="323">
        <f t="shared" si="6"/>
        <v>0.95289473684210557</v>
      </c>
      <c r="R20" s="566"/>
      <c r="S20" s="63">
        <v>0.26111111111111113</v>
      </c>
      <c r="T20" s="63">
        <v>0.31388888888888888</v>
      </c>
      <c r="U20" s="322">
        <f t="shared" si="22"/>
        <v>4.9999999999999822</v>
      </c>
      <c r="V20" s="328">
        <f t="shared" si="21"/>
        <v>75.999999999999972</v>
      </c>
      <c r="W20" s="64"/>
      <c r="X20" s="322"/>
      <c r="Y20" s="559"/>
      <c r="Z20" s="559"/>
      <c r="AA20" s="61">
        <f t="shared" si="8"/>
        <v>-94.210526315788911</v>
      </c>
      <c r="AB20" s="323">
        <f t="shared" si="9"/>
        <v>0.95289473684210557</v>
      </c>
      <c r="AC20" s="566"/>
    </row>
    <row r="21" spans="1:29" ht="15.75" customHeight="1">
      <c r="A21" s="589" t="s">
        <v>1453</v>
      </c>
      <c r="B21" s="57" t="s">
        <v>6</v>
      </c>
      <c r="C21" s="584" t="s">
        <v>21</v>
      </c>
      <c r="D21" s="584"/>
      <c r="E21" s="57">
        <v>53.68</v>
      </c>
      <c r="F21" s="329">
        <v>1440</v>
      </c>
      <c r="G21" s="322">
        <f t="shared" si="19"/>
        <v>77299.199999999997</v>
      </c>
      <c r="H21" s="331" t="s">
        <v>5</v>
      </c>
      <c r="I21" s="327">
        <v>16</v>
      </c>
      <c r="J21" s="58">
        <v>2000</v>
      </c>
      <c r="K21" s="59">
        <f t="shared" si="1"/>
        <v>125</v>
      </c>
      <c r="L21" s="327">
        <v>16</v>
      </c>
      <c r="M21" s="60">
        <f t="shared" si="20"/>
        <v>1920</v>
      </c>
      <c r="N21" s="59">
        <f t="shared" si="3"/>
        <v>120</v>
      </c>
      <c r="O21" s="61">
        <f t="shared" si="4"/>
        <v>0</v>
      </c>
      <c r="P21" s="62">
        <f t="shared" si="5"/>
        <v>-5</v>
      </c>
      <c r="Q21" s="323">
        <f t="shared" si="6"/>
        <v>0.96</v>
      </c>
      <c r="R21" s="566"/>
      <c r="S21" s="63">
        <v>0.31805555555555554</v>
      </c>
      <c r="T21" s="63">
        <v>0.34930555555555554</v>
      </c>
      <c r="U21" s="322">
        <f t="shared" si="22"/>
        <v>5.9999999999999787</v>
      </c>
      <c r="V21" s="328">
        <f t="shared" si="21"/>
        <v>45</v>
      </c>
      <c r="W21" s="64"/>
      <c r="X21" s="322"/>
      <c r="Y21" s="559"/>
      <c r="Z21" s="559"/>
      <c r="AA21" s="61">
        <f t="shared" si="8"/>
        <v>-80</v>
      </c>
      <c r="AB21" s="323">
        <f t="shared" si="9"/>
        <v>0.96</v>
      </c>
      <c r="AC21" s="566"/>
    </row>
    <row r="22" spans="1:29" ht="15.75" customHeight="1">
      <c r="A22" s="589" t="s">
        <v>86</v>
      </c>
      <c r="B22" s="57" t="s">
        <v>6</v>
      </c>
      <c r="C22" s="584" t="s">
        <v>96</v>
      </c>
      <c r="D22" s="584"/>
      <c r="E22" s="57">
        <v>49.91</v>
      </c>
      <c r="F22" s="329">
        <v>977</v>
      </c>
      <c r="G22" s="322">
        <f t="shared" si="19"/>
        <v>48762.07</v>
      </c>
      <c r="H22" s="331" t="s">
        <v>5</v>
      </c>
      <c r="I22" s="327">
        <v>17</v>
      </c>
      <c r="J22" s="58">
        <v>2000</v>
      </c>
      <c r="K22" s="59">
        <f t="shared" si="1"/>
        <v>117.64705882352941</v>
      </c>
      <c r="L22" s="327">
        <v>17</v>
      </c>
      <c r="M22" s="60">
        <f t="shared" si="20"/>
        <v>1954.0000000000018</v>
      </c>
      <c r="N22" s="59">
        <f t="shared" si="3"/>
        <v>114.94117647058835</v>
      </c>
      <c r="O22" s="61">
        <f t="shared" si="4"/>
        <v>0</v>
      </c>
      <c r="P22" s="62">
        <f t="shared" si="5"/>
        <v>-2.7058823529410603</v>
      </c>
      <c r="Q22" s="323">
        <f t="shared" si="6"/>
        <v>0.97700000000000098</v>
      </c>
      <c r="R22" s="566"/>
      <c r="S22" s="63">
        <v>0.35277777777777775</v>
      </c>
      <c r="T22" s="63">
        <v>0.37361111111111106</v>
      </c>
      <c r="U22" s="322">
        <f t="shared" si="22"/>
        <v>4.9999999999999822</v>
      </c>
      <c r="V22" s="328">
        <f t="shared" si="21"/>
        <v>29.999999999999972</v>
      </c>
      <c r="W22" s="64"/>
      <c r="X22" s="322"/>
      <c r="Y22" s="559"/>
      <c r="Z22" s="559"/>
      <c r="AA22" s="61">
        <f t="shared" si="8"/>
        <v>-45.999999999998181</v>
      </c>
      <c r="AB22" s="323">
        <f t="shared" si="9"/>
        <v>0.97700000000000087</v>
      </c>
      <c r="AC22" s="566"/>
    </row>
    <row r="23" spans="1:29" ht="15.75" customHeight="1">
      <c r="A23" s="589" t="s">
        <v>1453</v>
      </c>
      <c r="B23" s="57" t="s">
        <v>6</v>
      </c>
      <c r="C23" s="584" t="s">
        <v>22</v>
      </c>
      <c r="D23" s="584"/>
      <c r="E23" s="57">
        <v>54.09</v>
      </c>
      <c r="F23" s="329">
        <v>1612</v>
      </c>
      <c r="G23" s="322">
        <f t="shared" si="19"/>
        <v>87193.08</v>
      </c>
      <c r="H23" s="331" t="s">
        <v>5</v>
      </c>
      <c r="I23" s="327">
        <v>19</v>
      </c>
      <c r="J23" s="58">
        <v>2000</v>
      </c>
      <c r="K23" s="59">
        <f t="shared" si="1"/>
        <v>105.26315789473684</v>
      </c>
      <c r="L23" s="327">
        <v>19</v>
      </c>
      <c r="M23" s="60">
        <f t="shared" si="20"/>
        <v>1934.4000000000005</v>
      </c>
      <c r="N23" s="59">
        <f t="shared" si="3"/>
        <v>101.8105263157895</v>
      </c>
      <c r="O23" s="61">
        <f t="shared" si="4"/>
        <v>0</v>
      </c>
      <c r="P23" s="62">
        <f t="shared" si="5"/>
        <v>-3.452631578947333</v>
      </c>
      <c r="Q23" s="323">
        <f t="shared" si="6"/>
        <v>0.96720000000000028</v>
      </c>
      <c r="R23" s="566"/>
      <c r="S23" s="63">
        <v>0.70833333333333337</v>
      </c>
      <c r="T23" s="63">
        <v>0.74305555555555558</v>
      </c>
      <c r="U23" s="322" t="str">
        <f t="shared" si="22"/>
        <v/>
      </c>
      <c r="V23" s="328">
        <f t="shared" si="21"/>
        <v>49.999999999999986</v>
      </c>
      <c r="W23" s="64"/>
      <c r="X23" s="68"/>
      <c r="Y23" s="559"/>
      <c r="Z23" s="559"/>
      <c r="AA23" s="61">
        <f t="shared" si="8"/>
        <v>-65.599999999999454</v>
      </c>
      <c r="AB23" s="323">
        <f t="shared" si="9"/>
        <v>0.96720000000000028</v>
      </c>
      <c r="AC23" s="566"/>
    </row>
    <row r="24" spans="1:29" ht="15.75" customHeight="1">
      <c r="A24" s="589" t="s">
        <v>1453</v>
      </c>
      <c r="B24" s="57" t="s">
        <v>6</v>
      </c>
      <c r="C24" s="584" t="s">
        <v>69</v>
      </c>
      <c r="D24" s="584"/>
      <c r="E24" s="57">
        <v>57.73</v>
      </c>
      <c r="F24" s="329">
        <v>1230</v>
      </c>
      <c r="G24" s="322">
        <f t="shared" si="19"/>
        <v>71007.899999999994</v>
      </c>
      <c r="H24" s="331" t="s">
        <v>5</v>
      </c>
      <c r="I24" s="327">
        <v>16</v>
      </c>
      <c r="J24" s="58">
        <v>1500</v>
      </c>
      <c r="K24" s="59">
        <f t="shared" si="1"/>
        <v>93.75</v>
      </c>
      <c r="L24" s="327">
        <v>16</v>
      </c>
      <c r="M24" s="60">
        <f t="shared" si="20"/>
        <v>1447.0588235294124</v>
      </c>
      <c r="N24" s="59">
        <f t="shared" si="3"/>
        <v>90.441176470588275</v>
      </c>
      <c r="O24" s="61">
        <f t="shared" si="4"/>
        <v>0</v>
      </c>
      <c r="P24" s="62">
        <f t="shared" si="5"/>
        <v>-3.3088235294117254</v>
      </c>
      <c r="Q24" s="323">
        <f t="shared" si="6"/>
        <v>0.96470588235294163</v>
      </c>
      <c r="R24" s="566"/>
      <c r="S24" s="63">
        <v>0.74861111111111112</v>
      </c>
      <c r="T24" s="63">
        <v>0.78402777777777777</v>
      </c>
      <c r="U24" s="322">
        <f t="shared" si="22"/>
        <v>7.9999999999999716</v>
      </c>
      <c r="V24" s="328">
        <f t="shared" si="21"/>
        <v>50.999999999999979</v>
      </c>
      <c r="W24" s="64"/>
      <c r="X24" s="68"/>
      <c r="Y24" s="569"/>
      <c r="Z24" s="570"/>
      <c r="AA24" s="61">
        <f t="shared" si="8"/>
        <v>-52.941176470587607</v>
      </c>
      <c r="AB24" s="323">
        <f t="shared" si="9"/>
        <v>0.96470588235294163</v>
      </c>
      <c r="AC24" s="566"/>
    </row>
    <row r="25" spans="1:29" ht="15.75" customHeight="1">
      <c r="A25" s="589" t="s">
        <v>1453</v>
      </c>
      <c r="B25" s="57" t="s">
        <v>6</v>
      </c>
      <c r="C25" s="585" t="s">
        <v>68</v>
      </c>
      <c r="D25" s="586"/>
      <c r="E25" s="57">
        <v>50.67</v>
      </c>
      <c r="F25" s="329">
        <v>1627</v>
      </c>
      <c r="G25" s="322">
        <f t="shared" si="19"/>
        <v>82440.09</v>
      </c>
      <c r="H25" s="331" t="s">
        <v>5</v>
      </c>
      <c r="I25" s="327">
        <v>15</v>
      </c>
      <c r="J25" s="58">
        <v>2000</v>
      </c>
      <c r="K25" s="59">
        <f t="shared" si="1"/>
        <v>133.33333333333334</v>
      </c>
      <c r="L25" s="327">
        <v>15</v>
      </c>
      <c r="M25" s="60">
        <f t="shared" si="20"/>
        <v>1914.1176470588243</v>
      </c>
      <c r="N25" s="59">
        <f t="shared" si="3"/>
        <v>127.60784313725496</v>
      </c>
      <c r="O25" s="61">
        <f t="shared" si="4"/>
        <v>0</v>
      </c>
      <c r="P25" s="62">
        <f t="shared" si="5"/>
        <v>-5.7254901960783826</v>
      </c>
      <c r="Q25" s="323">
        <f t="shared" si="6"/>
        <v>0.95705882352941218</v>
      </c>
      <c r="R25" s="566"/>
      <c r="S25" s="63">
        <v>0.78819444444444442</v>
      </c>
      <c r="T25" s="63">
        <v>0.82361111111111107</v>
      </c>
      <c r="U25" s="322">
        <f t="shared" si="22"/>
        <v>5.9999999999999787</v>
      </c>
      <c r="V25" s="328">
        <f t="shared" si="21"/>
        <v>50.999999999999979</v>
      </c>
      <c r="W25" s="64"/>
      <c r="X25" s="64"/>
      <c r="Y25" s="569"/>
      <c r="Z25" s="570"/>
      <c r="AA25" s="61">
        <f t="shared" si="8"/>
        <v>-85.882352941175668</v>
      </c>
      <c r="AB25" s="323">
        <f t="shared" si="9"/>
        <v>0.95705882352941218</v>
      </c>
      <c r="AC25" s="566"/>
    </row>
    <row r="26" spans="1:29" ht="15.75" customHeight="1">
      <c r="A26" s="589" t="s">
        <v>86</v>
      </c>
      <c r="B26" s="57" t="s">
        <v>67</v>
      </c>
      <c r="C26" s="571"/>
      <c r="D26" s="571"/>
      <c r="E26" s="326"/>
      <c r="F26" s="329"/>
      <c r="G26" s="322"/>
      <c r="H26" s="329"/>
      <c r="I26" s="67">
        <v>16.375</v>
      </c>
      <c r="J26" s="58">
        <v>1937.5</v>
      </c>
      <c r="K26" s="59">
        <f t="shared" si="1"/>
        <v>118.32061068702291</v>
      </c>
      <c r="L26" s="67">
        <v>16.375</v>
      </c>
      <c r="M26" s="60">
        <f>AVERAGE(M18:M25)</f>
        <v>1864.8136001769135</v>
      </c>
      <c r="N26" s="59">
        <f t="shared" si="3"/>
        <v>113.88174657568938</v>
      </c>
      <c r="O26" s="61">
        <f t="shared" si="4"/>
        <v>0</v>
      </c>
      <c r="P26" s="62">
        <f t="shared" si="5"/>
        <v>-4.4388641113335296</v>
      </c>
      <c r="Q26" s="323">
        <f t="shared" si="6"/>
        <v>0.96248443880098755</v>
      </c>
      <c r="R26" s="566"/>
      <c r="S26" s="63"/>
      <c r="T26" s="63"/>
      <c r="U26" s="59"/>
      <c r="V26" s="328"/>
      <c r="W26" s="59"/>
      <c r="X26" s="59"/>
      <c r="Y26" s="559"/>
      <c r="Z26" s="559"/>
      <c r="AA26" s="61">
        <f t="shared" si="8"/>
        <v>-72.686399823086504</v>
      </c>
      <c r="AB26" s="323">
        <f t="shared" si="9"/>
        <v>0.96248443880098766</v>
      </c>
      <c r="AC26" s="566"/>
    </row>
    <row r="27" spans="1:29" ht="15.75" customHeight="1">
      <c r="A27" s="587" t="s">
        <v>1454</v>
      </c>
      <c r="B27" s="57" t="s">
        <v>15</v>
      </c>
      <c r="C27" s="584" t="s">
        <v>26</v>
      </c>
      <c r="D27" s="584"/>
      <c r="E27" s="57">
        <v>31.29</v>
      </c>
      <c r="F27" s="329">
        <v>5000</v>
      </c>
      <c r="G27" s="322">
        <f t="shared" ref="G27:G33" si="23">E27*F27</f>
        <v>156450</v>
      </c>
      <c r="H27" s="331">
        <v>2</v>
      </c>
      <c r="I27" s="327">
        <v>18</v>
      </c>
      <c r="J27" s="58">
        <v>2400</v>
      </c>
      <c r="K27" s="59">
        <f t="shared" si="1"/>
        <v>133.33333333333334</v>
      </c>
      <c r="L27" s="327">
        <v>18</v>
      </c>
      <c r="M27" s="60">
        <f t="shared" ref="M27:M33" si="24">F27/V27*60</f>
        <v>2290.0763358778627</v>
      </c>
      <c r="N27" s="59">
        <f t="shared" si="3"/>
        <v>127.2264631043257</v>
      </c>
      <c r="O27" s="61">
        <f t="shared" si="4"/>
        <v>0</v>
      </c>
      <c r="P27" s="62">
        <f t="shared" si="5"/>
        <v>-6.1068702290076402</v>
      </c>
      <c r="Q27" s="323">
        <f t="shared" si="6"/>
        <v>0.95419847328244267</v>
      </c>
      <c r="R27" s="566">
        <f>Q34</f>
        <v>0.95855499149743795</v>
      </c>
      <c r="S27" s="63">
        <v>8.3333333333333329E-2</v>
      </c>
      <c r="T27" s="63">
        <v>0.17430555555555555</v>
      </c>
      <c r="U27" s="322"/>
      <c r="V27" s="328">
        <f t="shared" ref="V27:V33" si="25">(T27-S27)*24*60</f>
        <v>131</v>
      </c>
      <c r="W27" s="64">
        <f>T27</f>
        <v>0.17430555555555555</v>
      </c>
      <c r="X27" s="64">
        <f>S28</f>
        <v>0.19444444444444445</v>
      </c>
      <c r="Y27" s="559"/>
      <c r="Z27" s="559"/>
      <c r="AA27" s="61">
        <f t="shared" si="8"/>
        <v>-109.92366412213732</v>
      </c>
      <c r="AB27" s="323">
        <f t="shared" si="9"/>
        <v>0.95419847328244278</v>
      </c>
      <c r="AC27" s="566">
        <f>AB34</f>
        <v>0.95855499149743806</v>
      </c>
    </row>
    <row r="28" spans="1:29" ht="15.75" customHeight="1">
      <c r="A28" s="587" t="s">
        <v>1454</v>
      </c>
      <c r="B28" s="57" t="s">
        <v>15</v>
      </c>
      <c r="C28" s="584" t="s">
        <v>23</v>
      </c>
      <c r="D28" s="584"/>
      <c r="E28" s="57">
        <v>26.2</v>
      </c>
      <c r="F28" s="329">
        <v>4256</v>
      </c>
      <c r="G28" s="322">
        <f t="shared" si="23"/>
        <v>111507.2</v>
      </c>
      <c r="H28" s="331" t="s">
        <v>5</v>
      </c>
      <c r="I28" s="327">
        <v>20</v>
      </c>
      <c r="J28" s="58">
        <v>2400</v>
      </c>
      <c r="K28" s="59">
        <f t="shared" si="1"/>
        <v>120</v>
      </c>
      <c r="L28" s="327">
        <v>20</v>
      </c>
      <c r="M28" s="60">
        <f t="shared" si="24"/>
        <v>2300.5405405405395</v>
      </c>
      <c r="N28" s="59">
        <f t="shared" si="3"/>
        <v>115.02702702702697</v>
      </c>
      <c r="O28" s="61">
        <f t="shared" si="4"/>
        <v>0</v>
      </c>
      <c r="P28" s="62">
        <f t="shared" si="5"/>
        <v>-4.9729729729730252</v>
      </c>
      <c r="Q28" s="323">
        <f t="shared" si="6"/>
        <v>0.95855855855855809</v>
      </c>
      <c r="R28" s="566"/>
      <c r="S28" s="63">
        <v>0.19444444444444445</v>
      </c>
      <c r="T28" s="63">
        <v>0.27152777777777781</v>
      </c>
      <c r="U28" s="322">
        <f t="shared" ref="U28:U33" si="26">(S28-T27)*24*60</f>
        <v>29.000000000000018</v>
      </c>
      <c r="V28" s="328">
        <f t="shared" si="25"/>
        <v>111.00000000000004</v>
      </c>
      <c r="W28" s="64"/>
      <c r="X28" s="64"/>
      <c r="Y28" s="559"/>
      <c r="Z28" s="559"/>
      <c r="AA28" s="61">
        <f t="shared" si="8"/>
        <v>-99.459459459460504</v>
      </c>
      <c r="AB28" s="323">
        <f t="shared" si="9"/>
        <v>0.95855855855855809</v>
      </c>
      <c r="AC28" s="566"/>
    </row>
    <row r="29" spans="1:29" ht="15.75" customHeight="1">
      <c r="A29" s="587" t="s">
        <v>1454</v>
      </c>
      <c r="B29" s="57" t="s">
        <v>15</v>
      </c>
      <c r="C29" s="584" t="s">
        <v>70</v>
      </c>
      <c r="D29" s="584"/>
      <c r="E29" s="57">
        <v>25.99</v>
      </c>
      <c r="F29" s="329">
        <v>3987</v>
      </c>
      <c r="G29" s="322">
        <f t="shared" si="23"/>
        <v>103622.12999999999</v>
      </c>
      <c r="H29" s="331" t="s">
        <v>5</v>
      </c>
      <c r="I29" s="327">
        <v>14</v>
      </c>
      <c r="J29" s="58">
        <v>2400</v>
      </c>
      <c r="K29" s="59">
        <f t="shared" si="1"/>
        <v>171.42857142857142</v>
      </c>
      <c r="L29" s="327">
        <v>14</v>
      </c>
      <c r="M29" s="60">
        <f t="shared" si="24"/>
        <v>2300.1923076923072</v>
      </c>
      <c r="N29" s="59">
        <f t="shared" si="3"/>
        <v>164.29945054945051</v>
      </c>
      <c r="O29" s="61">
        <f t="shared" si="4"/>
        <v>0</v>
      </c>
      <c r="P29" s="62">
        <f t="shared" si="5"/>
        <v>-7.1291208791209044</v>
      </c>
      <c r="Q29" s="323">
        <f t="shared" si="6"/>
        <v>0.95841346153846141</v>
      </c>
      <c r="R29" s="566"/>
      <c r="S29" s="63">
        <v>0.27569444444444446</v>
      </c>
      <c r="T29" s="63">
        <v>0.34791666666666671</v>
      </c>
      <c r="U29" s="322">
        <f t="shared" si="26"/>
        <v>5.9999999999999787</v>
      </c>
      <c r="V29" s="328">
        <f t="shared" si="25"/>
        <v>104.00000000000003</v>
      </c>
      <c r="W29" s="64"/>
      <c r="X29" s="64"/>
      <c r="Y29" s="559"/>
      <c r="Z29" s="559"/>
      <c r="AA29" s="61">
        <f t="shared" si="8"/>
        <v>-99.807692307692832</v>
      </c>
      <c r="AB29" s="323">
        <f t="shared" si="9"/>
        <v>0.9584134615384613</v>
      </c>
      <c r="AC29" s="566"/>
    </row>
    <row r="30" spans="1:29" ht="15.75" customHeight="1">
      <c r="A30" s="587" t="s">
        <v>1454</v>
      </c>
      <c r="B30" s="57" t="s">
        <v>15</v>
      </c>
      <c r="C30" s="584" t="s">
        <v>45</v>
      </c>
      <c r="D30" s="584"/>
      <c r="E30" s="57">
        <v>20.52</v>
      </c>
      <c r="F30" s="329">
        <v>3779</v>
      </c>
      <c r="G30" s="322">
        <f t="shared" si="23"/>
        <v>77545.08</v>
      </c>
      <c r="H30" s="331" t="s">
        <v>5</v>
      </c>
      <c r="I30" s="327">
        <v>18</v>
      </c>
      <c r="J30" s="58">
        <v>2400</v>
      </c>
      <c r="K30" s="59">
        <f t="shared" si="1"/>
        <v>133.33333333333334</v>
      </c>
      <c r="L30" s="327">
        <v>18</v>
      </c>
      <c r="M30" s="60">
        <f t="shared" si="24"/>
        <v>2290.3030303030309</v>
      </c>
      <c r="N30" s="59">
        <f t="shared" si="3"/>
        <v>127.23905723905727</v>
      </c>
      <c r="O30" s="61">
        <f t="shared" si="4"/>
        <v>0</v>
      </c>
      <c r="P30" s="62">
        <f t="shared" si="5"/>
        <v>-6.0942760942760685</v>
      </c>
      <c r="Q30" s="323">
        <f t="shared" si="6"/>
        <v>0.95429292929292953</v>
      </c>
      <c r="R30" s="566"/>
      <c r="S30" s="63">
        <v>0.35347222222222224</v>
      </c>
      <c r="T30" s="63">
        <v>0.42222222222222222</v>
      </c>
      <c r="U30" s="322">
        <f t="shared" si="26"/>
        <v>7.9999999999999716</v>
      </c>
      <c r="V30" s="328">
        <f t="shared" si="25"/>
        <v>98.999999999999972</v>
      </c>
      <c r="W30" s="64"/>
      <c r="X30" s="64"/>
      <c r="Y30" s="559"/>
      <c r="Z30" s="559"/>
      <c r="AA30" s="61">
        <f t="shared" si="8"/>
        <v>-109.69696969696906</v>
      </c>
      <c r="AB30" s="323">
        <f t="shared" si="9"/>
        <v>0.95429292929292953</v>
      </c>
      <c r="AC30" s="566"/>
    </row>
    <row r="31" spans="1:29" ht="15.75" customHeight="1">
      <c r="A31" s="587" t="s">
        <v>87</v>
      </c>
      <c r="B31" s="57" t="s">
        <v>15</v>
      </c>
      <c r="C31" s="584" t="s">
        <v>98</v>
      </c>
      <c r="D31" s="584"/>
      <c r="E31" s="57">
        <v>25.98</v>
      </c>
      <c r="F31" s="329">
        <v>3378</v>
      </c>
      <c r="G31" s="322">
        <f t="shared" si="23"/>
        <v>87760.44</v>
      </c>
      <c r="H31" s="331" t="s">
        <v>5</v>
      </c>
      <c r="I31" s="327">
        <v>21</v>
      </c>
      <c r="J31" s="58">
        <v>2400</v>
      </c>
      <c r="K31" s="59">
        <f t="shared" si="1"/>
        <v>114.28571428571429</v>
      </c>
      <c r="L31" s="327">
        <v>21</v>
      </c>
      <c r="M31" s="60">
        <f t="shared" si="24"/>
        <v>2303.181818181818</v>
      </c>
      <c r="N31" s="59">
        <f t="shared" si="3"/>
        <v>109.67532467532467</v>
      </c>
      <c r="O31" s="61">
        <f t="shared" si="4"/>
        <v>0</v>
      </c>
      <c r="P31" s="62">
        <f t="shared" si="5"/>
        <v>-4.6103896103896176</v>
      </c>
      <c r="Q31" s="323">
        <f t="shared" si="6"/>
        <v>0.95965909090909085</v>
      </c>
      <c r="R31" s="566"/>
      <c r="S31" s="63">
        <v>0.42569444444444443</v>
      </c>
      <c r="T31" s="63">
        <v>0.48680555555555555</v>
      </c>
      <c r="U31" s="322">
        <f t="shared" si="26"/>
        <v>4.9999999999999822</v>
      </c>
      <c r="V31" s="328">
        <f t="shared" si="25"/>
        <v>88</v>
      </c>
      <c r="W31" s="64"/>
      <c r="X31" s="64"/>
      <c r="Y31" s="559"/>
      <c r="Z31" s="559"/>
      <c r="AA31" s="61">
        <f t="shared" si="8"/>
        <v>-96.818181818181984</v>
      </c>
      <c r="AB31" s="323">
        <f t="shared" si="9"/>
        <v>0.95965909090909085</v>
      </c>
      <c r="AC31" s="566"/>
    </row>
    <row r="32" spans="1:29" ht="15.75" customHeight="1">
      <c r="A32" s="587" t="s">
        <v>87</v>
      </c>
      <c r="B32" s="57" t="s">
        <v>15</v>
      </c>
      <c r="C32" s="584" t="s">
        <v>100</v>
      </c>
      <c r="D32" s="584"/>
      <c r="E32" s="57">
        <v>28.51</v>
      </c>
      <c r="F32" s="329">
        <v>730</v>
      </c>
      <c r="G32" s="322">
        <f t="shared" si="23"/>
        <v>20812.300000000003</v>
      </c>
      <c r="H32" s="331" t="s">
        <v>5</v>
      </c>
      <c r="I32" s="327">
        <v>16</v>
      </c>
      <c r="J32" s="58">
        <v>2400</v>
      </c>
      <c r="K32" s="59">
        <f t="shared" si="1"/>
        <v>150</v>
      </c>
      <c r="L32" s="327">
        <v>16</v>
      </c>
      <c r="M32" s="60">
        <f t="shared" si="24"/>
        <v>2305.2631578947348</v>
      </c>
      <c r="N32" s="59">
        <f t="shared" si="3"/>
        <v>144.07894736842093</v>
      </c>
      <c r="O32" s="61">
        <f t="shared" si="4"/>
        <v>0</v>
      </c>
      <c r="P32" s="62">
        <f t="shared" si="5"/>
        <v>-5.921052631579073</v>
      </c>
      <c r="Q32" s="323">
        <f t="shared" si="6"/>
        <v>0.9605263157894729</v>
      </c>
      <c r="R32" s="566"/>
      <c r="S32" s="63">
        <v>0.49166666666666664</v>
      </c>
      <c r="T32" s="63">
        <v>0.50486111111111109</v>
      </c>
      <c r="U32" s="322">
        <f t="shared" si="26"/>
        <v>6.9999999999999751</v>
      </c>
      <c r="V32" s="328">
        <f t="shared" si="25"/>
        <v>19.000000000000014</v>
      </c>
      <c r="W32" s="64">
        <f>T32</f>
        <v>0.50486111111111109</v>
      </c>
      <c r="X32" s="64">
        <f>S33</f>
        <v>0.5444444444444444</v>
      </c>
      <c r="Y32" s="559"/>
      <c r="Z32" s="559"/>
      <c r="AA32" s="61">
        <f t="shared" si="8"/>
        <v>-94.736842105265168</v>
      </c>
      <c r="AB32" s="323">
        <f t="shared" si="9"/>
        <v>0.9605263157894729</v>
      </c>
      <c r="AC32" s="566"/>
    </row>
    <row r="33" spans="1:29" ht="15.75" customHeight="1">
      <c r="A33" s="587" t="s">
        <v>87</v>
      </c>
      <c r="B33" s="57" t="s">
        <v>15</v>
      </c>
      <c r="C33" s="584" t="s">
        <v>26</v>
      </c>
      <c r="D33" s="584"/>
      <c r="E33" s="57">
        <v>31.29</v>
      </c>
      <c r="F33" s="329">
        <v>2777</v>
      </c>
      <c r="G33" s="322">
        <f t="shared" si="23"/>
        <v>86892.33</v>
      </c>
      <c r="H33" s="331" t="s">
        <v>5</v>
      </c>
      <c r="I33" s="327">
        <v>18</v>
      </c>
      <c r="J33" s="58">
        <v>2400</v>
      </c>
      <c r="K33" s="59">
        <f t="shared" si="1"/>
        <v>133.33333333333334</v>
      </c>
      <c r="L33" s="327">
        <v>18</v>
      </c>
      <c r="M33" s="60">
        <f t="shared" si="24"/>
        <v>2314.1666666666647</v>
      </c>
      <c r="N33" s="59">
        <f t="shared" si="3"/>
        <v>128.5648148148147</v>
      </c>
      <c r="O33" s="61">
        <f t="shared" si="4"/>
        <v>0</v>
      </c>
      <c r="P33" s="62">
        <f t="shared" si="5"/>
        <v>-4.7685185185186469</v>
      </c>
      <c r="Q33" s="323">
        <f t="shared" si="6"/>
        <v>0.96423611111111018</v>
      </c>
      <c r="R33" s="566"/>
      <c r="S33" s="63">
        <v>0.5444444444444444</v>
      </c>
      <c r="T33" s="63">
        <v>0.59444444444444444</v>
      </c>
      <c r="U33" s="322">
        <f t="shared" si="26"/>
        <v>56.999999999999957</v>
      </c>
      <c r="V33" s="328">
        <f t="shared" si="25"/>
        <v>72.000000000000057</v>
      </c>
      <c r="W33" s="64"/>
      <c r="X33" s="64"/>
      <c r="Y33" s="559"/>
      <c r="Z33" s="559"/>
      <c r="AA33" s="61">
        <f t="shared" si="8"/>
        <v>-85.833333333335304</v>
      </c>
      <c r="AB33" s="323">
        <f t="shared" si="9"/>
        <v>0.96423611111111029</v>
      </c>
      <c r="AC33" s="566"/>
    </row>
    <row r="34" spans="1:29" ht="15.75" customHeight="1">
      <c r="A34" s="587" t="s">
        <v>1454</v>
      </c>
      <c r="B34" s="57" t="s">
        <v>67</v>
      </c>
      <c r="C34" s="571"/>
      <c r="D34" s="571"/>
      <c r="E34" s="326"/>
      <c r="F34" s="329"/>
      <c r="G34" s="322"/>
      <c r="H34" s="329"/>
      <c r="I34" s="67">
        <v>17.857142857142858</v>
      </c>
      <c r="J34" s="58">
        <v>2400</v>
      </c>
      <c r="K34" s="59">
        <f t="shared" si="1"/>
        <v>134.4</v>
      </c>
      <c r="L34" s="67">
        <v>17.857142857142858</v>
      </c>
      <c r="M34" s="60">
        <f>AVERAGE(M27:M33)</f>
        <v>2300.5319795938512</v>
      </c>
      <c r="N34" s="59">
        <f t="shared" si="3"/>
        <v>128.82979085725566</v>
      </c>
      <c r="O34" s="61">
        <f t="shared" si="4"/>
        <v>0</v>
      </c>
      <c r="P34" s="62">
        <f t="shared" si="5"/>
        <v>-5.5702091427443463</v>
      </c>
      <c r="Q34" s="323">
        <f t="shared" si="6"/>
        <v>0.95855499149743795</v>
      </c>
      <c r="R34" s="566"/>
      <c r="S34" s="63"/>
      <c r="T34" s="63"/>
      <c r="U34" s="322"/>
      <c r="V34" s="328"/>
      <c r="W34" s="322"/>
      <c r="X34" s="322"/>
      <c r="Y34" s="559"/>
      <c r="Z34" s="559"/>
      <c r="AA34" s="61">
        <f t="shared" si="8"/>
        <v>-99.468020406148753</v>
      </c>
      <c r="AB34" s="323">
        <f t="shared" si="9"/>
        <v>0.95855499149743806</v>
      </c>
      <c r="AC34" s="566"/>
    </row>
    <row r="35" spans="1:29" ht="15.75" customHeight="1">
      <c r="A35" s="582" t="s">
        <v>88</v>
      </c>
      <c r="B35" s="57" t="s">
        <v>15</v>
      </c>
      <c r="C35" s="560" t="s">
        <v>101</v>
      </c>
      <c r="D35" s="560"/>
      <c r="E35" s="57">
        <v>22.69</v>
      </c>
      <c r="F35" s="329">
        <v>1433</v>
      </c>
      <c r="G35" s="322">
        <f t="shared" ref="G35:G40" si="27">E35*F35</f>
        <v>32514.77</v>
      </c>
      <c r="H35" s="331" t="s">
        <v>5</v>
      </c>
      <c r="I35" s="327">
        <v>15</v>
      </c>
      <c r="J35" s="58">
        <v>2400</v>
      </c>
      <c r="K35" s="59">
        <f t="shared" si="1"/>
        <v>160</v>
      </c>
      <c r="L35" s="327">
        <v>15</v>
      </c>
      <c r="M35" s="60">
        <f t="shared" ref="M35:M40" si="28">F35/V35*60</f>
        <v>2323.7837837837833</v>
      </c>
      <c r="N35" s="59">
        <f t="shared" si="3"/>
        <v>154.91891891891888</v>
      </c>
      <c r="O35" s="61">
        <f t="shared" si="4"/>
        <v>0</v>
      </c>
      <c r="P35" s="62">
        <f t="shared" si="5"/>
        <v>-5.0810810810811233</v>
      </c>
      <c r="Q35" s="323">
        <f t="shared" si="6"/>
        <v>0.96824324324324296</v>
      </c>
      <c r="R35" s="566">
        <f>Q41</f>
        <v>0.95920893494775294</v>
      </c>
      <c r="S35" s="63">
        <v>8.3333333333333329E-2</v>
      </c>
      <c r="T35" s="63">
        <v>0.10902777777777778</v>
      </c>
      <c r="U35" s="322"/>
      <c r="V35" s="328">
        <f t="shared" ref="V35:V40" si="29">(T35-S35)*24*60</f>
        <v>37.000000000000007</v>
      </c>
      <c r="W35" s="68">
        <f>T35</f>
        <v>0.10902777777777778</v>
      </c>
      <c r="X35" s="68">
        <f>S36</f>
        <v>0.12916666666666668</v>
      </c>
      <c r="Y35" s="559"/>
      <c r="Z35" s="559"/>
      <c r="AA35" s="61">
        <f t="shared" si="8"/>
        <v>-76.216216216216708</v>
      </c>
      <c r="AB35" s="323">
        <f t="shared" si="9"/>
        <v>0.96824324324324307</v>
      </c>
      <c r="AC35" s="566">
        <f>AB41</f>
        <v>0.95920893494775306</v>
      </c>
    </row>
    <row r="36" spans="1:29" ht="15.75" customHeight="1">
      <c r="A36" s="582" t="s">
        <v>1455</v>
      </c>
      <c r="B36" s="57" t="s">
        <v>15</v>
      </c>
      <c r="C36" s="560" t="s">
        <v>27</v>
      </c>
      <c r="D36" s="560"/>
      <c r="E36" s="57">
        <v>26.2</v>
      </c>
      <c r="F36" s="329">
        <v>5569</v>
      </c>
      <c r="G36" s="322">
        <f t="shared" si="27"/>
        <v>145907.79999999999</v>
      </c>
      <c r="H36" s="331" t="s">
        <v>5</v>
      </c>
      <c r="I36" s="327">
        <v>18</v>
      </c>
      <c r="J36" s="58">
        <v>2400</v>
      </c>
      <c r="K36" s="59">
        <f t="shared" si="1"/>
        <v>133.33333333333334</v>
      </c>
      <c r="L36" s="327">
        <v>18</v>
      </c>
      <c r="M36" s="60">
        <f t="shared" si="28"/>
        <v>2288.6301369863017</v>
      </c>
      <c r="N36" s="59">
        <f t="shared" si="3"/>
        <v>127.14611872146121</v>
      </c>
      <c r="O36" s="61">
        <f t="shared" si="4"/>
        <v>0</v>
      </c>
      <c r="P36" s="62">
        <f t="shared" si="5"/>
        <v>-6.1872146118721361</v>
      </c>
      <c r="Q36" s="323">
        <f t="shared" si="6"/>
        <v>0.95359589041095894</v>
      </c>
      <c r="R36" s="566"/>
      <c r="S36" s="63">
        <v>0.12916666666666668</v>
      </c>
      <c r="T36" s="63">
        <v>0.23055555555555557</v>
      </c>
      <c r="U36" s="322">
        <f t="shared" ref="U36:U40" si="30">(S36-T35)*24*60</f>
        <v>29.000000000000018</v>
      </c>
      <c r="V36" s="328">
        <f t="shared" si="29"/>
        <v>146</v>
      </c>
      <c r="W36" s="322"/>
      <c r="X36" s="322"/>
      <c r="Y36" s="559"/>
      <c r="Z36" s="559"/>
      <c r="AA36" s="61">
        <f t="shared" si="8"/>
        <v>-111.36986301369825</v>
      </c>
      <c r="AB36" s="323">
        <f t="shared" si="9"/>
        <v>0.95359589041095905</v>
      </c>
      <c r="AC36" s="566"/>
    </row>
    <row r="37" spans="1:29">
      <c r="A37" s="583" t="s">
        <v>88</v>
      </c>
      <c r="B37" s="57" t="s">
        <v>15</v>
      </c>
      <c r="C37" s="560" t="s">
        <v>25</v>
      </c>
      <c r="D37" s="560"/>
      <c r="E37" s="57">
        <v>26.18</v>
      </c>
      <c r="F37" s="329">
        <v>1984</v>
      </c>
      <c r="G37" s="322">
        <f t="shared" si="27"/>
        <v>51941.120000000003</v>
      </c>
      <c r="H37" s="331" t="s">
        <v>5</v>
      </c>
      <c r="I37" s="327">
        <v>19</v>
      </c>
      <c r="J37" s="58">
        <v>2400</v>
      </c>
      <c r="K37" s="59">
        <f t="shared" si="1"/>
        <v>126.31578947368421</v>
      </c>
      <c r="L37" s="327">
        <v>19</v>
      </c>
      <c r="M37" s="60">
        <f t="shared" si="28"/>
        <v>2289.2307692307686</v>
      </c>
      <c r="N37" s="59">
        <f t="shared" si="3"/>
        <v>120.48582995951413</v>
      </c>
      <c r="O37" s="61">
        <f t="shared" si="4"/>
        <v>0</v>
      </c>
      <c r="P37" s="62">
        <f t="shared" si="5"/>
        <v>-5.8299595141700706</v>
      </c>
      <c r="Q37" s="323">
        <f t="shared" si="6"/>
        <v>0.95384615384615357</v>
      </c>
      <c r="R37" s="566"/>
      <c r="S37" s="63">
        <v>0.23541666666666669</v>
      </c>
      <c r="T37" s="63">
        <v>0.27152777777777781</v>
      </c>
      <c r="U37" s="322">
        <f t="shared" si="30"/>
        <v>7.0000000000000151</v>
      </c>
      <c r="V37" s="328">
        <f t="shared" si="29"/>
        <v>52.000000000000014</v>
      </c>
      <c r="W37" s="322"/>
      <c r="X37" s="322"/>
      <c r="Y37" s="559"/>
      <c r="Z37" s="559"/>
      <c r="AA37" s="61">
        <f t="shared" si="8"/>
        <v>-110.7692307692314</v>
      </c>
      <c r="AB37" s="323">
        <f t="shared" si="9"/>
        <v>0.95384615384615357</v>
      </c>
      <c r="AC37" s="566"/>
    </row>
    <row r="38" spans="1:29">
      <c r="A38" s="583" t="s">
        <v>88</v>
      </c>
      <c r="B38" s="57" t="s">
        <v>15</v>
      </c>
      <c r="C38" s="560" t="s">
        <v>28</v>
      </c>
      <c r="D38" s="560"/>
      <c r="E38" s="57">
        <v>26.39</v>
      </c>
      <c r="F38" s="329">
        <v>5324</v>
      </c>
      <c r="G38" s="322">
        <f t="shared" si="27"/>
        <v>140500.36000000002</v>
      </c>
      <c r="H38" s="331" t="s">
        <v>5</v>
      </c>
      <c r="I38" s="327">
        <v>19</v>
      </c>
      <c r="J38" s="58">
        <v>2400</v>
      </c>
      <c r="K38" s="59">
        <f t="shared" si="1"/>
        <v>126.31578947368421</v>
      </c>
      <c r="L38" s="327">
        <v>19</v>
      </c>
      <c r="M38" s="60">
        <f t="shared" si="28"/>
        <v>2298.1294964028775</v>
      </c>
      <c r="N38" s="59">
        <f t="shared" si="3"/>
        <v>120.95418402120409</v>
      </c>
      <c r="O38" s="61">
        <f t="shared" si="4"/>
        <v>0</v>
      </c>
      <c r="P38" s="62">
        <f t="shared" si="5"/>
        <v>-5.36160545248012</v>
      </c>
      <c r="Q38" s="323">
        <f t="shared" si="6"/>
        <v>0.95755395683453237</v>
      </c>
      <c r="R38" s="566"/>
      <c r="S38" s="63">
        <v>0.27500000000000002</v>
      </c>
      <c r="T38" s="63">
        <v>0.37152777777777779</v>
      </c>
      <c r="U38" s="322">
        <f t="shared" si="30"/>
        <v>4.9999999999999822</v>
      </c>
      <c r="V38" s="328">
        <f t="shared" si="29"/>
        <v>139</v>
      </c>
      <c r="W38" s="64"/>
      <c r="X38" s="64"/>
      <c r="Y38" s="559"/>
      <c r="Z38" s="559"/>
      <c r="AA38" s="61">
        <f t="shared" si="8"/>
        <v>-101.87050359712248</v>
      </c>
      <c r="AB38" s="323">
        <f t="shared" si="9"/>
        <v>0.95755395683453226</v>
      </c>
      <c r="AC38" s="566"/>
    </row>
    <row r="39" spans="1:29">
      <c r="A39" s="583" t="s">
        <v>88</v>
      </c>
      <c r="B39" s="57" t="s">
        <v>15</v>
      </c>
      <c r="C39" s="560" t="s">
        <v>658</v>
      </c>
      <c r="D39" s="560"/>
      <c r="E39" s="57">
        <v>22.69</v>
      </c>
      <c r="F39" s="329">
        <v>3375</v>
      </c>
      <c r="G39" s="322">
        <f t="shared" si="27"/>
        <v>76578.75</v>
      </c>
      <c r="H39" s="331" t="s">
        <v>5</v>
      </c>
      <c r="I39" s="327">
        <v>16</v>
      </c>
      <c r="J39" s="58">
        <v>2400</v>
      </c>
      <c r="K39" s="59">
        <f t="shared" si="1"/>
        <v>150</v>
      </c>
      <c r="L39" s="327">
        <v>16</v>
      </c>
      <c r="M39" s="60">
        <f t="shared" si="28"/>
        <v>2301.1363636363635</v>
      </c>
      <c r="N39" s="59">
        <f t="shared" si="3"/>
        <v>143.82102272727272</v>
      </c>
      <c r="O39" s="61">
        <f t="shared" si="4"/>
        <v>0</v>
      </c>
      <c r="P39" s="62">
        <f t="shared" si="5"/>
        <v>-6.1789772727272805</v>
      </c>
      <c r="Q39" s="323">
        <f t="shared" si="6"/>
        <v>0.95880681818181812</v>
      </c>
      <c r="R39" s="566"/>
      <c r="S39" s="63">
        <v>0.375</v>
      </c>
      <c r="T39" s="63">
        <v>0.43611111111111112</v>
      </c>
      <c r="U39" s="322">
        <f t="shared" si="30"/>
        <v>4.9999999999999822</v>
      </c>
      <c r="V39" s="328">
        <f t="shared" si="29"/>
        <v>88</v>
      </c>
      <c r="W39" s="64"/>
      <c r="X39" s="64"/>
      <c r="Y39" s="559"/>
      <c r="Z39" s="559"/>
      <c r="AA39" s="61">
        <f t="shared" si="8"/>
        <v>-98.863636363636488</v>
      </c>
      <c r="AB39" s="323">
        <f t="shared" si="9"/>
        <v>0.95880681818181812</v>
      </c>
      <c r="AC39" s="566"/>
    </row>
    <row r="40" spans="1:29">
      <c r="A40" s="583" t="s">
        <v>88</v>
      </c>
      <c r="B40" s="57" t="s">
        <v>15</v>
      </c>
      <c r="C40" s="560" t="s">
        <v>16</v>
      </c>
      <c r="D40" s="560"/>
      <c r="E40" s="57">
        <v>24.45</v>
      </c>
      <c r="F40" s="329">
        <v>2042</v>
      </c>
      <c r="G40" s="322">
        <f t="shared" si="27"/>
        <v>49926.9</v>
      </c>
      <c r="H40" s="331" t="s">
        <v>5</v>
      </c>
      <c r="I40" s="327">
        <v>20</v>
      </c>
      <c r="J40" s="58">
        <v>2400</v>
      </c>
      <c r="K40" s="59">
        <f t="shared" si="1"/>
        <v>120</v>
      </c>
      <c r="L40" s="327">
        <v>20</v>
      </c>
      <c r="M40" s="60">
        <f t="shared" si="28"/>
        <v>2311.6981132075484</v>
      </c>
      <c r="N40" s="59">
        <f t="shared" si="3"/>
        <v>115.58490566037742</v>
      </c>
      <c r="O40" s="61">
        <f t="shared" si="4"/>
        <v>0</v>
      </c>
      <c r="P40" s="62">
        <f t="shared" si="5"/>
        <v>-4.4150943396225841</v>
      </c>
      <c r="Q40" s="323">
        <f t="shared" si="6"/>
        <v>0.96320754716981183</v>
      </c>
      <c r="R40" s="566"/>
      <c r="S40" s="63">
        <v>0.44166666666666665</v>
      </c>
      <c r="T40" s="63">
        <v>0.47847222222222219</v>
      </c>
      <c r="U40" s="322">
        <f t="shared" si="30"/>
        <v>7.9999999999999716</v>
      </c>
      <c r="V40" s="328">
        <f t="shared" si="29"/>
        <v>52.999999999999972</v>
      </c>
      <c r="W40" s="64"/>
      <c r="X40" s="64"/>
      <c r="Y40" s="559"/>
      <c r="Z40" s="559"/>
      <c r="AA40" s="61">
        <f t="shared" si="8"/>
        <v>-88.301886792451569</v>
      </c>
      <c r="AB40" s="323">
        <f t="shared" si="9"/>
        <v>0.96320754716981183</v>
      </c>
      <c r="AC40" s="566"/>
    </row>
    <row r="41" spans="1:29">
      <c r="A41" s="583" t="s">
        <v>1455</v>
      </c>
      <c r="B41" s="66" t="s">
        <v>67</v>
      </c>
      <c r="C41" s="571"/>
      <c r="D41" s="571"/>
      <c r="E41" s="326"/>
      <c r="F41" s="66"/>
      <c r="G41" s="59"/>
      <c r="H41" s="329"/>
      <c r="I41" s="67">
        <v>17.833333333333332</v>
      </c>
      <c r="J41" s="58">
        <v>2400</v>
      </c>
      <c r="K41" s="59">
        <f t="shared" si="1"/>
        <v>134.57943925233647</v>
      </c>
      <c r="L41" s="67">
        <v>17.833333333333332</v>
      </c>
      <c r="M41" s="60">
        <f>AVERAGE(M35:M40)</f>
        <v>2302.1014438746074</v>
      </c>
      <c r="N41" s="59">
        <f t="shared" si="3"/>
        <v>129.08980059109948</v>
      </c>
      <c r="O41" s="61">
        <f t="shared" si="4"/>
        <v>0</v>
      </c>
      <c r="P41" s="62">
        <f t="shared" si="5"/>
        <v>-5.4896386612369952</v>
      </c>
      <c r="Q41" s="323">
        <f t="shared" si="6"/>
        <v>0.95920893494775294</v>
      </c>
      <c r="R41" s="566"/>
      <c r="S41" s="63"/>
      <c r="T41" s="63"/>
      <c r="U41" s="59"/>
      <c r="V41" s="328"/>
      <c r="W41" s="59"/>
      <c r="X41" s="59"/>
      <c r="Y41" s="559"/>
      <c r="Z41" s="559"/>
      <c r="AA41" s="61">
        <f t="shared" si="8"/>
        <v>-97.898556125392588</v>
      </c>
      <c r="AB41" s="323">
        <f t="shared" si="9"/>
        <v>0.95920893494775306</v>
      </c>
      <c r="AC41" s="566"/>
    </row>
    <row r="42" spans="1:29" ht="15.75" customHeight="1">
      <c r="A42" s="576" t="s">
        <v>89</v>
      </c>
      <c r="B42" s="57" t="s">
        <v>31</v>
      </c>
      <c r="C42" s="567" t="s">
        <v>32</v>
      </c>
      <c r="D42" s="568"/>
      <c r="E42" s="57">
        <v>21.13</v>
      </c>
      <c r="F42" s="329">
        <v>4769</v>
      </c>
      <c r="G42" s="322">
        <f t="shared" ref="G42:G47" si="31">E42*F42</f>
        <v>100768.97</v>
      </c>
      <c r="H42" s="331" t="s">
        <v>5</v>
      </c>
      <c r="I42" s="327">
        <v>10</v>
      </c>
      <c r="J42" s="58">
        <v>3000</v>
      </c>
      <c r="K42" s="59">
        <f t="shared" si="1"/>
        <v>300</v>
      </c>
      <c r="L42" s="327">
        <v>10</v>
      </c>
      <c r="M42" s="60">
        <f t="shared" ref="M42:M47" si="32">F42/V42*60</f>
        <v>2861.3999999999996</v>
      </c>
      <c r="N42" s="60">
        <f t="shared" si="3"/>
        <v>286.14</v>
      </c>
      <c r="O42" s="61">
        <f t="shared" si="4"/>
        <v>0</v>
      </c>
      <c r="P42" s="62">
        <f t="shared" si="5"/>
        <v>-13.860000000000014</v>
      </c>
      <c r="Q42" s="323">
        <f t="shared" si="6"/>
        <v>0.95379999999999998</v>
      </c>
      <c r="R42" s="579">
        <f>Q48</f>
        <v>0.95815554487913845</v>
      </c>
      <c r="S42" s="63">
        <v>8.3333333333333329E-2</v>
      </c>
      <c r="T42" s="63">
        <v>0.15277777777777779</v>
      </c>
      <c r="U42" s="68"/>
      <c r="V42" s="328">
        <f t="shared" ref="V42:V47" si="33">(T42-S42)*24*60</f>
        <v>100.00000000000001</v>
      </c>
      <c r="W42" s="64">
        <f>T42</f>
        <v>0.15277777777777779</v>
      </c>
      <c r="X42" s="64">
        <f>S43</f>
        <v>0.17222222222222225</v>
      </c>
      <c r="Y42" s="569"/>
      <c r="Z42" s="570"/>
      <c r="AA42" s="61">
        <f t="shared" si="8"/>
        <v>-138.60000000000036</v>
      </c>
      <c r="AB42" s="323">
        <f t="shared" si="9"/>
        <v>0.95379999999999987</v>
      </c>
      <c r="AC42" s="579">
        <f>AB48</f>
        <v>0.95815554487913857</v>
      </c>
    </row>
    <row r="43" spans="1:29" ht="15.75" customHeight="1">
      <c r="A43" s="577" t="s">
        <v>89</v>
      </c>
      <c r="B43" s="57" t="s">
        <v>31</v>
      </c>
      <c r="C43" s="567" t="s">
        <v>33</v>
      </c>
      <c r="D43" s="568"/>
      <c r="E43" s="57">
        <v>27.17</v>
      </c>
      <c r="F43" s="329">
        <v>5976</v>
      </c>
      <c r="G43" s="322">
        <f t="shared" si="31"/>
        <v>162367.92000000001</v>
      </c>
      <c r="H43" s="331" t="s">
        <v>5</v>
      </c>
      <c r="I43" s="327">
        <v>10</v>
      </c>
      <c r="J43" s="58">
        <v>3000</v>
      </c>
      <c r="K43" s="59">
        <f t="shared" si="1"/>
        <v>300</v>
      </c>
      <c r="L43" s="327">
        <v>10</v>
      </c>
      <c r="M43" s="60">
        <f t="shared" si="32"/>
        <v>2868.4800000000005</v>
      </c>
      <c r="N43" s="60">
        <f t="shared" si="3"/>
        <v>286.84800000000007</v>
      </c>
      <c r="O43" s="61">
        <f t="shared" si="4"/>
        <v>0</v>
      </c>
      <c r="P43" s="62">
        <f t="shared" si="5"/>
        <v>-13.15199999999993</v>
      </c>
      <c r="Q43" s="323">
        <f t="shared" si="6"/>
        <v>0.95616000000000023</v>
      </c>
      <c r="R43" s="580"/>
      <c r="S43" s="63">
        <v>0.17222222222222225</v>
      </c>
      <c r="T43" s="63">
        <v>0.2590277777777778</v>
      </c>
      <c r="U43" s="322">
        <f t="shared" ref="U43:U47" si="34">(S43-T42)*24*60</f>
        <v>28.000000000000021</v>
      </c>
      <c r="V43" s="328">
        <f t="shared" si="33"/>
        <v>124.99999999999999</v>
      </c>
      <c r="W43" s="64"/>
      <c r="X43" s="64"/>
      <c r="Y43" s="569"/>
      <c r="Z43" s="570"/>
      <c r="AA43" s="61">
        <f t="shared" si="8"/>
        <v>-131.51999999999953</v>
      </c>
      <c r="AB43" s="323">
        <f t="shared" si="9"/>
        <v>0.95616000000000012</v>
      </c>
      <c r="AC43" s="580"/>
    </row>
    <row r="44" spans="1:29" ht="15.75" customHeight="1">
      <c r="A44" s="577" t="s">
        <v>89</v>
      </c>
      <c r="B44" s="57" t="s">
        <v>31</v>
      </c>
      <c r="C44" s="567" t="s">
        <v>36</v>
      </c>
      <c r="D44" s="568"/>
      <c r="E44" s="57">
        <v>36.14</v>
      </c>
      <c r="F44" s="329">
        <v>1163</v>
      </c>
      <c r="G44" s="322">
        <f t="shared" si="31"/>
        <v>42030.82</v>
      </c>
      <c r="H44" s="331" t="s">
        <v>5</v>
      </c>
      <c r="I44" s="327">
        <v>9</v>
      </c>
      <c r="J44" s="58">
        <v>3000</v>
      </c>
      <c r="K44" s="59">
        <f t="shared" si="1"/>
        <v>333.33333333333331</v>
      </c>
      <c r="L44" s="327">
        <v>9</v>
      </c>
      <c r="M44" s="60">
        <f t="shared" si="32"/>
        <v>2907.5000000000009</v>
      </c>
      <c r="N44" s="60">
        <f t="shared" si="3"/>
        <v>323.05555555555566</v>
      </c>
      <c r="O44" s="61">
        <f t="shared" si="4"/>
        <v>0</v>
      </c>
      <c r="P44" s="62">
        <f t="shared" si="5"/>
        <v>-10.277777777777658</v>
      </c>
      <c r="Q44" s="323">
        <f t="shared" si="6"/>
        <v>0.96916666666666706</v>
      </c>
      <c r="R44" s="580"/>
      <c r="S44" s="63">
        <v>0.26250000000000001</v>
      </c>
      <c r="T44" s="63">
        <v>0.27916666666666667</v>
      </c>
      <c r="U44" s="322">
        <f t="shared" si="34"/>
        <v>4.9999999999999822</v>
      </c>
      <c r="V44" s="328">
        <f t="shared" si="33"/>
        <v>23.999999999999993</v>
      </c>
      <c r="W44" s="64"/>
      <c r="X44" s="64"/>
      <c r="Y44" s="569"/>
      <c r="Z44" s="570"/>
      <c r="AA44" s="61">
        <f t="shared" si="8"/>
        <v>-92.499999999999091</v>
      </c>
      <c r="AB44" s="323">
        <f t="shared" si="9"/>
        <v>0.96916666666666695</v>
      </c>
      <c r="AC44" s="580"/>
    </row>
    <row r="45" spans="1:29" ht="15.75" customHeight="1">
      <c r="A45" s="577" t="s">
        <v>89</v>
      </c>
      <c r="B45" s="57" t="s">
        <v>31</v>
      </c>
      <c r="C45" s="567" t="s">
        <v>34</v>
      </c>
      <c r="D45" s="568"/>
      <c r="E45" s="57">
        <v>35.119999999999997</v>
      </c>
      <c r="F45" s="329">
        <v>4109</v>
      </c>
      <c r="G45" s="322">
        <f t="shared" si="31"/>
        <v>144308.07999999999</v>
      </c>
      <c r="H45" s="331" t="s">
        <v>5</v>
      </c>
      <c r="I45" s="327">
        <v>10</v>
      </c>
      <c r="J45" s="58">
        <v>3000</v>
      </c>
      <c r="K45" s="59">
        <f t="shared" si="1"/>
        <v>300</v>
      </c>
      <c r="L45" s="327">
        <v>10</v>
      </c>
      <c r="M45" s="60">
        <f t="shared" si="32"/>
        <v>2866.7441860465115</v>
      </c>
      <c r="N45" s="60">
        <f t="shared" si="3"/>
        <v>286.67441860465112</v>
      </c>
      <c r="O45" s="61">
        <f t="shared" si="4"/>
        <v>0</v>
      </c>
      <c r="P45" s="62">
        <f t="shared" si="5"/>
        <v>-13.325581395348877</v>
      </c>
      <c r="Q45" s="323">
        <f t="shared" si="6"/>
        <v>0.95558139534883713</v>
      </c>
      <c r="R45" s="580"/>
      <c r="S45" s="63">
        <v>0.28263888888888888</v>
      </c>
      <c r="T45" s="63">
        <v>0.34236111111111112</v>
      </c>
      <c r="U45" s="322">
        <f t="shared" si="34"/>
        <v>4.9999999999999822</v>
      </c>
      <c r="V45" s="328">
        <f t="shared" si="33"/>
        <v>86.000000000000014</v>
      </c>
      <c r="W45" s="64"/>
      <c r="X45" s="64"/>
      <c r="Y45" s="569"/>
      <c r="Z45" s="570"/>
      <c r="AA45" s="61">
        <f t="shared" si="8"/>
        <v>-133.25581395348854</v>
      </c>
      <c r="AB45" s="323">
        <f t="shared" si="9"/>
        <v>0.95558139534883713</v>
      </c>
      <c r="AC45" s="580"/>
    </row>
    <row r="46" spans="1:29" ht="15.75" customHeight="1">
      <c r="A46" s="577" t="s">
        <v>89</v>
      </c>
      <c r="B46" s="57" t="s">
        <v>31</v>
      </c>
      <c r="C46" s="567" t="s">
        <v>71</v>
      </c>
      <c r="D46" s="568"/>
      <c r="E46" s="57">
        <v>31</v>
      </c>
      <c r="F46" s="329">
        <v>1850</v>
      </c>
      <c r="G46" s="322">
        <f t="shared" si="31"/>
        <v>57350</v>
      </c>
      <c r="H46" s="331" t="s">
        <v>5</v>
      </c>
      <c r="I46" s="327">
        <v>13</v>
      </c>
      <c r="J46" s="58">
        <v>2000</v>
      </c>
      <c r="K46" s="59">
        <f t="shared" si="1"/>
        <v>153.84615384615384</v>
      </c>
      <c r="L46" s="327">
        <v>13</v>
      </c>
      <c r="M46" s="60">
        <f t="shared" si="32"/>
        <v>1913.7931034482747</v>
      </c>
      <c r="N46" s="60">
        <f t="shared" si="3"/>
        <v>147.21485411140574</v>
      </c>
      <c r="O46" s="61">
        <f t="shared" si="4"/>
        <v>0</v>
      </c>
      <c r="P46" s="62">
        <f t="shared" si="5"/>
        <v>-6.6312997347480973</v>
      </c>
      <c r="Q46" s="323">
        <f t="shared" si="6"/>
        <v>0.95689655172413735</v>
      </c>
      <c r="R46" s="580"/>
      <c r="S46" s="63">
        <v>0.34652777777777777</v>
      </c>
      <c r="T46" s="63">
        <v>0.38680555555555557</v>
      </c>
      <c r="U46" s="322">
        <f t="shared" si="34"/>
        <v>5.9999999999999787</v>
      </c>
      <c r="V46" s="328">
        <f t="shared" si="33"/>
        <v>58.000000000000036</v>
      </c>
      <c r="W46" s="64"/>
      <c r="X46" s="64"/>
      <c r="Y46" s="569"/>
      <c r="Z46" s="570"/>
      <c r="AA46" s="61">
        <f t="shared" si="8"/>
        <v>-86.206896551725322</v>
      </c>
      <c r="AB46" s="323">
        <f t="shared" si="9"/>
        <v>0.95689655172413735</v>
      </c>
      <c r="AC46" s="580"/>
    </row>
    <row r="47" spans="1:29" ht="15.75" customHeight="1">
      <c r="A47" s="577" t="s">
        <v>89</v>
      </c>
      <c r="B47" s="57" t="s">
        <v>31</v>
      </c>
      <c r="C47" s="567" t="s">
        <v>659</v>
      </c>
      <c r="D47" s="568"/>
      <c r="E47" s="57">
        <v>37.880000000000003</v>
      </c>
      <c r="F47" s="329">
        <v>3347</v>
      </c>
      <c r="G47" s="322">
        <f t="shared" si="31"/>
        <v>126784.36000000002</v>
      </c>
      <c r="H47" s="331" t="s">
        <v>5</v>
      </c>
      <c r="I47" s="327">
        <v>16</v>
      </c>
      <c r="J47" s="58">
        <v>2000</v>
      </c>
      <c r="K47" s="59">
        <f t="shared" si="1"/>
        <v>125</v>
      </c>
      <c r="L47" s="327">
        <v>16</v>
      </c>
      <c r="M47" s="60">
        <f t="shared" si="32"/>
        <v>1912.571428571428</v>
      </c>
      <c r="N47" s="60">
        <f t="shared" si="3"/>
        <v>119.53571428571425</v>
      </c>
      <c r="O47" s="61">
        <f t="shared" si="4"/>
        <v>0</v>
      </c>
      <c r="P47" s="62">
        <f t="shared" si="5"/>
        <v>-5.4642857142857508</v>
      </c>
      <c r="Q47" s="323">
        <f t="shared" si="6"/>
        <v>0.95628571428571396</v>
      </c>
      <c r="R47" s="580"/>
      <c r="S47" s="63">
        <v>0.3923611111111111</v>
      </c>
      <c r="T47" s="63">
        <v>0.46527777777777779</v>
      </c>
      <c r="U47" s="322">
        <f t="shared" si="34"/>
        <v>7.9999999999999716</v>
      </c>
      <c r="V47" s="328">
        <f t="shared" si="33"/>
        <v>105.00000000000003</v>
      </c>
      <c r="W47" s="64"/>
      <c r="X47" s="64"/>
      <c r="Y47" s="569"/>
      <c r="Z47" s="570"/>
      <c r="AA47" s="61">
        <f t="shared" si="8"/>
        <v>-87.428571428572013</v>
      </c>
      <c r="AB47" s="323">
        <f t="shared" si="9"/>
        <v>0.95628571428571396</v>
      </c>
      <c r="AC47" s="580"/>
    </row>
    <row r="48" spans="1:29" ht="15.75" customHeight="1">
      <c r="A48" s="578" t="s">
        <v>1456</v>
      </c>
      <c r="B48" s="57" t="s">
        <v>67</v>
      </c>
      <c r="C48" s="561"/>
      <c r="D48" s="562"/>
      <c r="E48" s="321"/>
      <c r="F48" s="329"/>
      <c r="G48" s="322"/>
      <c r="H48" s="329"/>
      <c r="I48" s="67">
        <v>11.333333333333334</v>
      </c>
      <c r="J48" s="58">
        <v>2666.6666666666665</v>
      </c>
      <c r="K48" s="59">
        <f t="shared" si="1"/>
        <v>235.29411764705881</v>
      </c>
      <c r="L48" s="67">
        <v>11.333333333333334</v>
      </c>
      <c r="M48" s="60">
        <f>AVERAGE(M42:M47)</f>
        <v>2555.081453011036</v>
      </c>
      <c r="N48" s="59">
        <f t="shared" si="3"/>
        <v>225.44836350097376</v>
      </c>
      <c r="O48" s="61">
        <f t="shared" si="4"/>
        <v>0</v>
      </c>
      <c r="P48" s="62">
        <f t="shared" si="5"/>
        <v>-9.8457541460850564</v>
      </c>
      <c r="Q48" s="323">
        <f t="shared" si="6"/>
        <v>0.95815554487913845</v>
      </c>
      <c r="R48" s="581"/>
      <c r="S48" s="63"/>
      <c r="T48" s="63"/>
      <c r="U48" s="322"/>
      <c r="V48" s="328"/>
      <c r="W48" s="64"/>
      <c r="X48" s="64"/>
      <c r="Y48" s="569"/>
      <c r="Z48" s="570"/>
      <c r="AA48" s="61">
        <f t="shared" si="8"/>
        <v>-111.58521365563047</v>
      </c>
      <c r="AB48" s="323">
        <f t="shared" si="9"/>
        <v>0.95815554487913857</v>
      </c>
      <c r="AC48" s="581"/>
    </row>
    <row r="49" spans="1:29" ht="15.75" customHeight="1">
      <c r="A49" s="574" t="s">
        <v>117</v>
      </c>
      <c r="B49" s="57" t="s">
        <v>10</v>
      </c>
      <c r="C49" s="560" t="s">
        <v>37</v>
      </c>
      <c r="D49" s="560"/>
      <c r="E49" s="57">
        <v>46</v>
      </c>
      <c r="F49" s="69">
        <v>1718</v>
      </c>
      <c r="G49" s="322">
        <f t="shared" ref="G49:G55" si="35">E49*F49</f>
        <v>79028</v>
      </c>
      <c r="H49" s="331" t="s">
        <v>5</v>
      </c>
      <c r="I49" s="327">
        <v>17</v>
      </c>
      <c r="J49" s="58">
        <v>2000</v>
      </c>
      <c r="K49" s="59">
        <f t="shared" si="1"/>
        <v>117.64705882352941</v>
      </c>
      <c r="L49" s="327">
        <v>17</v>
      </c>
      <c r="M49" s="60">
        <f t="shared" ref="M49:M55" si="36">F49/V49*60</f>
        <v>1908.8888888888887</v>
      </c>
      <c r="N49" s="60">
        <f t="shared" si="3"/>
        <v>112.28758169934639</v>
      </c>
      <c r="O49" s="61">
        <f t="shared" si="4"/>
        <v>0</v>
      </c>
      <c r="P49" s="62">
        <f t="shared" si="5"/>
        <v>-5.3594771241830159</v>
      </c>
      <c r="Q49" s="323">
        <f t="shared" si="6"/>
        <v>0.95444444444444432</v>
      </c>
      <c r="R49" s="566">
        <f>Q56</f>
        <v>0.87531236940257207</v>
      </c>
      <c r="S49" s="63">
        <v>0.20833333333333334</v>
      </c>
      <c r="T49" s="63">
        <v>0.24583333333333335</v>
      </c>
      <c r="U49" s="68"/>
      <c r="V49" s="328">
        <f t="shared" ref="V49:V55" si="37">(T49-S49)*24*60</f>
        <v>54.000000000000007</v>
      </c>
      <c r="W49" s="68"/>
      <c r="X49" s="68"/>
      <c r="Y49" s="559"/>
      <c r="Z49" s="559"/>
      <c r="AA49" s="61">
        <f t="shared" si="8"/>
        <v>-91.111111111111313</v>
      </c>
      <c r="AB49" s="323">
        <f t="shared" si="9"/>
        <v>0.95444444444444432</v>
      </c>
      <c r="AC49" s="566">
        <f>AB56</f>
        <v>0.87531236940257207</v>
      </c>
    </row>
    <row r="50" spans="1:29" ht="15.75" customHeight="1">
      <c r="A50" s="574" t="s">
        <v>117</v>
      </c>
      <c r="B50" s="57" t="s">
        <v>10</v>
      </c>
      <c r="C50" s="560" t="s">
        <v>38</v>
      </c>
      <c r="D50" s="560"/>
      <c r="E50" s="57">
        <v>46</v>
      </c>
      <c r="F50" s="69">
        <v>1923</v>
      </c>
      <c r="G50" s="322">
        <f t="shared" si="35"/>
        <v>88458</v>
      </c>
      <c r="H50" s="331" t="s">
        <v>5</v>
      </c>
      <c r="I50" s="327">
        <v>17</v>
      </c>
      <c r="J50" s="58">
        <v>2000</v>
      </c>
      <c r="K50" s="59">
        <f t="shared" si="1"/>
        <v>117.64705882352941</v>
      </c>
      <c r="L50" s="327">
        <v>17</v>
      </c>
      <c r="M50" s="60">
        <f t="shared" si="36"/>
        <v>1922.9999999999991</v>
      </c>
      <c r="N50" s="60">
        <f t="shared" si="3"/>
        <v>113.11764705882348</v>
      </c>
      <c r="O50" s="61">
        <f t="shared" si="4"/>
        <v>0</v>
      </c>
      <c r="P50" s="62">
        <f t="shared" si="5"/>
        <v>-4.5294117647059267</v>
      </c>
      <c r="Q50" s="323">
        <f t="shared" si="6"/>
        <v>0.96149999999999958</v>
      </c>
      <c r="R50" s="566"/>
      <c r="S50" s="63">
        <v>0.24930555555555556</v>
      </c>
      <c r="T50" s="63">
        <v>0.29097222222222224</v>
      </c>
      <c r="U50" s="322">
        <f t="shared" ref="U50:U55" si="38">IF(S50=TIME(17,0,0),"",(S50-T49)*24*60)</f>
        <v>4.9999999999999822</v>
      </c>
      <c r="V50" s="328">
        <f t="shared" si="37"/>
        <v>60.000000000000028</v>
      </c>
      <c r="W50" s="64"/>
      <c r="X50" s="64"/>
      <c r="Y50" s="559"/>
      <c r="Z50" s="559"/>
      <c r="AA50" s="61">
        <f t="shared" si="8"/>
        <v>-77.000000000000909</v>
      </c>
      <c r="AB50" s="323">
        <f t="shared" si="9"/>
        <v>0.96149999999999958</v>
      </c>
      <c r="AC50" s="566"/>
    </row>
    <row r="51" spans="1:29" ht="15.75" customHeight="1">
      <c r="A51" s="574" t="s">
        <v>117</v>
      </c>
      <c r="B51" s="57" t="s">
        <v>6</v>
      </c>
      <c r="C51" s="567" t="s">
        <v>1181</v>
      </c>
      <c r="D51" s="568"/>
      <c r="E51" s="57">
        <v>51.86</v>
      </c>
      <c r="F51" s="69">
        <v>1161</v>
      </c>
      <c r="G51" s="322">
        <f t="shared" si="35"/>
        <v>60209.46</v>
      </c>
      <c r="H51" s="331" t="s">
        <v>5</v>
      </c>
      <c r="I51" s="327">
        <v>25</v>
      </c>
      <c r="J51" s="58">
        <v>2000</v>
      </c>
      <c r="K51" s="59">
        <f t="shared" si="1"/>
        <v>80</v>
      </c>
      <c r="L51" s="327">
        <v>25</v>
      </c>
      <c r="M51" s="60">
        <f t="shared" si="36"/>
        <v>1222.1052631578939</v>
      </c>
      <c r="N51" s="60">
        <f t="shared" si="3"/>
        <v>48.884210526315755</v>
      </c>
      <c r="O51" s="61">
        <f t="shared" si="4"/>
        <v>0</v>
      </c>
      <c r="P51" s="62">
        <f t="shared" si="5"/>
        <v>-31.115789473684245</v>
      </c>
      <c r="Q51" s="323">
        <f t="shared" si="6"/>
        <v>0.61105263157894696</v>
      </c>
      <c r="R51" s="566"/>
      <c r="S51" s="63">
        <v>0.29652777777777778</v>
      </c>
      <c r="T51" s="63">
        <v>0.33611111111111114</v>
      </c>
      <c r="U51" s="322">
        <f t="shared" si="38"/>
        <v>7.9999999999999716</v>
      </c>
      <c r="V51" s="328">
        <f t="shared" si="37"/>
        <v>57.000000000000036</v>
      </c>
      <c r="W51" s="64"/>
      <c r="X51" s="64"/>
      <c r="Y51" s="319"/>
      <c r="Z51" s="320"/>
      <c r="AA51" s="61">
        <f t="shared" si="8"/>
        <v>-777.89473684210611</v>
      </c>
      <c r="AB51" s="323">
        <f t="shared" si="9"/>
        <v>0.61105263157894696</v>
      </c>
      <c r="AC51" s="566"/>
    </row>
    <row r="52" spans="1:29" ht="15.75" customHeight="1">
      <c r="A52" s="574" t="s">
        <v>117</v>
      </c>
      <c r="B52" s="57" t="s">
        <v>6</v>
      </c>
      <c r="C52" s="324" t="s">
        <v>1182</v>
      </c>
      <c r="D52" s="325"/>
      <c r="E52" s="57">
        <v>56.43</v>
      </c>
      <c r="F52" s="69">
        <v>2075</v>
      </c>
      <c r="G52" s="322">
        <f t="shared" si="35"/>
        <v>117092.25</v>
      </c>
      <c r="H52" s="331" t="s">
        <v>5</v>
      </c>
      <c r="I52" s="327">
        <v>22</v>
      </c>
      <c r="J52" s="58">
        <v>2000</v>
      </c>
      <c r="K52" s="59">
        <f t="shared" si="1"/>
        <v>90.909090909090907</v>
      </c>
      <c r="L52" s="327">
        <v>22</v>
      </c>
      <c r="M52" s="60">
        <f t="shared" si="36"/>
        <v>1464.705882352941</v>
      </c>
      <c r="N52" s="60">
        <f t="shared" si="3"/>
        <v>66.577540106951858</v>
      </c>
      <c r="O52" s="61">
        <f t="shared" si="4"/>
        <v>0</v>
      </c>
      <c r="P52" s="62">
        <f t="shared" si="5"/>
        <v>-24.331550802139049</v>
      </c>
      <c r="Q52" s="323">
        <f t="shared" si="6"/>
        <v>0.73235294117647043</v>
      </c>
      <c r="R52" s="566"/>
      <c r="S52" s="63">
        <v>0.33958333333333335</v>
      </c>
      <c r="T52" s="63">
        <v>0.39861111111111114</v>
      </c>
      <c r="U52" s="322">
        <f t="shared" si="38"/>
        <v>4.9999999999999822</v>
      </c>
      <c r="V52" s="328">
        <f t="shared" si="37"/>
        <v>85.000000000000014</v>
      </c>
      <c r="W52" s="64"/>
      <c r="X52" s="64"/>
      <c r="Y52" s="319"/>
      <c r="Z52" s="320"/>
      <c r="AA52" s="61">
        <f t="shared" si="8"/>
        <v>-535.29411764705901</v>
      </c>
      <c r="AB52" s="323">
        <f t="shared" si="9"/>
        <v>0.73235294117647054</v>
      </c>
      <c r="AC52" s="566"/>
    </row>
    <row r="53" spans="1:29" ht="15.75" customHeight="1">
      <c r="A53" s="574" t="s">
        <v>117</v>
      </c>
      <c r="B53" s="57" t="s">
        <v>6</v>
      </c>
      <c r="C53" s="324" t="s">
        <v>39</v>
      </c>
      <c r="D53" s="325"/>
      <c r="E53" s="57">
        <v>55.56</v>
      </c>
      <c r="F53" s="69">
        <v>2133</v>
      </c>
      <c r="G53" s="322">
        <f t="shared" si="35"/>
        <v>118509.48000000001</v>
      </c>
      <c r="H53" s="331" t="s">
        <v>5</v>
      </c>
      <c r="I53" s="327">
        <v>17</v>
      </c>
      <c r="J53" s="58">
        <v>2000</v>
      </c>
      <c r="K53" s="59">
        <f t="shared" si="1"/>
        <v>117.64705882352941</v>
      </c>
      <c r="L53" s="327">
        <v>17</v>
      </c>
      <c r="M53" s="60">
        <f t="shared" si="36"/>
        <v>1910.1492537313407</v>
      </c>
      <c r="N53" s="60">
        <f t="shared" si="3"/>
        <v>112.36172080772592</v>
      </c>
      <c r="O53" s="61">
        <f t="shared" si="4"/>
        <v>0</v>
      </c>
      <c r="P53" s="62">
        <f t="shared" si="5"/>
        <v>-5.2853380158034895</v>
      </c>
      <c r="Q53" s="323">
        <f t="shared" si="6"/>
        <v>0.95507462686567035</v>
      </c>
      <c r="R53" s="566"/>
      <c r="S53" s="63">
        <v>0.70833333333333337</v>
      </c>
      <c r="T53" s="63">
        <v>0.7548611111111112</v>
      </c>
      <c r="U53" s="322" t="str">
        <f t="shared" si="38"/>
        <v/>
      </c>
      <c r="V53" s="328">
        <f t="shared" si="37"/>
        <v>67.000000000000085</v>
      </c>
      <c r="W53" s="64"/>
      <c r="X53" s="64"/>
      <c r="Y53" s="319"/>
      <c r="Z53" s="320"/>
      <c r="AA53" s="61">
        <f t="shared" si="8"/>
        <v>-89.85074626865935</v>
      </c>
      <c r="AB53" s="323">
        <f t="shared" si="9"/>
        <v>0.95507462686567035</v>
      </c>
      <c r="AC53" s="566"/>
    </row>
    <row r="54" spans="1:29" ht="15.75" customHeight="1">
      <c r="A54" s="574" t="s">
        <v>117</v>
      </c>
      <c r="B54" s="57" t="s">
        <v>6</v>
      </c>
      <c r="C54" s="567" t="s">
        <v>40</v>
      </c>
      <c r="D54" s="568"/>
      <c r="E54" s="57">
        <v>55.32</v>
      </c>
      <c r="F54" s="69">
        <v>1584</v>
      </c>
      <c r="G54" s="322">
        <f t="shared" si="35"/>
        <v>87626.880000000005</v>
      </c>
      <c r="H54" s="331" t="s">
        <v>5</v>
      </c>
      <c r="I54" s="327">
        <v>15</v>
      </c>
      <c r="J54" s="58">
        <v>2000</v>
      </c>
      <c r="K54" s="59">
        <f t="shared" si="1"/>
        <v>133.33333333333334</v>
      </c>
      <c r="L54" s="327">
        <v>15</v>
      </c>
      <c r="M54" s="60">
        <f t="shared" si="36"/>
        <v>1939.5918367346944</v>
      </c>
      <c r="N54" s="60">
        <f t="shared" si="3"/>
        <v>129.30612244897964</v>
      </c>
      <c r="O54" s="61">
        <f t="shared" si="4"/>
        <v>0</v>
      </c>
      <c r="P54" s="62">
        <f t="shared" si="5"/>
        <v>-4.0272108843537069</v>
      </c>
      <c r="Q54" s="323">
        <f t="shared" si="6"/>
        <v>0.96979591836734724</v>
      </c>
      <c r="R54" s="566"/>
      <c r="S54" s="63">
        <v>0.75833333333333341</v>
      </c>
      <c r="T54" s="63">
        <v>0.79236111111111118</v>
      </c>
      <c r="U54" s="322">
        <f t="shared" si="38"/>
        <v>4.9999999999999822</v>
      </c>
      <c r="V54" s="328">
        <f t="shared" si="37"/>
        <v>48.999999999999986</v>
      </c>
      <c r="W54" s="64"/>
      <c r="X54" s="64"/>
      <c r="Y54" s="569"/>
      <c r="Z54" s="570"/>
      <c r="AA54" s="61">
        <f t="shared" si="8"/>
        <v>-60.408163265305575</v>
      </c>
      <c r="AB54" s="323">
        <f t="shared" si="9"/>
        <v>0.96979591836734724</v>
      </c>
      <c r="AC54" s="566"/>
    </row>
    <row r="55" spans="1:29" ht="15.75" customHeight="1">
      <c r="A55" s="574" t="s">
        <v>117</v>
      </c>
      <c r="B55" s="57" t="s">
        <v>6</v>
      </c>
      <c r="C55" s="567" t="s">
        <v>99</v>
      </c>
      <c r="D55" s="568"/>
      <c r="E55" s="57">
        <v>53.68</v>
      </c>
      <c r="F55" s="69">
        <v>1400</v>
      </c>
      <c r="G55" s="322">
        <f t="shared" si="35"/>
        <v>75152</v>
      </c>
      <c r="H55" s="331">
        <v>2</v>
      </c>
      <c r="I55" s="327">
        <v>16</v>
      </c>
      <c r="J55" s="58">
        <v>1500</v>
      </c>
      <c r="K55" s="59">
        <f t="shared" si="1"/>
        <v>93.75</v>
      </c>
      <c r="L55" s="327">
        <v>16</v>
      </c>
      <c r="M55" s="60">
        <f t="shared" si="36"/>
        <v>1448.2758620689665</v>
      </c>
      <c r="N55" s="60">
        <f t="shared" si="3"/>
        <v>90.517241379310406</v>
      </c>
      <c r="O55" s="61">
        <f t="shared" si="4"/>
        <v>0</v>
      </c>
      <c r="P55" s="62">
        <f t="shared" si="5"/>
        <v>-3.2327586206895944</v>
      </c>
      <c r="Q55" s="323">
        <f t="shared" si="6"/>
        <v>0.96551724137931094</v>
      </c>
      <c r="R55" s="566"/>
      <c r="S55" s="63">
        <v>0.79652777777777783</v>
      </c>
      <c r="T55" s="63">
        <v>0.83680555555555558</v>
      </c>
      <c r="U55" s="322">
        <f t="shared" si="38"/>
        <v>5.9999999999999787</v>
      </c>
      <c r="V55" s="328">
        <f t="shared" si="37"/>
        <v>57.999999999999957</v>
      </c>
      <c r="W55" s="64"/>
      <c r="X55" s="64"/>
      <c r="Y55" s="569"/>
      <c r="Z55" s="570"/>
      <c r="AA55" s="61">
        <f t="shared" si="8"/>
        <v>-51.724137931033511</v>
      </c>
      <c r="AB55" s="323">
        <f t="shared" si="9"/>
        <v>0.96551724137931094</v>
      </c>
      <c r="AC55" s="566"/>
    </row>
    <row r="56" spans="1:29">
      <c r="A56" s="575" t="s">
        <v>117</v>
      </c>
      <c r="B56" s="57" t="s">
        <v>67</v>
      </c>
      <c r="C56" s="571"/>
      <c r="D56" s="571"/>
      <c r="E56" s="326"/>
      <c r="F56" s="66"/>
      <c r="G56" s="59"/>
      <c r="H56" s="329"/>
      <c r="I56" s="67">
        <v>18.428571428571427</v>
      </c>
      <c r="J56" s="58">
        <v>1928.5714285714287</v>
      </c>
      <c r="K56" s="59">
        <f t="shared" si="1"/>
        <v>104.65116279069768</v>
      </c>
      <c r="L56" s="67">
        <v>18.428571428571427</v>
      </c>
      <c r="M56" s="60">
        <f>AVERAGE(M49:M55)</f>
        <v>1688.1024267049604</v>
      </c>
      <c r="N56" s="59">
        <f t="shared" si="3"/>
        <v>91.602457263059875</v>
      </c>
      <c r="O56" s="61">
        <f t="shared" si="4"/>
        <v>0</v>
      </c>
      <c r="P56" s="62">
        <f t="shared" si="5"/>
        <v>-13.048705527637807</v>
      </c>
      <c r="Q56" s="323">
        <f t="shared" si="6"/>
        <v>0.87531236940257207</v>
      </c>
      <c r="R56" s="566"/>
      <c r="S56" s="70"/>
      <c r="T56" s="63"/>
      <c r="U56" s="59"/>
      <c r="V56" s="328"/>
      <c r="W56" s="59"/>
      <c r="X56" s="59"/>
      <c r="Y56" s="559"/>
      <c r="Z56" s="559"/>
      <c r="AA56" s="61">
        <f t="shared" si="8"/>
        <v>-240.46900186646826</v>
      </c>
      <c r="AB56" s="323">
        <f t="shared" si="9"/>
        <v>0.87531236940257207</v>
      </c>
      <c r="AC56" s="566"/>
    </row>
    <row r="57" spans="1:29" ht="15.75" customHeight="1">
      <c r="A57" s="572" t="s">
        <v>1457</v>
      </c>
      <c r="B57" s="329" t="s">
        <v>10</v>
      </c>
      <c r="C57" s="560" t="s">
        <v>42</v>
      </c>
      <c r="D57" s="560"/>
      <c r="E57" s="57">
        <v>26.97</v>
      </c>
      <c r="F57" s="69">
        <v>2665</v>
      </c>
      <c r="G57" s="322">
        <f t="shared" ref="G57:G62" si="39">E57*F57</f>
        <v>71875.05</v>
      </c>
      <c r="H57" s="331" t="s">
        <v>5</v>
      </c>
      <c r="I57" s="327">
        <v>8</v>
      </c>
      <c r="J57" s="58">
        <v>1500</v>
      </c>
      <c r="K57" s="59">
        <f t="shared" si="1"/>
        <v>187.5</v>
      </c>
      <c r="L57" s="327">
        <v>8</v>
      </c>
      <c r="M57" s="60">
        <f t="shared" ref="M57:M62" si="40">F57/V57*60</f>
        <v>1440.5405405405411</v>
      </c>
      <c r="N57" s="59">
        <f t="shared" si="3"/>
        <v>180.06756756756764</v>
      </c>
      <c r="O57" s="61">
        <f t="shared" si="4"/>
        <v>0</v>
      </c>
      <c r="P57" s="62">
        <f t="shared" si="5"/>
        <v>-7.4324324324323641</v>
      </c>
      <c r="Q57" s="323">
        <f t="shared" si="6"/>
        <v>0.96036036036036077</v>
      </c>
      <c r="R57" s="566">
        <f>Q63</f>
        <v>0.95884698425720138</v>
      </c>
      <c r="S57" s="63">
        <v>0.20833333333333334</v>
      </c>
      <c r="T57" s="63">
        <v>0.28541666666666665</v>
      </c>
      <c r="U57" s="322"/>
      <c r="V57" s="328">
        <f t="shared" ref="V57:V62" si="41">(T57-S57)*24*60</f>
        <v>110.99999999999997</v>
      </c>
      <c r="W57" s="68"/>
      <c r="X57" s="68"/>
      <c r="Y57" s="559"/>
      <c r="Z57" s="559"/>
      <c r="AA57" s="61">
        <f t="shared" si="8"/>
        <v>-59.459459459458913</v>
      </c>
      <c r="AB57" s="323">
        <f t="shared" si="9"/>
        <v>0.96036036036036077</v>
      </c>
      <c r="AC57" s="566">
        <f>AB63</f>
        <v>0.95884698425720127</v>
      </c>
    </row>
    <row r="58" spans="1:29" ht="15.75" customHeight="1">
      <c r="A58" s="572" t="s">
        <v>93</v>
      </c>
      <c r="B58" s="329" t="s">
        <v>31</v>
      </c>
      <c r="C58" s="560" t="s">
        <v>41</v>
      </c>
      <c r="D58" s="560"/>
      <c r="E58" s="57">
        <v>26.78</v>
      </c>
      <c r="F58" s="69">
        <v>2512</v>
      </c>
      <c r="G58" s="322">
        <f t="shared" si="39"/>
        <v>67271.360000000001</v>
      </c>
      <c r="H58" s="331" t="s">
        <v>5</v>
      </c>
      <c r="I58" s="327">
        <v>10</v>
      </c>
      <c r="J58" s="58">
        <v>3000</v>
      </c>
      <c r="K58" s="59">
        <f t="shared" si="1"/>
        <v>300</v>
      </c>
      <c r="L58" s="327">
        <v>10</v>
      </c>
      <c r="M58" s="60">
        <f t="shared" si="40"/>
        <v>2898.4615384615399</v>
      </c>
      <c r="N58" s="59">
        <f t="shared" si="3"/>
        <v>289.84615384615398</v>
      </c>
      <c r="O58" s="61">
        <f t="shared" si="4"/>
        <v>0</v>
      </c>
      <c r="P58" s="62">
        <f t="shared" si="5"/>
        <v>-10.153846153846018</v>
      </c>
      <c r="Q58" s="323">
        <f t="shared" si="6"/>
        <v>0.96615384615384658</v>
      </c>
      <c r="R58" s="566"/>
      <c r="S58" s="63">
        <v>0.2895833333333333</v>
      </c>
      <c r="T58" s="63">
        <v>0.3256944444444444</v>
      </c>
      <c r="U58" s="322">
        <f t="shared" ref="U58:U62" si="42">(S58-T57)*24*60</f>
        <v>5.9999999999999787</v>
      </c>
      <c r="V58" s="328">
        <f t="shared" si="41"/>
        <v>51.999999999999972</v>
      </c>
      <c r="W58" s="322"/>
      <c r="X58" s="322"/>
      <c r="Y58" s="559"/>
      <c r="Z58" s="559"/>
      <c r="AA58" s="61">
        <f t="shared" si="8"/>
        <v>-101.53846153846007</v>
      </c>
      <c r="AB58" s="323">
        <f t="shared" si="9"/>
        <v>0.9661538461538467</v>
      </c>
      <c r="AC58" s="566"/>
    </row>
    <row r="59" spans="1:29" ht="15.75" customHeight="1">
      <c r="A59" s="572" t="s">
        <v>1457</v>
      </c>
      <c r="B59" s="329" t="s">
        <v>31</v>
      </c>
      <c r="C59" s="560" t="s">
        <v>64</v>
      </c>
      <c r="D59" s="560"/>
      <c r="E59" s="57">
        <v>37.880000000000003</v>
      </c>
      <c r="F59" s="69">
        <v>2446</v>
      </c>
      <c r="G59" s="322">
        <f t="shared" si="39"/>
        <v>92654.48000000001</v>
      </c>
      <c r="H59" s="331" t="s">
        <v>5</v>
      </c>
      <c r="I59" s="327">
        <v>10</v>
      </c>
      <c r="J59" s="58">
        <v>3000</v>
      </c>
      <c r="K59" s="59">
        <f t="shared" si="1"/>
        <v>300</v>
      </c>
      <c r="L59" s="327">
        <v>10</v>
      </c>
      <c r="M59" s="60">
        <f t="shared" si="40"/>
        <v>2877.6470588235306</v>
      </c>
      <c r="N59" s="59">
        <f t="shared" si="3"/>
        <v>287.76470588235304</v>
      </c>
      <c r="O59" s="61">
        <f t="shared" si="4"/>
        <v>0</v>
      </c>
      <c r="P59" s="62">
        <f t="shared" si="5"/>
        <v>-12.235294117646959</v>
      </c>
      <c r="Q59" s="323">
        <f t="shared" si="6"/>
        <v>0.95921568627451015</v>
      </c>
      <c r="R59" s="566"/>
      <c r="S59" s="63">
        <v>0.33124999999999993</v>
      </c>
      <c r="T59" s="63">
        <v>0.36666666666666659</v>
      </c>
      <c r="U59" s="322">
        <f t="shared" si="42"/>
        <v>7.9999999999999716</v>
      </c>
      <c r="V59" s="328">
        <f t="shared" si="41"/>
        <v>50.999999999999979</v>
      </c>
      <c r="W59" s="322"/>
      <c r="X59" s="322"/>
      <c r="Y59" s="559"/>
      <c r="Z59" s="559"/>
      <c r="AA59" s="61">
        <f t="shared" si="8"/>
        <v>-122.35294117646936</v>
      </c>
      <c r="AB59" s="323">
        <f t="shared" si="9"/>
        <v>0.95921568627451026</v>
      </c>
      <c r="AC59" s="566"/>
    </row>
    <row r="60" spans="1:29" ht="15.75" customHeight="1">
      <c r="A60" s="572" t="s">
        <v>93</v>
      </c>
      <c r="B60" s="329" t="s">
        <v>31</v>
      </c>
      <c r="C60" s="560" t="s">
        <v>72</v>
      </c>
      <c r="D60" s="560"/>
      <c r="E60" s="57">
        <v>40.51</v>
      </c>
      <c r="F60" s="69">
        <v>2287</v>
      </c>
      <c r="G60" s="322">
        <f t="shared" si="39"/>
        <v>92646.37</v>
      </c>
      <c r="H60" s="331" t="s">
        <v>5</v>
      </c>
      <c r="I60" s="327">
        <v>8</v>
      </c>
      <c r="J60" s="58">
        <v>3000</v>
      </c>
      <c r="K60" s="59">
        <f t="shared" si="1"/>
        <v>375</v>
      </c>
      <c r="L60" s="327">
        <v>8</v>
      </c>
      <c r="M60" s="60">
        <f t="shared" si="40"/>
        <v>2858.7500000000009</v>
      </c>
      <c r="N60" s="59">
        <f t="shared" si="3"/>
        <v>357.34375000000011</v>
      </c>
      <c r="O60" s="61">
        <f t="shared" si="4"/>
        <v>0</v>
      </c>
      <c r="P60" s="62">
        <f t="shared" si="5"/>
        <v>-17.656249999999886</v>
      </c>
      <c r="Q60" s="323">
        <f t="shared" si="6"/>
        <v>0.95291666666666697</v>
      </c>
      <c r="R60" s="566"/>
      <c r="S60" s="63">
        <v>0.3701388888888888</v>
      </c>
      <c r="T60" s="63">
        <v>0.40347222222222212</v>
      </c>
      <c r="U60" s="322">
        <f t="shared" si="42"/>
        <v>4.9999999999999822</v>
      </c>
      <c r="V60" s="328">
        <f t="shared" si="41"/>
        <v>47.999999999999986</v>
      </c>
      <c r="W60" s="322"/>
      <c r="X60" s="322"/>
      <c r="Y60" s="559"/>
      <c r="Z60" s="559"/>
      <c r="AA60" s="61">
        <f t="shared" si="8"/>
        <v>-141.24999999999909</v>
      </c>
      <c r="AB60" s="323">
        <f t="shared" si="9"/>
        <v>0.95291666666666697</v>
      </c>
      <c r="AC60" s="566"/>
    </row>
    <row r="61" spans="1:29">
      <c r="A61" s="573" t="s">
        <v>93</v>
      </c>
      <c r="B61" s="329" t="s">
        <v>31</v>
      </c>
      <c r="C61" s="560" t="s">
        <v>35</v>
      </c>
      <c r="D61" s="560"/>
      <c r="E61" s="57">
        <v>35.869999999999997</v>
      </c>
      <c r="F61" s="69">
        <v>2730</v>
      </c>
      <c r="G61" s="322">
        <f t="shared" si="39"/>
        <v>97925.099999999991</v>
      </c>
      <c r="H61" s="331" t="s">
        <v>5</v>
      </c>
      <c r="I61" s="327">
        <v>9</v>
      </c>
      <c r="J61" s="58">
        <v>3000</v>
      </c>
      <c r="K61" s="59">
        <f t="shared" si="1"/>
        <v>333.33333333333331</v>
      </c>
      <c r="L61" s="327">
        <v>9</v>
      </c>
      <c r="M61" s="60">
        <f t="shared" si="40"/>
        <v>2873.6842105263177</v>
      </c>
      <c r="N61" s="59">
        <f t="shared" si="3"/>
        <v>319.2982456140353</v>
      </c>
      <c r="O61" s="61">
        <f t="shared" si="4"/>
        <v>0</v>
      </c>
      <c r="P61" s="62">
        <f t="shared" si="5"/>
        <v>-14.035087719298019</v>
      </c>
      <c r="Q61" s="323">
        <f t="shared" si="6"/>
        <v>0.95789473684210591</v>
      </c>
      <c r="R61" s="566"/>
      <c r="S61" s="63">
        <v>0.40902777777777766</v>
      </c>
      <c r="T61" s="63">
        <v>0.44861111111111096</v>
      </c>
      <c r="U61" s="322">
        <f t="shared" si="42"/>
        <v>7.9999999999999716</v>
      </c>
      <c r="V61" s="328">
        <f t="shared" si="41"/>
        <v>56.999999999999957</v>
      </c>
      <c r="W61" s="64"/>
      <c r="X61" s="64"/>
      <c r="Y61" s="559"/>
      <c r="Z61" s="559"/>
      <c r="AA61" s="61">
        <f t="shared" si="8"/>
        <v>-126.31578947368234</v>
      </c>
      <c r="AB61" s="323">
        <f t="shared" si="9"/>
        <v>0.95789473684210591</v>
      </c>
      <c r="AC61" s="566"/>
    </row>
    <row r="62" spans="1:29" ht="15" customHeight="1">
      <c r="A62" s="573" t="s">
        <v>93</v>
      </c>
      <c r="B62" s="329" t="s">
        <v>31</v>
      </c>
      <c r="C62" s="567" t="s">
        <v>63</v>
      </c>
      <c r="D62" s="568"/>
      <c r="E62" s="57">
        <v>34.36</v>
      </c>
      <c r="F62" s="69">
        <v>1771</v>
      </c>
      <c r="G62" s="322">
        <f t="shared" si="39"/>
        <v>60851.56</v>
      </c>
      <c r="H62" s="331" t="s">
        <v>5</v>
      </c>
      <c r="I62" s="327">
        <v>10</v>
      </c>
      <c r="J62" s="58">
        <v>3000</v>
      </c>
      <c r="K62" s="59">
        <f t="shared" si="1"/>
        <v>300</v>
      </c>
      <c r="L62" s="327">
        <v>10</v>
      </c>
      <c r="M62" s="60">
        <f t="shared" si="40"/>
        <v>2871.8918918918898</v>
      </c>
      <c r="N62" s="59">
        <f t="shared" si="3"/>
        <v>287.18918918918899</v>
      </c>
      <c r="O62" s="61">
        <f t="shared" si="4"/>
        <v>0</v>
      </c>
      <c r="P62" s="62">
        <f t="shared" si="5"/>
        <v>-12.810810810811006</v>
      </c>
      <c r="Q62" s="323">
        <f t="shared" si="6"/>
        <v>0.95729729729729662</v>
      </c>
      <c r="R62" s="566"/>
      <c r="S62" s="63">
        <v>0.45208333333333317</v>
      </c>
      <c r="T62" s="63">
        <v>0.47777777777777763</v>
      </c>
      <c r="U62" s="322">
        <f t="shared" si="42"/>
        <v>4.9999999999999822</v>
      </c>
      <c r="V62" s="328">
        <f t="shared" si="41"/>
        <v>37.000000000000028</v>
      </c>
      <c r="W62" s="322"/>
      <c r="X62" s="322"/>
      <c r="Y62" s="569"/>
      <c r="Z62" s="570"/>
      <c r="AA62" s="61">
        <f t="shared" si="8"/>
        <v>-128.10810810811017</v>
      </c>
      <c r="AB62" s="323">
        <f t="shared" si="9"/>
        <v>0.95729729729729662</v>
      </c>
      <c r="AC62" s="566"/>
    </row>
    <row r="63" spans="1:29">
      <c r="A63" s="573" t="s">
        <v>1457</v>
      </c>
      <c r="B63" s="57" t="s">
        <v>67</v>
      </c>
      <c r="C63" s="571"/>
      <c r="D63" s="571"/>
      <c r="E63" s="326"/>
      <c r="F63" s="66"/>
      <c r="G63" s="59"/>
      <c r="H63" s="329"/>
      <c r="I63" s="67">
        <v>9.1666666666666661</v>
      </c>
      <c r="J63" s="58">
        <v>2750</v>
      </c>
      <c r="K63" s="59">
        <f t="shared" si="1"/>
        <v>300</v>
      </c>
      <c r="L63" s="67">
        <v>9.1666666666666661</v>
      </c>
      <c r="M63" s="60">
        <f>AVERAGE(M57:M62)</f>
        <v>2636.8292067073035</v>
      </c>
      <c r="N63" s="59">
        <f t="shared" si="3"/>
        <v>287.65409527716042</v>
      </c>
      <c r="O63" s="61">
        <f t="shared" si="4"/>
        <v>0</v>
      </c>
      <c r="P63" s="62">
        <f t="shared" si="5"/>
        <v>-12.345904722839578</v>
      </c>
      <c r="Q63" s="323">
        <f t="shared" si="6"/>
        <v>0.95884698425720138</v>
      </c>
      <c r="R63" s="566"/>
      <c r="S63" s="63"/>
      <c r="T63" s="63"/>
      <c r="U63" s="59"/>
      <c r="V63" s="328"/>
      <c r="W63" s="59"/>
      <c r="X63" s="59"/>
      <c r="Y63" s="559"/>
      <c r="Z63" s="559"/>
      <c r="AA63" s="61">
        <f t="shared" si="8"/>
        <v>-113.17079329269654</v>
      </c>
      <c r="AB63" s="323">
        <f t="shared" si="9"/>
        <v>0.95884698425720127</v>
      </c>
      <c r="AC63" s="566"/>
    </row>
    <row r="64" spans="1:29" ht="15.75" customHeight="1">
      <c r="A64" s="563" t="s">
        <v>90</v>
      </c>
      <c r="B64" s="329" t="s">
        <v>15</v>
      </c>
      <c r="C64" s="560" t="s">
        <v>43</v>
      </c>
      <c r="D64" s="560"/>
      <c r="E64" s="57">
        <v>20.2</v>
      </c>
      <c r="F64" s="329">
        <v>1738</v>
      </c>
      <c r="G64" s="322">
        <f t="shared" ref="G64:G69" si="43">E64*F64</f>
        <v>35107.599999999999</v>
      </c>
      <c r="H64" s="331" t="s">
        <v>5</v>
      </c>
      <c r="I64" s="327">
        <v>19</v>
      </c>
      <c r="J64" s="58">
        <v>2400</v>
      </c>
      <c r="K64" s="59">
        <f t="shared" si="1"/>
        <v>126.31578947368421</v>
      </c>
      <c r="L64" s="327">
        <v>19</v>
      </c>
      <c r="M64" s="60">
        <f t="shared" ref="M64:M69" si="44">F64/V64*60</f>
        <v>2317.333333333333</v>
      </c>
      <c r="N64" s="59">
        <f t="shared" si="3"/>
        <v>121.96491228070174</v>
      </c>
      <c r="O64" s="61">
        <f t="shared" si="4"/>
        <v>0</v>
      </c>
      <c r="P64" s="62">
        <f t="shared" si="5"/>
        <v>-4.3508771929824661</v>
      </c>
      <c r="Q64" s="323">
        <f t="shared" si="6"/>
        <v>0.9655555555555555</v>
      </c>
      <c r="R64" s="566">
        <f>Q70</f>
        <v>0.95647432090616513</v>
      </c>
      <c r="S64" s="63">
        <v>8.3333333333333329E-2</v>
      </c>
      <c r="T64" s="63">
        <v>0.11458333333333333</v>
      </c>
      <c r="U64" s="68"/>
      <c r="V64" s="328">
        <f t="shared" ref="V64:V69" si="45">(T64-S64)*24*60</f>
        <v>45</v>
      </c>
      <c r="W64" s="64">
        <f>T64</f>
        <v>0.11458333333333333</v>
      </c>
      <c r="X64" s="64">
        <f>S65</f>
        <v>0.1333333333333333</v>
      </c>
      <c r="Y64" s="559"/>
      <c r="Z64" s="559"/>
      <c r="AA64" s="61">
        <f t="shared" si="8"/>
        <v>-82.66666666666697</v>
      </c>
      <c r="AB64" s="323">
        <f t="shared" si="9"/>
        <v>0.96555555555555539</v>
      </c>
      <c r="AC64" s="566">
        <f>AB70</f>
        <v>0.95647432090616524</v>
      </c>
    </row>
    <row r="65" spans="1:29" ht="15.75" customHeight="1">
      <c r="A65" s="564" t="s">
        <v>90</v>
      </c>
      <c r="B65" s="329" t="s">
        <v>15</v>
      </c>
      <c r="C65" s="560" t="s">
        <v>24</v>
      </c>
      <c r="D65" s="560"/>
      <c r="E65" s="57">
        <v>20.52</v>
      </c>
      <c r="F65" s="329">
        <v>2832</v>
      </c>
      <c r="G65" s="322">
        <f t="shared" si="43"/>
        <v>58112.639999999999</v>
      </c>
      <c r="H65" s="331" t="s">
        <v>5</v>
      </c>
      <c r="I65" s="327">
        <v>18</v>
      </c>
      <c r="J65" s="58">
        <v>2400</v>
      </c>
      <c r="K65" s="59">
        <f t="shared" si="1"/>
        <v>133.33333333333334</v>
      </c>
      <c r="L65" s="327">
        <v>18</v>
      </c>
      <c r="M65" s="60">
        <f t="shared" si="44"/>
        <v>2296.2162162162158</v>
      </c>
      <c r="N65" s="59">
        <f t="shared" si="3"/>
        <v>127.56756756756755</v>
      </c>
      <c r="O65" s="61">
        <f t="shared" si="4"/>
        <v>0</v>
      </c>
      <c r="P65" s="62">
        <f t="shared" si="5"/>
        <v>-5.7657657657657921</v>
      </c>
      <c r="Q65" s="323">
        <f t="shared" si="6"/>
        <v>0.95675675675675653</v>
      </c>
      <c r="R65" s="566"/>
      <c r="S65" s="63">
        <v>0.1333333333333333</v>
      </c>
      <c r="T65" s="63">
        <v>0.1847222222222222</v>
      </c>
      <c r="U65" s="322">
        <f t="shared" ref="U65:U69" si="46">(S65-T64)*24*60</f>
        <v>26.999999999999964</v>
      </c>
      <c r="V65" s="328">
        <f t="shared" si="45"/>
        <v>74.000000000000014</v>
      </c>
      <c r="W65" s="64"/>
      <c r="X65" s="64"/>
      <c r="Y65" s="559"/>
      <c r="Z65" s="559"/>
      <c r="AA65" s="61">
        <f t="shared" si="8"/>
        <v>-103.7837837837842</v>
      </c>
      <c r="AB65" s="323">
        <f t="shared" si="9"/>
        <v>0.95675675675675653</v>
      </c>
      <c r="AC65" s="566"/>
    </row>
    <row r="66" spans="1:29" ht="15.75" customHeight="1">
      <c r="A66" s="564" t="s">
        <v>90</v>
      </c>
      <c r="B66" s="329" t="s">
        <v>15</v>
      </c>
      <c r="C66" s="560" t="s">
        <v>44</v>
      </c>
      <c r="D66" s="560"/>
      <c r="E66" s="57">
        <v>19.02</v>
      </c>
      <c r="F66" s="329">
        <v>4000</v>
      </c>
      <c r="G66" s="322">
        <f t="shared" si="43"/>
        <v>76080</v>
      </c>
      <c r="H66" s="331">
        <v>2</v>
      </c>
      <c r="I66" s="327">
        <v>15</v>
      </c>
      <c r="J66" s="58">
        <v>2400</v>
      </c>
      <c r="K66" s="59">
        <f t="shared" si="1"/>
        <v>160</v>
      </c>
      <c r="L66" s="327">
        <v>15</v>
      </c>
      <c r="M66" s="60">
        <f t="shared" si="44"/>
        <v>2285.7142857142862</v>
      </c>
      <c r="N66" s="59">
        <f t="shared" si="3"/>
        <v>152.38095238095241</v>
      </c>
      <c r="O66" s="61">
        <f t="shared" si="4"/>
        <v>0</v>
      </c>
      <c r="P66" s="62">
        <f t="shared" si="5"/>
        <v>-7.619047619047592</v>
      </c>
      <c r="Q66" s="323">
        <f t="shared" si="6"/>
        <v>0.95238095238095255</v>
      </c>
      <c r="R66" s="566"/>
      <c r="S66" s="63">
        <v>0.18819444444444441</v>
      </c>
      <c r="T66" s="63">
        <v>0.26111111111111107</v>
      </c>
      <c r="U66" s="322">
        <f t="shared" si="46"/>
        <v>4.9999999999999822</v>
      </c>
      <c r="V66" s="328">
        <f t="shared" si="45"/>
        <v>104.99999999999999</v>
      </c>
      <c r="W66" s="64"/>
      <c r="X66" s="64"/>
      <c r="Y66" s="559"/>
      <c r="Z66" s="559"/>
      <c r="AA66" s="61">
        <f t="shared" si="8"/>
        <v>-114.28571428571377</v>
      </c>
      <c r="AB66" s="323">
        <f t="shared" si="9"/>
        <v>0.95238095238095255</v>
      </c>
      <c r="AC66" s="566"/>
    </row>
    <row r="67" spans="1:29" ht="15.75" customHeight="1">
      <c r="A67" s="564" t="s">
        <v>90</v>
      </c>
      <c r="B67" s="329" t="s">
        <v>15</v>
      </c>
      <c r="C67" s="560" t="s">
        <v>29</v>
      </c>
      <c r="D67" s="560"/>
      <c r="E67" s="57">
        <v>24.43</v>
      </c>
      <c r="F67" s="329">
        <v>6072</v>
      </c>
      <c r="G67" s="322">
        <f t="shared" si="43"/>
        <v>148338.96</v>
      </c>
      <c r="H67" s="331" t="s">
        <v>5</v>
      </c>
      <c r="I67" s="327">
        <v>14</v>
      </c>
      <c r="J67" s="58">
        <v>2400</v>
      </c>
      <c r="K67" s="59">
        <f t="shared" si="1"/>
        <v>171.42857142857142</v>
      </c>
      <c r="L67" s="327">
        <v>14</v>
      </c>
      <c r="M67" s="60">
        <f t="shared" si="44"/>
        <v>2291.3207547169814</v>
      </c>
      <c r="N67" s="59">
        <f t="shared" si="3"/>
        <v>163.6657681940701</v>
      </c>
      <c r="O67" s="61">
        <f t="shared" si="4"/>
        <v>0</v>
      </c>
      <c r="P67" s="62">
        <f t="shared" si="5"/>
        <v>-7.7628032345013196</v>
      </c>
      <c r="Q67" s="323">
        <f t="shared" si="6"/>
        <v>0.95471698113207559</v>
      </c>
      <c r="R67" s="566"/>
      <c r="S67" s="63">
        <v>0.26597222222222217</v>
      </c>
      <c r="T67" s="63">
        <v>0.37638888888888883</v>
      </c>
      <c r="U67" s="322">
        <f t="shared" si="46"/>
        <v>6.9999999999999751</v>
      </c>
      <c r="V67" s="328">
        <f t="shared" si="45"/>
        <v>159</v>
      </c>
      <c r="W67" s="64"/>
      <c r="X67" s="64"/>
      <c r="Y67" s="559"/>
      <c r="Z67" s="559"/>
      <c r="AA67" s="61">
        <f t="shared" si="8"/>
        <v>-108.67924528301864</v>
      </c>
      <c r="AB67" s="323">
        <f t="shared" si="9"/>
        <v>0.95471698113207559</v>
      </c>
      <c r="AC67" s="566"/>
    </row>
    <row r="68" spans="1:29" ht="15.75" customHeight="1">
      <c r="A68" s="564" t="s">
        <v>90</v>
      </c>
      <c r="B68" s="329" t="s">
        <v>15</v>
      </c>
      <c r="C68" s="560" t="s">
        <v>1183</v>
      </c>
      <c r="D68" s="560"/>
      <c r="E68" s="57">
        <v>20.21</v>
      </c>
      <c r="F68" s="329">
        <v>6710</v>
      </c>
      <c r="G68" s="322">
        <f t="shared" si="43"/>
        <v>135609.1</v>
      </c>
      <c r="H68" s="331" t="s">
        <v>5</v>
      </c>
      <c r="I68" s="327">
        <v>16</v>
      </c>
      <c r="J68" s="58">
        <v>2400</v>
      </c>
      <c r="K68" s="59">
        <f t="shared" si="1"/>
        <v>150</v>
      </c>
      <c r="L68" s="327">
        <v>16</v>
      </c>
      <c r="M68" s="60">
        <f t="shared" si="44"/>
        <v>2287.5000000000009</v>
      </c>
      <c r="N68" s="59">
        <f t="shared" si="3"/>
        <v>142.96875000000006</v>
      </c>
      <c r="O68" s="61">
        <f t="shared" si="4"/>
        <v>0</v>
      </c>
      <c r="P68" s="62">
        <f t="shared" si="5"/>
        <v>-7.0312499999999432</v>
      </c>
      <c r="Q68" s="323">
        <f t="shared" si="6"/>
        <v>0.95312500000000033</v>
      </c>
      <c r="R68" s="566"/>
      <c r="S68" s="63">
        <v>0.38194444444444436</v>
      </c>
      <c r="T68" s="63">
        <v>0.50416666666666654</v>
      </c>
      <c r="U68" s="322">
        <f t="shared" si="46"/>
        <v>7.9999999999999716</v>
      </c>
      <c r="V68" s="328">
        <f t="shared" si="45"/>
        <v>175.99999999999994</v>
      </c>
      <c r="W68" s="64">
        <f>T68</f>
        <v>0.50416666666666654</v>
      </c>
      <c r="X68" s="64">
        <f>S69</f>
        <v>0.54583333333333317</v>
      </c>
      <c r="Y68" s="559"/>
      <c r="Z68" s="559"/>
      <c r="AA68" s="61">
        <f t="shared" si="8"/>
        <v>-112.49999999999909</v>
      </c>
      <c r="AB68" s="323">
        <f t="shared" si="9"/>
        <v>0.95312500000000033</v>
      </c>
      <c r="AC68" s="566"/>
    </row>
    <row r="69" spans="1:29" ht="15.75" customHeight="1">
      <c r="A69" s="564" t="s">
        <v>90</v>
      </c>
      <c r="B69" s="329" t="s">
        <v>15</v>
      </c>
      <c r="C69" s="560" t="s">
        <v>44</v>
      </c>
      <c r="D69" s="560"/>
      <c r="E69" s="57">
        <v>19.02</v>
      </c>
      <c r="F69" s="329">
        <v>3940</v>
      </c>
      <c r="G69" s="322">
        <f t="shared" si="43"/>
        <v>74938.8</v>
      </c>
      <c r="H69" s="331" t="s">
        <v>5</v>
      </c>
      <c r="I69" s="327">
        <v>15</v>
      </c>
      <c r="J69" s="58">
        <v>2400</v>
      </c>
      <c r="K69" s="59">
        <f t="shared" ref="K69:K70" si="47">J69/I69</f>
        <v>160</v>
      </c>
      <c r="L69" s="327">
        <v>15</v>
      </c>
      <c r="M69" s="60">
        <f t="shared" si="44"/>
        <v>2295.1456310679623</v>
      </c>
      <c r="N69" s="59">
        <f t="shared" ref="N69:N70" si="48">M69/L69</f>
        <v>153.00970873786414</v>
      </c>
      <c r="O69" s="61">
        <f t="shared" ref="O69:O70" si="49">L69-I69</f>
        <v>0</v>
      </c>
      <c r="P69" s="62">
        <f t="shared" ref="P69:P70" si="50">N69-K69</f>
        <v>-6.9902912621358553</v>
      </c>
      <c r="Q69" s="323">
        <f t="shared" ref="Q69:Q70" si="51">N69/K69</f>
        <v>0.95631067961165095</v>
      </c>
      <c r="R69" s="566"/>
      <c r="S69" s="63">
        <v>0.54583333333333317</v>
      </c>
      <c r="T69" s="63">
        <v>0.61736111111111092</v>
      </c>
      <c r="U69" s="322">
        <f t="shared" si="46"/>
        <v>59.999999999999943</v>
      </c>
      <c r="V69" s="328">
        <f t="shared" si="45"/>
        <v>102.99999999999996</v>
      </c>
      <c r="W69" s="64"/>
      <c r="X69" s="64"/>
      <c r="Y69" s="559"/>
      <c r="Z69" s="559"/>
      <c r="AA69" s="61">
        <f t="shared" ref="AA69:AA70" si="52">M69-J69</f>
        <v>-104.85436893203769</v>
      </c>
      <c r="AB69" s="323">
        <f t="shared" ref="AB69:AB70" si="53">M69/J69</f>
        <v>0.95631067961165095</v>
      </c>
      <c r="AC69" s="566"/>
    </row>
    <row r="70" spans="1:29" ht="16.5" customHeight="1">
      <c r="A70" s="565" t="s">
        <v>90</v>
      </c>
      <c r="B70" s="57" t="s">
        <v>67</v>
      </c>
      <c r="C70" s="561"/>
      <c r="D70" s="562"/>
      <c r="E70" s="326"/>
      <c r="F70" s="66"/>
      <c r="G70" s="59"/>
      <c r="H70" s="329"/>
      <c r="I70" s="67">
        <v>16.166666666666668</v>
      </c>
      <c r="J70" s="58">
        <v>2400</v>
      </c>
      <c r="K70" s="59">
        <f t="shared" si="47"/>
        <v>148.45360824742266</v>
      </c>
      <c r="L70" s="67">
        <v>16.166666666666668</v>
      </c>
      <c r="M70" s="60">
        <f>AVERAGE(M64:M69)</f>
        <v>2295.5383701747965</v>
      </c>
      <c r="N70" s="59">
        <f t="shared" si="48"/>
        <v>141.99206413452347</v>
      </c>
      <c r="O70" s="61">
        <f t="shared" si="49"/>
        <v>0</v>
      </c>
      <c r="P70" s="62">
        <f t="shared" si="50"/>
        <v>-6.4615441128991904</v>
      </c>
      <c r="Q70" s="323">
        <f t="shared" si="51"/>
        <v>0.95647432090616513</v>
      </c>
      <c r="R70" s="566"/>
      <c r="S70" s="63"/>
      <c r="T70" s="63"/>
      <c r="U70" s="59"/>
      <c r="V70" s="328"/>
      <c r="W70" s="59"/>
      <c r="X70" s="59"/>
      <c r="Y70" s="559"/>
      <c r="Z70" s="559"/>
      <c r="AA70" s="61">
        <f t="shared" si="52"/>
        <v>-104.46162982520354</v>
      </c>
      <c r="AB70" s="323">
        <f t="shared" si="53"/>
        <v>0.95647432090616524</v>
      </c>
      <c r="AC70" s="566"/>
    </row>
    <row r="71" spans="1:29">
      <c r="D71" s="122"/>
      <c r="E71" s="122"/>
    </row>
  </sheetData>
  <mergeCells count="188"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C8:D8"/>
    <mergeCell ref="Y8:Z8"/>
    <mergeCell ref="A9:A11"/>
    <mergeCell ref="C9:D9"/>
    <mergeCell ref="R9:R11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C14:D14"/>
    <mergeCell ref="Y14:Z14"/>
    <mergeCell ref="C15:D15"/>
    <mergeCell ref="Y15:Z15"/>
    <mergeCell ref="AC9:AC11"/>
    <mergeCell ref="C10:D10"/>
    <mergeCell ref="Y10:Z10"/>
    <mergeCell ref="C11:D11"/>
    <mergeCell ref="Y11:Z11"/>
    <mergeCell ref="C12:D12"/>
    <mergeCell ref="R12:R17"/>
    <mergeCell ref="Y12:Z12"/>
    <mergeCell ref="AC12:AC17"/>
    <mergeCell ref="C16:D16"/>
    <mergeCell ref="Y16:Z16"/>
    <mergeCell ref="C17:D17"/>
    <mergeCell ref="Y17:Z17"/>
    <mergeCell ref="A18:A26"/>
    <mergeCell ref="C18:D18"/>
    <mergeCell ref="R18:R26"/>
    <mergeCell ref="Y18:Z18"/>
    <mergeCell ref="Y23:Z23"/>
    <mergeCell ref="C24:D24"/>
    <mergeCell ref="A12:A17"/>
    <mergeCell ref="AC18:AC26"/>
    <mergeCell ref="C19:D19"/>
    <mergeCell ref="Y19:Z19"/>
    <mergeCell ref="C20:D20"/>
    <mergeCell ref="Y20:Z20"/>
    <mergeCell ref="C21:D21"/>
    <mergeCell ref="Y21:Z21"/>
    <mergeCell ref="C22:D22"/>
    <mergeCell ref="Y22:Z22"/>
    <mergeCell ref="C23:D23"/>
    <mergeCell ref="Y24:Z24"/>
    <mergeCell ref="C25:D25"/>
    <mergeCell ref="Y25:Z25"/>
    <mergeCell ref="C26:D26"/>
    <mergeCell ref="Y26:Z26"/>
    <mergeCell ref="C13:D13"/>
    <mergeCell ref="Y13:Z13"/>
    <mergeCell ref="A27:A34"/>
    <mergeCell ref="C27:D27"/>
    <mergeCell ref="R27:R34"/>
    <mergeCell ref="Y27:Z27"/>
    <mergeCell ref="Y32:Z32"/>
    <mergeCell ref="AC27:AC34"/>
    <mergeCell ref="C28:D28"/>
    <mergeCell ref="Y28:Z28"/>
    <mergeCell ref="C29:D29"/>
    <mergeCell ref="Y29:Z29"/>
    <mergeCell ref="C30:D30"/>
    <mergeCell ref="Y30:Z30"/>
    <mergeCell ref="C31:D31"/>
    <mergeCell ref="Y31:Z31"/>
    <mergeCell ref="C32:D32"/>
    <mergeCell ref="C33:D33"/>
    <mergeCell ref="Y33:Z33"/>
    <mergeCell ref="C34:D34"/>
    <mergeCell ref="Y34:Z34"/>
    <mergeCell ref="A35:A41"/>
    <mergeCell ref="C35:D35"/>
    <mergeCell ref="R35:R41"/>
    <mergeCell ref="Y35:Z35"/>
    <mergeCell ref="Y40:Z40"/>
    <mergeCell ref="C41:D41"/>
    <mergeCell ref="Y41:Z41"/>
    <mergeCell ref="A42:A48"/>
    <mergeCell ref="C42:D42"/>
    <mergeCell ref="R42:R48"/>
    <mergeCell ref="Y42:Z42"/>
    <mergeCell ref="AC42:AC48"/>
    <mergeCell ref="C43:D43"/>
    <mergeCell ref="Y43:Z43"/>
    <mergeCell ref="C44:D44"/>
    <mergeCell ref="Y44:Z44"/>
    <mergeCell ref="AC35:AC41"/>
    <mergeCell ref="C36:D36"/>
    <mergeCell ref="Y36:Z36"/>
    <mergeCell ref="C37:D37"/>
    <mergeCell ref="Y37:Z37"/>
    <mergeCell ref="C38:D38"/>
    <mergeCell ref="Y38:Z38"/>
    <mergeCell ref="C39:D39"/>
    <mergeCell ref="Y39:Z39"/>
    <mergeCell ref="C40:D40"/>
    <mergeCell ref="C48:D48"/>
    <mergeCell ref="Y48:Z48"/>
    <mergeCell ref="A49:A56"/>
    <mergeCell ref="C49:D49"/>
    <mergeCell ref="R49:R56"/>
    <mergeCell ref="Y49:Z49"/>
    <mergeCell ref="C45:D45"/>
    <mergeCell ref="Y45:Z45"/>
    <mergeCell ref="C46:D46"/>
    <mergeCell ref="Y46:Z46"/>
    <mergeCell ref="C47:D47"/>
    <mergeCell ref="Y47:Z47"/>
    <mergeCell ref="AC49:AC56"/>
    <mergeCell ref="C50:D50"/>
    <mergeCell ref="Y50:Z50"/>
    <mergeCell ref="C51:D51"/>
    <mergeCell ref="C54:D54"/>
    <mergeCell ref="Y54:Z54"/>
    <mergeCell ref="C55:D55"/>
    <mergeCell ref="Y55:Z55"/>
    <mergeCell ref="C56:D56"/>
    <mergeCell ref="Y56:Z56"/>
    <mergeCell ref="A57:A63"/>
    <mergeCell ref="C57:D57"/>
    <mergeCell ref="R57:R63"/>
    <mergeCell ref="Y57:Z57"/>
    <mergeCell ref="AC57:AC63"/>
    <mergeCell ref="C58:D58"/>
    <mergeCell ref="Y58:Z58"/>
    <mergeCell ref="C59:D59"/>
    <mergeCell ref="Y59:Z59"/>
    <mergeCell ref="C60:D60"/>
    <mergeCell ref="Y60:Z60"/>
    <mergeCell ref="C61:D61"/>
    <mergeCell ref="Y61:Z61"/>
    <mergeCell ref="C62:D62"/>
    <mergeCell ref="Y62:Z62"/>
    <mergeCell ref="C63:D63"/>
    <mergeCell ref="Y63:Z63"/>
    <mergeCell ref="Y67:Z67"/>
    <mergeCell ref="C68:D68"/>
    <mergeCell ref="Y68:Z68"/>
    <mergeCell ref="A64:A70"/>
    <mergeCell ref="C64:D64"/>
    <mergeCell ref="R64:R70"/>
    <mergeCell ref="Y64:Z64"/>
    <mergeCell ref="AC64:AC70"/>
    <mergeCell ref="C65:D65"/>
    <mergeCell ref="Y65:Z65"/>
    <mergeCell ref="C66:D66"/>
    <mergeCell ref="Y66:Z66"/>
    <mergeCell ref="C67:D67"/>
    <mergeCell ref="C69:D69"/>
    <mergeCell ref="Y69:Z69"/>
    <mergeCell ref="C70:D70"/>
    <mergeCell ref="Y70:Z70"/>
  </mergeCells>
  <phoneticPr fontId="3" type="noConversion"/>
  <conditionalFormatting sqref="O56:O57 O60:O70 O5:O9 O11:O13 O17:O54">
    <cfRule type="cellIs" dxfId="1330" priority="44" operator="greaterThan">
      <formula>0</formula>
    </cfRule>
  </conditionalFormatting>
  <conditionalFormatting sqref="P5:P7 P60:P62 AA60:AA62 P64:P69 P27:P33 P57 P9 P11:P13 P18:P25 P49:P54 P35:P47 AA5:AA57 AA64:AA70">
    <cfRule type="cellIs" dxfId="1329" priority="48" operator="lessThan">
      <formula>0</formula>
    </cfRule>
  </conditionalFormatting>
  <conditionalFormatting sqref="AB60:AB62 Q56:Q57 Q60:Q70 Q5:Q9 Q11:Q13 Q17:Q54 AB5:AB57 AB64:AB70">
    <cfRule type="cellIs" dxfId="1328" priority="45" operator="greaterThan">
      <formula>1</formula>
    </cfRule>
    <cfRule type="cellIs" dxfId="1327" priority="46" operator="lessThan">
      <formula>0.8</formula>
    </cfRule>
  </conditionalFormatting>
  <conditionalFormatting sqref="AC12:AC13 R12:R13 AC60 R17:R23 AC17:AC23 AC56:AC57 R56:R57 R60:R70 AC5:AC9 R5:R9 AC26:AC54 R26:R54">
    <cfRule type="cellIs" dxfId="1326" priority="50" operator="lessThan">
      <formula>0.8</formula>
    </cfRule>
  </conditionalFormatting>
  <conditionalFormatting sqref="AC42">
    <cfRule type="cellIs" dxfId="1325" priority="52" operator="lessThan">
      <formula>0.8</formula>
    </cfRule>
  </conditionalFormatting>
  <conditionalFormatting sqref="AC18:AC23">
    <cfRule type="cellIs" dxfId="1324" priority="49" operator="lessThan">
      <formula>0.8</formula>
    </cfRule>
  </conditionalFormatting>
  <conditionalFormatting sqref="AC27">
    <cfRule type="cellIs" dxfId="1323" priority="51" operator="lessThan">
      <formula>0.8</formula>
    </cfRule>
  </conditionalFormatting>
  <conditionalFormatting sqref="AC35:AC40">
    <cfRule type="cellIs" dxfId="1322" priority="47" operator="lessThan">
      <formula>0.8</formula>
    </cfRule>
  </conditionalFormatting>
  <conditionalFormatting sqref="AA63">
    <cfRule type="cellIs" dxfId="1321" priority="43" operator="lessThan">
      <formula>0</formula>
    </cfRule>
  </conditionalFormatting>
  <conditionalFormatting sqref="AB63">
    <cfRule type="cellIs" dxfId="1320" priority="41" operator="greaterThan">
      <formula>1</formula>
    </cfRule>
    <cfRule type="cellIs" dxfId="1319" priority="42" operator="lessThan">
      <formula>0.8</formula>
    </cfRule>
  </conditionalFormatting>
  <conditionalFormatting sqref="O14:O15">
    <cfRule type="cellIs" dxfId="1318" priority="36" operator="greaterThan">
      <formula>0</formula>
    </cfRule>
  </conditionalFormatting>
  <conditionalFormatting sqref="P14:P15">
    <cfRule type="cellIs" dxfId="1317" priority="39" operator="lessThan">
      <formula>0</formula>
    </cfRule>
  </conditionalFormatting>
  <conditionalFormatting sqref="Q14:Q15">
    <cfRule type="cellIs" dxfId="1316" priority="37" operator="greaterThan">
      <formula>1</formula>
    </cfRule>
    <cfRule type="cellIs" dxfId="1315" priority="38" operator="lessThan">
      <formula>0.8</formula>
    </cfRule>
  </conditionalFormatting>
  <conditionalFormatting sqref="R14:R15 AC14:AC15">
    <cfRule type="cellIs" dxfId="1314" priority="40" operator="lessThan">
      <formula>0.8</formula>
    </cfRule>
  </conditionalFormatting>
  <conditionalFormatting sqref="O10">
    <cfRule type="cellIs" dxfId="1313" priority="32" operator="greaterThan">
      <formula>0</formula>
    </cfRule>
  </conditionalFormatting>
  <conditionalFormatting sqref="P10">
    <cfRule type="cellIs" dxfId="1312" priority="35" operator="lessThan">
      <formula>0</formula>
    </cfRule>
  </conditionalFormatting>
  <conditionalFormatting sqref="Q10">
    <cfRule type="cellIs" dxfId="1311" priority="33" operator="greaterThan">
      <formula>1</formula>
    </cfRule>
    <cfRule type="cellIs" dxfId="1310" priority="34" operator="lessThan">
      <formula>0.8</formula>
    </cfRule>
  </conditionalFormatting>
  <conditionalFormatting sqref="O55">
    <cfRule type="cellIs" dxfId="1309" priority="27" operator="greaterThan">
      <formula>0</formula>
    </cfRule>
  </conditionalFormatting>
  <conditionalFormatting sqref="P55">
    <cfRule type="cellIs" dxfId="1308" priority="30" operator="lessThan">
      <formula>0</formula>
    </cfRule>
  </conditionalFormatting>
  <conditionalFormatting sqref="Q55">
    <cfRule type="cellIs" dxfId="1307" priority="28" operator="greaterThan">
      <formula>1</formula>
    </cfRule>
    <cfRule type="cellIs" dxfId="1306" priority="29" operator="lessThan">
      <formula>0.8</formula>
    </cfRule>
  </conditionalFormatting>
  <conditionalFormatting sqref="R55 AC55">
    <cfRule type="cellIs" dxfId="1305" priority="31" operator="lessThan">
      <formula>0.8</formula>
    </cfRule>
  </conditionalFormatting>
  <conditionalFormatting sqref="AC25 R25">
    <cfRule type="cellIs" dxfId="1304" priority="26" operator="lessThan">
      <formula>0.8</formula>
    </cfRule>
  </conditionalFormatting>
  <conditionalFormatting sqref="O59">
    <cfRule type="cellIs" dxfId="1303" priority="21" operator="greaterThan">
      <formula>0</formula>
    </cfRule>
  </conditionalFormatting>
  <conditionalFormatting sqref="P59 AA59">
    <cfRule type="cellIs" dxfId="1302" priority="24" operator="lessThan">
      <formula>0</formula>
    </cfRule>
  </conditionalFormatting>
  <conditionalFormatting sqref="Q59 AB59">
    <cfRule type="cellIs" dxfId="1301" priority="22" operator="greaterThan">
      <formula>1</formula>
    </cfRule>
    <cfRule type="cellIs" dxfId="1300" priority="23" operator="lessThan">
      <formula>0.8</formula>
    </cfRule>
  </conditionalFormatting>
  <conditionalFormatting sqref="R59 AC59">
    <cfRule type="cellIs" dxfId="1299" priority="25" operator="lessThan">
      <formula>0.8</formula>
    </cfRule>
  </conditionalFormatting>
  <conditionalFormatting sqref="O16">
    <cfRule type="cellIs" dxfId="1298" priority="16" operator="greaterThan">
      <formula>0</formula>
    </cfRule>
  </conditionalFormatting>
  <conditionalFormatting sqref="P16">
    <cfRule type="cellIs" dxfId="1297" priority="19" operator="lessThan">
      <formula>0</formula>
    </cfRule>
  </conditionalFormatting>
  <conditionalFormatting sqref="Q16">
    <cfRule type="cellIs" dxfId="1296" priority="17" operator="greaterThan">
      <formula>1</formula>
    </cfRule>
    <cfRule type="cellIs" dxfId="1295" priority="18" operator="lessThan">
      <formula>0.8</formula>
    </cfRule>
  </conditionalFormatting>
  <conditionalFormatting sqref="R16 AC16">
    <cfRule type="cellIs" dxfId="1294" priority="20" operator="lessThan">
      <formula>0.8</formula>
    </cfRule>
  </conditionalFormatting>
  <conditionalFormatting sqref="R24 AC24">
    <cfRule type="cellIs" dxfId="1293" priority="15" operator="lessThan">
      <formula>0.8</formula>
    </cfRule>
  </conditionalFormatting>
  <conditionalFormatting sqref="AC24">
    <cfRule type="cellIs" dxfId="1292" priority="14" operator="lessThan">
      <formula>0.8</formula>
    </cfRule>
  </conditionalFormatting>
  <conditionalFormatting sqref="O58">
    <cfRule type="cellIs" dxfId="1291" priority="9" operator="greaterThan">
      <formula>0</formula>
    </cfRule>
  </conditionalFormatting>
  <conditionalFormatting sqref="P58 AA58">
    <cfRule type="cellIs" dxfId="1290" priority="12" operator="lessThan">
      <formula>0</formula>
    </cfRule>
  </conditionalFormatting>
  <conditionalFormatting sqref="Q58 AB58">
    <cfRule type="cellIs" dxfId="1289" priority="10" operator="greaterThan">
      <formula>1</formula>
    </cfRule>
    <cfRule type="cellIs" dxfId="1288" priority="11" operator="lessThan">
      <formula>0.8</formula>
    </cfRule>
  </conditionalFormatting>
  <conditionalFormatting sqref="R58 AC58">
    <cfRule type="cellIs" dxfId="1287" priority="13" operator="lessThan">
      <formula>0.8</formula>
    </cfRule>
  </conditionalFormatting>
  <conditionalFormatting sqref="P8">
    <cfRule type="cellIs" dxfId="1286" priority="8" operator="lessThan">
      <formula>0</formula>
    </cfRule>
  </conditionalFormatting>
  <conditionalFormatting sqref="P17">
    <cfRule type="cellIs" dxfId="1285" priority="7" operator="lessThan">
      <formula>0</formula>
    </cfRule>
  </conditionalFormatting>
  <conditionalFormatting sqref="P26">
    <cfRule type="cellIs" dxfId="1284" priority="6" operator="lessThan">
      <formula>0</formula>
    </cfRule>
  </conditionalFormatting>
  <conditionalFormatting sqref="P34">
    <cfRule type="cellIs" dxfId="1283" priority="5" operator="lessThan">
      <formula>0</formula>
    </cfRule>
  </conditionalFormatting>
  <conditionalFormatting sqref="P48">
    <cfRule type="cellIs" dxfId="1282" priority="4" operator="lessThan">
      <formula>0</formula>
    </cfRule>
  </conditionalFormatting>
  <conditionalFormatting sqref="P56">
    <cfRule type="cellIs" dxfId="1281" priority="3" operator="lessThan">
      <formula>0</formula>
    </cfRule>
  </conditionalFormatting>
  <conditionalFormatting sqref="P63">
    <cfRule type="cellIs" dxfId="1280" priority="2" operator="lessThan">
      <formula>0</formula>
    </cfRule>
  </conditionalFormatting>
  <conditionalFormatting sqref="P70">
    <cfRule type="cellIs" dxfId="1279" priority="1" operator="lessThan">
      <formula>0</formula>
    </cfRule>
  </conditionalFormatting>
  <dataValidations count="1">
    <dataValidation type="list" allowBlank="1" showInputMessage="1" showErrorMessage="1" sqref="Z8 Z61:Z62 Y5:Z7 Y8:Y62 Z10:Z57 Y63:Z70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="85" zoomScaleNormal="85" workbookViewId="0">
      <selection activeCell="G7" sqref="G7:H7"/>
    </sheetView>
  </sheetViews>
  <sheetFormatPr defaultColWidth="8.75" defaultRowHeight="15.75"/>
  <cols>
    <col min="1" max="1" width="8.75" style="2"/>
    <col min="2" max="2" width="17.875" style="2" customWidth="1"/>
    <col min="3" max="3" width="9.25" style="9" customWidth="1"/>
    <col min="4" max="13" width="12.625" style="2" customWidth="1"/>
    <col min="14" max="14" width="11" style="2" bestFit="1" customWidth="1"/>
    <col min="15" max="15" width="17.75" style="2" bestFit="1" customWidth="1"/>
    <col min="16" max="16" width="12.25" style="2" bestFit="1" customWidth="1"/>
    <col min="17" max="22" width="9.25" style="2" customWidth="1"/>
    <col min="23" max="23" width="10.75" style="2" customWidth="1"/>
    <col min="24" max="24" width="11" style="2" customWidth="1"/>
    <col min="25" max="16384" width="8.75" style="2"/>
  </cols>
  <sheetData>
    <row r="1" spans="2:17" ht="27.75" customHeight="1">
      <c r="B1" s="546" t="s">
        <v>1329</v>
      </c>
      <c r="C1" s="546"/>
      <c r="D1" s="546"/>
      <c r="E1" s="546"/>
      <c r="F1" s="546"/>
      <c r="G1" s="546"/>
      <c r="H1" s="546"/>
      <c r="I1" s="546"/>
      <c r="J1" s="546"/>
      <c r="K1" s="1"/>
      <c r="L1" s="1"/>
      <c r="M1" s="1"/>
      <c r="N1" s="1"/>
      <c r="O1" s="1"/>
      <c r="P1" s="1"/>
    </row>
    <row r="2" spans="2:17" ht="27.75" customHeight="1">
      <c r="B2" s="547"/>
      <c r="C2" s="547"/>
      <c r="D2" s="547"/>
      <c r="E2" s="547"/>
      <c r="F2" s="547"/>
      <c r="G2" s="547"/>
      <c r="H2" s="547"/>
      <c r="I2" s="547"/>
      <c r="J2" s="547"/>
      <c r="K2" s="3"/>
      <c r="L2" s="3"/>
      <c r="M2" s="3"/>
      <c r="N2" s="1"/>
      <c r="O2" s="1"/>
      <c r="P2" s="1"/>
    </row>
    <row r="3" spans="2:17" ht="46.5" customHeight="1">
      <c r="B3" s="4" t="s">
        <v>1330</v>
      </c>
      <c r="C3" s="548" t="str">
        <f>TEXT('1219 4度C'!A2,"yyyy.mm.ddaaaa")</f>
        <v>2025.12.19星期五</v>
      </c>
      <c r="D3" s="549"/>
      <c r="E3" s="4" t="s">
        <v>1331</v>
      </c>
      <c r="F3" s="550">
        <f>'1219 4度C'!D1</f>
        <v>143490</v>
      </c>
      <c r="G3" s="551"/>
      <c r="H3" s="4" t="s">
        <v>1332</v>
      </c>
      <c r="I3" s="552">
        <f>'1219 4度C'!F1</f>
        <v>4825401.3800000008</v>
      </c>
      <c r="J3" s="553"/>
      <c r="K3" s="5"/>
      <c r="L3" s="6"/>
      <c r="M3" s="7"/>
      <c r="N3" s="7"/>
    </row>
    <row r="4" spans="2:17" ht="28.5" customHeight="1">
      <c r="B4" s="554" t="s">
        <v>1333</v>
      </c>
      <c r="C4" s="536" t="s">
        <v>1334</v>
      </c>
      <c r="D4" s="537"/>
      <c r="E4" s="557" t="s">
        <v>1335</v>
      </c>
      <c r="F4" s="558"/>
      <c r="G4" s="557" t="s">
        <v>1336</v>
      </c>
      <c r="H4" s="558"/>
      <c r="I4" s="557" t="s">
        <v>1337</v>
      </c>
      <c r="J4" s="558"/>
      <c r="L4" s="7"/>
      <c r="M4" s="7"/>
      <c r="N4" s="7"/>
    </row>
    <row r="5" spans="2:17" ht="28.5" customHeight="1">
      <c r="B5" s="555"/>
      <c r="C5" s="536" t="s">
        <v>1338</v>
      </c>
      <c r="D5" s="537"/>
      <c r="E5" s="536" t="s">
        <v>1339</v>
      </c>
      <c r="F5" s="537"/>
      <c r="G5" s="538" t="s">
        <v>1340</v>
      </c>
      <c r="H5" s="539"/>
      <c r="I5" s="540" t="s">
        <v>1341</v>
      </c>
      <c r="J5" s="541"/>
      <c r="K5" s="7"/>
      <c r="L5" s="7"/>
      <c r="M5" s="7"/>
      <c r="N5" s="7"/>
    </row>
    <row r="6" spans="2:17" ht="28.5" customHeight="1">
      <c r="B6" s="555"/>
      <c r="C6" s="536" t="s">
        <v>46</v>
      </c>
      <c r="D6" s="537"/>
      <c r="E6" s="542">
        <f>AVERAGE(D13:M13)</f>
        <v>148.57721986977987</v>
      </c>
      <c r="F6" s="543">
        <f>AVERAGE(D27:O27,D13:J13)</f>
        <v>152.61987874257707</v>
      </c>
      <c r="G6" s="544">
        <f>AVERAGE(D13:J13)</f>
        <v>152.61987874257707</v>
      </c>
      <c r="H6" s="545"/>
      <c r="I6" s="544">
        <f>AVERAGE(K13:M13)</f>
        <v>139.14434916658638</v>
      </c>
      <c r="J6" s="545"/>
      <c r="K6" s="7"/>
      <c r="L6" s="7"/>
      <c r="M6" s="7"/>
      <c r="N6" s="7"/>
    </row>
    <row r="7" spans="2:17" ht="28.5" customHeight="1">
      <c r="B7" s="555"/>
      <c r="C7" s="526" t="s">
        <v>47</v>
      </c>
      <c r="D7" s="527"/>
      <c r="E7" s="528">
        <f>AVERAGE(D14:M14)</f>
        <v>141.61385661168003</v>
      </c>
      <c r="F7" s="529">
        <f>AVERAGE(D28:O28,D14:J14)</f>
        <v>145.16911147735851</v>
      </c>
      <c r="G7" s="530">
        <f>AVERAGE(D14:J14)</f>
        <v>145.16911147735851</v>
      </c>
      <c r="H7" s="531"/>
      <c r="I7" s="530">
        <f>AVERAGE(K14:M14)</f>
        <v>133.31826192509689</v>
      </c>
      <c r="J7" s="531"/>
      <c r="K7" s="7"/>
      <c r="L7" s="7"/>
      <c r="M7" s="7"/>
      <c r="N7" s="7"/>
    </row>
    <row r="8" spans="2:17" ht="28.5" customHeight="1">
      <c r="B8" s="556"/>
      <c r="C8" s="526" t="s">
        <v>48</v>
      </c>
      <c r="D8" s="527"/>
      <c r="E8" s="532">
        <f>AVERAGE(D15:M15)</f>
        <v>0.95038772142582784</v>
      </c>
      <c r="F8" s="533">
        <f>AVERAGE(D15:J15,D29:O29)</f>
        <v>0.94708604281478537</v>
      </c>
      <c r="G8" s="534">
        <f>AVERAGE(D15:J15)</f>
        <v>0.94708604281478537</v>
      </c>
      <c r="H8" s="535"/>
      <c r="I8" s="534">
        <f>AVERAGE(K15:M15)</f>
        <v>0.95809163818492704</v>
      </c>
      <c r="J8" s="535"/>
      <c r="K8" s="8" t="s">
        <v>1342</v>
      </c>
      <c r="L8" s="7"/>
      <c r="M8" s="7"/>
      <c r="N8" s="7"/>
    </row>
    <row r="9" spans="2:17" ht="28.5" customHeight="1" thickBot="1">
      <c r="H9" s="10"/>
      <c r="N9" s="7"/>
      <c r="O9" s="7"/>
      <c r="P9" s="7"/>
      <c r="Q9" s="7"/>
    </row>
    <row r="10" spans="2:17" ht="30" customHeight="1">
      <c r="B10" s="509" t="s">
        <v>1343</v>
      </c>
      <c r="C10" s="510"/>
      <c r="D10" s="511" t="s">
        <v>1344</v>
      </c>
      <c r="E10" s="512"/>
      <c r="F10" s="512"/>
      <c r="G10" s="512"/>
      <c r="H10" s="512"/>
      <c r="I10" s="512"/>
      <c r="J10" s="513"/>
      <c r="K10" s="514" t="s">
        <v>1345</v>
      </c>
      <c r="L10" s="515"/>
      <c r="M10" s="516"/>
      <c r="P10" s="11"/>
      <c r="Q10" s="11"/>
    </row>
    <row r="11" spans="2:17" ht="17.25" customHeight="1">
      <c r="B11" s="517" t="s">
        <v>1346</v>
      </c>
      <c r="C11" s="518"/>
      <c r="D11" s="12">
        <v>1</v>
      </c>
      <c r="E11" s="13">
        <v>2</v>
      </c>
      <c r="F11" s="13">
        <v>3</v>
      </c>
      <c r="G11" s="13">
        <v>4</v>
      </c>
      <c r="H11" s="13">
        <v>5</v>
      </c>
      <c r="I11" s="13">
        <v>6</v>
      </c>
      <c r="J11" s="14">
        <v>7</v>
      </c>
      <c r="K11" s="12">
        <v>1</v>
      </c>
      <c r="L11" s="13">
        <v>2</v>
      </c>
      <c r="M11" s="14">
        <v>3</v>
      </c>
      <c r="P11" s="11"/>
      <c r="Q11" s="11"/>
    </row>
    <row r="12" spans="2:17" ht="34.15" customHeight="1">
      <c r="B12" s="519"/>
      <c r="C12" s="520"/>
      <c r="D12" s="15" t="s">
        <v>49</v>
      </c>
      <c r="E12" s="16" t="s">
        <v>50</v>
      </c>
      <c r="F12" s="16" t="s">
        <v>51</v>
      </c>
      <c r="G12" s="16" t="s">
        <v>52</v>
      </c>
      <c r="H12" s="16" t="s">
        <v>53</v>
      </c>
      <c r="I12" s="16" t="s">
        <v>54</v>
      </c>
      <c r="J12" s="17" t="s">
        <v>55</v>
      </c>
      <c r="K12" s="15" t="s">
        <v>56</v>
      </c>
      <c r="L12" s="16" t="s">
        <v>57</v>
      </c>
      <c r="M12" s="17" t="s">
        <v>58</v>
      </c>
    </row>
    <row r="13" spans="2:17" ht="40.15" customHeight="1">
      <c r="B13" s="521" t="s">
        <v>1347</v>
      </c>
      <c r="C13" s="18" t="s">
        <v>1348</v>
      </c>
      <c r="D13" s="19">
        <f>SUMIFS('1219 4度C'!$K:$K,'1219 4度C'!$A:$A,"新豐6線",'1219 4度C'!$B:$B,"平均")</f>
        <v>133.33333333333334</v>
      </c>
      <c r="E13" s="20">
        <f>SUMIFS('1219 4度C'!$K:$K,'1219 4度C'!$A:$A,"新豐2線",'1219 4度C'!$B:$B,"平均")</f>
        <v>83.333333333333329</v>
      </c>
      <c r="F13" s="21">
        <f>SUMIFS('1219 4度C'!$K:$K,'1219 4度C'!$A:$A,"新豐5線",'1219 4度C'!$B:$B,"平均")</f>
        <v>93.406593406593416</v>
      </c>
      <c r="G13" s="21">
        <f>SUMIFS('1219 4度C'!$K:$K,'1219 4度C'!$A:$A,"新豐7線",'1219 4度C'!$B:$B,"平均")</f>
        <v>118.32061068702291</v>
      </c>
      <c r="H13" s="21">
        <f>SUMIFS('1219 4度C'!$K:$K,'1219 4度C'!$A:$A,"新豐3線",'1219 4度C'!$B:$B,"平均")</f>
        <v>235.29411764705881</v>
      </c>
      <c r="I13" s="21">
        <f>SUMIFS('1219 4度C'!$K:$K,'1219 4度C'!$A:$A,"新豐1線",'1219 4度C'!$B:$B,"平均")</f>
        <v>104.65116279069768</v>
      </c>
      <c r="J13" s="22">
        <f>SUMIFS('1219 4度C'!$K:$K,'1219 4度C'!$A:$A,"新豐10線",'1219 4度C'!$B:$B,"平均")</f>
        <v>300</v>
      </c>
      <c r="K13" s="23">
        <f>SUMIFS('1219 4度C'!$K:$K,'1219 4度C'!$A:$A,"新豐8線",'1219 4度C'!$B:$B,"平均")</f>
        <v>134.4</v>
      </c>
      <c r="L13" s="24">
        <f>SUMIFS('1219 4度C'!$K:$K,'1219 4度C'!$A:$A,"新豐9線",'1219 4度C'!$B:$B,"平均")</f>
        <v>134.57943925233647</v>
      </c>
      <c r="M13" s="22">
        <f>SUMIFS('1219 4度C'!$K:$K,'1219 4度C'!$A:$A,"新豐4線",'1219 4度C'!$B:$B,"平均")</f>
        <v>148.45360824742266</v>
      </c>
    </row>
    <row r="14" spans="2:17" ht="39.6" customHeight="1">
      <c r="B14" s="522"/>
      <c r="C14" s="25" t="s">
        <v>1349</v>
      </c>
      <c r="D14" s="26">
        <f>SUMIFS('1219 4度C'!$N:$N,'1219 4度C'!$A:$A,"新豐6線",'1219 4度C'!$B:$B,"平均")</f>
        <v>128.26630679262266</v>
      </c>
      <c r="E14" s="27">
        <f>SUMIFS('1219 4度C'!$N:$N,'1219 4度C'!$A:$A,"新豐2線",'1219 4度C'!$B:$B,"平均")</f>
        <v>79.480769230769241</v>
      </c>
      <c r="F14" s="27">
        <f>SUMIFS('1219 4度C'!$N:$N,'1219 4度C'!$A:$A,"新豐5線",'1219 4度C'!$B:$B,"平均")</f>
        <v>89.449064845865962</v>
      </c>
      <c r="G14" s="27">
        <f>SUMIFS('1219 4度C'!$N:$N,'1219 4度C'!$A:$A,"新豐7線",'1219 4度C'!$B:$B,"平均")</f>
        <v>113.74920366481085</v>
      </c>
      <c r="H14" s="27">
        <f>SUMIFS('1219 4度C'!$N:$N,'1219 4度C'!$A:$A,"新豐3線",'1219 4度C'!$B:$B,"平均")</f>
        <v>225.0466347033242</v>
      </c>
      <c r="I14" s="27">
        <f>SUMIFS('1219 4度C'!$N:$N,'1219 4度C'!$A:$A,"新豐1線",'1219 4度C'!$B:$B,"平均")</f>
        <v>91.781705020895117</v>
      </c>
      <c r="J14" s="28">
        <f>SUMIFS('1219 4度C'!$N:$N,'1219 4度C'!$A:$A,"新豐10線",'1219 4度C'!$B:$B,"平均")</f>
        <v>288.41009608322145</v>
      </c>
      <c r="K14" s="29">
        <f>SUMIFS('1219 4度C'!$N:$N,'1219 4度C'!$A:$A,"新豐8線",'1219 4度C'!$B:$B,"平均")</f>
        <v>128.94196900848149</v>
      </c>
      <c r="L14" s="30">
        <f>SUMIFS('1219 4度C'!$N:$N,'1219 4度C'!$A:$A,"新豐9線",'1219 4度C'!$B:$B,"平均")</f>
        <v>128.61045780139079</v>
      </c>
      <c r="M14" s="28">
        <f>SUMIFS('1219 4度C'!$N:$N,'1219 4度C'!$A:$A,"新豐4線",'1219 4度C'!$B:$B,"平均")</f>
        <v>142.40235896541841</v>
      </c>
    </row>
    <row r="15" spans="2:17" ht="40.15" customHeight="1">
      <c r="B15" s="523"/>
      <c r="C15" s="31" t="s">
        <v>1350</v>
      </c>
      <c r="D15" s="32">
        <f t="shared" ref="D15:M15" si="0">D14/D13</f>
        <v>0.96199730094466984</v>
      </c>
      <c r="E15" s="33">
        <f t="shared" si="0"/>
        <v>0.95376923076923092</v>
      </c>
      <c r="F15" s="33">
        <f t="shared" si="0"/>
        <v>0.9576311648204473</v>
      </c>
      <c r="G15" s="33">
        <f t="shared" si="0"/>
        <v>0.96136423742517552</v>
      </c>
      <c r="H15" s="33">
        <f t="shared" si="0"/>
        <v>0.9564481974891279</v>
      </c>
      <c r="I15" s="33">
        <f t="shared" si="0"/>
        <v>0.87702518131077545</v>
      </c>
      <c r="J15" s="34">
        <f t="shared" si="0"/>
        <v>0.96136698694407152</v>
      </c>
      <c r="K15" s="32">
        <f t="shared" si="0"/>
        <v>0.95938965036072532</v>
      </c>
      <c r="L15" s="33">
        <f t="shared" si="0"/>
        <v>0.95564715171866754</v>
      </c>
      <c r="M15" s="34">
        <f t="shared" si="0"/>
        <v>0.95923811247538804</v>
      </c>
    </row>
    <row r="16" spans="2:17" ht="17.25" customHeight="1">
      <c r="B16" s="524" t="s">
        <v>1351</v>
      </c>
      <c r="C16" s="35" t="s">
        <v>1352</v>
      </c>
      <c r="D16" s="49">
        <f>VLOOKUP("新豐6線",'1219 4度C'!$A:$T,19,0)</f>
        <v>0.70833333333333337</v>
      </c>
      <c r="E16" s="50">
        <f>VLOOKUP("新豐2線",'1219 4度C'!$A:$T,19,0)</f>
        <v>0.16666666666666666</v>
      </c>
      <c r="F16" s="50">
        <f>VLOOKUP("新豐5線",'1219 4度C'!$A:$T,19,0)</f>
        <v>0.20833333333333334</v>
      </c>
      <c r="G16" s="50">
        <f>VLOOKUP("新豐7線",'1219 4度C'!$A:$T,19,0)</f>
        <v>0.20833333333333334</v>
      </c>
      <c r="H16" s="50">
        <f>VLOOKUP("新豐3線",'1219 4度C'!$A:$T,19,0)</f>
        <v>8.3333333333333329E-2</v>
      </c>
      <c r="I16" s="50">
        <f>VLOOKUP("新豐1線",'1219 4度C'!$A:$T,19,0)</f>
        <v>0.20833333333333334</v>
      </c>
      <c r="J16" s="51">
        <f>VLOOKUP("新豐10線",'1219 4度C'!$A:$T,19,0)</f>
        <v>0.20833333333333334</v>
      </c>
      <c r="K16" s="36">
        <f>VLOOKUP("新豐8線",'1219 4度C'!$A:$T,19,0)</f>
        <v>8.3333333333333329E-2</v>
      </c>
      <c r="L16" s="37">
        <f>VLOOKUP("新豐9線",'1219 4度C'!$A:$T,19,0)</f>
        <v>8.3333333333333329E-2</v>
      </c>
      <c r="M16" s="38">
        <f>VLOOKUP("新豐4線",'1219 4度C'!$A:$T,19,0)</f>
        <v>8.3333333333333329E-2</v>
      </c>
    </row>
    <row r="17" spans="2:13" ht="17.25" customHeight="1">
      <c r="B17" s="525"/>
      <c r="C17" s="35" t="s">
        <v>1353</v>
      </c>
      <c r="D17" s="36">
        <f>LOOKUP(2,1/(('1219 4度C'!$A:$A="新豐6線")*('1219 4度C'!$T:$T&lt;&gt;"")),'1219 4度C'!$T:$T)</f>
        <v>0.83124999999999993</v>
      </c>
      <c r="E17" s="50">
        <f>LOOKUP(2,1/(('1219 4度C'!$A:$A="新豐2線")*('1219 4度C'!$T:$T&lt;&gt;"")),'1219 4度C'!$T:$T)</f>
        <v>0.4194444444444444</v>
      </c>
      <c r="F17" s="50">
        <f>LOOKUP(2,1/(('1219 4度C'!$A:$A="新豐5線")*('1219 4度C'!$T:$T&lt;&gt;"")),'1219 4度C'!$T:$T)</f>
        <v>0.83680555555555569</v>
      </c>
      <c r="G17" s="50">
        <f>LOOKUP(2,1/(('1219 4度C'!$A:$A="新豐7線")*('1219 4度C'!$T:$T&lt;&gt;"")),'1219 4度C'!$T:$T)</f>
        <v>0.8208333333333333</v>
      </c>
      <c r="H17" s="50">
        <f>LOOKUP(2,1/(('1219 4度C'!$A:$A="新豐3線")*('1219 4度C'!$T:$T&lt;&gt;"")),'1219 4度C'!$T:$T)</f>
        <v>0.44444444444444436</v>
      </c>
      <c r="I17" s="50">
        <f>LOOKUP(2,1/(('1219 4度C'!$A:$A="新豐1線")*('1219 4度C'!$T:$T&lt;&gt;"")),'1219 4度C'!$T:$T)</f>
        <v>0.83055555555555549</v>
      </c>
      <c r="J17" s="51">
        <f>LOOKUP(2,1/(('1219 4度C'!$A:$A="新豐10線")*('1219 4度C'!$T:$T&lt;&gt;"")),'1219 4度C'!$T:$T)</f>
        <v>0.44722222222222213</v>
      </c>
      <c r="K17" s="49">
        <f>LOOKUP(2,1/(('1219 4度C'!$A:$A="新豐8線")*('1219 4度C'!$T:$T&lt;&gt;"")),'1219 4度C'!$T:$T)</f>
        <v>0.58749999999999991</v>
      </c>
      <c r="L17" s="50">
        <f>LOOKUP(2,1/(('1219 4度C'!$A:$A="新豐9線")*('1219 4度C'!$T:$T&lt;&gt;"")),'1219 4度C'!$T:$T)</f>
        <v>0.49930555555555545</v>
      </c>
      <c r="M17" s="51">
        <f>LOOKUP(2,1/(('1219 4度C'!$A:$A="新豐4線")*('1219 4度C'!$T:$T&lt;&gt;"")),'1219 4度C'!$T:$T)</f>
        <v>0.58819444444444446</v>
      </c>
    </row>
    <row r="18" spans="2:13" ht="17.25" customHeight="1">
      <c r="B18" s="503" t="s">
        <v>1354</v>
      </c>
      <c r="C18" s="504"/>
      <c r="D18" s="39">
        <f>SUMIFS('1219 4度C'!$I:$I,'1219 4度C'!$A:$A,"新豐6線",'1219 4度C'!$B:$B,"平均")</f>
        <v>15</v>
      </c>
      <c r="E18" s="40">
        <f>SUMIFS('1219 4度C'!$I:$I,'1219 4度C'!$A:$A,"新豐2線",'1219 4度C'!$B:$B,"平均")</f>
        <v>18</v>
      </c>
      <c r="F18" s="40">
        <f>SUMIFS('1219 4度C'!$I:$I,'1219 4度C'!$A:$A,"新豐5線",'1219 4度C'!$B:$B,"平均")</f>
        <v>18.2</v>
      </c>
      <c r="G18" s="40">
        <f>SUMIFS('1219 4度C'!$I:$I,'1219 4度C'!$A:$A,"新豐7線",'1219 4度C'!$B:$B,"平均")</f>
        <v>16.375</v>
      </c>
      <c r="H18" s="40">
        <f>SUMIFS('1219 4度C'!$I:$I,'1219 4度C'!$A:$A,"新豐3線",'1219 4度C'!$B:$B,"平均")</f>
        <v>11.333333333333334</v>
      </c>
      <c r="I18" s="40">
        <f>SUMIFS('1219 4度C'!$I:$I,'1219 4度C'!$A:$A,"新豐1線",'1219 4度C'!$B:$B,"平均")</f>
        <v>18.428571428571427</v>
      </c>
      <c r="J18" s="41">
        <f>SUMIFS('1219 4度C'!$I:$I,'1219 4度C'!$A:$A,"新豐10線",'1219 4度C'!$B:$B,"平均")</f>
        <v>9.1666666666666661</v>
      </c>
      <c r="K18" s="39">
        <f>SUMIFS('1219 4度C'!$I:$I,'1219 4度C'!$A:$A,"新豐8線",'1219 4度C'!$B:$B,"平均")</f>
        <v>17.857142857142858</v>
      </c>
      <c r="L18" s="40">
        <f>SUMIFS('1219 4度C'!$I:$I,'1219 4度C'!$A:$A,"新豐9線",'1219 4度C'!$B:$B,"平均")</f>
        <v>17.833333333333332</v>
      </c>
      <c r="M18" s="41">
        <f>SUMIFS('1219 4度C'!$I:$I,'1219 4度C'!$A:$A,"新豐4線",'1219 4度C'!$B:$B,"平均")</f>
        <v>16.166666666666668</v>
      </c>
    </row>
    <row r="19" spans="2:13" ht="17.25" customHeight="1">
      <c r="B19" s="503" t="s">
        <v>1355</v>
      </c>
      <c r="C19" s="504"/>
      <c r="D19" s="42" t="s">
        <v>59</v>
      </c>
      <c r="E19" s="43" t="s">
        <v>60</v>
      </c>
      <c r="F19" s="43" t="s">
        <v>1356</v>
      </c>
      <c r="G19" s="43" t="s">
        <v>1356</v>
      </c>
      <c r="H19" s="43" t="s">
        <v>61</v>
      </c>
      <c r="I19" s="43" t="s">
        <v>59</v>
      </c>
      <c r="J19" s="44" t="s">
        <v>61</v>
      </c>
      <c r="K19" s="42" t="s">
        <v>1357</v>
      </c>
      <c r="L19" s="43" t="s">
        <v>1358</v>
      </c>
      <c r="M19" s="44" t="s">
        <v>1358</v>
      </c>
    </row>
    <row r="20" spans="2:13" ht="17.25" customHeight="1">
      <c r="B20" s="503" t="s">
        <v>1359</v>
      </c>
      <c r="C20" s="504"/>
      <c r="D20" s="42"/>
      <c r="E20" s="43"/>
      <c r="F20" s="43" t="s">
        <v>1360</v>
      </c>
      <c r="G20" s="43" t="s">
        <v>59</v>
      </c>
      <c r="H20" s="43"/>
      <c r="I20" s="43"/>
      <c r="J20" s="44"/>
      <c r="K20" s="42"/>
      <c r="L20" s="43"/>
      <c r="M20" s="44"/>
    </row>
    <row r="21" spans="2:13" ht="17.25" customHeight="1" thickBot="1">
      <c r="B21" s="505" t="s">
        <v>1361</v>
      </c>
      <c r="C21" s="506"/>
      <c r="D21" s="45"/>
      <c r="E21" s="46" t="s">
        <v>1362</v>
      </c>
      <c r="F21" s="507" t="s">
        <v>1363</v>
      </c>
      <c r="G21" s="508"/>
      <c r="H21" s="46" t="s">
        <v>1364</v>
      </c>
      <c r="I21" s="46" t="s">
        <v>1365</v>
      </c>
      <c r="J21" s="47" t="s">
        <v>1366</v>
      </c>
      <c r="K21" s="48"/>
      <c r="L21" s="46"/>
      <c r="M21" s="4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20:C20"/>
    <mergeCell ref="B21:C21"/>
    <mergeCell ref="F21:G21"/>
    <mergeCell ref="K10:M10"/>
    <mergeCell ref="B11:C12"/>
    <mergeCell ref="B13:B15"/>
    <mergeCell ref="B18:C18"/>
    <mergeCell ref="B19:C19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1278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C71"/>
  <sheetViews>
    <sheetView zoomScale="80" zoomScaleNormal="80" workbookViewId="0">
      <pane ySplit="4" topLeftCell="A5" activePane="bottomLeft" state="frozen"/>
      <selection activeCell="G8" sqref="G8:H8"/>
      <selection pane="bottomLeft" activeCell="G8" sqref="G8:H8"/>
    </sheetView>
  </sheetViews>
  <sheetFormatPr defaultColWidth="8" defaultRowHeight="15.75"/>
  <cols>
    <col min="1" max="1" width="15.125" style="54" customWidth="1"/>
    <col min="2" max="2" width="19.375" style="54" customWidth="1"/>
    <col min="3" max="3" width="15.25" style="54" customWidth="1"/>
    <col min="4" max="4" width="17.5" style="54" customWidth="1"/>
    <col min="5" max="5" width="7.5" style="54" bestFit="1" customWidth="1"/>
    <col min="6" max="6" width="14.375" style="54" bestFit="1" customWidth="1"/>
    <col min="7" max="7" width="14.375" style="54" customWidth="1"/>
    <col min="8" max="8" width="8" style="54" customWidth="1"/>
    <col min="9" max="9" width="5.875" style="54" customWidth="1"/>
    <col min="10" max="10" width="10.625" style="54" customWidth="1"/>
    <col min="11" max="11" width="14.625" style="54" customWidth="1"/>
    <col min="12" max="12" width="7.25" style="54" bestFit="1" customWidth="1"/>
    <col min="13" max="13" width="8" style="54" customWidth="1"/>
    <col min="14" max="14" width="12" style="54" customWidth="1"/>
    <col min="15" max="15" width="6" style="54" customWidth="1"/>
    <col min="16" max="16" width="9.25" style="54" customWidth="1"/>
    <col min="17" max="17" width="11.5" style="54" customWidth="1"/>
    <col min="18" max="18" width="8.5" style="54" customWidth="1"/>
    <col min="19" max="19" width="10.125" style="73" bestFit="1" customWidth="1"/>
    <col min="20" max="20" width="7.625" style="73" bestFit="1" customWidth="1"/>
    <col min="21" max="21" width="10.25" style="54" bestFit="1" customWidth="1"/>
    <col min="22" max="22" width="8.75" style="71" customWidth="1"/>
    <col min="23" max="23" width="7.375" style="54" customWidth="1"/>
    <col min="24" max="24" width="6.875" style="54" bestFit="1" customWidth="1"/>
    <col min="25" max="25" width="12.75" style="54" customWidth="1"/>
    <col min="26" max="26" width="18.875" style="54" customWidth="1"/>
    <col min="27" max="27" width="13.125" style="54" bestFit="1" customWidth="1"/>
    <col min="28" max="28" width="10.375" style="54" customWidth="1"/>
    <col min="29" max="29" width="9.375" style="54" customWidth="1"/>
    <col min="30" max="30" width="8" style="54"/>
    <col min="31" max="31" width="24.625" style="54" bestFit="1" customWidth="1"/>
    <col min="32" max="16384" width="8" style="54"/>
  </cols>
  <sheetData>
    <row r="1" spans="1:29" ht="26.25" customHeight="1">
      <c r="A1" s="52" t="s">
        <v>1367</v>
      </c>
      <c r="B1" s="52"/>
      <c r="C1" s="117" t="s">
        <v>147</v>
      </c>
      <c r="D1" s="118">
        <f>SUM(F5:F70)</f>
        <v>143490</v>
      </c>
      <c r="E1" s="307" t="s">
        <v>148</v>
      </c>
      <c r="F1" s="52">
        <f>SUM(G5:G70)</f>
        <v>4825401.3800000008</v>
      </c>
      <c r="G1" s="52" t="s">
        <v>149</v>
      </c>
      <c r="H1" s="53">
        <f>L8+L11+L48+L56+L17+L63+L34+L41+L26+L70</f>
        <v>158.36071428571429</v>
      </c>
      <c r="I1" s="607" t="s">
        <v>76</v>
      </c>
      <c r="J1" s="607"/>
      <c r="K1" s="607"/>
      <c r="L1" s="607" t="s">
        <v>108</v>
      </c>
      <c r="M1" s="607"/>
      <c r="N1" s="607"/>
      <c r="O1" s="607" t="s">
        <v>91</v>
      </c>
      <c r="P1" s="607"/>
      <c r="Q1" s="607"/>
      <c r="R1" s="607"/>
      <c r="S1" s="607" t="s">
        <v>1368</v>
      </c>
      <c r="T1" s="607"/>
      <c r="U1" s="607"/>
      <c r="V1" s="607"/>
      <c r="W1" s="607"/>
      <c r="X1" s="607"/>
      <c r="Y1" s="607" t="s">
        <v>77</v>
      </c>
      <c r="Z1" s="607"/>
      <c r="AA1" s="607" t="s">
        <v>110</v>
      </c>
      <c r="AB1" s="608"/>
      <c r="AC1" s="608"/>
    </row>
    <row r="2" spans="1:29" ht="26.25" customHeight="1">
      <c r="A2" s="55">
        <v>46010</v>
      </c>
      <c r="B2" s="56" t="s">
        <v>418</v>
      </c>
      <c r="C2" s="117" t="s">
        <v>66</v>
      </c>
      <c r="D2" s="119">
        <f>AVERAGE(N8,N11,N48,N56,N17,N63,N26,N34,N41,N70)</f>
        <v>141.61385661168001</v>
      </c>
      <c r="E2" s="120" t="s">
        <v>0</v>
      </c>
      <c r="F2" s="121">
        <f>F1/D1</f>
        <v>33.628833925709117</v>
      </c>
      <c r="G2" s="52" t="s">
        <v>1369</v>
      </c>
      <c r="H2" s="317">
        <f>COUNT(H5:H70)</f>
        <v>3</v>
      </c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8"/>
      <c r="AB2" s="608"/>
      <c r="AC2" s="608"/>
    </row>
    <row r="3" spans="1:29" ht="23.25" customHeight="1">
      <c r="A3" s="559" t="s">
        <v>1370</v>
      </c>
      <c r="B3" s="559" t="s">
        <v>1371</v>
      </c>
      <c r="C3" s="559" t="s">
        <v>152</v>
      </c>
      <c r="D3" s="559"/>
      <c r="E3" s="605" t="s">
        <v>1372</v>
      </c>
      <c r="F3" s="559" t="s">
        <v>79</v>
      </c>
      <c r="G3" s="605" t="s">
        <v>80</v>
      </c>
      <c r="H3" s="598" t="s">
        <v>1373</v>
      </c>
      <c r="I3" s="596" t="s">
        <v>82</v>
      </c>
      <c r="J3" s="601" t="s">
        <v>1374</v>
      </c>
      <c r="K3" s="603" t="s">
        <v>66</v>
      </c>
      <c r="L3" s="596" t="s">
        <v>82</v>
      </c>
      <c r="M3" s="601" t="s">
        <v>83</v>
      </c>
      <c r="N3" s="603" t="s">
        <v>1347</v>
      </c>
      <c r="O3" s="596" t="s">
        <v>82</v>
      </c>
      <c r="P3" s="603" t="s">
        <v>66</v>
      </c>
      <c r="Q3" s="602" t="s">
        <v>84</v>
      </c>
      <c r="R3" s="574" t="s">
        <v>1375</v>
      </c>
      <c r="S3" s="604" t="s">
        <v>1</v>
      </c>
      <c r="T3" s="604"/>
      <c r="U3" s="598" t="s">
        <v>2</v>
      </c>
      <c r="V3" s="598" t="s">
        <v>1376</v>
      </c>
      <c r="W3" s="559" t="s">
        <v>1377</v>
      </c>
      <c r="X3" s="559"/>
      <c r="Y3" s="599" t="s">
        <v>1378</v>
      </c>
      <c r="Z3" s="600"/>
      <c r="AA3" s="601" t="s">
        <v>1374</v>
      </c>
      <c r="AB3" s="602" t="s">
        <v>84</v>
      </c>
      <c r="AC3" s="574" t="s">
        <v>1379</v>
      </c>
    </row>
    <row r="4" spans="1:29">
      <c r="A4" s="559"/>
      <c r="B4" s="559"/>
      <c r="C4" s="559"/>
      <c r="D4" s="559"/>
      <c r="E4" s="606"/>
      <c r="F4" s="559"/>
      <c r="G4" s="606"/>
      <c r="H4" s="598"/>
      <c r="I4" s="596"/>
      <c r="J4" s="601"/>
      <c r="K4" s="603"/>
      <c r="L4" s="596"/>
      <c r="M4" s="601"/>
      <c r="N4" s="603"/>
      <c r="O4" s="596"/>
      <c r="P4" s="603"/>
      <c r="Q4" s="602"/>
      <c r="R4" s="574"/>
      <c r="S4" s="316" t="s">
        <v>3</v>
      </c>
      <c r="T4" s="316" t="s">
        <v>4</v>
      </c>
      <c r="U4" s="598"/>
      <c r="V4" s="598"/>
      <c r="W4" s="307" t="s">
        <v>1380</v>
      </c>
      <c r="X4" s="307" t="s">
        <v>1381</v>
      </c>
      <c r="Y4" s="600"/>
      <c r="Z4" s="600"/>
      <c r="AA4" s="601"/>
      <c r="AB4" s="602"/>
      <c r="AC4" s="574"/>
    </row>
    <row r="5" spans="1:29">
      <c r="A5" s="595" t="s">
        <v>116</v>
      </c>
      <c r="B5" s="57" t="s">
        <v>6</v>
      </c>
      <c r="C5" s="597" t="s">
        <v>9</v>
      </c>
      <c r="D5" s="597"/>
      <c r="E5" s="57">
        <v>50.67</v>
      </c>
      <c r="F5" s="316">
        <v>1344</v>
      </c>
      <c r="G5" s="307">
        <f t="shared" ref="G5:G7" si="0">E5*F5</f>
        <v>68100.479999999996</v>
      </c>
      <c r="H5" s="318" t="s">
        <v>5</v>
      </c>
      <c r="I5" s="314">
        <v>17</v>
      </c>
      <c r="J5" s="58">
        <v>2000</v>
      </c>
      <c r="K5" s="59">
        <f t="shared" ref="K5:K68" si="1">J5/I5</f>
        <v>117.64705882352941</v>
      </c>
      <c r="L5" s="314">
        <v>17</v>
      </c>
      <c r="M5" s="60">
        <f t="shared" ref="M5:M7" si="2">F5/V5*60</f>
        <v>1919.9999999999993</v>
      </c>
      <c r="N5" s="59">
        <f t="shared" ref="N5:N68" si="3">M5/L5</f>
        <v>112.94117647058819</v>
      </c>
      <c r="O5" s="61">
        <f t="shared" ref="O5:O68" si="4">L5-I5</f>
        <v>0</v>
      </c>
      <c r="P5" s="62">
        <f t="shared" ref="P5:P68" si="5">N5-K5</f>
        <v>-4.7058823529412166</v>
      </c>
      <c r="Q5" s="310">
        <f t="shared" ref="Q5:Q68" si="6">N5/K5</f>
        <v>0.95999999999999963</v>
      </c>
      <c r="R5" s="566">
        <f>Q8</f>
        <v>0.96199730094466984</v>
      </c>
      <c r="S5" s="63">
        <v>0.70833333333333337</v>
      </c>
      <c r="T5" s="63">
        <v>0.73750000000000004</v>
      </c>
      <c r="U5" s="307"/>
      <c r="V5" s="315">
        <f t="shared" ref="V5:V7" si="7">(T5-S5)*24*60</f>
        <v>42.000000000000014</v>
      </c>
      <c r="W5" s="64"/>
      <c r="X5" s="65"/>
      <c r="Y5" s="559"/>
      <c r="Z5" s="559"/>
      <c r="AA5" s="61">
        <f t="shared" ref="AA5:AA68" si="8">M5-J5</f>
        <v>-80.000000000000682</v>
      </c>
      <c r="AB5" s="310">
        <f t="shared" ref="AB5:AB68" si="9">M5/J5</f>
        <v>0.95999999999999963</v>
      </c>
      <c r="AC5" s="566">
        <f>AB8</f>
        <v>0.96199730094466984</v>
      </c>
    </row>
    <row r="6" spans="1:29">
      <c r="A6" s="596" t="s">
        <v>116</v>
      </c>
      <c r="B6" s="57" t="s">
        <v>6</v>
      </c>
      <c r="C6" s="597" t="s">
        <v>8</v>
      </c>
      <c r="D6" s="597"/>
      <c r="E6" s="57">
        <v>50.49</v>
      </c>
      <c r="F6" s="316">
        <v>1831</v>
      </c>
      <c r="G6" s="307">
        <f t="shared" si="0"/>
        <v>92447.19</v>
      </c>
      <c r="H6" s="318" t="s">
        <v>5</v>
      </c>
      <c r="I6" s="314">
        <v>15</v>
      </c>
      <c r="J6" s="58">
        <v>2000</v>
      </c>
      <c r="K6" s="59">
        <f t="shared" si="1"/>
        <v>133.33333333333334</v>
      </c>
      <c r="L6" s="314">
        <v>15</v>
      </c>
      <c r="M6" s="60">
        <f t="shared" si="2"/>
        <v>1927.368421052633</v>
      </c>
      <c r="N6" s="59">
        <f t="shared" si="3"/>
        <v>128.49122807017554</v>
      </c>
      <c r="O6" s="61">
        <f t="shared" si="4"/>
        <v>0</v>
      </c>
      <c r="P6" s="62">
        <f t="shared" si="5"/>
        <v>-4.842105263157805</v>
      </c>
      <c r="Q6" s="310">
        <f t="shared" si="6"/>
        <v>0.96368421052631648</v>
      </c>
      <c r="R6" s="566"/>
      <c r="S6" s="63">
        <v>0.74236111111111114</v>
      </c>
      <c r="T6" s="63">
        <v>0.78194444444444444</v>
      </c>
      <c r="U6" s="307">
        <f t="shared" ref="U6:U7" si="10">IF(S6=TIME(17,0,0),"",(S6-T5)*24*60)</f>
        <v>6.9999999999999751</v>
      </c>
      <c r="V6" s="315">
        <f t="shared" si="7"/>
        <v>56.999999999999957</v>
      </c>
      <c r="W6" s="64"/>
      <c r="X6" s="64"/>
      <c r="Y6" s="559"/>
      <c r="Z6" s="559"/>
      <c r="AA6" s="61">
        <f t="shared" si="8"/>
        <v>-72.631578947366961</v>
      </c>
      <c r="AB6" s="310">
        <f t="shared" si="9"/>
        <v>0.96368421052631648</v>
      </c>
      <c r="AC6" s="566"/>
    </row>
    <row r="7" spans="1:29">
      <c r="A7" s="596" t="s">
        <v>116</v>
      </c>
      <c r="B7" s="57" t="s">
        <v>6</v>
      </c>
      <c r="C7" s="590" t="s">
        <v>94</v>
      </c>
      <c r="D7" s="591"/>
      <c r="E7" s="57">
        <v>57.3</v>
      </c>
      <c r="F7" s="316">
        <v>2085</v>
      </c>
      <c r="G7" s="307">
        <f t="shared" si="0"/>
        <v>119470.5</v>
      </c>
      <c r="H7" s="318" t="s">
        <v>5</v>
      </c>
      <c r="I7" s="314">
        <v>13</v>
      </c>
      <c r="J7" s="58">
        <v>2000</v>
      </c>
      <c r="K7" s="59">
        <f t="shared" si="1"/>
        <v>153.84615384615384</v>
      </c>
      <c r="L7" s="314">
        <v>13</v>
      </c>
      <c r="M7" s="60">
        <f t="shared" si="2"/>
        <v>1924.6153846153866</v>
      </c>
      <c r="N7" s="59">
        <f t="shared" si="3"/>
        <v>148.04733727810665</v>
      </c>
      <c r="O7" s="61">
        <f t="shared" si="4"/>
        <v>0</v>
      </c>
      <c r="P7" s="62">
        <f t="shared" si="5"/>
        <v>-5.7988165680471866</v>
      </c>
      <c r="Q7" s="310">
        <f t="shared" si="6"/>
        <v>0.96230769230769331</v>
      </c>
      <c r="R7" s="566"/>
      <c r="S7" s="63">
        <v>0.78611111111111109</v>
      </c>
      <c r="T7" s="63">
        <v>0.83124999999999993</v>
      </c>
      <c r="U7" s="307">
        <f t="shared" si="10"/>
        <v>5.9999999999999787</v>
      </c>
      <c r="V7" s="315">
        <f t="shared" si="7"/>
        <v>64.999999999999929</v>
      </c>
      <c r="W7" s="64"/>
      <c r="X7" s="64"/>
      <c r="Y7" s="569"/>
      <c r="Z7" s="570"/>
      <c r="AA7" s="61">
        <f t="shared" si="8"/>
        <v>-75.384615384613426</v>
      </c>
      <c r="AB7" s="310">
        <f t="shared" si="9"/>
        <v>0.96230769230769331</v>
      </c>
      <c r="AC7" s="566"/>
    </row>
    <row r="8" spans="1:29">
      <c r="A8" s="596" t="s">
        <v>116</v>
      </c>
      <c r="B8" s="57" t="s">
        <v>1382</v>
      </c>
      <c r="C8" s="571"/>
      <c r="D8" s="571"/>
      <c r="E8" s="313"/>
      <c r="F8" s="66"/>
      <c r="G8" s="59"/>
      <c r="H8" s="316"/>
      <c r="I8" s="67">
        <v>15</v>
      </c>
      <c r="J8" s="58">
        <v>2000</v>
      </c>
      <c r="K8" s="59">
        <f t="shared" si="1"/>
        <v>133.33333333333334</v>
      </c>
      <c r="L8" s="67">
        <v>15</v>
      </c>
      <c r="M8" s="60">
        <f>AVERAGE(M5:M7)</f>
        <v>1923.9946018893397</v>
      </c>
      <c r="N8" s="59">
        <f t="shared" si="3"/>
        <v>128.26630679262266</v>
      </c>
      <c r="O8" s="61">
        <f t="shared" si="4"/>
        <v>0</v>
      </c>
      <c r="P8" s="62">
        <f t="shared" si="5"/>
        <v>-5.0670265407106854</v>
      </c>
      <c r="Q8" s="310">
        <f t="shared" si="6"/>
        <v>0.96199730094466984</v>
      </c>
      <c r="R8" s="566"/>
      <c r="S8" s="63"/>
      <c r="T8" s="63"/>
      <c r="U8" s="307"/>
      <c r="V8" s="315"/>
      <c r="W8" s="59"/>
      <c r="X8" s="59"/>
      <c r="Y8" s="559"/>
      <c r="Z8" s="559"/>
      <c r="AA8" s="61">
        <f t="shared" si="8"/>
        <v>-76.005398110660281</v>
      </c>
      <c r="AB8" s="310">
        <f t="shared" si="9"/>
        <v>0.96199730094466984</v>
      </c>
      <c r="AC8" s="566"/>
    </row>
    <row r="9" spans="1:29" ht="15.75" customHeight="1">
      <c r="A9" s="594" t="s">
        <v>85</v>
      </c>
      <c r="B9" s="57" t="s">
        <v>10</v>
      </c>
      <c r="C9" s="590" t="s">
        <v>14</v>
      </c>
      <c r="D9" s="591"/>
      <c r="E9" s="57">
        <v>39.619999999999997</v>
      </c>
      <c r="F9" s="316">
        <v>3097</v>
      </c>
      <c r="G9" s="307">
        <f t="shared" ref="G9:G10" si="11">E9*F9</f>
        <v>122703.13999999998</v>
      </c>
      <c r="H9" s="318" t="s">
        <v>5</v>
      </c>
      <c r="I9" s="314">
        <v>19</v>
      </c>
      <c r="J9" s="58">
        <v>1500</v>
      </c>
      <c r="K9" s="59">
        <f t="shared" si="1"/>
        <v>78.94736842105263</v>
      </c>
      <c r="L9" s="314">
        <v>19</v>
      </c>
      <c r="M9" s="60">
        <f t="shared" ref="M9:M10" si="12">F9/V9*60</f>
        <v>1429.3846153846157</v>
      </c>
      <c r="N9" s="59">
        <f t="shared" si="3"/>
        <v>75.230769230769241</v>
      </c>
      <c r="O9" s="61">
        <f t="shared" si="4"/>
        <v>0</v>
      </c>
      <c r="P9" s="62">
        <f t="shared" si="5"/>
        <v>-3.7165991902833895</v>
      </c>
      <c r="Q9" s="310">
        <f t="shared" si="6"/>
        <v>0.95292307692307709</v>
      </c>
      <c r="R9" s="566">
        <f>Q11</f>
        <v>0.95376923076923092</v>
      </c>
      <c r="S9" s="63">
        <v>0.16666666666666666</v>
      </c>
      <c r="T9" s="63">
        <v>0.25694444444444442</v>
      </c>
      <c r="U9" s="307"/>
      <c r="V9" s="315">
        <f t="shared" ref="V9:V10" si="13">(T9-S9)*24*60</f>
        <v>129.99999999999997</v>
      </c>
      <c r="W9" s="64">
        <f>T9</f>
        <v>0.25694444444444442</v>
      </c>
      <c r="X9" s="64">
        <f>S10</f>
        <v>0.27499999999999997</v>
      </c>
      <c r="Y9" s="559"/>
      <c r="Z9" s="559"/>
      <c r="AA9" s="61">
        <f t="shared" si="8"/>
        <v>-70.615384615384301</v>
      </c>
      <c r="AB9" s="310">
        <f t="shared" si="9"/>
        <v>0.95292307692307709</v>
      </c>
      <c r="AC9" s="566">
        <f>AB11</f>
        <v>0.95376923076923092</v>
      </c>
    </row>
    <row r="10" spans="1:29" ht="15.75" customHeight="1">
      <c r="A10" s="594" t="s">
        <v>85</v>
      </c>
      <c r="B10" s="57" t="s">
        <v>10</v>
      </c>
      <c r="C10" s="590" t="s">
        <v>11</v>
      </c>
      <c r="D10" s="591"/>
      <c r="E10" s="57">
        <v>39.799999999999997</v>
      </c>
      <c r="F10" s="316">
        <v>4964</v>
      </c>
      <c r="G10" s="307">
        <f t="shared" si="11"/>
        <v>197567.19999999998</v>
      </c>
      <c r="H10" s="318" t="s">
        <v>5</v>
      </c>
      <c r="I10" s="314">
        <v>17</v>
      </c>
      <c r="J10" s="58">
        <v>1500</v>
      </c>
      <c r="K10" s="59">
        <f t="shared" si="1"/>
        <v>88.235294117647058</v>
      </c>
      <c r="L10" s="314">
        <v>17</v>
      </c>
      <c r="M10" s="60">
        <f t="shared" si="12"/>
        <v>1431.9230769230771</v>
      </c>
      <c r="N10" s="59">
        <f t="shared" si="3"/>
        <v>84.230769230769241</v>
      </c>
      <c r="O10" s="61">
        <f t="shared" si="4"/>
        <v>0</v>
      </c>
      <c r="P10" s="62">
        <f t="shared" si="5"/>
        <v>-4.0045248868778174</v>
      </c>
      <c r="Q10" s="310">
        <f t="shared" si="6"/>
        <v>0.95461538461538475</v>
      </c>
      <c r="R10" s="566"/>
      <c r="S10" s="63">
        <v>0.27499999999999997</v>
      </c>
      <c r="T10" s="63">
        <v>0.4194444444444444</v>
      </c>
      <c r="U10" s="307">
        <f t="shared" ref="U10" si="14">IF(S10=TIME(17,0,0),"",(S10-T9)*24*60)</f>
        <v>25.999999999999986</v>
      </c>
      <c r="V10" s="315">
        <f t="shared" si="13"/>
        <v>207.99999999999997</v>
      </c>
      <c r="W10" s="64"/>
      <c r="X10" s="64"/>
      <c r="Y10" s="559"/>
      <c r="Z10" s="559"/>
      <c r="AA10" s="61">
        <f t="shared" si="8"/>
        <v>-68.076923076922867</v>
      </c>
      <c r="AB10" s="310">
        <f t="shared" si="9"/>
        <v>0.95461538461538475</v>
      </c>
      <c r="AC10" s="566"/>
    </row>
    <row r="11" spans="1:29" ht="16.5" customHeight="1">
      <c r="A11" s="594" t="s">
        <v>85</v>
      </c>
      <c r="B11" s="57" t="s">
        <v>67</v>
      </c>
      <c r="C11" s="571"/>
      <c r="D11" s="571"/>
      <c r="E11" s="313"/>
      <c r="F11" s="58"/>
      <c r="G11" s="60"/>
      <c r="H11" s="316"/>
      <c r="I11" s="67">
        <v>18</v>
      </c>
      <c r="J11" s="58">
        <v>1500</v>
      </c>
      <c r="K11" s="59">
        <f t="shared" si="1"/>
        <v>83.333333333333329</v>
      </c>
      <c r="L11" s="67">
        <v>18</v>
      </c>
      <c r="M11" s="60">
        <f>AVERAGE(M9:M10)</f>
        <v>1430.6538461538464</v>
      </c>
      <c r="N11" s="59">
        <f t="shared" si="3"/>
        <v>79.480769230769241</v>
      </c>
      <c r="O11" s="61">
        <f t="shared" si="4"/>
        <v>0</v>
      </c>
      <c r="P11" s="62">
        <f t="shared" si="5"/>
        <v>-3.852564102564088</v>
      </c>
      <c r="Q11" s="310">
        <f t="shared" si="6"/>
        <v>0.95376923076923092</v>
      </c>
      <c r="R11" s="566"/>
      <c r="S11" s="63"/>
      <c r="T11" s="63"/>
      <c r="U11" s="59"/>
      <c r="V11" s="315"/>
      <c r="W11" s="59"/>
      <c r="X11" s="59"/>
      <c r="Y11" s="559"/>
      <c r="Z11" s="559"/>
      <c r="AA11" s="61">
        <f t="shared" si="8"/>
        <v>-69.346153846153584</v>
      </c>
      <c r="AB11" s="310">
        <f t="shared" si="9"/>
        <v>0.95376923076923092</v>
      </c>
      <c r="AC11" s="566"/>
    </row>
    <row r="12" spans="1:29" ht="16.5" customHeight="1">
      <c r="A12" s="592" t="s">
        <v>1383</v>
      </c>
      <c r="B12" s="316" t="s">
        <v>12</v>
      </c>
      <c r="C12" s="584" t="s">
        <v>13</v>
      </c>
      <c r="D12" s="584"/>
      <c r="E12" s="57">
        <v>41</v>
      </c>
      <c r="F12" s="316">
        <v>1777</v>
      </c>
      <c r="G12" s="307">
        <f t="shared" ref="G12:G16" si="15">E12*F12</f>
        <v>72857</v>
      </c>
      <c r="H12" s="318" t="s">
        <v>5</v>
      </c>
      <c r="I12" s="314">
        <v>26</v>
      </c>
      <c r="J12" s="58">
        <v>1500</v>
      </c>
      <c r="K12" s="59">
        <f t="shared" si="1"/>
        <v>57.692307692307693</v>
      </c>
      <c r="L12" s="314">
        <v>26</v>
      </c>
      <c r="M12" s="60">
        <f t="shared" ref="M12:M16" si="16">F12/V12*60</f>
        <v>1440.8108108108106</v>
      </c>
      <c r="N12" s="59">
        <f t="shared" si="3"/>
        <v>55.415800415800405</v>
      </c>
      <c r="O12" s="61">
        <f t="shared" si="4"/>
        <v>0</v>
      </c>
      <c r="P12" s="62">
        <f t="shared" si="5"/>
        <v>-2.2765072765072887</v>
      </c>
      <c r="Q12" s="310">
        <f t="shared" si="6"/>
        <v>0.96054054054054028</v>
      </c>
      <c r="R12" s="566">
        <f>Q17</f>
        <v>0.9576311648204473</v>
      </c>
      <c r="S12" s="63">
        <v>0.20833333333333334</v>
      </c>
      <c r="T12" s="63">
        <v>0.25972222222222224</v>
      </c>
      <c r="U12" s="307"/>
      <c r="V12" s="315">
        <f t="shared" ref="V12:V16" si="17">(T12-S12)*24*60</f>
        <v>74.000000000000014</v>
      </c>
      <c r="W12" s="68"/>
      <c r="X12" s="68"/>
      <c r="Y12" s="559"/>
      <c r="Z12" s="559"/>
      <c r="AA12" s="61">
        <f t="shared" si="8"/>
        <v>-59.189189189189392</v>
      </c>
      <c r="AB12" s="310">
        <f t="shared" si="9"/>
        <v>0.96054054054054039</v>
      </c>
      <c r="AC12" s="566">
        <f>AB17</f>
        <v>0.9576311648204473</v>
      </c>
    </row>
    <row r="13" spans="1:29" ht="16.5" customHeight="1">
      <c r="A13" s="593" t="s">
        <v>235</v>
      </c>
      <c r="B13" s="316" t="s">
        <v>657</v>
      </c>
      <c r="C13" s="584" t="s">
        <v>236</v>
      </c>
      <c r="D13" s="584"/>
      <c r="E13" s="57">
        <v>72.400000000000006</v>
      </c>
      <c r="F13" s="316">
        <v>1272</v>
      </c>
      <c r="G13" s="307">
        <f t="shared" si="15"/>
        <v>92092.800000000003</v>
      </c>
      <c r="H13" s="318" t="s">
        <v>5</v>
      </c>
      <c r="I13" s="314">
        <v>18</v>
      </c>
      <c r="J13" s="58">
        <v>1500</v>
      </c>
      <c r="K13" s="59">
        <f t="shared" si="1"/>
        <v>83.333333333333329</v>
      </c>
      <c r="L13" s="314">
        <v>18</v>
      </c>
      <c r="M13" s="60">
        <f t="shared" si="16"/>
        <v>1440.0000000000009</v>
      </c>
      <c r="N13" s="59">
        <f t="shared" si="3"/>
        <v>80.000000000000057</v>
      </c>
      <c r="O13" s="61">
        <f t="shared" si="4"/>
        <v>0</v>
      </c>
      <c r="P13" s="62">
        <f t="shared" si="5"/>
        <v>-3.3333333333332718</v>
      </c>
      <c r="Q13" s="310">
        <f t="shared" si="6"/>
        <v>0.96000000000000074</v>
      </c>
      <c r="R13" s="566"/>
      <c r="S13" s="63">
        <v>0.26458333333333334</v>
      </c>
      <c r="T13" s="63">
        <v>0.30138888888888887</v>
      </c>
      <c r="U13" s="307">
        <f t="shared" ref="U13:U16" si="18">IF(S13=TIME(17,0,0),"",(S13-T12)*24*60)</f>
        <v>6.9999999999999751</v>
      </c>
      <c r="V13" s="315">
        <f t="shared" si="17"/>
        <v>52.999999999999972</v>
      </c>
      <c r="W13" s="64"/>
      <c r="X13" s="64"/>
      <c r="Y13" s="559"/>
      <c r="Z13" s="559"/>
      <c r="AA13" s="61">
        <f t="shared" si="8"/>
        <v>-59.999999999999091</v>
      </c>
      <c r="AB13" s="310">
        <f t="shared" si="9"/>
        <v>0.96000000000000063</v>
      </c>
      <c r="AC13" s="566"/>
    </row>
    <row r="14" spans="1:29" ht="16.5" customHeight="1">
      <c r="A14" s="593" t="s">
        <v>235</v>
      </c>
      <c r="B14" s="316" t="s">
        <v>6</v>
      </c>
      <c r="C14" s="584" t="s">
        <v>95</v>
      </c>
      <c r="D14" s="584"/>
      <c r="E14" s="57">
        <v>50.98</v>
      </c>
      <c r="F14" s="316">
        <v>2191</v>
      </c>
      <c r="G14" s="307">
        <f t="shared" si="15"/>
        <v>111697.18</v>
      </c>
      <c r="H14" s="318" t="s">
        <v>5</v>
      </c>
      <c r="I14" s="314">
        <v>16</v>
      </c>
      <c r="J14" s="58">
        <v>2000</v>
      </c>
      <c r="K14" s="59">
        <f t="shared" si="1"/>
        <v>125</v>
      </c>
      <c r="L14" s="314">
        <v>16</v>
      </c>
      <c r="M14" s="60">
        <f t="shared" si="16"/>
        <v>1905.2173913043459</v>
      </c>
      <c r="N14" s="59">
        <f t="shared" si="3"/>
        <v>119.07608695652162</v>
      </c>
      <c r="O14" s="61">
        <f t="shared" si="4"/>
        <v>0</v>
      </c>
      <c r="P14" s="62">
        <f t="shared" si="5"/>
        <v>-5.9239130434783789</v>
      </c>
      <c r="Q14" s="310">
        <f t="shared" si="6"/>
        <v>0.95260869565217299</v>
      </c>
      <c r="R14" s="566"/>
      <c r="S14" s="63">
        <v>0.70833333333333337</v>
      </c>
      <c r="T14" s="63">
        <v>0.75625000000000009</v>
      </c>
      <c r="U14" s="307" t="str">
        <f t="shared" si="18"/>
        <v/>
      </c>
      <c r="V14" s="315">
        <f t="shared" si="17"/>
        <v>69.000000000000071</v>
      </c>
      <c r="W14" s="64"/>
      <c r="X14" s="64"/>
      <c r="Y14" s="559"/>
      <c r="Z14" s="559"/>
      <c r="AA14" s="61">
        <f t="shared" si="8"/>
        <v>-94.782608695654062</v>
      </c>
      <c r="AB14" s="310">
        <f t="shared" si="9"/>
        <v>0.95260869565217299</v>
      </c>
      <c r="AC14" s="566"/>
    </row>
    <row r="15" spans="1:29" ht="16.5" customHeight="1">
      <c r="A15" s="593" t="s">
        <v>1383</v>
      </c>
      <c r="B15" s="316" t="s">
        <v>6</v>
      </c>
      <c r="C15" s="584" t="s">
        <v>18</v>
      </c>
      <c r="D15" s="584"/>
      <c r="E15" s="57">
        <v>50.92</v>
      </c>
      <c r="F15" s="316">
        <v>2145</v>
      </c>
      <c r="G15" s="307">
        <f t="shared" si="15"/>
        <v>109223.40000000001</v>
      </c>
      <c r="H15" s="318" t="s">
        <v>5</v>
      </c>
      <c r="I15" s="314">
        <v>15</v>
      </c>
      <c r="J15" s="58">
        <v>2000</v>
      </c>
      <c r="K15" s="59">
        <f t="shared" si="1"/>
        <v>133.33333333333334</v>
      </c>
      <c r="L15" s="314">
        <v>15</v>
      </c>
      <c r="M15" s="60">
        <f t="shared" si="16"/>
        <v>1920.8955223880573</v>
      </c>
      <c r="N15" s="59">
        <f t="shared" si="3"/>
        <v>128.05970149253716</v>
      </c>
      <c r="O15" s="61">
        <f t="shared" si="4"/>
        <v>0</v>
      </c>
      <c r="P15" s="62">
        <f t="shared" si="5"/>
        <v>-5.2736318407961846</v>
      </c>
      <c r="Q15" s="310">
        <f t="shared" si="6"/>
        <v>0.96044776119402864</v>
      </c>
      <c r="R15" s="566"/>
      <c r="S15" s="63">
        <v>0.76111111111111118</v>
      </c>
      <c r="T15" s="63">
        <v>0.80763888888888902</v>
      </c>
      <c r="U15" s="307">
        <f t="shared" si="18"/>
        <v>6.9999999999999751</v>
      </c>
      <c r="V15" s="315">
        <f t="shared" si="17"/>
        <v>67.000000000000085</v>
      </c>
      <c r="W15" s="64"/>
      <c r="X15" s="64"/>
      <c r="Y15" s="559"/>
      <c r="Z15" s="559"/>
      <c r="AA15" s="61">
        <f t="shared" si="8"/>
        <v>-79.104477611942684</v>
      </c>
      <c r="AB15" s="310">
        <f t="shared" si="9"/>
        <v>0.96044776119402864</v>
      </c>
      <c r="AC15" s="566"/>
    </row>
    <row r="16" spans="1:29" ht="16.5" customHeight="1">
      <c r="A16" s="593" t="s">
        <v>235</v>
      </c>
      <c r="B16" s="316" t="s">
        <v>6</v>
      </c>
      <c r="C16" s="584" t="s">
        <v>99</v>
      </c>
      <c r="D16" s="584"/>
      <c r="E16" s="57">
        <v>53.68</v>
      </c>
      <c r="F16" s="316">
        <v>812</v>
      </c>
      <c r="G16" s="307">
        <f t="shared" si="15"/>
        <v>43588.159999999996</v>
      </c>
      <c r="H16" s="318" t="s">
        <v>5</v>
      </c>
      <c r="I16" s="314">
        <v>16</v>
      </c>
      <c r="J16" s="58">
        <v>1500</v>
      </c>
      <c r="K16" s="59">
        <f t="shared" si="1"/>
        <v>93.75</v>
      </c>
      <c r="L16" s="314">
        <v>16</v>
      </c>
      <c r="M16" s="60">
        <f t="shared" si="16"/>
        <v>1432.9411764705862</v>
      </c>
      <c r="N16" s="59">
        <f t="shared" si="3"/>
        <v>89.55882352941164</v>
      </c>
      <c r="O16" s="61">
        <f t="shared" si="4"/>
        <v>0</v>
      </c>
      <c r="P16" s="62">
        <f t="shared" si="5"/>
        <v>-4.1911764705883598</v>
      </c>
      <c r="Q16" s="310">
        <f t="shared" si="6"/>
        <v>0.95529411764705752</v>
      </c>
      <c r="R16" s="566"/>
      <c r="S16" s="63">
        <v>0.81319444444444455</v>
      </c>
      <c r="T16" s="63">
        <v>0.83680555555555569</v>
      </c>
      <c r="U16" s="307">
        <f t="shared" si="18"/>
        <v>7.9999999999999716</v>
      </c>
      <c r="V16" s="315">
        <f t="shared" si="17"/>
        <v>34.000000000000043</v>
      </c>
      <c r="W16" s="64"/>
      <c r="X16" s="64"/>
      <c r="Y16" s="559"/>
      <c r="Z16" s="559"/>
      <c r="AA16" s="61">
        <f t="shared" si="8"/>
        <v>-67.058823529413758</v>
      </c>
      <c r="AB16" s="310">
        <f t="shared" si="9"/>
        <v>0.95529411764705752</v>
      </c>
      <c r="AC16" s="566"/>
    </row>
    <row r="17" spans="1:29" ht="16.5" customHeight="1">
      <c r="A17" s="593" t="s">
        <v>235</v>
      </c>
      <c r="B17" s="57" t="s">
        <v>67</v>
      </c>
      <c r="C17" s="571"/>
      <c r="D17" s="571"/>
      <c r="E17" s="313"/>
      <c r="F17" s="66"/>
      <c r="G17" s="59"/>
      <c r="H17" s="316"/>
      <c r="I17" s="67">
        <v>18.2</v>
      </c>
      <c r="J17" s="58">
        <v>1700</v>
      </c>
      <c r="K17" s="59">
        <f t="shared" si="1"/>
        <v>93.406593406593416</v>
      </c>
      <c r="L17" s="67">
        <v>18.2</v>
      </c>
      <c r="M17" s="60">
        <f>AVERAGE(M12:M16)</f>
        <v>1627.9729801947603</v>
      </c>
      <c r="N17" s="59">
        <f t="shared" si="3"/>
        <v>89.449064845865962</v>
      </c>
      <c r="O17" s="61">
        <f t="shared" si="4"/>
        <v>0</v>
      </c>
      <c r="P17" s="62">
        <f t="shared" si="5"/>
        <v>-3.9575285607274537</v>
      </c>
      <c r="Q17" s="310">
        <f t="shared" si="6"/>
        <v>0.9576311648204473</v>
      </c>
      <c r="R17" s="566"/>
      <c r="S17" s="63"/>
      <c r="T17" s="63"/>
      <c r="U17" s="307"/>
      <c r="V17" s="315"/>
      <c r="W17" s="59"/>
      <c r="X17" s="59"/>
      <c r="Y17" s="559"/>
      <c r="Z17" s="559"/>
      <c r="AA17" s="61">
        <f t="shared" si="8"/>
        <v>-72.027019805239661</v>
      </c>
      <c r="AB17" s="310">
        <f t="shared" si="9"/>
        <v>0.9576311648204473</v>
      </c>
      <c r="AC17" s="566"/>
    </row>
    <row r="18" spans="1:29" ht="15.75" customHeight="1">
      <c r="A18" s="588" t="s">
        <v>86</v>
      </c>
      <c r="B18" s="57" t="s">
        <v>12</v>
      </c>
      <c r="C18" s="584" t="s">
        <v>19</v>
      </c>
      <c r="D18" s="584"/>
      <c r="E18" s="57">
        <v>43.14</v>
      </c>
      <c r="F18" s="316">
        <v>796</v>
      </c>
      <c r="G18" s="307">
        <f t="shared" ref="G18:G25" si="19">E18*F18</f>
        <v>34339.440000000002</v>
      </c>
      <c r="H18" s="318" t="s">
        <v>5</v>
      </c>
      <c r="I18" s="314">
        <v>17</v>
      </c>
      <c r="J18" s="58">
        <v>2000</v>
      </c>
      <c r="K18" s="59">
        <f t="shared" si="1"/>
        <v>117.64705882352941</v>
      </c>
      <c r="L18" s="314">
        <v>17</v>
      </c>
      <c r="M18" s="60">
        <f t="shared" ref="M18:M25" si="20">F18/V18*60</f>
        <v>1910.4000000000005</v>
      </c>
      <c r="N18" s="59">
        <f t="shared" si="3"/>
        <v>112.37647058823532</v>
      </c>
      <c r="O18" s="61">
        <f t="shared" si="4"/>
        <v>0</v>
      </c>
      <c r="P18" s="62">
        <f t="shared" si="5"/>
        <v>-5.2705882352940847</v>
      </c>
      <c r="Q18" s="310">
        <f t="shared" si="6"/>
        <v>0.95520000000000027</v>
      </c>
      <c r="R18" s="566">
        <f>Q26</f>
        <v>0.96136423742517552</v>
      </c>
      <c r="S18" s="63">
        <v>0.20833333333333334</v>
      </c>
      <c r="T18" s="63">
        <v>0.22569444444444445</v>
      </c>
      <c r="U18" s="307"/>
      <c r="V18" s="315">
        <f t="shared" ref="V18:V25" si="21">(T18-S18)*24*60</f>
        <v>24.999999999999993</v>
      </c>
      <c r="W18" s="68"/>
      <c r="X18" s="68"/>
      <c r="Y18" s="559"/>
      <c r="Z18" s="559"/>
      <c r="AA18" s="61">
        <f t="shared" si="8"/>
        <v>-89.599999999999454</v>
      </c>
      <c r="AB18" s="310">
        <f t="shared" si="9"/>
        <v>0.95520000000000027</v>
      </c>
      <c r="AC18" s="566">
        <f>AB26</f>
        <v>0.96136423742517563</v>
      </c>
    </row>
    <row r="19" spans="1:29" ht="15.75" customHeight="1">
      <c r="A19" s="589" t="s">
        <v>86</v>
      </c>
      <c r="B19" s="57" t="s">
        <v>65</v>
      </c>
      <c r="C19" s="584" t="s">
        <v>97</v>
      </c>
      <c r="D19" s="584"/>
      <c r="E19" s="57">
        <v>49.9</v>
      </c>
      <c r="F19" s="316">
        <v>1032</v>
      </c>
      <c r="G19" s="307">
        <f t="shared" si="19"/>
        <v>51496.799999999996</v>
      </c>
      <c r="H19" s="318" t="s">
        <v>5</v>
      </c>
      <c r="I19" s="314">
        <v>17</v>
      </c>
      <c r="J19" s="58">
        <v>2000</v>
      </c>
      <c r="K19" s="59">
        <f t="shared" si="1"/>
        <v>117.64705882352941</v>
      </c>
      <c r="L19" s="314">
        <v>17</v>
      </c>
      <c r="M19" s="60">
        <f t="shared" si="20"/>
        <v>1935.000000000002</v>
      </c>
      <c r="N19" s="59">
        <f t="shared" si="3"/>
        <v>113.82352941176482</v>
      </c>
      <c r="O19" s="61">
        <f t="shared" si="4"/>
        <v>0</v>
      </c>
      <c r="P19" s="62">
        <f t="shared" si="5"/>
        <v>-3.8235294117645822</v>
      </c>
      <c r="Q19" s="310">
        <f t="shared" si="6"/>
        <v>0.96750000000000103</v>
      </c>
      <c r="R19" s="566"/>
      <c r="S19" s="63">
        <v>0.22986111111111113</v>
      </c>
      <c r="T19" s="63">
        <v>0.25208333333333333</v>
      </c>
      <c r="U19" s="307">
        <f t="shared" ref="U19:U25" si="22">IF(S19=TIME(17,0,0),"",(S19-T18)*24*60)</f>
        <v>6.0000000000000187</v>
      </c>
      <c r="V19" s="315">
        <f t="shared" si="21"/>
        <v>31.999999999999964</v>
      </c>
      <c r="W19" s="64"/>
      <c r="X19" s="307"/>
      <c r="Y19" s="559"/>
      <c r="Z19" s="559"/>
      <c r="AA19" s="61">
        <f t="shared" si="8"/>
        <v>-64.999999999997954</v>
      </c>
      <c r="AB19" s="310">
        <f t="shared" si="9"/>
        <v>0.96750000000000103</v>
      </c>
      <c r="AC19" s="566"/>
    </row>
    <row r="20" spans="1:29" ht="15.75" customHeight="1">
      <c r="A20" s="589" t="s">
        <v>86</v>
      </c>
      <c r="B20" s="57" t="s">
        <v>6</v>
      </c>
      <c r="C20" s="584" t="s">
        <v>20</v>
      </c>
      <c r="D20" s="584"/>
      <c r="E20" s="57">
        <v>57.73</v>
      </c>
      <c r="F20" s="316">
        <v>2177</v>
      </c>
      <c r="G20" s="307">
        <f t="shared" si="19"/>
        <v>125678.20999999999</v>
      </c>
      <c r="H20" s="318" t="s">
        <v>5</v>
      </c>
      <c r="I20" s="314">
        <v>14</v>
      </c>
      <c r="J20" s="58">
        <v>2000</v>
      </c>
      <c r="K20" s="59">
        <f t="shared" si="1"/>
        <v>142.85714285714286</v>
      </c>
      <c r="L20" s="314">
        <v>14</v>
      </c>
      <c r="M20" s="60">
        <f t="shared" si="20"/>
        <v>1920.8823529411766</v>
      </c>
      <c r="N20" s="59">
        <f t="shared" si="3"/>
        <v>137.20588235294119</v>
      </c>
      <c r="O20" s="61">
        <f t="shared" si="4"/>
        <v>0</v>
      </c>
      <c r="P20" s="62">
        <f t="shared" si="5"/>
        <v>-5.651260504201673</v>
      </c>
      <c r="Q20" s="310">
        <f t="shared" si="6"/>
        <v>0.96044117647058824</v>
      </c>
      <c r="R20" s="566"/>
      <c r="S20" s="63">
        <v>0.25763888888888886</v>
      </c>
      <c r="T20" s="63">
        <v>0.30486111111111108</v>
      </c>
      <c r="U20" s="307">
        <f t="shared" si="22"/>
        <v>7.9999999999999716</v>
      </c>
      <c r="V20" s="315">
        <f t="shared" si="21"/>
        <v>68</v>
      </c>
      <c r="W20" s="64"/>
      <c r="X20" s="307"/>
      <c r="Y20" s="559"/>
      <c r="Z20" s="559"/>
      <c r="AA20" s="61">
        <f t="shared" si="8"/>
        <v>-79.117647058823422</v>
      </c>
      <c r="AB20" s="310">
        <f t="shared" si="9"/>
        <v>0.96044117647058824</v>
      </c>
      <c r="AC20" s="566"/>
    </row>
    <row r="21" spans="1:29" ht="15.75" customHeight="1">
      <c r="A21" s="589" t="s">
        <v>86</v>
      </c>
      <c r="B21" s="57" t="s">
        <v>6</v>
      </c>
      <c r="C21" s="584" t="s">
        <v>21</v>
      </c>
      <c r="D21" s="584"/>
      <c r="E21" s="57">
        <v>53.68</v>
      </c>
      <c r="F21" s="316">
        <v>1296</v>
      </c>
      <c r="G21" s="307">
        <f t="shared" si="19"/>
        <v>69569.279999999999</v>
      </c>
      <c r="H21" s="318" t="s">
        <v>5</v>
      </c>
      <c r="I21" s="314">
        <v>16</v>
      </c>
      <c r="J21" s="58">
        <v>2000</v>
      </c>
      <c r="K21" s="59">
        <f t="shared" si="1"/>
        <v>125</v>
      </c>
      <c r="L21" s="314">
        <v>16</v>
      </c>
      <c r="M21" s="60">
        <f t="shared" si="20"/>
        <v>1943.9999999999995</v>
      </c>
      <c r="N21" s="59">
        <f t="shared" si="3"/>
        <v>121.49999999999997</v>
      </c>
      <c r="O21" s="61">
        <f t="shared" si="4"/>
        <v>0</v>
      </c>
      <c r="P21" s="62">
        <f t="shared" si="5"/>
        <v>-3.5000000000000284</v>
      </c>
      <c r="Q21" s="310">
        <f t="shared" si="6"/>
        <v>0.97199999999999975</v>
      </c>
      <c r="R21" s="566"/>
      <c r="S21" s="63">
        <v>0.30902777777777773</v>
      </c>
      <c r="T21" s="63">
        <v>0.33680555555555552</v>
      </c>
      <c r="U21" s="307">
        <f t="shared" si="22"/>
        <v>5.9999999999999787</v>
      </c>
      <c r="V21" s="315">
        <f t="shared" si="21"/>
        <v>40.000000000000014</v>
      </c>
      <c r="W21" s="64"/>
      <c r="X21" s="307"/>
      <c r="Y21" s="559"/>
      <c r="Z21" s="559"/>
      <c r="AA21" s="61">
        <f t="shared" si="8"/>
        <v>-56.000000000000455</v>
      </c>
      <c r="AB21" s="310">
        <f t="shared" si="9"/>
        <v>0.97199999999999975</v>
      </c>
      <c r="AC21" s="566"/>
    </row>
    <row r="22" spans="1:29" ht="15.75" customHeight="1">
      <c r="A22" s="589" t="s">
        <v>86</v>
      </c>
      <c r="B22" s="57" t="s">
        <v>6</v>
      </c>
      <c r="C22" s="584" t="s">
        <v>96</v>
      </c>
      <c r="D22" s="584"/>
      <c r="E22" s="57">
        <v>49.91</v>
      </c>
      <c r="F22" s="316">
        <v>858</v>
      </c>
      <c r="G22" s="307">
        <f t="shared" si="19"/>
        <v>42822.78</v>
      </c>
      <c r="H22" s="318" t="s">
        <v>5</v>
      </c>
      <c r="I22" s="314">
        <v>17</v>
      </c>
      <c r="J22" s="58">
        <v>2000</v>
      </c>
      <c r="K22" s="59">
        <f t="shared" si="1"/>
        <v>117.64705882352941</v>
      </c>
      <c r="L22" s="314">
        <v>17</v>
      </c>
      <c r="M22" s="60">
        <f t="shared" si="20"/>
        <v>1906.6666666666677</v>
      </c>
      <c r="N22" s="59">
        <f t="shared" si="3"/>
        <v>112.1568627450981</v>
      </c>
      <c r="O22" s="61">
        <f t="shared" si="4"/>
        <v>0</v>
      </c>
      <c r="P22" s="62">
        <f t="shared" si="5"/>
        <v>-5.4901960784313104</v>
      </c>
      <c r="Q22" s="310">
        <f t="shared" si="6"/>
        <v>0.95333333333333381</v>
      </c>
      <c r="R22" s="566"/>
      <c r="S22" s="63">
        <v>0.34236111111111106</v>
      </c>
      <c r="T22" s="63">
        <v>0.36111111111111105</v>
      </c>
      <c r="U22" s="307">
        <f t="shared" si="22"/>
        <v>7.9999999999999716</v>
      </c>
      <c r="V22" s="315">
        <f t="shared" si="21"/>
        <v>26.999999999999986</v>
      </c>
      <c r="W22" s="64"/>
      <c r="X22" s="307"/>
      <c r="Y22" s="559"/>
      <c r="Z22" s="559"/>
      <c r="AA22" s="61">
        <f t="shared" si="8"/>
        <v>-93.333333333332348</v>
      </c>
      <c r="AB22" s="310">
        <f t="shared" si="9"/>
        <v>0.95333333333333381</v>
      </c>
      <c r="AC22" s="566"/>
    </row>
    <row r="23" spans="1:29" ht="15.75" customHeight="1">
      <c r="A23" s="589" t="s">
        <v>86</v>
      </c>
      <c r="B23" s="57" t="s">
        <v>6</v>
      </c>
      <c r="C23" s="584" t="s">
        <v>22</v>
      </c>
      <c r="D23" s="584"/>
      <c r="E23" s="57">
        <v>54.09</v>
      </c>
      <c r="F23" s="316">
        <v>1402</v>
      </c>
      <c r="G23" s="307">
        <f t="shared" si="19"/>
        <v>75834.180000000008</v>
      </c>
      <c r="H23" s="318" t="s">
        <v>5</v>
      </c>
      <c r="I23" s="314">
        <v>19</v>
      </c>
      <c r="J23" s="58">
        <v>2000</v>
      </c>
      <c r="K23" s="59">
        <f t="shared" si="1"/>
        <v>105.26315789473684</v>
      </c>
      <c r="L23" s="314">
        <v>19</v>
      </c>
      <c r="M23" s="60">
        <f t="shared" si="20"/>
        <v>1911.8181818181818</v>
      </c>
      <c r="N23" s="59">
        <f t="shared" si="3"/>
        <v>100.62200956937799</v>
      </c>
      <c r="O23" s="61">
        <f t="shared" si="4"/>
        <v>0</v>
      </c>
      <c r="P23" s="62">
        <f t="shared" si="5"/>
        <v>-4.6411483253588415</v>
      </c>
      <c r="Q23" s="310">
        <f t="shared" si="6"/>
        <v>0.95590909090909104</v>
      </c>
      <c r="R23" s="566"/>
      <c r="S23" s="63">
        <v>0.70833333333333337</v>
      </c>
      <c r="T23" s="63">
        <v>0.73888888888888893</v>
      </c>
      <c r="U23" s="307" t="str">
        <f t="shared" si="22"/>
        <v/>
      </c>
      <c r="V23" s="315">
        <f t="shared" si="21"/>
        <v>44</v>
      </c>
      <c r="W23" s="64"/>
      <c r="X23" s="68"/>
      <c r="Y23" s="559"/>
      <c r="Z23" s="559"/>
      <c r="AA23" s="61">
        <f t="shared" si="8"/>
        <v>-88.181818181818244</v>
      </c>
      <c r="AB23" s="310">
        <f t="shared" si="9"/>
        <v>0.95590909090909093</v>
      </c>
      <c r="AC23" s="566"/>
    </row>
    <row r="24" spans="1:29" ht="15.75" customHeight="1">
      <c r="A24" s="589" t="s">
        <v>86</v>
      </c>
      <c r="B24" s="57" t="s">
        <v>6</v>
      </c>
      <c r="C24" s="584" t="s">
        <v>69</v>
      </c>
      <c r="D24" s="584"/>
      <c r="E24" s="57">
        <v>57.73</v>
      </c>
      <c r="F24" s="316">
        <v>1319</v>
      </c>
      <c r="G24" s="307">
        <f t="shared" si="19"/>
        <v>76145.87</v>
      </c>
      <c r="H24" s="318" t="s">
        <v>5</v>
      </c>
      <c r="I24" s="314">
        <v>16</v>
      </c>
      <c r="J24" s="58">
        <v>1500</v>
      </c>
      <c r="K24" s="59">
        <f t="shared" si="1"/>
        <v>93.75</v>
      </c>
      <c r="L24" s="314">
        <v>16</v>
      </c>
      <c r="M24" s="60">
        <f t="shared" si="20"/>
        <v>1438.9090909090919</v>
      </c>
      <c r="N24" s="59">
        <f t="shared" si="3"/>
        <v>89.931818181818244</v>
      </c>
      <c r="O24" s="61">
        <f t="shared" si="4"/>
        <v>0</v>
      </c>
      <c r="P24" s="62">
        <f t="shared" si="5"/>
        <v>-3.8181818181817562</v>
      </c>
      <c r="Q24" s="310">
        <f t="shared" si="6"/>
        <v>0.95927272727272794</v>
      </c>
      <c r="R24" s="566"/>
      <c r="S24" s="63">
        <v>0.74305555555555558</v>
      </c>
      <c r="T24" s="63">
        <v>0.78125</v>
      </c>
      <c r="U24" s="307">
        <f t="shared" si="22"/>
        <v>5.9999999999999787</v>
      </c>
      <c r="V24" s="315">
        <f t="shared" si="21"/>
        <v>54.999999999999964</v>
      </c>
      <c r="W24" s="64"/>
      <c r="X24" s="68"/>
      <c r="Y24" s="569"/>
      <c r="Z24" s="570"/>
      <c r="AA24" s="61">
        <f t="shared" si="8"/>
        <v>-61.090909090908099</v>
      </c>
      <c r="AB24" s="310">
        <f t="shared" si="9"/>
        <v>0.95927272727272794</v>
      </c>
      <c r="AC24" s="566"/>
    </row>
    <row r="25" spans="1:29" ht="15.75" customHeight="1">
      <c r="A25" s="589" t="s">
        <v>86</v>
      </c>
      <c r="B25" s="57" t="s">
        <v>6</v>
      </c>
      <c r="C25" s="585" t="s">
        <v>68</v>
      </c>
      <c r="D25" s="586"/>
      <c r="E25" s="57">
        <v>50.67</v>
      </c>
      <c r="F25" s="316">
        <v>1579</v>
      </c>
      <c r="G25" s="307">
        <f t="shared" si="19"/>
        <v>80007.930000000008</v>
      </c>
      <c r="H25" s="318" t="s">
        <v>5</v>
      </c>
      <c r="I25" s="314">
        <v>15</v>
      </c>
      <c r="J25" s="58">
        <v>2000</v>
      </c>
      <c r="K25" s="59">
        <f t="shared" si="1"/>
        <v>133.33333333333334</v>
      </c>
      <c r="L25" s="314">
        <v>15</v>
      </c>
      <c r="M25" s="60">
        <f t="shared" si="20"/>
        <v>1933.4693877551024</v>
      </c>
      <c r="N25" s="59">
        <f t="shared" si="3"/>
        <v>128.89795918367349</v>
      </c>
      <c r="O25" s="61">
        <f t="shared" si="4"/>
        <v>0</v>
      </c>
      <c r="P25" s="62">
        <f t="shared" si="5"/>
        <v>-4.4353741496598502</v>
      </c>
      <c r="Q25" s="310">
        <f t="shared" si="6"/>
        <v>0.96673469387755118</v>
      </c>
      <c r="R25" s="566"/>
      <c r="S25" s="63">
        <v>0.78680555555555554</v>
      </c>
      <c r="T25" s="63">
        <v>0.8208333333333333</v>
      </c>
      <c r="U25" s="307">
        <f t="shared" si="22"/>
        <v>7.9999999999999716</v>
      </c>
      <c r="V25" s="315">
        <f t="shared" si="21"/>
        <v>48.999999999999986</v>
      </c>
      <c r="W25" s="64"/>
      <c r="X25" s="64"/>
      <c r="Y25" s="569"/>
      <c r="Z25" s="570"/>
      <c r="AA25" s="61">
        <f t="shared" si="8"/>
        <v>-66.530612244897611</v>
      </c>
      <c r="AB25" s="310">
        <f t="shared" si="9"/>
        <v>0.96673469387755118</v>
      </c>
      <c r="AC25" s="566"/>
    </row>
    <row r="26" spans="1:29" ht="15.75" customHeight="1">
      <c r="A26" s="589" t="s">
        <v>86</v>
      </c>
      <c r="B26" s="57" t="s">
        <v>67</v>
      </c>
      <c r="C26" s="571"/>
      <c r="D26" s="571"/>
      <c r="E26" s="313"/>
      <c r="F26" s="316"/>
      <c r="G26" s="307"/>
      <c r="H26" s="316"/>
      <c r="I26" s="67">
        <v>16.375</v>
      </c>
      <c r="J26" s="58">
        <v>1937.5</v>
      </c>
      <c r="K26" s="59">
        <f t="shared" si="1"/>
        <v>118.32061068702291</v>
      </c>
      <c r="L26" s="67">
        <v>16.375</v>
      </c>
      <c r="M26" s="60">
        <f>AVERAGE(M18:M25)</f>
        <v>1862.6432100112777</v>
      </c>
      <c r="N26" s="59">
        <f t="shared" si="3"/>
        <v>113.74920366481085</v>
      </c>
      <c r="O26" s="61">
        <f t="shared" si="4"/>
        <v>0</v>
      </c>
      <c r="P26" s="62">
        <f t="shared" si="5"/>
        <v>-4.5714070222120569</v>
      </c>
      <c r="Q26" s="310">
        <f t="shared" si="6"/>
        <v>0.96136423742517552</v>
      </c>
      <c r="R26" s="566"/>
      <c r="S26" s="63"/>
      <c r="T26" s="63"/>
      <c r="U26" s="59"/>
      <c r="V26" s="315"/>
      <c r="W26" s="59"/>
      <c r="X26" s="59"/>
      <c r="Y26" s="559"/>
      <c r="Z26" s="559"/>
      <c r="AA26" s="61">
        <f t="shared" si="8"/>
        <v>-74.856789988722312</v>
      </c>
      <c r="AB26" s="310">
        <f t="shared" si="9"/>
        <v>0.96136423742517563</v>
      </c>
      <c r="AC26" s="566"/>
    </row>
    <row r="27" spans="1:29" ht="15.75" customHeight="1">
      <c r="A27" s="587" t="s">
        <v>87</v>
      </c>
      <c r="B27" s="57" t="s">
        <v>15</v>
      </c>
      <c r="C27" s="584" t="s">
        <v>26</v>
      </c>
      <c r="D27" s="584"/>
      <c r="E27" s="57">
        <v>31.29</v>
      </c>
      <c r="F27" s="316">
        <v>5400</v>
      </c>
      <c r="G27" s="307">
        <f t="shared" ref="G27:G33" si="23">E27*F27</f>
        <v>168966</v>
      </c>
      <c r="H27" s="318">
        <v>2</v>
      </c>
      <c r="I27" s="314">
        <v>18</v>
      </c>
      <c r="J27" s="58">
        <v>2400</v>
      </c>
      <c r="K27" s="59">
        <f t="shared" si="1"/>
        <v>133.33333333333334</v>
      </c>
      <c r="L27" s="314">
        <v>18</v>
      </c>
      <c r="M27" s="60">
        <f t="shared" ref="M27:M33" si="24">F27/V27*60</f>
        <v>2297.872340425532</v>
      </c>
      <c r="N27" s="59">
        <f t="shared" si="3"/>
        <v>127.65957446808511</v>
      </c>
      <c r="O27" s="61">
        <f t="shared" si="4"/>
        <v>0</v>
      </c>
      <c r="P27" s="62">
        <f t="shared" si="5"/>
        <v>-5.6737588652482316</v>
      </c>
      <c r="Q27" s="310">
        <f t="shared" si="6"/>
        <v>0.95744680851063824</v>
      </c>
      <c r="R27" s="566">
        <f>Q34</f>
        <v>0.95938965036072532</v>
      </c>
      <c r="S27" s="63">
        <v>8.3333333333333329E-2</v>
      </c>
      <c r="T27" s="63">
        <v>0.18124999999999999</v>
      </c>
      <c r="U27" s="307"/>
      <c r="V27" s="315">
        <f t="shared" ref="V27:V33" si="25">(T27-S27)*24*60</f>
        <v>141</v>
      </c>
      <c r="W27" s="64">
        <f>T27</f>
        <v>0.18124999999999999</v>
      </c>
      <c r="X27" s="64">
        <f>S28</f>
        <v>0.20208333333333334</v>
      </c>
      <c r="Y27" s="559"/>
      <c r="Z27" s="559"/>
      <c r="AA27" s="61">
        <f t="shared" si="8"/>
        <v>-102.127659574468</v>
      </c>
      <c r="AB27" s="310">
        <f t="shared" si="9"/>
        <v>0.95744680851063835</v>
      </c>
      <c r="AC27" s="566">
        <f>AB34</f>
        <v>0.95938965036072543</v>
      </c>
    </row>
    <row r="28" spans="1:29" ht="15.75" customHeight="1">
      <c r="A28" s="587" t="s">
        <v>87</v>
      </c>
      <c r="B28" s="57" t="s">
        <v>15</v>
      </c>
      <c r="C28" s="584" t="s">
        <v>23</v>
      </c>
      <c r="D28" s="584"/>
      <c r="E28" s="57">
        <v>26.2</v>
      </c>
      <c r="F28" s="316">
        <v>4134</v>
      </c>
      <c r="G28" s="307">
        <f t="shared" si="23"/>
        <v>108310.8</v>
      </c>
      <c r="H28" s="318" t="s">
        <v>5</v>
      </c>
      <c r="I28" s="314">
        <v>20</v>
      </c>
      <c r="J28" s="58">
        <v>2400</v>
      </c>
      <c r="K28" s="59">
        <f t="shared" si="1"/>
        <v>120</v>
      </c>
      <c r="L28" s="314">
        <v>20</v>
      </c>
      <c r="M28" s="60">
        <f t="shared" si="24"/>
        <v>2296.6666666666661</v>
      </c>
      <c r="N28" s="59">
        <f t="shared" si="3"/>
        <v>114.8333333333333</v>
      </c>
      <c r="O28" s="61">
        <f t="shared" si="4"/>
        <v>0</v>
      </c>
      <c r="P28" s="62">
        <f t="shared" si="5"/>
        <v>-5.1666666666666998</v>
      </c>
      <c r="Q28" s="310">
        <f t="shared" si="6"/>
        <v>0.95694444444444415</v>
      </c>
      <c r="R28" s="566"/>
      <c r="S28" s="63">
        <v>0.20208333333333334</v>
      </c>
      <c r="T28" s="63">
        <v>0.27708333333333335</v>
      </c>
      <c r="U28" s="307">
        <f t="shared" ref="U28:U33" si="26">(S28-T27)*24*60</f>
        <v>30.000000000000014</v>
      </c>
      <c r="V28" s="315">
        <f t="shared" si="25"/>
        <v>108.00000000000001</v>
      </c>
      <c r="W28" s="64"/>
      <c r="X28" s="64"/>
      <c r="Y28" s="559"/>
      <c r="Z28" s="559"/>
      <c r="AA28" s="61">
        <f t="shared" si="8"/>
        <v>-103.33333333333394</v>
      </c>
      <c r="AB28" s="310">
        <f t="shared" si="9"/>
        <v>0.95694444444444415</v>
      </c>
      <c r="AC28" s="566"/>
    </row>
    <row r="29" spans="1:29" ht="15.75" customHeight="1">
      <c r="A29" s="587" t="s">
        <v>87</v>
      </c>
      <c r="B29" s="57" t="s">
        <v>15</v>
      </c>
      <c r="C29" s="584" t="s">
        <v>70</v>
      </c>
      <c r="D29" s="584"/>
      <c r="E29" s="57">
        <v>25.99</v>
      </c>
      <c r="F29" s="316">
        <v>3961</v>
      </c>
      <c r="G29" s="307">
        <f t="shared" si="23"/>
        <v>102946.39</v>
      </c>
      <c r="H29" s="318" t="s">
        <v>5</v>
      </c>
      <c r="I29" s="314">
        <v>14</v>
      </c>
      <c r="J29" s="58">
        <v>2400</v>
      </c>
      <c r="K29" s="59">
        <f t="shared" si="1"/>
        <v>171.42857142857142</v>
      </c>
      <c r="L29" s="314">
        <v>14</v>
      </c>
      <c r="M29" s="60">
        <f t="shared" si="24"/>
        <v>2285.1923076923072</v>
      </c>
      <c r="N29" s="59">
        <f t="shared" si="3"/>
        <v>163.22802197802193</v>
      </c>
      <c r="O29" s="61">
        <f t="shared" si="4"/>
        <v>0</v>
      </c>
      <c r="P29" s="62">
        <f t="shared" si="5"/>
        <v>-8.200549450549488</v>
      </c>
      <c r="Q29" s="310">
        <f t="shared" si="6"/>
        <v>0.95216346153846132</v>
      </c>
      <c r="R29" s="566"/>
      <c r="S29" s="63">
        <v>0.28125</v>
      </c>
      <c r="T29" s="63">
        <v>0.35347222222222224</v>
      </c>
      <c r="U29" s="307">
        <f t="shared" si="26"/>
        <v>5.9999999999999787</v>
      </c>
      <c r="V29" s="315">
        <f t="shared" si="25"/>
        <v>104.00000000000003</v>
      </c>
      <c r="W29" s="64"/>
      <c r="X29" s="64"/>
      <c r="Y29" s="559"/>
      <c r="Z29" s="559"/>
      <c r="AA29" s="61">
        <f t="shared" si="8"/>
        <v>-114.80769230769283</v>
      </c>
      <c r="AB29" s="310">
        <f t="shared" si="9"/>
        <v>0.95216346153846132</v>
      </c>
      <c r="AC29" s="566"/>
    </row>
    <row r="30" spans="1:29" ht="15.75" customHeight="1">
      <c r="A30" s="587" t="s">
        <v>87</v>
      </c>
      <c r="B30" s="57" t="s">
        <v>15</v>
      </c>
      <c r="C30" s="584" t="s">
        <v>45</v>
      </c>
      <c r="D30" s="584"/>
      <c r="E30" s="57">
        <v>20.52</v>
      </c>
      <c r="F30" s="316">
        <v>3532</v>
      </c>
      <c r="G30" s="307">
        <f t="shared" si="23"/>
        <v>72476.639999999999</v>
      </c>
      <c r="H30" s="318" t="s">
        <v>5</v>
      </c>
      <c r="I30" s="314">
        <v>18</v>
      </c>
      <c r="J30" s="58">
        <v>2400</v>
      </c>
      <c r="K30" s="59">
        <f t="shared" si="1"/>
        <v>133.33333333333334</v>
      </c>
      <c r="L30" s="314">
        <v>18</v>
      </c>
      <c r="M30" s="60">
        <f t="shared" si="24"/>
        <v>2303.478260869565</v>
      </c>
      <c r="N30" s="59">
        <f t="shared" si="3"/>
        <v>127.97101449275361</v>
      </c>
      <c r="O30" s="61">
        <f t="shared" si="4"/>
        <v>0</v>
      </c>
      <c r="P30" s="62">
        <f t="shared" si="5"/>
        <v>-5.3623188405797322</v>
      </c>
      <c r="Q30" s="310">
        <f t="shared" si="6"/>
        <v>0.95978260869565202</v>
      </c>
      <c r="R30" s="566"/>
      <c r="S30" s="63">
        <v>0.35833333333333334</v>
      </c>
      <c r="T30" s="63">
        <v>0.42222222222222222</v>
      </c>
      <c r="U30" s="307">
        <f t="shared" si="26"/>
        <v>6.9999999999999751</v>
      </c>
      <c r="V30" s="315">
        <f t="shared" si="25"/>
        <v>92</v>
      </c>
      <c r="W30" s="64"/>
      <c r="X30" s="64"/>
      <c r="Y30" s="559"/>
      <c r="Z30" s="559"/>
      <c r="AA30" s="61">
        <f t="shared" si="8"/>
        <v>-96.52173913043498</v>
      </c>
      <c r="AB30" s="310">
        <f t="shared" si="9"/>
        <v>0.95978260869565213</v>
      </c>
      <c r="AC30" s="566"/>
    </row>
    <row r="31" spans="1:29" ht="15.75" customHeight="1">
      <c r="A31" s="587" t="s">
        <v>87</v>
      </c>
      <c r="B31" s="57" t="s">
        <v>15</v>
      </c>
      <c r="C31" s="584" t="s">
        <v>98</v>
      </c>
      <c r="D31" s="584"/>
      <c r="E31" s="57">
        <v>25.98</v>
      </c>
      <c r="F31" s="316">
        <v>3480</v>
      </c>
      <c r="G31" s="307">
        <f t="shared" si="23"/>
        <v>90410.400000000009</v>
      </c>
      <c r="H31" s="318" t="s">
        <v>5</v>
      </c>
      <c r="I31" s="314">
        <v>21</v>
      </c>
      <c r="J31" s="58">
        <v>2400</v>
      </c>
      <c r="K31" s="59">
        <f t="shared" si="1"/>
        <v>114.28571428571429</v>
      </c>
      <c r="L31" s="314">
        <v>21</v>
      </c>
      <c r="M31" s="60">
        <f t="shared" si="24"/>
        <v>2294.5054945054944</v>
      </c>
      <c r="N31" s="59">
        <f t="shared" si="3"/>
        <v>109.26216640502355</v>
      </c>
      <c r="O31" s="61">
        <f t="shared" si="4"/>
        <v>0</v>
      </c>
      <c r="P31" s="62">
        <f t="shared" si="5"/>
        <v>-5.0235478806907423</v>
      </c>
      <c r="Q31" s="310">
        <f t="shared" si="6"/>
        <v>0.95604395604395598</v>
      </c>
      <c r="R31" s="566"/>
      <c r="S31" s="63">
        <v>0.42569444444444443</v>
      </c>
      <c r="T31" s="63">
        <v>0.48888888888888887</v>
      </c>
      <c r="U31" s="307">
        <f t="shared" si="26"/>
        <v>4.9999999999999822</v>
      </c>
      <c r="V31" s="315">
        <f t="shared" si="25"/>
        <v>91</v>
      </c>
      <c r="W31" s="64"/>
      <c r="X31" s="64"/>
      <c r="Y31" s="559"/>
      <c r="Z31" s="559"/>
      <c r="AA31" s="61">
        <f t="shared" si="8"/>
        <v>-105.49450549450557</v>
      </c>
      <c r="AB31" s="310">
        <f t="shared" si="9"/>
        <v>0.95604395604395598</v>
      </c>
      <c r="AC31" s="566"/>
    </row>
    <row r="32" spans="1:29" ht="15.75" customHeight="1">
      <c r="A32" s="587" t="s">
        <v>87</v>
      </c>
      <c r="B32" s="57" t="s">
        <v>15</v>
      </c>
      <c r="C32" s="584" t="s">
        <v>100</v>
      </c>
      <c r="D32" s="584"/>
      <c r="E32" s="57">
        <v>28.51</v>
      </c>
      <c r="F32" s="316">
        <v>894</v>
      </c>
      <c r="G32" s="307">
        <f t="shared" si="23"/>
        <v>25487.940000000002</v>
      </c>
      <c r="H32" s="318" t="s">
        <v>5</v>
      </c>
      <c r="I32" s="314">
        <v>16</v>
      </c>
      <c r="J32" s="58">
        <v>2400</v>
      </c>
      <c r="K32" s="59">
        <f t="shared" si="1"/>
        <v>150</v>
      </c>
      <c r="L32" s="314">
        <v>16</v>
      </c>
      <c r="M32" s="60">
        <f t="shared" si="24"/>
        <v>2332.1739130434785</v>
      </c>
      <c r="N32" s="59">
        <f t="shared" si="3"/>
        <v>145.7608695652174</v>
      </c>
      <c r="O32" s="61">
        <f t="shared" si="4"/>
        <v>0</v>
      </c>
      <c r="P32" s="62">
        <f t="shared" si="5"/>
        <v>-4.2391304347825951</v>
      </c>
      <c r="Q32" s="310">
        <f t="shared" si="6"/>
        <v>0.97173913043478266</v>
      </c>
      <c r="R32" s="566"/>
      <c r="S32" s="63">
        <v>0.49305555555555552</v>
      </c>
      <c r="T32" s="63">
        <v>0.50902777777777775</v>
      </c>
      <c r="U32" s="307">
        <f t="shared" si="26"/>
        <v>5.9999999999999787</v>
      </c>
      <c r="V32" s="315">
        <f t="shared" si="25"/>
        <v>23</v>
      </c>
      <c r="W32" s="64">
        <f>T32</f>
        <v>0.50902777777777775</v>
      </c>
      <c r="X32" s="64">
        <f>S33</f>
        <v>0.54861111111111105</v>
      </c>
      <c r="Y32" s="559"/>
      <c r="Z32" s="559"/>
      <c r="AA32" s="61">
        <f t="shared" si="8"/>
        <v>-67.826086956521522</v>
      </c>
      <c r="AB32" s="310">
        <f t="shared" si="9"/>
        <v>0.97173913043478266</v>
      </c>
      <c r="AC32" s="566"/>
    </row>
    <row r="33" spans="1:29" ht="15.75" customHeight="1">
      <c r="A33" s="587" t="s">
        <v>87</v>
      </c>
      <c r="B33" s="57" t="s">
        <v>15</v>
      </c>
      <c r="C33" s="584" t="s">
        <v>26</v>
      </c>
      <c r="D33" s="584"/>
      <c r="E33" s="57">
        <v>31.29</v>
      </c>
      <c r="F33" s="316">
        <v>2154</v>
      </c>
      <c r="G33" s="307">
        <f t="shared" si="23"/>
        <v>67398.66</v>
      </c>
      <c r="H33" s="318" t="s">
        <v>5</v>
      </c>
      <c r="I33" s="314">
        <v>18</v>
      </c>
      <c r="J33" s="58">
        <v>2400</v>
      </c>
      <c r="K33" s="59">
        <f t="shared" si="1"/>
        <v>133.33333333333334</v>
      </c>
      <c r="L33" s="314">
        <v>18</v>
      </c>
      <c r="M33" s="60">
        <f t="shared" si="24"/>
        <v>2307.8571428571445</v>
      </c>
      <c r="N33" s="59">
        <f t="shared" si="3"/>
        <v>128.21428571428581</v>
      </c>
      <c r="O33" s="61">
        <f t="shared" si="4"/>
        <v>0</v>
      </c>
      <c r="P33" s="62">
        <f t="shared" si="5"/>
        <v>-5.1190476190475351</v>
      </c>
      <c r="Q33" s="310">
        <f t="shared" si="6"/>
        <v>0.96160714285714344</v>
      </c>
      <c r="R33" s="566"/>
      <c r="S33" s="63">
        <v>0.54861111111111105</v>
      </c>
      <c r="T33" s="63">
        <v>0.58749999999999991</v>
      </c>
      <c r="U33" s="307">
        <f t="shared" si="26"/>
        <v>56.999999999999957</v>
      </c>
      <c r="V33" s="315">
        <f t="shared" si="25"/>
        <v>55.999999999999957</v>
      </c>
      <c r="W33" s="64"/>
      <c r="X33" s="64"/>
      <c r="Y33" s="559"/>
      <c r="Z33" s="559"/>
      <c r="AA33" s="61">
        <f t="shared" si="8"/>
        <v>-92.142857142855519</v>
      </c>
      <c r="AB33" s="310">
        <f t="shared" si="9"/>
        <v>0.96160714285714355</v>
      </c>
      <c r="AC33" s="566"/>
    </row>
    <row r="34" spans="1:29" ht="15.75" customHeight="1">
      <c r="A34" s="587" t="s">
        <v>87</v>
      </c>
      <c r="B34" s="57" t="s">
        <v>67</v>
      </c>
      <c r="C34" s="571"/>
      <c r="D34" s="571"/>
      <c r="E34" s="313"/>
      <c r="F34" s="316"/>
      <c r="G34" s="307"/>
      <c r="H34" s="316"/>
      <c r="I34" s="67">
        <v>17.857142857142858</v>
      </c>
      <c r="J34" s="58">
        <v>2400</v>
      </c>
      <c r="K34" s="59">
        <f t="shared" si="1"/>
        <v>134.4</v>
      </c>
      <c r="L34" s="67">
        <v>17.857142857142858</v>
      </c>
      <c r="M34" s="60">
        <f>AVERAGE(M27:M33)</f>
        <v>2302.5351608657411</v>
      </c>
      <c r="N34" s="59">
        <f t="shared" si="3"/>
        <v>128.94196900848149</v>
      </c>
      <c r="O34" s="61">
        <f t="shared" si="4"/>
        <v>0</v>
      </c>
      <c r="P34" s="62">
        <f t="shared" si="5"/>
        <v>-5.4580309915185126</v>
      </c>
      <c r="Q34" s="310">
        <f t="shared" si="6"/>
        <v>0.95938965036072532</v>
      </c>
      <c r="R34" s="566"/>
      <c r="S34" s="63"/>
      <c r="T34" s="63"/>
      <c r="U34" s="307"/>
      <c r="V34" s="315"/>
      <c r="W34" s="307"/>
      <c r="X34" s="307"/>
      <c r="Y34" s="559"/>
      <c r="Z34" s="559"/>
      <c r="AA34" s="61">
        <f t="shared" si="8"/>
        <v>-97.464839134258909</v>
      </c>
      <c r="AB34" s="310">
        <f t="shared" si="9"/>
        <v>0.95938965036072543</v>
      </c>
      <c r="AC34" s="566"/>
    </row>
    <row r="35" spans="1:29" ht="15.75" customHeight="1">
      <c r="A35" s="582" t="s">
        <v>88</v>
      </c>
      <c r="B35" s="57" t="s">
        <v>15</v>
      </c>
      <c r="C35" s="560" t="s">
        <v>101</v>
      </c>
      <c r="D35" s="560"/>
      <c r="E35" s="57">
        <v>22.69</v>
      </c>
      <c r="F35" s="316">
        <v>1616</v>
      </c>
      <c r="G35" s="307">
        <f t="shared" ref="G35:G40" si="27">E35*F35</f>
        <v>36667.040000000001</v>
      </c>
      <c r="H35" s="318" t="s">
        <v>5</v>
      </c>
      <c r="I35" s="314">
        <v>15</v>
      </c>
      <c r="J35" s="58">
        <v>2400</v>
      </c>
      <c r="K35" s="59">
        <f t="shared" si="1"/>
        <v>160</v>
      </c>
      <c r="L35" s="314">
        <v>15</v>
      </c>
      <c r="M35" s="60">
        <f t="shared" ref="M35:M40" si="28">F35/V35*60</f>
        <v>2308.5714285714289</v>
      </c>
      <c r="N35" s="59">
        <f t="shared" si="3"/>
        <v>153.90476190476193</v>
      </c>
      <c r="O35" s="61">
        <f t="shared" si="4"/>
        <v>0</v>
      </c>
      <c r="P35" s="62">
        <f t="shared" si="5"/>
        <v>-6.0952380952380736</v>
      </c>
      <c r="Q35" s="310">
        <f t="shared" si="6"/>
        <v>0.96190476190476204</v>
      </c>
      <c r="R35" s="566">
        <f>Q41</f>
        <v>0.95564715171866754</v>
      </c>
      <c r="S35" s="63">
        <v>8.3333333333333329E-2</v>
      </c>
      <c r="T35" s="63">
        <v>0.11249999999999999</v>
      </c>
      <c r="U35" s="307"/>
      <c r="V35" s="315">
        <f t="shared" ref="V35:V40" si="29">(T35-S35)*24*60</f>
        <v>41.999999999999993</v>
      </c>
      <c r="W35" s="68">
        <f>T35</f>
        <v>0.11249999999999999</v>
      </c>
      <c r="X35" s="68">
        <f>S36</f>
        <v>0.13055555555555556</v>
      </c>
      <c r="Y35" s="559"/>
      <c r="Z35" s="559"/>
      <c r="AA35" s="61">
        <f t="shared" si="8"/>
        <v>-91.428571428571104</v>
      </c>
      <c r="AB35" s="310">
        <f t="shared" si="9"/>
        <v>0.96190476190476204</v>
      </c>
      <c r="AC35" s="566">
        <f>AB41</f>
        <v>0.95564715171866754</v>
      </c>
    </row>
    <row r="36" spans="1:29" ht="15.75" customHeight="1">
      <c r="A36" s="582" t="s">
        <v>1384</v>
      </c>
      <c r="B36" s="57" t="s">
        <v>15</v>
      </c>
      <c r="C36" s="560" t="s">
        <v>27</v>
      </c>
      <c r="D36" s="560"/>
      <c r="E36" s="57">
        <v>26.2</v>
      </c>
      <c r="F36" s="316">
        <v>5325</v>
      </c>
      <c r="G36" s="307">
        <f t="shared" si="27"/>
        <v>139515</v>
      </c>
      <c r="H36" s="318" t="s">
        <v>5</v>
      </c>
      <c r="I36" s="314">
        <v>18</v>
      </c>
      <c r="J36" s="58">
        <v>2400</v>
      </c>
      <c r="K36" s="59">
        <f t="shared" si="1"/>
        <v>133.33333333333334</v>
      </c>
      <c r="L36" s="314">
        <v>18</v>
      </c>
      <c r="M36" s="60">
        <f t="shared" si="28"/>
        <v>2282.1428571428569</v>
      </c>
      <c r="N36" s="59">
        <f t="shared" si="3"/>
        <v>126.78571428571428</v>
      </c>
      <c r="O36" s="61">
        <f t="shared" si="4"/>
        <v>0</v>
      </c>
      <c r="P36" s="62">
        <f t="shared" si="5"/>
        <v>-6.5476190476190652</v>
      </c>
      <c r="Q36" s="310">
        <f t="shared" si="6"/>
        <v>0.95089285714285698</v>
      </c>
      <c r="R36" s="566"/>
      <c r="S36" s="63">
        <v>0.13055555555555556</v>
      </c>
      <c r="T36" s="63">
        <v>0.2277777777777778</v>
      </c>
      <c r="U36" s="307">
        <f t="shared" ref="U36:U40" si="30">(S36-T35)*24*60</f>
        <v>26.000000000000028</v>
      </c>
      <c r="V36" s="315">
        <f t="shared" si="29"/>
        <v>140.00000000000003</v>
      </c>
      <c r="W36" s="307"/>
      <c r="X36" s="307"/>
      <c r="Y36" s="559"/>
      <c r="Z36" s="559"/>
      <c r="AA36" s="61">
        <f t="shared" si="8"/>
        <v>-117.85714285714312</v>
      </c>
      <c r="AB36" s="310">
        <f t="shared" si="9"/>
        <v>0.95089285714285698</v>
      </c>
      <c r="AC36" s="566"/>
    </row>
    <row r="37" spans="1:29">
      <c r="A37" s="583" t="s">
        <v>1384</v>
      </c>
      <c r="B37" s="57" t="s">
        <v>15</v>
      </c>
      <c r="C37" s="560" t="s">
        <v>25</v>
      </c>
      <c r="D37" s="560"/>
      <c r="E37" s="57">
        <v>26.18</v>
      </c>
      <c r="F37" s="316">
        <v>2093</v>
      </c>
      <c r="G37" s="307">
        <f t="shared" si="27"/>
        <v>54794.74</v>
      </c>
      <c r="H37" s="318" t="s">
        <v>5</v>
      </c>
      <c r="I37" s="314">
        <v>19</v>
      </c>
      <c r="J37" s="58">
        <v>2400</v>
      </c>
      <c r="K37" s="59">
        <f t="shared" si="1"/>
        <v>126.31578947368421</v>
      </c>
      <c r="L37" s="314">
        <v>19</v>
      </c>
      <c r="M37" s="60">
        <f t="shared" si="28"/>
        <v>2283.2727272727284</v>
      </c>
      <c r="N37" s="59">
        <f t="shared" si="3"/>
        <v>120.17224880382781</v>
      </c>
      <c r="O37" s="61">
        <f t="shared" si="4"/>
        <v>0</v>
      </c>
      <c r="P37" s="62">
        <f t="shared" si="5"/>
        <v>-6.1435406698563924</v>
      </c>
      <c r="Q37" s="310">
        <f t="shared" si="6"/>
        <v>0.95136363636363686</v>
      </c>
      <c r="R37" s="566"/>
      <c r="S37" s="63">
        <v>0.23125000000000001</v>
      </c>
      <c r="T37" s="63">
        <v>0.26944444444444443</v>
      </c>
      <c r="U37" s="307">
        <f t="shared" si="30"/>
        <v>4.9999999999999822</v>
      </c>
      <c r="V37" s="315">
        <f t="shared" si="29"/>
        <v>54.999999999999964</v>
      </c>
      <c r="W37" s="307"/>
      <c r="X37" s="307"/>
      <c r="Y37" s="559"/>
      <c r="Z37" s="559"/>
      <c r="AA37" s="61">
        <f t="shared" si="8"/>
        <v>-116.72727272727161</v>
      </c>
      <c r="AB37" s="310">
        <f t="shared" si="9"/>
        <v>0.95136363636363686</v>
      </c>
      <c r="AC37" s="566"/>
    </row>
    <row r="38" spans="1:29">
      <c r="A38" s="583" t="s">
        <v>1384</v>
      </c>
      <c r="B38" s="57" t="s">
        <v>15</v>
      </c>
      <c r="C38" s="560" t="s">
        <v>28</v>
      </c>
      <c r="D38" s="560"/>
      <c r="E38" s="57">
        <v>26.39</v>
      </c>
      <c r="F38" s="316">
        <v>5175</v>
      </c>
      <c r="G38" s="307">
        <f t="shared" si="27"/>
        <v>136568.25</v>
      </c>
      <c r="H38" s="318" t="s">
        <v>5</v>
      </c>
      <c r="I38" s="314">
        <v>19</v>
      </c>
      <c r="J38" s="58">
        <v>2400</v>
      </c>
      <c r="K38" s="59">
        <f t="shared" si="1"/>
        <v>126.31578947368421</v>
      </c>
      <c r="L38" s="314">
        <v>19</v>
      </c>
      <c r="M38" s="60">
        <f t="shared" si="28"/>
        <v>2283.088235294118</v>
      </c>
      <c r="N38" s="59">
        <f t="shared" si="3"/>
        <v>120.16253869969042</v>
      </c>
      <c r="O38" s="61">
        <f t="shared" si="4"/>
        <v>0</v>
      </c>
      <c r="P38" s="62">
        <f t="shared" si="5"/>
        <v>-6.1532507739937898</v>
      </c>
      <c r="Q38" s="310">
        <f t="shared" si="6"/>
        <v>0.95128676470588247</v>
      </c>
      <c r="R38" s="566"/>
      <c r="S38" s="63">
        <v>0.27291666666666664</v>
      </c>
      <c r="T38" s="63">
        <v>0.36736111111111108</v>
      </c>
      <c r="U38" s="307">
        <f t="shared" si="30"/>
        <v>4.9999999999999822</v>
      </c>
      <c r="V38" s="315">
        <f t="shared" si="29"/>
        <v>136</v>
      </c>
      <c r="W38" s="64"/>
      <c r="X38" s="64"/>
      <c r="Y38" s="559"/>
      <c r="Z38" s="559"/>
      <c r="AA38" s="61">
        <f t="shared" si="8"/>
        <v>-116.91176470588198</v>
      </c>
      <c r="AB38" s="310">
        <f t="shared" si="9"/>
        <v>0.95128676470588247</v>
      </c>
      <c r="AC38" s="566"/>
    </row>
    <row r="39" spans="1:29">
      <c r="A39" s="583" t="s">
        <v>1384</v>
      </c>
      <c r="B39" s="57" t="s">
        <v>15</v>
      </c>
      <c r="C39" s="560" t="s">
        <v>658</v>
      </c>
      <c r="D39" s="560"/>
      <c r="E39" s="57">
        <v>22.69</v>
      </c>
      <c r="F39" s="316">
        <v>4650</v>
      </c>
      <c r="G39" s="307">
        <f t="shared" si="27"/>
        <v>105508.5</v>
      </c>
      <c r="H39" s="318" t="s">
        <v>5</v>
      </c>
      <c r="I39" s="314">
        <v>16</v>
      </c>
      <c r="J39" s="58">
        <v>2400</v>
      </c>
      <c r="K39" s="59">
        <f t="shared" si="1"/>
        <v>150</v>
      </c>
      <c r="L39" s="314">
        <v>16</v>
      </c>
      <c r="M39" s="60">
        <f t="shared" si="28"/>
        <v>2286.8852459016398</v>
      </c>
      <c r="N39" s="59">
        <f t="shared" si="3"/>
        <v>142.93032786885249</v>
      </c>
      <c r="O39" s="61">
        <f t="shared" si="4"/>
        <v>0</v>
      </c>
      <c r="P39" s="62">
        <f t="shared" si="5"/>
        <v>-7.069672131147513</v>
      </c>
      <c r="Q39" s="310">
        <f t="shared" si="6"/>
        <v>0.95286885245901654</v>
      </c>
      <c r="R39" s="566"/>
      <c r="S39" s="63">
        <v>0.37291666666666662</v>
      </c>
      <c r="T39" s="63">
        <v>0.45763888888888882</v>
      </c>
      <c r="U39" s="307">
        <f t="shared" si="30"/>
        <v>7.9999999999999716</v>
      </c>
      <c r="V39" s="315">
        <f t="shared" si="29"/>
        <v>121.99999999999997</v>
      </c>
      <c r="W39" s="64"/>
      <c r="X39" s="64"/>
      <c r="Y39" s="559"/>
      <c r="Z39" s="559"/>
      <c r="AA39" s="61">
        <f t="shared" si="8"/>
        <v>-113.11475409836021</v>
      </c>
      <c r="AB39" s="310">
        <f t="shared" si="9"/>
        <v>0.95286885245901654</v>
      </c>
      <c r="AC39" s="566"/>
    </row>
    <row r="40" spans="1:29">
      <c r="A40" s="583" t="s">
        <v>1384</v>
      </c>
      <c r="B40" s="57" t="s">
        <v>15</v>
      </c>
      <c r="C40" s="560" t="s">
        <v>16</v>
      </c>
      <c r="D40" s="560"/>
      <c r="E40" s="57">
        <v>24.45</v>
      </c>
      <c r="F40" s="316">
        <v>2047</v>
      </c>
      <c r="G40" s="307">
        <f t="shared" si="27"/>
        <v>50049.15</v>
      </c>
      <c r="H40" s="318" t="s">
        <v>5</v>
      </c>
      <c r="I40" s="314">
        <v>20</v>
      </c>
      <c r="J40" s="58">
        <v>2400</v>
      </c>
      <c r="K40" s="59">
        <f t="shared" si="1"/>
        <v>120</v>
      </c>
      <c r="L40" s="314">
        <v>20</v>
      </c>
      <c r="M40" s="60">
        <f t="shared" si="28"/>
        <v>2317.3584905660391</v>
      </c>
      <c r="N40" s="59">
        <f t="shared" si="3"/>
        <v>115.86792452830196</v>
      </c>
      <c r="O40" s="61">
        <f t="shared" si="4"/>
        <v>0</v>
      </c>
      <c r="P40" s="62">
        <f t="shared" si="5"/>
        <v>-4.1320754716980446</v>
      </c>
      <c r="Q40" s="310">
        <f t="shared" si="6"/>
        <v>0.96556603773584959</v>
      </c>
      <c r="R40" s="566"/>
      <c r="S40" s="63">
        <v>0.46249999999999991</v>
      </c>
      <c r="T40" s="63">
        <v>0.49930555555555545</v>
      </c>
      <c r="U40" s="307">
        <f t="shared" si="30"/>
        <v>6.9999999999999751</v>
      </c>
      <c r="V40" s="315">
        <f t="shared" si="29"/>
        <v>52.999999999999972</v>
      </c>
      <c r="W40" s="64"/>
      <c r="X40" s="64"/>
      <c r="Y40" s="559"/>
      <c r="Z40" s="559"/>
      <c r="AA40" s="61">
        <f t="shared" si="8"/>
        <v>-82.641509433960891</v>
      </c>
      <c r="AB40" s="310">
        <f t="shared" si="9"/>
        <v>0.96556603773584959</v>
      </c>
      <c r="AC40" s="566"/>
    </row>
    <row r="41" spans="1:29">
      <c r="A41" s="583" t="s">
        <v>1384</v>
      </c>
      <c r="B41" s="66" t="s">
        <v>1385</v>
      </c>
      <c r="C41" s="571"/>
      <c r="D41" s="571"/>
      <c r="E41" s="313"/>
      <c r="F41" s="66"/>
      <c r="G41" s="59"/>
      <c r="H41" s="316"/>
      <c r="I41" s="67">
        <v>17.833333333333332</v>
      </c>
      <c r="J41" s="58">
        <v>2400</v>
      </c>
      <c r="K41" s="59">
        <f t="shared" si="1"/>
        <v>134.57943925233647</v>
      </c>
      <c r="L41" s="67">
        <v>17.833333333333332</v>
      </c>
      <c r="M41" s="60">
        <f>AVERAGE(M35:M40)</f>
        <v>2293.5531641248022</v>
      </c>
      <c r="N41" s="59">
        <f t="shared" si="3"/>
        <v>128.61045780139079</v>
      </c>
      <c r="O41" s="61">
        <f t="shared" si="4"/>
        <v>0</v>
      </c>
      <c r="P41" s="62">
        <f t="shared" si="5"/>
        <v>-5.9689814509456767</v>
      </c>
      <c r="Q41" s="310">
        <f t="shared" si="6"/>
        <v>0.95564715171866754</v>
      </c>
      <c r="R41" s="566"/>
      <c r="S41" s="63"/>
      <c r="T41" s="63"/>
      <c r="U41" s="59"/>
      <c r="V41" s="315"/>
      <c r="W41" s="59"/>
      <c r="X41" s="59"/>
      <c r="Y41" s="559"/>
      <c r="Z41" s="559"/>
      <c r="AA41" s="61">
        <f t="shared" si="8"/>
        <v>-106.44683587519785</v>
      </c>
      <c r="AB41" s="310">
        <f t="shared" si="9"/>
        <v>0.95564715171866754</v>
      </c>
      <c r="AC41" s="566"/>
    </row>
    <row r="42" spans="1:29" ht="15.75" customHeight="1">
      <c r="A42" s="576" t="s">
        <v>1386</v>
      </c>
      <c r="B42" s="57" t="s">
        <v>31</v>
      </c>
      <c r="C42" s="567" t="s">
        <v>32</v>
      </c>
      <c r="D42" s="568"/>
      <c r="E42" s="57">
        <v>21.13</v>
      </c>
      <c r="F42" s="316">
        <v>4466</v>
      </c>
      <c r="G42" s="307">
        <f t="shared" ref="G42:G47" si="31">E42*F42</f>
        <v>94366.58</v>
      </c>
      <c r="H42" s="318" t="s">
        <v>5</v>
      </c>
      <c r="I42" s="314">
        <v>10</v>
      </c>
      <c r="J42" s="58">
        <v>3000</v>
      </c>
      <c r="K42" s="59">
        <f t="shared" si="1"/>
        <v>300</v>
      </c>
      <c r="L42" s="314">
        <v>10</v>
      </c>
      <c r="M42" s="60">
        <f t="shared" ref="M42:M47" si="32">F42/V42*60</f>
        <v>2881.2903225806449</v>
      </c>
      <c r="N42" s="60">
        <f t="shared" si="3"/>
        <v>288.12903225806451</v>
      </c>
      <c r="O42" s="61">
        <f t="shared" si="4"/>
        <v>0</v>
      </c>
      <c r="P42" s="62">
        <f t="shared" si="5"/>
        <v>-11.870967741935488</v>
      </c>
      <c r="Q42" s="310">
        <f t="shared" si="6"/>
        <v>0.96043010752688174</v>
      </c>
      <c r="R42" s="579">
        <f>Q48</f>
        <v>0.9564481974891279</v>
      </c>
      <c r="S42" s="63">
        <v>8.3333333333333329E-2</v>
      </c>
      <c r="T42" s="63">
        <v>0.14791666666666667</v>
      </c>
      <c r="U42" s="68"/>
      <c r="V42" s="315">
        <f t="shared" ref="V42:V47" si="33">(T42-S42)*24*60</f>
        <v>93.000000000000014</v>
      </c>
      <c r="W42" s="64">
        <f>T42</f>
        <v>0.14791666666666667</v>
      </c>
      <c r="X42" s="64">
        <f>S43</f>
        <v>0.16736111111111113</v>
      </c>
      <c r="Y42" s="569"/>
      <c r="Z42" s="570"/>
      <c r="AA42" s="61">
        <f t="shared" si="8"/>
        <v>-118.7096774193551</v>
      </c>
      <c r="AB42" s="310">
        <f t="shared" si="9"/>
        <v>0.96043010752688163</v>
      </c>
      <c r="AC42" s="579">
        <f>AB48</f>
        <v>0.95644819748912802</v>
      </c>
    </row>
    <row r="43" spans="1:29" ht="15.75" customHeight="1">
      <c r="A43" s="577" t="s">
        <v>1387</v>
      </c>
      <c r="B43" s="57" t="s">
        <v>31</v>
      </c>
      <c r="C43" s="567" t="s">
        <v>33</v>
      </c>
      <c r="D43" s="568"/>
      <c r="E43" s="57">
        <v>27.17</v>
      </c>
      <c r="F43" s="316">
        <v>5646</v>
      </c>
      <c r="G43" s="307">
        <f t="shared" si="31"/>
        <v>153401.82</v>
      </c>
      <c r="H43" s="318" t="s">
        <v>5</v>
      </c>
      <c r="I43" s="314">
        <v>10</v>
      </c>
      <c r="J43" s="58">
        <v>3000</v>
      </c>
      <c r="K43" s="59">
        <f t="shared" si="1"/>
        <v>300</v>
      </c>
      <c r="L43" s="314">
        <v>10</v>
      </c>
      <c r="M43" s="60">
        <f t="shared" si="32"/>
        <v>2870.8474576271192</v>
      </c>
      <c r="N43" s="60">
        <f t="shared" si="3"/>
        <v>287.08474576271192</v>
      </c>
      <c r="O43" s="61">
        <f t="shared" si="4"/>
        <v>0</v>
      </c>
      <c r="P43" s="62">
        <f t="shared" si="5"/>
        <v>-12.915254237288082</v>
      </c>
      <c r="Q43" s="310">
        <f t="shared" si="6"/>
        <v>0.95694915254237312</v>
      </c>
      <c r="R43" s="580"/>
      <c r="S43" s="63">
        <v>0.16736111111111113</v>
      </c>
      <c r="T43" s="63">
        <v>0.24930555555555556</v>
      </c>
      <c r="U43" s="307">
        <f t="shared" ref="U43:U47" si="34">(S43-T42)*24*60</f>
        <v>28.000000000000021</v>
      </c>
      <c r="V43" s="315">
        <f t="shared" si="33"/>
        <v>117.99999999999999</v>
      </c>
      <c r="W43" s="64"/>
      <c r="X43" s="64"/>
      <c r="Y43" s="569"/>
      <c r="Z43" s="570"/>
      <c r="AA43" s="61">
        <f t="shared" si="8"/>
        <v>-129.15254237288082</v>
      </c>
      <c r="AB43" s="310">
        <f t="shared" si="9"/>
        <v>0.95694915254237312</v>
      </c>
      <c r="AC43" s="580"/>
    </row>
    <row r="44" spans="1:29" ht="15.75" customHeight="1">
      <c r="A44" s="577" t="s">
        <v>89</v>
      </c>
      <c r="B44" s="57" t="s">
        <v>31</v>
      </c>
      <c r="C44" s="567" t="s">
        <v>36</v>
      </c>
      <c r="D44" s="568"/>
      <c r="E44" s="57">
        <v>36.14</v>
      </c>
      <c r="F44" s="316">
        <v>860</v>
      </c>
      <c r="G44" s="307">
        <f t="shared" si="31"/>
        <v>31080.400000000001</v>
      </c>
      <c r="H44" s="318" t="s">
        <v>5</v>
      </c>
      <c r="I44" s="314">
        <v>9</v>
      </c>
      <c r="J44" s="58">
        <v>3000</v>
      </c>
      <c r="K44" s="59">
        <f t="shared" si="1"/>
        <v>333.33333333333331</v>
      </c>
      <c r="L44" s="314">
        <v>9</v>
      </c>
      <c r="M44" s="60">
        <f t="shared" si="32"/>
        <v>2866.6666666666647</v>
      </c>
      <c r="N44" s="60">
        <f t="shared" si="3"/>
        <v>318.51851851851831</v>
      </c>
      <c r="O44" s="61">
        <f t="shared" si="4"/>
        <v>0</v>
      </c>
      <c r="P44" s="62">
        <f t="shared" si="5"/>
        <v>-14.814814814815009</v>
      </c>
      <c r="Q44" s="310">
        <f t="shared" si="6"/>
        <v>0.95555555555555494</v>
      </c>
      <c r="R44" s="580"/>
      <c r="S44" s="63">
        <v>0.25347222222222221</v>
      </c>
      <c r="T44" s="63">
        <v>0.26597222222222222</v>
      </c>
      <c r="U44" s="307">
        <f t="shared" si="34"/>
        <v>5.9999999999999787</v>
      </c>
      <c r="V44" s="315">
        <f t="shared" si="33"/>
        <v>18.000000000000014</v>
      </c>
      <c r="W44" s="64"/>
      <c r="X44" s="64"/>
      <c r="Y44" s="569"/>
      <c r="Z44" s="570"/>
      <c r="AA44" s="61">
        <f t="shared" si="8"/>
        <v>-133.3333333333353</v>
      </c>
      <c r="AB44" s="310">
        <f t="shared" si="9"/>
        <v>0.95555555555555494</v>
      </c>
      <c r="AC44" s="580"/>
    </row>
    <row r="45" spans="1:29" ht="15.75" customHeight="1">
      <c r="A45" s="577" t="s">
        <v>89</v>
      </c>
      <c r="B45" s="57" t="s">
        <v>31</v>
      </c>
      <c r="C45" s="567" t="s">
        <v>34</v>
      </c>
      <c r="D45" s="568"/>
      <c r="E45" s="57">
        <v>35.119999999999997</v>
      </c>
      <c r="F45" s="316">
        <v>3677</v>
      </c>
      <c r="G45" s="307">
        <f t="shared" si="31"/>
        <v>129136.23999999999</v>
      </c>
      <c r="H45" s="318" t="s">
        <v>5</v>
      </c>
      <c r="I45" s="314">
        <v>10</v>
      </c>
      <c r="J45" s="58">
        <v>3000</v>
      </c>
      <c r="K45" s="59">
        <f t="shared" si="1"/>
        <v>300</v>
      </c>
      <c r="L45" s="314">
        <v>10</v>
      </c>
      <c r="M45" s="60">
        <f t="shared" si="32"/>
        <v>2865.1948051948061</v>
      </c>
      <c r="N45" s="60">
        <f t="shared" si="3"/>
        <v>286.51948051948062</v>
      </c>
      <c r="O45" s="61">
        <f t="shared" si="4"/>
        <v>0</v>
      </c>
      <c r="P45" s="62">
        <f t="shared" si="5"/>
        <v>-13.480519480519376</v>
      </c>
      <c r="Q45" s="310">
        <f t="shared" si="6"/>
        <v>0.95506493506493539</v>
      </c>
      <c r="R45" s="580"/>
      <c r="S45" s="63">
        <v>0.27013888888888887</v>
      </c>
      <c r="T45" s="63">
        <v>0.32361111111111107</v>
      </c>
      <c r="U45" s="307">
        <f t="shared" si="34"/>
        <v>5.9999999999999787</v>
      </c>
      <c r="V45" s="315">
        <f t="shared" si="33"/>
        <v>76.999999999999972</v>
      </c>
      <c r="W45" s="64"/>
      <c r="X45" s="64"/>
      <c r="Y45" s="569"/>
      <c r="Z45" s="570"/>
      <c r="AA45" s="61">
        <f t="shared" si="8"/>
        <v>-134.80519480519388</v>
      </c>
      <c r="AB45" s="310">
        <f t="shared" si="9"/>
        <v>0.95506493506493539</v>
      </c>
      <c r="AC45" s="580"/>
    </row>
    <row r="46" spans="1:29" ht="15.75" customHeight="1">
      <c r="A46" s="577" t="s">
        <v>1387</v>
      </c>
      <c r="B46" s="57" t="s">
        <v>31</v>
      </c>
      <c r="C46" s="567" t="s">
        <v>71</v>
      </c>
      <c r="D46" s="568"/>
      <c r="E46" s="57">
        <v>31</v>
      </c>
      <c r="F46" s="316">
        <v>1683</v>
      </c>
      <c r="G46" s="307">
        <f t="shared" si="31"/>
        <v>52173</v>
      </c>
      <c r="H46" s="318" t="s">
        <v>5</v>
      </c>
      <c r="I46" s="314">
        <v>13</v>
      </c>
      <c r="J46" s="58">
        <v>2000</v>
      </c>
      <c r="K46" s="59">
        <f t="shared" si="1"/>
        <v>153.84615384615384</v>
      </c>
      <c r="L46" s="314">
        <v>13</v>
      </c>
      <c r="M46" s="60">
        <f t="shared" si="32"/>
        <v>1905.2830188679254</v>
      </c>
      <c r="N46" s="60">
        <f t="shared" si="3"/>
        <v>146.56023222060963</v>
      </c>
      <c r="O46" s="61">
        <f t="shared" si="4"/>
        <v>0</v>
      </c>
      <c r="P46" s="62">
        <f t="shared" si="5"/>
        <v>-7.285921625544205</v>
      </c>
      <c r="Q46" s="310">
        <f t="shared" si="6"/>
        <v>0.95264150943396264</v>
      </c>
      <c r="R46" s="580"/>
      <c r="S46" s="63">
        <v>0.32777777777777772</v>
      </c>
      <c r="T46" s="63">
        <v>0.36458333333333326</v>
      </c>
      <c r="U46" s="307">
        <f t="shared" si="34"/>
        <v>5.9999999999999787</v>
      </c>
      <c r="V46" s="315">
        <f t="shared" si="33"/>
        <v>52.999999999999972</v>
      </c>
      <c r="W46" s="64"/>
      <c r="X46" s="64"/>
      <c r="Y46" s="569"/>
      <c r="Z46" s="570"/>
      <c r="AA46" s="61">
        <f t="shared" si="8"/>
        <v>-94.716981132074579</v>
      </c>
      <c r="AB46" s="310">
        <f t="shared" si="9"/>
        <v>0.95264150943396275</v>
      </c>
      <c r="AC46" s="580"/>
    </row>
    <row r="47" spans="1:29" ht="15.75" customHeight="1">
      <c r="A47" s="577" t="s">
        <v>1387</v>
      </c>
      <c r="B47" s="57" t="s">
        <v>31</v>
      </c>
      <c r="C47" s="567" t="s">
        <v>659</v>
      </c>
      <c r="D47" s="568"/>
      <c r="E47" s="57">
        <v>37.880000000000003</v>
      </c>
      <c r="F47" s="316">
        <v>3445</v>
      </c>
      <c r="G47" s="307">
        <f t="shared" si="31"/>
        <v>130496.6</v>
      </c>
      <c r="H47" s="318" t="s">
        <v>5</v>
      </c>
      <c r="I47" s="314">
        <v>16</v>
      </c>
      <c r="J47" s="58">
        <v>2000</v>
      </c>
      <c r="K47" s="59">
        <f t="shared" si="1"/>
        <v>125</v>
      </c>
      <c r="L47" s="314">
        <v>16</v>
      </c>
      <c r="M47" s="60">
        <f t="shared" si="32"/>
        <v>1913.8888888888887</v>
      </c>
      <c r="N47" s="60">
        <f t="shared" si="3"/>
        <v>119.61805555555554</v>
      </c>
      <c r="O47" s="61">
        <f t="shared" si="4"/>
        <v>0</v>
      </c>
      <c r="P47" s="62">
        <f t="shared" si="5"/>
        <v>-5.3819444444444571</v>
      </c>
      <c r="Q47" s="310">
        <f t="shared" si="6"/>
        <v>0.95694444444444438</v>
      </c>
      <c r="R47" s="580"/>
      <c r="S47" s="63">
        <v>0.36944444444444435</v>
      </c>
      <c r="T47" s="63">
        <v>0.44444444444444436</v>
      </c>
      <c r="U47" s="307">
        <f t="shared" si="34"/>
        <v>6.9999999999999751</v>
      </c>
      <c r="V47" s="315">
        <f t="shared" si="33"/>
        <v>108.00000000000001</v>
      </c>
      <c r="W47" s="64"/>
      <c r="X47" s="64"/>
      <c r="Y47" s="569"/>
      <c r="Z47" s="570"/>
      <c r="AA47" s="61">
        <f t="shared" si="8"/>
        <v>-86.111111111111313</v>
      </c>
      <c r="AB47" s="310">
        <f t="shared" si="9"/>
        <v>0.95694444444444438</v>
      </c>
      <c r="AC47" s="580"/>
    </row>
    <row r="48" spans="1:29" ht="15.75" customHeight="1">
      <c r="A48" s="578" t="s">
        <v>89</v>
      </c>
      <c r="B48" s="57" t="s">
        <v>1388</v>
      </c>
      <c r="C48" s="561"/>
      <c r="D48" s="562"/>
      <c r="E48" s="306"/>
      <c r="F48" s="316"/>
      <c r="G48" s="307"/>
      <c r="H48" s="316"/>
      <c r="I48" s="67">
        <v>11.333333333333334</v>
      </c>
      <c r="J48" s="58">
        <v>2666.6666666666665</v>
      </c>
      <c r="K48" s="59">
        <f t="shared" si="1"/>
        <v>235.29411764705881</v>
      </c>
      <c r="L48" s="67">
        <v>11.333333333333334</v>
      </c>
      <c r="M48" s="60">
        <f>AVERAGE(M42:M47)</f>
        <v>2550.5285266376745</v>
      </c>
      <c r="N48" s="59">
        <f t="shared" si="3"/>
        <v>225.0466347033242</v>
      </c>
      <c r="O48" s="61">
        <f t="shared" si="4"/>
        <v>0</v>
      </c>
      <c r="P48" s="62">
        <f t="shared" si="5"/>
        <v>-10.24748294373461</v>
      </c>
      <c r="Q48" s="310">
        <f t="shared" si="6"/>
        <v>0.9564481974891279</v>
      </c>
      <c r="R48" s="581"/>
      <c r="S48" s="63"/>
      <c r="T48" s="63"/>
      <c r="U48" s="307"/>
      <c r="V48" s="315"/>
      <c r="W48" s="64"/>
      <c r="X48" s="64"/>
      <c r="Y48" s="569"/>
      <c r="Z48" s="570"/>
      <c r="AA48" s="61">
        <f t="shared" si="8"/>
        <v>-116.13814002899198</v>
      </c>
      <c r="AB48" s="310">
        <f t="shared" si="9"/>
        <v>0.95644819748912802</v>
      </c>
      <c r="AC48" s="581"/>
    </row>
    <row r="49" spans="1:29" ht="15.75" customHeight="1">
      <c r="A49" s="574" t="s">
        <v>1389</v>
      </c>
      <c r="B49" s="57" t="s">
        <v>10</v>
      </c>
      <c r="C49" s="560" t="s">
        <v>37</v>
      </c>
      <c r="D49" s="560"/>
      <c r="E49" s="57">
        <v>46</v>
      </c>
      <c r="F49" s="69">
        <v>1464</v>
      </c>
      <c r="G49" s="307">
        <f t="shared" ref="G49:G55" si="35">E49*F49</f>
        <v>67344</v>
      </c>
      <c r="H49" s="318" t="s">
        <v>5</v>
      </c>
      <c r="I49" s="314">
        <v>17</v>
      </c>
      <c r="J49" s="58">
        <v>2000</v>
      </c>
      <c r="K49" s="59">
        <f t="shared" si="1"/>
        <v>117.64705882352941</v>
      </c>
      <c r="L49" s="314">
        <v>17</v>
      </c>
      <c r="M49" s="60">
        <f t="shared" ref="M49:M55" si="36">F49/V49*60</f>
        <v>1909.5652173913043</v>
      </c>
      <c r="N49" s="60">
        <f t="shared" si="3"/>
        <v>112.32736572890025</v>
      </c>
      <c r="O49" s="61">
        <f t="shared" si="4"/>
        <v>0</v>
      </c>
      <c r="P49" s="62">
        <f t="shared" si="5"/>
        <v>-5.3196930946291587</v>
      </c>
      <c r="Q49" s="310">
        <f t="shared" si="6"/>
        <v>0.95478260869565212</v>
      </c>
      <c r="R49" s="566">
        <f>Q56</f>
        <v>0.87702518131077545</v>
      </c>
      <c r="S49" s="63">
        <v>0.20833333333333334</v>
      </c>
      <c r="T49" s="63">
        <v>0.24027777777777778</v>
      </c>
      <c r="U49" s="68"/>
      <c r="V49" s="315">
        <f t="shared" ref="V49:V55" si="37">(T49-S49)*24*60</f>
        <v>46</v>
      </c>
      <c r="W49" s="68"/>
      <c r="X49" s="68"/>
      <c r="Y49" s="559"/>
      <c r="Z49" s="559"/>
      <c r="AA49" s="61">
        <f t="shared" si="8"/>
        <v>-90.434782608695741</v>
      </c>
      <c r="AB49" s="310">
        <f t="shared" si="9"/>
        <v>0.95478260869565212</v>
      </c>
      <c r="AC49" s="566">
        <f>AB56</f>
        <v>0.87702518131077545</v>
      </c>
    </row>
    <row r="50" spans="1:29" ht="15.75" customHeight="1">
      <c r="A50" s="574" t="s">
        <v>1390</v>
      </c>
      <c r="B50" s="57" t="s">
        <v>10</v>
      </c>
      <c r="C50" s="560" t="s">
        <v>38</v>
      </c>
      <c r="D50" s="560"/>
      <c r="E50" s="57">
        <v>46</v>
      </c>
      <c r="F50" s="69">
        <v>1652</v>
      </c>
      <c r="G50" s="307">
        <f t="shared" si="35"/>
        <v>75992</v>
      </c>
      <c r="H50" s="318" t="s">
        <v>5</v>
      </c>
      <c r="I50" s="314">
        <v>17</v>
      </c>
      <c r="J50" s="58">
        <v>2000</v>
      </c>
      <c r="K50" s="59">
        <f t="shared" si="1"/>
        <v>117.64705882352941</v>
      </c>
      <c r="L50" s="314">
        <v>17</v>
      </c>
      <c r="M50" s="60">
        <f t="shared" si="36"/>
        <v>1906.1538461538473</v>
      </c>
      <c r="N50" s="60">
        <f t="shared" si="3"/>
        <v>112.12669683257926</v>
      </c>
      <c r="O50" s="61">
        <f t="shared" si="4"/>
        <v>0</v>
      </c>
      <c r="P50" s="62">
        <f t="shared" si="5"/>
        <v>-5.5203619909501498</v>
      </c>
      <c r="Q50" s="310">
        <f t="shared" si="6"/>
        <v>0.95307692307692371</v>
      </c>
      <c r="R50" s="566"/>
      <c r="S50" s="63">
        <v>0.24513888888888891</v>
      </c>
      <c r="T50" s="63">
        <v>0.28125</v>
      </c>
      <c r="U50" s="307">
        <f t="shared" ref="U50:U55" si="38">IF(S50=TIME(17,0,0),"",(S50-T49)*24*60)</f>
        <v>7.0000000000000151</v>
      </c>
      <c r="V50" s="315">
        <f t="shared" si="37"/>
        <v>51.999999999999972</v>
      </c>
      <c r="W50" s="64"/>
      <c r="X50" s="64"/>
      <c r="Y50" s="559"/>
      <c r="Z50" s="559"/>
      <c r="AA50" s="61">
        <f t="shared" si="8"/>
        <v>-93.846153846152674</v>
      </c>
      <c r="AB50" s="310">
        <f t="shared" si="9"/>
        <v>0.95307692307692371</v>
      </c>
      <c r="AC50" s="566"/>
    </row>
    <row r="51" spans="1:29" ht="15.75" customHeight="1">
      <c r="A51" s="574" t="s">
        <v>1390</v>
      </c>
      <c r="B51" s="57" t="s">
        <v>6</v>
      </c>
      <c r="C51" s="567" t="s">
        <v>1181</v>
      </c>
      <c r="D51" s="568"/>
      <c r="E51" s="57">
        <v>51.86</v>
      </c>
      <c r="F51" s="69">
        <v>1040</v>
      </c>
      <c r="G51" s="307">
        <f t="shared" si="35"/>
        <v>53934.400000000001</v>
      </c>
      <c r="H51" s="318" t="s">
        <v>5</v>
      </c>
      <c r="I51" s="314">
        <v>25</v>
      </c>
      <c r="J51" s="58">
        <v>2000</v>
      </c>
      <c r="K51" s="59">
        <f t="shared" si="1"/>
        <v>80</v>
      </c>
      <c r="L51" s="314">
        <v>25</v>
      </c>
      <c r="M51" s="60">
        <f t="shared" si="36"/>
        <v>1273.4693877551024</v>
      </c>
      <c r="N51" s="60">
        <f t="shared" si="3"/>
        <v>50.938775510204096</v>
      </c>
      <c r="O51" s="61">
        <f t="shared" si="4"/>
        <v>0</v>
      </c>
      <c r="P51" s="62">
        <f t="shared" si="5"/>
        <v>-29.061224489795904</v>
      </c>
      <c r="Q51" s="310">
        <f t="shared" si="6"/>
        <v>0.63673469387755122</v>
      </c>
      <c r="R51" s="566"/>
      <c r="S51" s="63">
        <v>0.28541666666666665</v>
      </c>
      <c r="T51" s="63">
        <v>0.31944444444444442</v>
      </c>
      <c r="U51" s="307">
        <f t="shared" si="38"/>
        <v>5.9999999999999787</v>
      </c>
      <c r="V51" s="315">
        <f t="shared" si="37"/>
        <v>48.999999999999986</v>
      </c>
      <c r="W51" s="64"/>
      <c r="X51" s="64"/>
      <c r="Y51" s="308"/>
      <c r="Z51" s="309"/>
      <c r="AA51" s="61">
        <f t="shared" si="8"/>
        <v>-726.53061224489761</v>
      </c>
      <c r="AB51" s="310">
        <f t="shared" si="9"/>
        <v>0.63673469387755122</v>
      </c>
      <c r="AC51" s="566"/>
    </row>
    <row r="52" spans="1:29" ht="15.75" customHeight="1">
      <c r="A52" s="574" t="s">
        <v>1391</v>
      </c>
      <c r="B52" s="57" t="s">
        <v>6</v>
      </c>
      <c r="C52" s="311" t="s">
        <v>1182</v>
      </c>
      <c r="D52" s="312"/>
      <c r="E52" s="57">
        <v>56.43</v>
      </c>
      <c r="F52" s="69">
        <v>1938</v>
      </c>
      <c r="G52" s="307">
        <f t="shared" si="35"/>
        <v>109361.34</v>
      </c>
      <c r="H52" s="318" t="s">
        <v>5</v>
      </c>
      <c r="I52" s="314">
        <v>22</v>
      </c>
      <c r="J52" s="58">
        <v>2000</v>
      </c>
      <c r="K52" s="59">
        <f t="shared" si="1"/>
        <v>90.909090909090907</v>
      </c>
      <c r="L52" s="314">
        <v>22</v>
      </c>
      <c r="M52" s="60">
        <f t="shared" si="36"/>
        <v>1471.8987341772142</v>
      </c>
      <c r="N52" s="60">
        <f t="shared" si="3"/>
        <v>66.904487917146099</v>
      </c>
      <c r="O52" s="61">
        <f t="shared" si="4"/>
        <v>0</v>
      </c>
      <c r="P52" s="62">
        <f t="shared" si="5"/>
        <v>-24.004602991944807</v>
      </c>
      <c r="Q52" s="310">
        <f t="shared" si="6"/>
        <v>0.73594936708860714</v>
      </c>
      <c r="R52" s="566"/>
      <c r="S52" s="63">
        <v>0.32430555555555551</v>
      </c>
      <c r="T52" s="63">
        <v>0.37916666666666665</v>
      </c>
      <c r="U52" s="307">
        <f t="shared" si="38"/>
        <v>6.9999999999999751</v>
      </c>
      <c r="V52" s="315">
        <f t="shared" si="37"/>
        <v>79.000000000000043</v>
      </c>
      <c r="W52" s="64"/>
      <c r="X52" s="64"/>
      <c r="Y52" s="308"/>
      <c r="Z52" s="309"/>
      <c r="AA52" s="61">
        <f t="shared" si="8"/>
        <v>-528.10126582278576</v>
      </c>
      <c r="AB52" s="310">
        <f t="shared" si="9"/>
        <v>0.73594936708860714</v>
      </c>
      <c r="AC52" s="566"/>
    </row>
    <row r="53" spans="1:29" ht="15.75" customHeight="1">
      <c r="A53" s="574" t="s">
        <v>117</v>
      </c>
      <c r="B53" s="57" t="s">
        <v>6</v>
      </c>
      <c r="C53" s="311" t="s">
        <v>39</v>
      </c>
      <c r="D53" s="312"/>
      <c r="E53" s="57">
        <v>55.56</v>
      </c>
      <c r="F53" s="69">
        <v>1934</v>
      </c>
      <c r="G53" s="307">
        <f t="shared" si="35"/>
        <v>107453.04000000001</v>
      </c>
      <c r="H53" s="318" t="s">
        <v>5</v>
      </c>
      <c r="I53" s="314">
        <v>17</v>
      </c>
      <c r="J53" s="58">
        <v>2000</v>
      </c>
      <c r="K53" s="59">
        <f t="shared" si="1"/>
        <v>117.64705882352941</v>
      </c>
      <c r="L53" s="314">
        <v>17</v>
      </c>
      <c r="M53" s="60">
        <f t="shared" si="36"/>
        <v>1902.2950819672149</v>
      </c>
      <c r="N53" s="60">
        <f t="shared" si="3"/>
        <v>111.89971070395382</v>
      </c>
      <c r="O53" s="61">
        <f t="shared" si="4"/>
        <v>0</v>
      </c>
      <c r="P53" s="62">
        <f t="shared" si="5"/>
        <v>-5.7473481195755909</v>
      </c>
      <c r="Q53" s="310">
        <f t="shared" si="6"/>
        <v>0.95114754098360743</v>
      </c>
      <c r="R53" s="566"/>
      <c r="S53" s="63">
        <v>0.70833333333333337</v>
      </c>
      <c r="T53" s="63">
        <v>0.75069444444444444</v>
      </c>
      <c r="U53" s="307" t="str">
        <f t="shared" si="38"/>
        <v/>
      </c>
      <c r="V53" s="315">
        <f t="shared" si="37"/>
        <v>60.999999999999943</v>
      </c>
      <c r="W53" s="64"/>
      <c r="X53" s="64"/>
      <c r="Y53" s="308"/>
      <c r="Z53" s="309"/>
      <c r="AA53" s="61">
        <f t="shared" si="8"/>
        <v>-97.704918032785145</v>
      </c>
      <c r="AB53" s="310">
        <f t="shared" si="9"/>
        <v>0.95114754098360743</v>
      </c>
      <c r="AC53" s="566"/>
    </row>
    <row r="54" spans="1:29" ht="15.75" customHeight="1">
      <c r="A54" s="574" t="s">
        <v>117</v>
      </c>
      <c r="B54" s="57" t="s">
        <v>6</v>
      </c>
      <c r="C54" s="567" t="s">
        <v>40</v>
      </c>
      <c r="D54" s="568"/>
      <c r="E54" s="57">
        <v>55.32</v>
      </c>
      <c r="F54" s="69">
        <v>1414</v>
      </c>
      <c r="G54" s="307">
        <f t="shared" si="35"/>
        <v>78222.48</v>
      </c>
      <c r="H54" s="318" t="s">
        <v>5</v>
      </c>
      <c r="I54" s="314">
        <v>15</v>
      </c>
      <c r="J54" s="58">
        <v>2000</v>
      </c>
      <c r="K54" s="59">
        <f t="shared" si="1"/>
        <v>133.33333333333334</v>
      </c>
      <c r="L54" s="314">
        <v>15</v>
      </c>
      <c r="M54" s="60">
        <f t="shared" si="36"/>
        <v>1928.181818181818</v>
      </c>
      <c r="N54" s="60">
        <f t="shared" si="3"/>
        <v>128.54545454545453</v>
      </c>
      <c r="O54" s="61">
        <f t="shared" si="4"/>
        <v>0</v>
      </c>
      <c r="P54" s="62">
        <f t="shared" si="5"/>
        <v>-4.7878787878788103</v>
      </c>
      <c r="Q54" s="310">
        <f t="shared" si="6"/>
        <v>0.96409090909090889</v>
      </c>
      <c r="R54" s="566"/>
      <c r="S54" s="63">
        <v>0.75486111111111109</v>
      </c>
      <c r="T54" s="63">
        <v>0.78541666666666665</v>
      </c>
      <c r="U54" s="307">
        <f t="shared" si="38"/>
        <v>5.9999999999999787</v>
      </c>
      <c r="V54" s="315">
        <f t="shared" si="37"/>
        <v>44</v>
      </c>
      <c r="W54" s="64"/>
      <c r="X54" s="64"/>
      <c r="Y54" s="569"/>
      <c r="Z54" s="570"/>
      <c r="AA54" s="61">
        <f t="shared" si="8"/>
        <v>-71.818181818181984</v>
      </c>
      <c r="AB54" s="310">
        <f t="shared" si="9"/>
        <v>0.964090909090909</v>
      </c>
      <c r="AC54" s="566"/>
    </row>
    <row r="55" spans="1:29" ht="15.75" customHeight="1">
      <c r="A55" s="574" t="s">
        <v>1392</v>
      </c>
      <c r="B55" s="57" t="s">
        <v>6</v>
      </c>
      <c r="C55" s="567" t="s">
        <v>99</v>
      </c>
      <c r="D55" s="568"/>
      <c r="E55" s="57">
        <v>53.68</v>
      </c>
      <c r="F55" s="69">
        <v>1400</v>
      </c>
      <c r="G55" s="307">
        <f t="shared" si="35"/>
        <v>75152</v>
      </c>
      <c r="H55" s="318">
        <v>2</v>
      </c>
      <c r="I55" s="314">
        <v>16</v>
      </c>
      <c r="J55" s="58">
        <v>1500</v>
      </c>
      <c r="K55" s="59">
        <f t="shared" si="1"/>
        <v>93.75</v>
      </c>
      <c r="L55" s="314">
        <v>16</v>
      </c>
      <c r="M55" s="60">
        <f t="shared" si="36"/>
        <v>1448.2758620689665</v>
      </c>
      <c r="N55" s="60">
        <f t="shared" si="3"/>
        <v>90.517241379310406</v>
      </c>
      <c r="O55" s="61">
        <f t="shared" si="4"/>
        <v>0</v>
      </c>
      <c r="P55" s="62">
        <f t="shared" si="5"/>
        <v>-3.2327586206895944</v>
      </c>
      <c r="Q55" s="310">
        <f t="shared" si="6"/>
        <v>0.96551724137931094</v>
      </c>
      <c r="R55" s="566"/>
      <c r="S55" s="63">
        <v>0.79027777777777775</v>
      </c>
      <c r="T55" s="63">
        <v>0.83055555555555549</v>
      </c>
      <c r="U55" s="307">
        <f t="shared" si="38"/>
        <v>6.9999999999999751</v>
      </c>
      <c r="V55" s="315">
        <f t="shared" si="37"/>
        <v>57.999999999999957</v>
      </c>
      <c r="W55" s="64"/>
      <c r="X55" s="64"/>
      <c r="Y55" s="569"/>
      <c r="Z55" s="570"/>
      <c r="AA55" s="61">
        <f t="shared" si="8"/>
        <v>-51.724137931033511</v>
      </c>
      <c r="AB55" s="310">
        <f t="shared" si="9"/>
        <v>0.96551724137931094</v>
      </c>
      <c r="AC55" s="566"/>
    </row>
    <row r="56" spans="1:29">
      <c r="A56" s="575" t="s">
        <v>1390</v>
      </c>
      <c r="B56" s="57" t="s">
        <v>1393</v>
      </c>
      <c r="C56" s="571"/>
      <c r="D56" s="571"/>
      <c r="E56" s="313"/>
      <c r="F56" s="66"/>
      <c r="G56" s="59"/>
      <c r="H56" s="316"/>
      <c r="I56" s="67">
        <v>18.428571428571427</v>
      </c>
      <c r="J56" s="58">
        <v>1928.5714285714287</v>
      </c>
      <c r="K56" s="59">
        <f t="shared" si="1"/>
        <v>104.65116279069768</v>
      </c>
      <c r="L56" s="67">
        <v>18.428571428571427</v>
      </c>
      <c r="M56" s="60">
        <f>AVERAGE(M49:M55)</f>
        <v>1691.4057068136385</v>
      </c>
      <c r="N56" s="59">
        <f t="shared" si="3"/>
        <v>91.781705020895117</v>
      </c>
      <c r="O56" s="61">
        <f t="shared" si="4"/>
        <v>0</v>
      </c>
      <c r="P56" s="62">
        <f t="shared" si="5"/>
        <v>-12.869457769802565</v>
      </c>
      <c r="Q56" s="310">
        <f t="shared" si="6"/>
        <v>0.87702518131077545</v>
      </c>
      <c r="R56" s="566"/>
      <c r="S56" s="70"/>
      <c r="T56" s="63"/>
      <c r="U56" s="59"/>
      <c r="V56" s="315"/>
      <c r="W56" s="59"/>
      <c r="X56" s="59"/>
      <c r="Y56" s="559"/>
      <c r="Z56" s="559"/>
      <c r="AA56" s="61">
        <f t="shared" si="8"/>
        <v>-237.16572175779015</v>
      </c>
      <c r="AB56" s="310">
        <f t="shared" si="9"/>
        <v>0.87702518131077545</v>
      </c>
      <c r="AC56" s="566"/>
    </row>
    <row r="57" spans="1:29" ht="15.75" customHeight="1">
      <c r="A57" s="572" t="s">
        <v>1394</v>
      </c>
      <c r="B57" s="316" t="s">
        <v>10</v>
      </c>
      <c r="C57" s="560" t="s">
        <v>42</v>
      </c>
      <c r="D57" s="560"/>
      <c r="E57" s="57">
        <v>26.97</v>
      </c>
      <c r="F57" s="69">
        <v>2349</v>
      </c>
      <c r="G57" s="307">
        <f t="shared" ref="G57:G62" si="39">E57*F57</f>
        <v>63352.53</v>
      </c>
      <c r="H57" s="318" t="s">
        <v>5</v>
      </c>
      <c r="I57" s="314">
        <v>8</v>
      </c>
      <c r="J57" s="58">
        <v>1500</v>
      </c>
      <c r="K57" s="59">
        <f t="shared" si="1"/>
        <v>187.5</v>
      </c>
      <c r="L57" s="314">
        <v>8</v>
      </c>
      <c r="M57" s="60">
        <f t="shared" ref="M57:M62" si="40">F57/V57*60</f>
        <v>1438.1632653061222</v>
      </c>
      <c r="N57" s="59">
        <f t="shared" si="3"/>
        <v>179.77040816326527</v>
      </c>
      <c r="O57" s="61">
        <f t="shared" si="4"/>
        <v>0</v>
      </c>
      <c r="P57" s="62">
        <f t="shared" si="5"/>
        <v>-7.7295918367347269</v>
      </c>
      <c r="Q57" s="310">
        <f t="shared" si="6"/>
        <v>0.95877551020408147</v>
      </c>
      <c r="R57" s="566">
        <f>Q63</f>
        <v>0.96136698694407152</v>
      </c>
      <c r="S57" s="63">
        <v>0.20833333333333334</v>
      </c>
      <c r="T57" s="63">
        <v>0.27638888888888891</v>
      </c>
      <c r="U57" s="307"/>
      <c r="V57" s="315">
        <f t="shared" ref="V57:V62" si="41">(T57-S57)*24*60</f>
        <v>98.000000000000014</v>
      </c>
      <c r="W57" s="68"/>
      <c r="X57" s="68"/>
      <c r="Y57" s="559"/>
      <c r="Z57" s="559"/>
      <c r="AA57" s="61">
        <f t="shared" si="8"/>
        <v>-61.836734693877816</v>
      </c>
      <c r="AB57" s="310">
        <f t="shared" si="9"/>
        <v>0.95877551020408147</v>
      </c>
      <c r="AC57" s="566">
        <f>AB63</f>
        <v>0.96136698694407141</v>
      </c>
    </row>
    <row r="58" spans="1:29" ht="15.75" customHeight="1">
      <c r="A58" s="572" t="s">
        <v>1395</v>
      </c>
      <c r="B58" s="316" t="s">
        <v>31</v>
      </c>
      <c r="C58" s="560" t="s">
        <v>41</v>
      </c>
      <c r="D58" s="560"/>
      <c r="E58" s="57">
        <v>26.78</v>
      </c>
      <c r="F58" s="69">
        <v>2114</v>
      </c>
      <c r="G58" s="307">
        <f t="shared" si="39"/>
        <v>56612.920000000006</v>
      </c>
      <c r="H58" s="318" t="s">
        <v>5</v>
      </c>
      <c r="I58" s="314">
        <v>10</v>
      </c>
      <c r="J58" s="58">
        <v>3000</v>
      </c>
      <c r="K58" s="59">
        <f t="shared" si="1"/>
        <v>300</v>
      </c>
      <c r="L58" s="314">
        <v>10</v>
      </c>
      <c r="M58" s="60">
        <f t="shared" si="40"/>
        <v>2882.727272727273</v>
      </c>
      <c r="N58" s="59">
        <f t="shared" si="3"/>
        <v>288.27272727272731</v>
      </c>
      <c r="O58" s="61">
        <f t="shared" si="4"/>
        <v>0</v>
      </c>
      <c r="P58" s="62">
        <f t="shared" si="5"/>
        <v>-11.727272727272691</v>
      </c>
      <c r="Q58" s="310">
        <f t="shared" si="6"/>
        <v>0.96090909090909105</v>
      </c>
      <c r="R58" s="566"/>
      <c r="S58" s="63">
        <v>0.27986111111111112</v>
      </c>
      <c r="T58" s="63">
        <v>0.31041666666666667</v>
      </c>
      <c r="U58" s="307">
        <f t="shared" ref="U58:U62" si="42">(S58-T57)*24*60</f>
        <v>4.9999999999999822</v>
      </c>
      <c r="V58" s="315">
        <f t="shared" si="41"/>
        <v>44</v>
      </c>
      <c r="W58" s="307"/>
      <c r="X58" s="307"/>
      <c r="Y58" s="559"/>
      <c r="Z58" s="559"/>
      <c r="AA58" s="61">
        <f t="shared" si="8"/>
        <v>-117.27272727272702</v>
      </c>
      <c r="AB58" s="310">
        <f t="shared" si="9"/>
        <v>0.96090909090909105</v>
      </c>
      <c r="AC58" s="566"/>
    </row>
    <row r="59" spans="1:29" ht="15.75" customHeight="1">
      <c r="A59" s="572" t="s">
        <v>1396</v>
      </c>
      <c r="B59" s="316" t="s">
        <v>31</v>
      </c>
      <c r="C59" s="560" t="s">
        <v>64</v>
      </c>
      <c r="D59" s="560"/>
      <c r="E59" s="57">
        <v>37.880000000000003</v>
      </c>
      <c r="F59" s="69">
        <v>2289</v>
      </c>
      <c r="G59" s="307">
        <f t="shared" si="39"/>
        <v>86707.32</v>
      </c>
      <c r="H59" s="318" t="s">
        <v>5</v>
      </c>
      <c r="I59" s="314">
        <v>10</v>
      </c>
      <c r="J59" s="58">
        <v>3000</v>
      </c>
      <c r="K59" s="59">
        <f t="shared" si="1"/>
        <v>300</v>
      </c>
      <c r="L59" s="314">
        <v>10</v>
      </c>
      <c r="M59" s="60">
        <f t="shared" si="40"/>
        <v>2861.2500000000009</v>
      </c>
      <c r="N59" s="59">
        <f t="shared" si="3"/>
        <v>286.12500000000011</v>
      </c>
      <c r="O59" s="61">
        <f t="shared" si="4"/>
        <v>0</v>
      </c>
      <c r="P59" s="62">
        <f t="shared" si="5"/>
        <v>-13.874999999999886</v>
      </c>
      <c r="Q59" s="310">
        <f t="shared" si="6"/>
        <v>0.95375000000000043</v>
      </c>
      <c r="R59" s="566"/>
      <c r="S59" s="63">
        <v>0.31597222222222221</v>
      </c>
      <c r="T59" s="63">
        <v>0.34930555555555554</v>
      </c>
      <c r="U59" s="307">
        <f t="shared" si="42"/>
        <v>7.9999999999999716</v>
      </c>
      <c r="V59" s="315">
        <f t="shared" si="41"/>
        <v>47.999999999999986</v>
      </c>
      <c r="W59" s="307"/>
      <c r="X59" s="307"/>
      <c r="Y59" s="559"/>
      <c r="Z59" s="559"/>
      <c r="AA59" s="61">
        <f t="shared" si="8"/>
        <v>-138.74999999999909</v>
      </c>
      <c r="AB59" s="310">
        <f t="shared" si="9"/>
        <v>0.95375000000000032</v>
      </c>
      <c r="AC59" s="566"/>
    </row>
    <row r="60" spans="1:29" ht="15.75" customHeight="1">
      <c r="A60" s="572" t="s">
        <v>1397</v>
      </c>
      <c r="B60" s="316" t="s">
        <v>31</v>
      </c>
      <c r="C60" s="560" t="s">
        <v>72</v>
      </c>
      <c r="D60" s="560"/>
      <c r="E60" s="57">
        <v>40.51</v>
      </c>
      <c r="F60" s="69">
        <v>2029</v>
      </c>
      <c r="G60" s="307">
        <f t="shared" si="39"/>
        <v>82194.789999999994</v>
      </c>
      <c r="H60" s="318" t="s">
        <v>5</v>
      </c>
      <c r="I60" s="314">
        <v>8</v>
      </c>
      <c r="J60" s="58">
        <v>3000</v>
      </c>
      <c r="K60" s="59">
        <f t="shared" si="1"/>
        <v>375</v>
      </c>
      <c r="L60" s="314">
        <v>8</v>
      </c>
      <c r="M60" s="60">
        <f t="shared" si="40"/>
        <v>2898.5714285714275</v>
      </c>
      <c r="N60" s="59">
        <f t="shared" si="3"/>
        <v>362.32142857142844</v>
      </c>
      <c r="O60" s="61">
        <f t="shared" si="4"/>
        <v>0</v>
      </c>
      <c r="P60" s="62">
        <f t="shared" si="5"/>
        <v>-12.678571428571558</v>
      </c>
      <c r="Q60" s="310">
        <f t="shared" si="6"/>
        <v>0.96619047619047582</v>
      </c>
      <c r="R60" s="566"/>
      <c r="S60" s="63">
        <v>0.35277777777777775</v>
      </c>
      <c r="T60" s="63">
        <v>0.38194444444444442</v>
      </c>
      <c r="U60" s="307">
        <f t="shared" si="42"/>
        <v>4.9999999999999822</v>
      </c>
      <c r="V60" s="315">
        <f t="shared" si="41"/>
        <v>42.000000000000014</v>
      </c>
      <c r="W60" s="307"/>
      <c r="X60" s="307"/>
      <c r="Y60" s="559"/>
      <c r="Z60" s="559"/>
      <c r="AA60" s="61">
        <f t="shared" si="8"/>
        <v>-101.42857142857247</v>
      </c>
      <c r="AB60" s="310">
        <f t="shared" si="9"/>
        <v>0.96619047619047582</v>
      </c>
      <c r="AC60" s="566"/>
    </row>
    <row r="61" spans="1:29">
      <c r="A61" s="573" t="s">
        <v>1394</v>
      </c>
      <c r="B61" s="316" t="s">
        <v>31</v>
      </c>
      <c r="C61" s="560" t="s">
        <v>35</v>
      </c>
      <c r="D61" s="560"/>
      <c r="E61" s="57">
        <v>35.869999999999997</v>
      </c>
      <c r="F61" s="69">
        <v>2373</v>
      </c>
      <c r="G61" s="307">
        <f t="shared" si="39"/>
        <v>85119.51</v>
      </c>
      <c r="H61" s="318" t="s">
        <v>5</v>
      </c>
      <c r="I61" s="314">
        <v>9</v>
      </c>
      <c r="J61" s="58">
        <v>3000</v>
      </c>
      <c r="K61" s="59">
        <f t="shared" si="1"/>
        <v>333.33333333333331</v>
      </c>
      <c r="L61" s="314">
        <v>9</v>
      </c>
      <c r="M61" s="60">
        <f t="shared" si="40"/>
        <v>2905.7142857142867</v>
      </c>
      <c r="N61" s="59">
        <f t="shared" si="3"/>
        <v>322.85714285714295</v>
      </c>
      <c r="O61" s="61">
        <f t="shared" si="4"/>
        <v>0</v>
      </c>
      <c r="P61" s="62">
        <f t="shared" si="5"/>
        <v>-10.476190476190368</v>
      </c>
      <c r="Q61" s="310">
        <f t="shared" si="6"/>
        <v>0.96857142857142886</v>
      </c>
      <c r="R61" s="566"/>
      <c r="S61" s="63">
        <v>0.38680555555555551</v>
      </c>
      <c r="T61" s="63">
        <v>0.42083333333333328</v>
      </c>
      <c r="U61" s="307">
        <f t="shared" si="42"/>
        <v>6.9999999999999751</v>
      </c>
      <c r="V61" s="315">
        <f t="shared" si="41"/>
        <v>48.999999999999986</v>
      </c>
      <c r="W61" s="64"/>
      <c r="X61" s="64"/>
      <c r="Y61" s="559"/>
      <c r="Z61" s="559"/>
      <c r="AA61" s="61">
        <f t="shared" si="8"/>
        <v>-94.285714285713311</v>
      </c>
      <c r="AB61" s="310">
        <f t="shared" si="9"/>
        <v>0.96857142857142886</v>
      </c>
      <c r="AC61" s="566"/>
    </row>
    <row r="62" spans="1:29" ht="15" customHeight="1">
      <c r="A62" s="573" t="s">
        <v>93</v>
      </c>
      <c r="B62" s="316" t="s">
        <v>31</v>
      </c>
      <c r="C62" s="567" t="s">
        <v>63</v>
      </c>
      <c r="D62" s="568"/>
      <c r="E62" s="57">
        <v>34.36</v>
      </c>
      <c r="F62" s="69">
        <v>1486</v>
      </c>
      <c r="G62" s="307">
        <f t="shared" si="39"/>
        <v>51058.96</v>
      </c>
      <c r="H62" s="318" t="s">
        <v>5</v>
      </c>
      <c r="I62" s="314">
        <v>10</v>
      </c>
      <c r="J62" s="58">
        <v>3000</v>
      </c>
      <c r="K62" s="59">
        <f t="shared" si="1"/>
        <v>300</v>
      </c>
      <c r="L62" s="314">
        <v>10</v>
      </c>
      <c r="M62" s="60">
        <f t="shared" si="40"/>
        <v>2876.1290322580671</v>
      </c>
      <c r="N62" s="59">
        <f t="shared" si="3"/>
        <v>287.61290322580669</v>
      </c>
      <c r="O62" s="61">
        <f t="shared" si="4"/>
        <v>0</v>
      </c>
      <c r="P62" s="62">
        <f t="shared" si="5"/>
        <v>-12.38709677419331</v>
      </c>
      <c r="Q62" s="310">
        <f t="shared" si="6"/>
        <v>0.95870967741935564</v>
      </c>
      <c r="R62" s="566"/>
      <c r="S62" s="63">
        <v>0.42569444444444438</v>
      </c>
      <c r="T62" s="63">
        <v>0.44722222222222213</v>
      </c>
      <c r="U62" s="307">
        <f t="shared" si="42"/>
        <v>6.9999999999999751</v>
      </c>
      <c r="V62" s="315">
        <f t="shared" si="41"/>
        <v>30.999999999999972</v>
      </c>
      <c r="W62" s="307"/>
      <c r="X62" s="307"/>
      <c r="Y62" s="569"/>
      <c r="Z62" s="570"/>
      <c r="AA62" s="61">
        <f t="shared" si="8"/>
        <v>-123.87096774193287</v>
      </c>
      <c r="AB62" s="310">
        <f t="shared" si="9"/>
        <v>0.95870967741935575</v>
      </c>
      <c r="AC62" s="566"/>
    </row>
    <row r="63" spans="1:29">
      <c r="A63" s="573" t="s">
        <v>1397</v>
      </c>
      <c r="B63" s="57" t="s">
        <v>67</v>
      </c>
      <c r="C63" s="571"/>
      <c r="D63" s="571"/>
      <c r="E63" s="313"/>
      <c r="F63" s="66"/>
      <c r="G63" s="59"/>
      <c r="H63" s="316"/>
      <c r="I63" s="67">
        <v>9.1666666666666661</v>
      </c>
      <c r="J63" s="58">
        <v>2750</v>
      </c>
      <c r="K63" s="59">
        <f t="shared" si="1"/>
        <v>300</v>
      </c>
      <c r="L63" s="67">
        <v>9.1666666666666661</v>
      </c>
      <c r="M63" s="60">
        <f>AVERAGE(M57:M62)</f>
        <v>2643.7592140961965</v>
      </c>
      <c r="N63" s="59">
        <f t="shared" si="3"/>
        <v>288.41009608322145</v>
      </c>
      <c r="O63" s="61">
        <f t="shared" si="4"/>
        <v>0</v>
      </c>
      <c r="P63" s="62">
        <f t="shared" si="5"/>
        <v>-11.589903916778553</v>
      </c>
      <c r="Q63" s="310">
        <f t="shared" si="6"/>
        <v>0.96136698694407152</v>
      </c>
      <c r="R63" s="566"/>
      <c r="S63" s="63"/>
      <c r="T63" s="63"/>
      <c r="U63" s="59"/>
      <c r="V63" s="315"/>
      <c r="W63" s="59"/>
      <c r="X63" s="59"/>
      <c r="Y63" s="559"/>
      <c r="Z63" s="559"/>
      <c r="AA63" s="61">
        <f t="shared" si="8"/>
        <v>-106.2407859038035</v>
      </c>
      <c r="AB63" s="310">
        <f t="shared" si="9"/>
        <v>0.96136698694407141</v>
      </c>
      <c r="AC63" s="566"/>
    </row>
    <row r="64" spans="1:29" ht="15.75" customHeight="1">
      <c r="A64" s="563" t="s">
        <v>90</v>
      </c>
      <c r="B64" s="316" t="s">
        <v>15</v>
      </c>
      <c r="C64" s="560" t="s">
        <v>43</v>
      </c>
      <c r="D64" s="560"/>
      <c r="E64" s="57">
        <v>20.2</v>
      </c>
      <c r="F64" s="316">
        <v>1736</v>
      </c>
      <c r="G64" s="307">
        <f t="shared" ref="G64:G69" si="43">E64*F64</f>
        <v>35067.199999999997</v>
      </c>
      <c r="H64" s="318" t="s">
        <v>5</v>
      </c>
      <c r="I64" s="314">
        <v>19</v>
      </c>
      <c r="J64" s="58">
        <v>2400</v>
      </c>
      <c r="K64" s="59">
        <f t="shared" si="1"/>
        <v>126.31578947368421</v>
      </c>
      <c r="L64" s="314">
        <v>19</v>
      </c>
      <c r="M64" s="60">
        <f t="shared" ref="M64:M69" si="44">F64/V64*60</f>
        <v>2314.6666666666665</v>
      </c>
      <c r="N64" s="59">
        <f t="shared" si="3"/>
        <v>121.82456140350877</v>
      </c>
      <c r="O64" s="61">
        <f t="shared" si="4"/>
        <v>0</v>
      </c>
      <c r="P64" s="62">
        <f t="shared" si="5"/>
        <v>-4.4912280701754383</v>
      </c>
      <c r="Q64" s="310">
        <f t="shared" si="6"/>
        <v>0.96444444444444444</v>
      </c>
      <c r="R64" s="566">
        <f>Q70</f>
        <v>0.95923811247538804</v>
      </c>
      <c r="S64" s="63">
        <v>8.3333333333333329E-2</v>
      </c>
      <c r="T64" s="63">
        <v>0.11458333333333333</v>
      </c>
      <c r="U64" s="68"/>
      <c r="V64" s="315">
        <f t="shared" ref="V64:V69" si="45">(T64-S64)*24*60</f>
        <v>45</v>
      </c>
      <c r="W64" s="64">
        <f>T64</f>
        <v>0.11458333333333333</v>
      </c>
      <c r="X64" s="64">
        <f>S65</f>
        <v>0.13472222222222222</v>
      </c>
      <c r="Y64" s="559"/>
      <c r="Z64" s="559"/>
      <c r="AA64" s="61">
        <f t="shared" si="8"/>
        <v>-85.333333333333485</v>
      </c>
      <c r="AB64" s="310">
        <f t="shared" si="9"/>
        <v>0.96444444444444433</v>
      </c>
      <c r="AC64" s="566">
        <f>AB70</f>
        <v>0.95923811247538804</v>
      </c>
    </row>
    <row r="65" spans="1:29" ht="15.75" customHeight="1">
      <c r="A65" s="564" t="s">
        <v>1398</v>
      </c>
      <c r="B65" s="316" t="s">
        <v>15</v>
      </c>
      <c r="C65" s="560" t="s">
        <v>24</v>
      </c>
      <c r="D65" s="560"/>
      <c r="E65" s="57">
        <v>20.52</v>
      </c>
      <c r="F65" s="316">
        <v>3266</v>
      </c>
      <c r="G65" s="307">
        <f t="shared" si="43"/>
        <v>67018.319999999992</v>
      </c>
      <c r="H65" s="318" t="s">
        <v>5</v>
      </c>
      <c r="I65" s="314">
        <v>18</v>
      </c>
      <c r="J65" s="58">
        <v>2400</v>
      </c>
      <c r="K65" s="59">
        <f t="shared" si="1"/>
        <v>133.33333333333334</v>
      </c>
      <c r="L65" s="314">
        <v>18</v>
      </c>
      <c r="M65" s="60">
        <f t="shared" si="44"/>
        <v>2305.411764705882</v>
      </c>
      <c r="N65" s="59">
        <f t="shared" si="3"/>
        <v>128.07843137254901</v>
      </c>
      <c r="O65" s="61">
        <f t="shared" si="4"/>
        <v>0</v>
      </c>
      <c r="P65" s="62">
        <f t="shared" si="5"/>
        <v>-5.2549019607843377</v>
      </c>
      <c r="Q65" s="310">
        <f t="shared" si="6"/>
        <v>0.96058823529411752</v>
      </c>
      <c r="R65" s="566"/>
      <c r="S65" s="63">
        <v>0.13472222222222222</v>
      </c>
      <c r="T65" s="63">
        <v>0.19375000000000001</v>
      </c>
      <c r="U65" s="307">
        <f t="shared" ref="U65:U69" si="46">(S65-T64)*24*60</f>
        <v>28.999999999999996</v>
      </c>
      <c r="V65" s="315">
        <f t="shared" si="45"/>
        <v>85.000000000000014</v>
      </c>
      <c r="W65" s="64"/>
      <c r="X65" s="64"/>
      <c r="Y65" s="559"/>
      <c r="Z65" s="559"/>
      <c r="AA65" s="61">
        <f t="shared" si="8"/>
        <v>-94.588235294118022</v>
      </c>
      <c r="AB65" s="310">
        <f t="shared" si="9"/>
        <v>0.96058823529411752</v>
      </c>
      <c r="AC65" s="566"/>
    </row>
    <row r="66" spans="1:29" ht="15.75" customHeight="1">
      <c r="A66" s="564" t="s">
        <v>1399</v>
      </c>
      <c r="B66" s="316" t="s">
        <v>15</v>
      </c>
      <c r="C66" s="560" t="s">
        <v>44</v>
      </c>
      <c r="D66" s="560"/>
      <c r="E66" s="57">
        <v>19.02</v>
      </c>
      <c r="F66" s="316">
        <v>5000</v>
      </c>
      <c r="G66" s="307">
        <f t="shared" si="43"/>
        <v>95100</v>
      </c>
      <c r="H66" s="318">
        <v>2</v>
      </c>
      <c r="I66" s="314">
        <v>15</v>
      </c>
      <c r="J66" s="58">
        <v>2400</v>
      </c>
      <c r="K66" s="59">
        <f t="shared" si="1"/>
        <v>160</v>
      </c>
      <c r="L66" s="314">
        <v>15</v>
      </c>
      <c r="M66" s="60">
        <f t="shared" si="44"/>
        <v>2290.0763358778627</v>
      </c>
      <c r="N66" s="59">
        <f t="shared" si="3"/>
        <v>152.67175572519085</v>
      </c>
      <c r="O66" s="61">
        <f t="shared" si="4"/>
        <v>0</v>
      </c>
      <c r="P66" s="62">
        <f t="shared" si="5"/>
        <v>-7.3282442748091512</v>
      </c>
      <c r="Q66" s="310">
        <f t="shared" si="6"/>
        <v>0.95419847328244278</v>
      </c>
      <c r="R66" s="566"/>
      <c r="S66" s="63">
        <v>0.19930555555555557</v>
      </c>
      <c r="T66" s="63">
        <v>0.2902777777777778</v>
      </c>
      <c r="U66" s="307">
        <f t="shared" si="46"/>
        <v>8.0000000000000107</v>
      </c>
      <c r="V66" s="315">
        <f t="shared" si="45"/>
        <v>131</v>
      </c>
      <c r="W66" s="64"/>
      <c r="X66" s="64"/>
      <c r="Y66" s="559"/>
      <c r="Z66" s="559"/>
      <c r="AA66" s="61">
        <f t="shared" si="8"/>
        <v>-109.92366412213732</v>
      </c>
      <c r="AB66" s="310">
        <f t="shared" si="9"/>
        <v>0.95419847328244278</v>
      </c>
      <c r="AC66" s="566"/>
    </row>
    <row r="67" spans="1:29" ht="15.75" customHeight="1">
      <c r="A67" s="564" t="s">
        <v>1400</v>
      </c>
      <c r="B67" s="316" t="s">
        <v>15</v>
      </c>
      <c r="C67" s="560" t="s">
        <v>29</v>
      </c>
      <c r="D67" s="560"/>
      <c r="E67" s="57">
        <v>24.43</v>
      </c>
      <c r="F67" s="316">
        <v>5890</v>
      </c>
      <c r="G67" s="307">
        <f t="shared" si="43"/>
        <v>143892.70000000001</v>
      </c>
      <c r="H67" s="318" t="s">
        <v>5</v>
      </c>
      <c r="I67" s="314">
        <v>14</v>
      </c>
      <c r="J67" s="58">
        <v>2400</v>
      </c>
      <c r="K67" s="59">
        <f t="shared" si="1"/>
        <v>171.42857142857142</v>
      </c>
      <c r="L67" s="314">
        <v>14</v>
      </c>
      <c r="M67" s="60">
        <f t="shared" si="44"/>
        <v>2294.8051948051948</v>
      </c>
      <c r="N67" s="59">
        <f t="shared" si="3"/>
        <v>163.91465677179963</v>
      </c>
      <c r="O67" s="61">
        <f t="shared" si="4"/>
        <v>0</v>
      </c>
      <c r="P67" s="62">
        <f t="shared" si="5"/>
        <v>-7.5139146567717887</v>
      </c>
      <c r="Q67" s="310">
        <f t="shared" si="6"/>
        <v>0.95616883116883122</v>
      </c>
      <c r="R67" s="566"/>
      <c r="S67" s="63">
        <v>0.29375000000000001</v>
      </c>
      <c r="T67" s="63">
        <v>0.40069444444444446</v>
      </c>
      <c r="U67" s="307">
        <f t="shared" si="46"/>
        <v>4.9999999999999822</v>
      </c>
      <c r="V67" s="315">
        <f t="shared" si="45"/>
        <v>154</v>
      </c>
      <c r="W67" s="64"/>
      <c r="X67" s="64"/>
      <c r="Y67" s="559"/>
      <c r="Z67" s="559"/>
      <c r="AA67" s="61">
        <f t="shared" si="8"/>
        <v>-105.19480519480521</v>
      </c>
      <c r="AB67" s="310">
        <f t="shared" si="9"/>
        <v>0.95616883116883111</v>
      </c>
      <c r="AC67" s="566"/>
    </row>
    <row r="68" spans="1:29" ht="15.75" customHeight="1">
      <c r="A68" s="564" t="s">
        <v>1400</v>
      </c>
      <c r="B68" s="316" t="s">
        <v>15</v>
      </c>
      <c r="C68" s="560" t="s">
        <v>1183</v>
      </c>
      <c r="D68" s="560"/>
      <c r="E68" s="57">
        <v>20.21</v>
      </c>
      <c r="F68" s="316">
        <v>5164</v>
      </c>
      <c r="G68" s="307">
        <f t="shared" si="43"/>
        <v>104364.44</v>
      </c>
      <c r="H68" s="318" t="s">
        <v>5</v>
      </c>
      <c r="I68" s="314">
        <v>16</v>
      </c>
      <c r="J68" s="58">
        <v>2400</v>
      </c>
      <c r="K68" s="59">
        <f t="shared" si="1"/>
        <v>150</v>
      </c>
      <c r="L68" s="314">
        <v>16</v>
      </c>
      <c r="M68" s="60">
        <f t="shared" si="44"/>
        <v>2295.1111111111113</v>
      </c>
      <c r="N68" s="59">
        <f t="shared" si="3"/>
        <v>143.44444444444446</v>
      </c>
      <c r="O68" s="61">
        <f t="shared" si="4"/>
        <v>0</v>
      </c>
      <c r="P68" s="62">
        <f t="shared" si="5"/>
        <v>-6.5555555555555429</v>
      </c>
      <c r="Q68" s="310">
        <f t="shared" si="6"/>
        <v>0.95629629629629642</v>
      </c>
      <c r="R68" s="566"/>
      <c r="S68" s="63">
        <v>0.40486111111111112</v>
      </c>
      <c r="T68" s="63">
        <v>0.49861111111111112</v>
      </c>
      <c r="U68" s="307">
        <f t="shared" si="46"/>
        <v>5.9999999999999787</v>
      </c>
      <c r="V68" s="315">
        <f t="shared" si="45"/>
        <v>135</v>
      </c>
      <c r="W68" s="64">
        <f>T68</f>
        <v>0.49861111111111112</v>
      </c>
      <c r="X68" s="64">
        <f>S69</f>
        <v>0.53888888888888886</v>
      </c>
      <c r="Y68" s="559"/>
      <c r="Z68" s="559"/>
      <c r="AA68" s="61">
        <f t="shared" si="8"/>
        <v>-104.88888888888869</v>
      </c>
      <c r="AB68" s="310">
        <f t="shared" si="9"/>
        <v>0.95629629629629642</v>
      </c>
      <c r="AC68" s="566"/>
    </row>
    <row r="69" spans="1:29" ht="15.75" customHeight="1">
      <c r="A69" s="564" t="s">
        <v>1401</v>
      </c>
      <c r="B69" s="316" t="s">
        <v>15</v>
      </c>
      <c r="C69" s="560" t="s">
        <v>44</v>
      </c>
      <c r="D69" s="560"/>
      <c r="E69" s="57">
        <v>19.02</v>
      </c>
      <c r="F69" s="316">
        <v>2737</v>
      </c>
      <c r="G69" s="307">
        <f t="shared" si="43"/>
        <v>52057.74</v>
      </c>
      <c r="H69" s="318" t="s">
        <v>5</v>
      </c>
      <c r="I69" s="314">
        <v>15</v>
      </c>
      <c r="J69" s="58">
        <v>2400</v>
      </c>
      <c r="K69" s="59">
        <f t="shared" ref="K69:K70" si="47">J69/I69</f>
        <v>160</v>
      </c>
      <c r="L69" s="314">
        <v>15</v>
      </c>
      <c r="M69" s="60">
        <f t="shared" si="44"/>
        <v>2312.9577464788708</v>
      </c>
      <c r="N69" s="59">
        <f t="shared" ref="N69:N70" si="48">M69/L69</f>
        <v>154.19718309859138</v>
      </c>
      <c r="O69" s="61">
        <f t="shared" ref="O69:O70" si="49">L69-I69</f>
        <v>0</v>
      </c>
      <c r="P69" s="62">
        <f t="shared" ref="P69:P70" si="50">N69-K69</f>
        <v>-5.8028169014086188</v>
      </c>
      <c r="Q69" s="310">
        <f t="shared" ref="Q69:Q70" si="51">N69/K69</f>
        <v>0.96373239436619618</v>
      </c>
      <c r="R69" s="566"/>
      <c r="S69" s="63">
        <v>0.53888888888888886</v>
      </c>
      <c r="T69" s="63">
        <v>0.58819444444444446</v>
      </c>
      <c r="U69" s="307">
        <f t="shared" si="46"/>
        <v>57.999999999999957</v>
      </c>
      <c r="V69" s="315">
        <f t="shared" si="45"/>
        <v>71.000000000000071</v>
      </c>
      <c r="W69" s="64"/>
      <c r="X69" s="64"/>
      <c r="Y69" s="559"/>
      <c r="Z69" s="559"/>
      <c r="AA69" s="61">
        <f t="shared" ref="AA69:AA70" si="52">M69-J69</f>
        <v>-87.042253521129169</v>
      </c>
      <c r="AB69" s="310">
        <f t="shared" ref="AB69:AB70" si="53">M69/J69</f>
        <v>0.96373239436619618</v>
      </c>
      <c r="AC69" s="566"/>
    </row>
    <row r="70" spans="1:29" ht="16.5" customHeight="1">
      <c r="A70" s="565" t="s">
        <v>1401</v>
      </c>
      <c r="B70" s="57" t="s">
        <v>1382</v>
      </c>
      <c r="C70" s="561"/>
      <c r="D70" s="562"/>
      <c r="E70" s="313"/>
      <c r="F70" s="66"/>
      <c r="G70" s="59"/>
      <c r="H70" s="316"/>
      <c r="I70" s="67">
        <v>16.166666666666668</v>
      </c>
      <c r="J70" s="58">
        <v>2400</v>
      </c>
      <c r="K70" s="59">
        <f t="shared" si="47"/>
        <v>148.45360824742266</v>
      </c>
      <c r="L70" s="67">
        <v>16.166666666666668</v>
      </c>
      <c r="M70" s="60">
        <f>AVERAGE(M64:M69)</f>
        <v>2302.1714699409313</v>
      </c>
      <c r="N70" s="59">
        <f t="shared" si="48"/>
        <v>142.40235896541841</v>
      </c>
      <c r="O70" s="61">
        <f t="shared" si="49"/>
        <v>0</v>
      </c>
      <c r="P70" s="62">
        <f t="shared" si="50"/>
        <v>-6.0512492820042496</v>
      </c>
      <c r="Q70" s="310">
        <f t="shared" si="51"/>
        <v>0.95923811247538804</v>
      </c>
      <c r="R70" s="566"/>
      <c r="S70" s="63"/>
      <c r="T70" s="63"/>
      <c r="U70" s="59"/>
      <c r="V70" s="315"/>
      <c r="W70" s="59"/>
      <c r="X70" s="59"/>
      <c r="Y70" s="559"/>
      <c r="Z70" s="559"/>
      <c r="AA70" s="61">
        <f t="shared" si="52"/>
        <v>-97.828530059068726</v>
      </c>
      <c r="AB70" s="310">
        <f t="shared" si="53"/>
        <v>0.95923811247538804</v>
      </c>
      <c r="AC70" s="566"/>
    </row>
    <row r="71" spans="1:29">
      <c r="D71" s="122"/>
      <c r="E71" s="122"/>
    </row>
  </sheetData>
  <mergeCells count="188">
    <mergeCell ref="Y67:Z67"/>
    <mergeCell ref="C68:D68"/>
    <mergeCell ref="Y68:Z68"/>
    <mergeCell ref="A64:A70"/>
    <mergeCell ref="C64:D64"/>
    <mergeCell ref="R64:R70"/>
    <mergeCell ref="Y64:Z64"/>
    <mergeCell ref="AC64:AC70"/>
    <mergeCell ref="C65:D65"/>
    <mergeCell ref="Y65:Z65"/>
    <mergeCell ref="C66:D66"/>
    <mergeCell ref="Y66:Z66"/>
    <mergeCell ref="C67:D67"/>
    <mergeCell ref="C69:D69"/>
    <mergeCell ref="Y69:Z69"/>
    <mergeCell ref="C70:D70"/>
    <mergeCell ref="Y70:Z70"/>
    <mergeCell ref="A57:A63"/>
    <mergeCell ref="C57:D57"/>
    <mergeCell ref="R57:R63"/>
    <mergeCell ref="Y57:Z57"/>
    <mergeCell ref="AC57:AC63"/>
    <mergeCell ref="C58:D58"/>
    <mergeCell ref="Y58:Z58"/>
    <mergeCell ref="C59:D59"/>
    <mergeCell ref="Y59:Z59"/>
    <mergeCell ref="C60:D60"/>
    <mergeCell ref="Y60:Z60"/>
    <mergeCell ref="C61:D61"/>
    <mergeCell ref="Y61:Z61"/>
    <mergeCell ref="C62:D62"/>
    <mergeCell ref="Y62:Z62"/>
    <mergeCell ref="C63:D63"/>
    <mergeCell ref="Y63:Z63"/>
    <mergeCell ref="AC49:AC56"/>
    <mergeCell ref="C50:D50"/>
    <mergeCell ref="Y50:Z50"/>
    <mergeCell ref="C51:D51"/>
    <mergeCell ref="C54:D54"/>
    <mergeCell ref="Y54:Z54"/>
    <mergeCell ref="C55:D55"/>
    <mergeCell ref="Y55:Z55"/>
    <mergeCell ref="C56:D56"/>
    <mergeCell ref="Y56:Z56"/>
    <mergeCell ref="A49:A56"/>
    <mergeCell ref="C49:D49"/>
    <mergeCell ref="R49:R56"/>
    <mergeCell ref="Y49:Z49"/>
    <mergeCell ref="C45:D45"/>
    <mergeCell ref="Y45:Z45"/>
    <mergeCell ref="C46:D46"/>
    <mergeCell ref="Y46:Z46"/>
    <mergeCell ref="C47:D47"/>
    <mergeCell ref="Y47:Z47"/>
    <mergeCell ref="AC42:AC48"/>
    <mergeCell ref="C43:D43"/>
    <mergeCell ref="Y43:Z43"/>
    <mergeCell ref="C44:D44"/>
    <mergeCell ref="Y44:Z44"/>
    <mergeCell ref="AC35:AC41"/>
    <mergeCell ref="C36:D36"/>
    <mergeCell ref="Y36:Z36"/>
    <mergeCell ref="C37:D37"/>
    <mergeCell ref="Y37:Z37"/>
    <mergeCell ref="C38:D38"/>
    <mergeCell ref="Y38:Z38"/>
    <mergeCell ref="C39:D39"/>
    <mergeCell ref="Y39:Z39"/>
    <mergeCell ref="C40:D40"/>
    <mergeCell ref="C48:D48"/>
    <mergeCell ref="Y48:Z48"/>
    <mergeCell ref="A35:A41"/>
    <mergeCell ref="C35:D35"/>
    <mergeCell ref="R35:R41"/>
    <mergeCell ref="Y35:Z35"/>
    <mergeCell ref="Y40:Z40"/>
    <mergeCell ref="C41:D41"/>
    <mergeCell ref="Y41:Z41"/>
    <mergeCell ref="A42:A48"/>
    <mergeCell ref="C42:D42"/>
    <mergeCell ref="R42:R48"/>
    <mergeCell ref="Y42:Z42"/>
    <mergeCell ref="A27:A34"/>
    <mergeCell ref="C27:D27"/>
    <mergeCell ref="R27:R34"/>
    <mergeCell ref="Y27:Z27"/>
    <mergeCell ref="Y32:Z32"/>
    <mergeCell ref="AC27:AC34"/>
    <mergeCell ref="C28:D28"/>
    <mergeCell ref="Y28:Z28"/>
    <mergeCell ref="C29:D29"/>
    <mergeCell ref="Y29:Z29"/>
    <mergeCell ref="C30:D30"/>
    <mergeCell ref="Y30:Z30"/>
    <mergeCell ref="C31:D31"/>
    <mergeCell ref="Y31:Z31"/>
    <mergeCell ref="C32:D32"/>
    <mergeCell ref="C33:D33"/>
    <mergeCell ref="Y33:Z33"/>
    <mergeCell ref="C34:D34"/>
    <mergeCell ref="Y34:Z34"/>
    <mergeCell ref="A18:A26"/>
    <mergeCell ref="C18:D18"/>
    <mergeCell ref="R18:R26"/>
    <mergeCell ref="Y18:Z18"/>
    <mergeCell ref="Y23:Z23"/>
    <mergeCell ref="C24:D24"/>
    <mergeCell ref="A12:A17"/>
    <mergeCell ref="AC18:AC26"/>
    <mergeCell ref="C19:D19"/>
    <mergeCell ref="Y19:Z19"/>
    <mergeCell ref="C20:D20"/>
    <mergeCell ref="Y20:Z20"/>
    <mergeCell ref="C21:D21"/>
    <mergeCell ref="Y21:Z21"/>
    <mergeCell ref="C22:D22"/>
    <mergeCell ref="Y22:Z22"/>
    <mergeCell ref="C23:D23"/>
    <mergeCell ref="Y24:Z24"/>
    <mergeCell ref="C25:D25"/>
    <mergeCell ref="Y25:Z25"/>
    <mergeCell ref="C26:D26"/>
    <mergeCell ref="Y26:Z26"/>
    <mergeCell ref="C13:D13"/>
    <mergeCell ref="Y13:Z13"/>
    <mergeCell ref="C14:D14"/>
    <mergeCell ref="Y14:Z14"/>
    <mergeCell ref="C15:D15"/>
    <mergeCell ref="Y15:Z15"/>
    <mergeCell ref="AC9:AC11"/>
    <mergeCell ref="C10:D10"/>
    <mergeCell ref="Y10:Z10"/>
    <mergeCell ref="C11:D11"/>
    <mergeCell ref="Y11:Z11"/>
    <mergeCell ref="C12:D12"/>
    <mergeCell ref="R12:R17"/>
    <mergeCell ref="Y12:Z12"/>
    <mergeCell ref="AC12:AC17"/>
    <mergeCell ref="C16:D16"/>
    <mergeCell ref="Y16:Z16"/>
    <mergeCell ref="C17:D17"/>
    <mergeCell ref="Y17:Z17"/>
    <mergeCell ref="C8:D8"/>
    <mergeCell ref="Y8:Z8"/>
    <mergeCell ref="A9:A11"/>
    <mergeCell ref="C9:D9"/>
    <mergeCell ref="R9:R11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</mergeCells>
  <phoneticPr fontId="3" type="noConversion"/>
  <conditionalFormatting sqref="O56:O57 O5:O9 O11:O13 O17:O54 O60:O70">
    <cfRule type="cellIs" dxfId="1277" priority="44" operator="greaterThan">
      <formula>0</formula>
    </cfRule>
  </conditionalFormatting>
  <conditionalFormatting sqref="P5:P7 P60:P62 AA60:AA62 P27:P33 P57 P9 P11:P13 P18:P25 P49:P54 P35:P47 AA5:AA57 P64:P69 AA64:AA70">
    <cfRule type="cellIs" dxfId="1276" priority="48" operator="lessThan">
      <formula>0</formula>
    </cfRule>
  </conditionalFormatting>
  <conditionalFormatting sqref="AB60:AB62 Q56:Q57 Q5:Q9 Q11:Q13 Q17:Q54 AB5:AB57 Q60:Q70 AB64:AB70">
    <cfRule type="cellIs" dxfId="1275" priority="45" operator="greaterThan">
      <formula>1</formula>
    </cfRule>
    <cfRule type="cellIs" dxfId="1274" priority="46" operator="lessThan">
      <formula>0.8</formula>
    </cfRule>
  </conditionalFormatting>
  <conditionalFormatting sqref="AC12:AC13 R12:R13 AC60 R17:R23 AC17:AC23 AC56:AC57 R56:R57 AC5:AC9 R5:R9 AC26:AC54 R26:R54 R60:R70">
    <cfRule type="cellIs" dxfId="1273" priority="50" operator="lessThan">
      <formula>0.8</formula>
    </cfRule>
  </conditionalFormatting>
  <conditionalFormatting sqref="AC42">
    <cfRule type="cellIs" dxfId="1272" priority="52" operator="lessThan">
      <formula>0.8</formula>
    </cfRule>
  </conditionalFormatting>
  <conditionalFormatting sqref="AC18:AC23">
    <cfRule type="cellIs" dxfId="1271" priority="49" operator="lessThan">
      <formula>0.8</formula>
    </cfRule>
  </conditionalFormatting>
  <conditionalFormatting sqref="AC27">
    <cfRule type="cellIs" dxfId="1270" priority="51" operator="lessThan">
      <formula>0.8</formula>
    </cfRule>
  </conditionalFormatting>
  <conditionalFormatting sqref="AC35:AC40">
    <cfRule type="cellIs" dxfId="1269" priority="47" operator="lessThan">
      <formula>0.8</formula>
    </cfRule>
  </conditionalFormatting>
  <conditionalFormatting sqref="AA63">
    <cfRule type="cellIs" dxfId="1268" priority="43" operator="lessThan">
      <formula>0</formula>
    </cfRule>
  </conditionalFormatting>
  <conditionalFormatting sqref="AB63">
    <cfRule type="cellIs" dxfId="1267" priority="41" operator="greaterThan">
      <formula>1</formula>
    </cfRule>
    <cfRule type="cellIs" dxfId="1266" priority="42" operator="lessThan">
      <formula>0.8</formula>
    </cfRule>
  </conditionalFormatting>
  <conditionalFormatting sqref="O14:O15">
    <cfRule type="cellIs" dxfId="1265" priority="36" operator="greaterThan">
      <formula>0</formula>
    </cfRule>
  </conditionalFormatting>
  <conditionalFormatting sqref="P14:P15">
    <cfRule type="cellIs" dxfId="1264" priority="39" operator="lessThan">
      <formula>0</formula>
    </cfRule>
  </conditionalFormatting>
  <conditionalFormatting sqref="Q14:Q15">
    <cfRule type="cellIs" dxfId="1263" priority="37" operator="greaterThan">
      <formula>1</formula>
    </cfRule>
    <cfRule type="cellIs" dxfId="1262" priority="38" operator="lessThan">
      <formula>0.8</formula>
    </cfRule>
  </conditionalFormatting>
  <conditionalFormatting sqref="R14:R15 AC14:AC15">
    <cfRule type="cellIs" dxfId="1261" priority="40" operator="lessThan">
      <formula>0.8</formula>
    </cfRule>
  </conditionalFormatting>
  <conditionalFormatting sqref="O10">
    <cfRule type="cellIs" dxfId="1260" priority="32" operator="greaterThan">
      <formula>0</formula>
    </cfRule>
  </conditionalFormatting>
  <conditionalFormatting sqref="P10">
    <cfRule type="cellIs" dxfId="1259" priority="35" operator="lessThan">
      <formula>0</formula>
    </cfRule>
  </conditionalFormatting>
  <conditionalFormatting sqref="Q10">
    <cfRule type="cellIs" dxfId="1258" priority="33" operator="greaterThan">
      <formula>1</formula>
    </cfRule>
    <cfRule type="cellIs" dxfId="1257" priority="34" operator="lessThan">
      <formula>0.8</formula>
    </cfRule>
  </conditionalFormatting>
  <conditionalFormatting sqref="O55">
    <cfRule type="cellIs" dxfId="1256" priority="27" operator="greaterThan">
      <formula>0</formula>
    </cfRule>
  </conditionalFormatting>
  <conditionalFormatting sqref="P55">
    <cfRule type="cellIs" dxfId="1255" priority="30" operator="lessThan">
      <formula>0</formula>
    </cfRule>
  </conditionalFormatting>
  <conditionalFormatting sqref="Q55">
    <cfRule type="cellIs" dxfId="1254" priority="28" operator="greaterThan">
      <formula>1</formula>
    </cfRule>
    <cfRule type="cellIs" dxfId="1253" priority="29" operator="lessThan">
      <formula>0.8</formula>
    </cfRule>
  </conditionalFormatting>
  <conditionalFormatting sqref="R55 AC55">
    <cfRule type="cellIs" dxfId="1252" priority="31" operator="lessThan">
      <formula>0.8</formula>
    </cfRule>
  </conditionalFormatting>
  <conditionalFormatting sqref="AC25 R25">
    <cfRule type="cellIs" dxfId="1251" priority="26" operator="lessThan">
      <formula>0.8</formula>
    </cfRule>
  </conditionalFormatting>
  <conditionalFormatting sqref="O59">
    <cfRule type="cellIs" dxfId="1250" priority="21" operator="greaterThan">
      <formula>0</formula>
    </cfRule>
  </conditionalFormatting>
  <conditionalFormatting sqref="P59 AA59">
    <cfRule type="cellIs" dxfId="1249" priority="24" operator="lessThan">
      <formula>0</formula>
    </cfRule>
  </conditionalFormatting>
  <conditionalFormatting sqref="Q59 AB59">
    <cfRule type="cellIs" dxfId="1248" priority="22" operator="greaterThan">
      <formula>1</formula>
    </cfRule>
    <cfRule type="cellIs" dxfId="1247" priority="23" operator="lessThan">
      <formula>0.8</formula>
    </cfRule>
  </conditionalFormatting>
  <conditionalFormatting sqref="R59 AC59">
    <cfRule type="cellIs" dxfId="1246" priority="25" operator="lessThan">
      <formula>0.8</formula>
    </cfRule>
  </conditionalFormatting>
  <conditionalFormatting sqref="O16">
    <cfRule type="cellIs" dxfId="1245" priority="16" operator="greaterThan">
      <formula>0</formula>
    </cfRule>
  </conditionalFormatting>
  <conditionalFormatting sqref="P16">
    <cfRule type="cellIs" dxfId="1244" priority="19" operator="lessThan">
      <formula>0</formula>
    </cfRule>
  </conditionalFormatting>
  <conditionalFormatting sqref="Q16">
    <cfRule type="cellIs" dxfId="1243" priority="17" operator="greaterThan">
      <formula>1</formula>
    </cfRule>
    <cfRule type="cellIs" dxfId="1242" priority="18" operator="lessThan">
      <formula>0.8</formula>
    </cfRule>
  </conditionalFormatting>
  <conditionalFormatting sqref="R16 AC16">
    <cfRule type="cellIs" dxfId="1241" priority="20" operator="lessThan">
      <formula>0.8</formula>
    </cfRule>
  </conditionalFormatting>
  <conditionalFormatting sqref="R24 AC24">
    <cfRule type="cellIs" dxfId="1240" priority="15" operator="lessThan">
      <formula>0.8</formula>
    </cfRule>
  </conditionalFormatting>
  <conditionalFormatting sqref="AC24">
    <cfRule type="cellIs" dxfId="1239" priority="14" operator="lessThan">
      <formula>0.8</formula>
    </cfRule>
  </conditionalFormatting>
  <conditionalFormatting sqref="O58">
    <cfRule type="cellIs" dxfId="1238" priority="9" operator="greaterThan">
      <formula>0</formula>
    </cfRule>
  </conditionalFormatting>
  <conditionalFormatting sqref="P58 AA58">
    <cfRule type="cellIs" dxfId="1237" priority="12" operator="lessThan">
      <formula>0</formula>
    </cfRule>
  </conditionalFormatting>
  <conditionalFormatting sqref="Q58 AB58">
    <cfRule type="cellIs" dxfId="1236" priority="10" operator="greaterThan">
      <formula>1</formula>
    </cfRule>
    <cfRule type="cellIs" dxfId="1235" priority="11" operator="lessThan">
      <formula>0.8</formula>
    </cfRule>
  </conditionalFormatting>
  <conditionalFormatting sqref="R58 AC58">
    <cfRule type="cellIs" dxfId="1234" priority="13" operator="lessThan">
      <formula>0.8</formula>
    </cfRule>
  </conditionalFormatting>
  <conditionalFormatting sqref="P8">
    <cfRule type="cellIs" dxfId="1233" priority="8" operator="lessThan">
      <formula>0</formula>
    </cfRule>
  </conditionalFormatting>
  <conditionalFormatting sqref="P17">
    <cfRule type="cellIs" dxfId="1232" priority="7" operator="lessThan">
      <formula>0</formula>
    </cfRule>
  </conditionalFormatting>
  <conditionalFormatting sqref="P26">
    <cfRule type="cellIs" dxfId="1231" priority="6" operator="lessThan">
      <formula>0</formula>
    </cfRule>
  </conditionalFormatting>
  <conditionalFormatting sqref="P34">
    <cfRule type="cellIs" dxfId="1230" priority="5" operator="lessThan">
      <formula>0</formula>
    </cfRule>
  </conditionalFormatting>
  <conditionalFormatting sqref="P48">
    <cfRule type="cellIs" dxfId="1229" priority="4" operator="lessThan">
      <formula>0</formula>
    </cfRule>
  </conditionalFormatting>
  <conditionalFormatting sqref="P56">
    <cfRule type="cellIs" dxfId="1228" priority="3" operator="lessThan">
      <formula>0</formula>
    </cfRule>
  </conditionalFormatting>
  <conditionalFormatting sqref="P63">
    <cfRule type="cellIs" dxfId="1227" priority="2" operator="lessThan">
      <formula>0</formula>
    </cfRule>
  </conditionalFormatting>
  <conditionalFormatting sqref="P70">
    <cfRule type="cellIs" dxfId="1226" priority="1" operator="lessThan">
      <formula>0</formula>
    </cfRule>
  </conditionalFormatting>
  <dataValidations count="1">
    <dataValidation type="list" allowBlank="1" showInputMessage="1" showErrorMessage="1" sqref="Z8 Z61:Z62 Y5:Z7 Y8:Y62 Z10:Z57 Y63:Z70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="85" zoomScaleNormal="85" workbookViewId="0">
      <selection activeCell="I3" sqref="I3:J3"/>
    </sheetView>
  </sheetViews>
  <sheetFormatPr defaultColWidth="8.75" defaultRowHeight="15.75"/>
  <cols>
    <col min="1" max="1" width="8.75" style="2"/>
    <col min="2" max="2" width="17.875" style="2" customWidth="1"/>
    <col min="3" max="3" width="9.25" style="9" customWidth="1"/>
    <col min="4" max="13" width="12.625" style="2" customWidth="1"/>
    <col min="14" max="14" width="11" style="2" bestFit="1" customWidth="1"/>
    <col min="15" max="15" width="17.75" style="2" bestFit="1" customWidth="1"/>
    <col min="16" max="16" width="12.25" style="2" bestFit="1" customWidth="1"/>
    <col min="17" max="22" width="9.25" style="2" customWidth="1"/>
    <col min="23" max="23" width="10.75" style="2" customWidth="1"/>
    <col min="24" max="24" width="11" style="2" customWidth="1"/>
    <col min="25" max="16384" width="8.75" style="2"/>
  </cols>
  <sheetData>
    <row r="1" spans="2:17" ht="27.75" customHeight="1">
      <c r="B1" s="546" t="s">
        <v>102</v>
      </c>
      <c r="C1" s="546"/>
      <c r="D1" s="546"/>
      <c r="E1" s="546"/>
      <c r="F1" s="546"/>
      <c r="G1" s="546"/>
      <c r="H1" s="546"/>
      <c r="I1" s="546"/>
      <c r="J1" s="546"/>
      <c r="K1" s="1"/>
      <c r="L1" s="1"/>
      <c r="M1" s="1"/>
      <c r="N1" s="1"/>
      <c r="O1" s="1"/>
      <c r="P1" s="1"/>
    </row>
    <row r="2" spans="2:17" ht="27.75" customHeight="1">
      <c r="B2" s="547"/>
      <c r="C2" s="547"/>
      <c r="D2" s="547"/>
      <c r="E2" s="547"/>
      <c r="F2" s="547"/>
      <c r="G2" s="547"/>
      <c r="H2" s="547"/>
      <c r="I2" s="547"/>
      <c r="J2" s="547"/>
      <c r="K2" s="3"/>
      <c r="L2" s="3"/>
      <c r="M2" s="3"/>
      <c r="N2" s="1"/>
      <c r="O2" s="1"/>
      <c r="P2" s="1"/>
    </row>
    <row r="3" spans="2:17" ht="46.5" customHeight="1">
      <c r="B3" s="4" t="s">
        <v>1262</v>
      </c>
      <c r="C3" s="548" t="str">
        <f>TEXT('1218 4度C'!A2,"yyyy.mm.ddaaaa")</f>
        <v>2025.12.18星期四</v>
      </c>
      <c r="D3" s="549"/>
      <c r="E3" s="4" t="s">
        <v>1263</v>
      </c>
      <c r="F3" s="550">
        <f>'1218 4度C'!D1</f>
        <v>161966</v>
      </c>
      <c r="G3" s="551"/>
      <c r="H3" s="4" t="s">
        <v>1264</v>
      </c>
      <c r="I3" s="552">
        <f>'1218 4度C'!F1</f>
        <v>5378125.3100000005</v>
      </c>
      <c r="J3" s="553"/>
      <c r="K3" s="5"/>
      <c r="L3" s="6"/>
      <c r="M3" s="7"/>
      <c r="N3" s="7"/>
    </row>
    <row r="4" spans="2:17" ht="28.5" customHeight="1">
      <c r="B4" s="554" t="s">
        <v>1265</v>
      </c>
      <c r="C4" s="536" t="s">
        <v>1266</v>
      </c>
      <c r="D4" s="537"/>
      <c r="E4" s="557" t="s">
        <v>1267</v>
      </c>
      <c r="F4" s="558"/>
      <c r="G4" s="557" t="s">
        <v>179</v>
      </c>
      <c r="H4" s="558"/>
      <c r="I4" s="557" t="s">
        <v>1268</v>
      </c>
      <c r="J4" s="558"/>
      <c r="L4" s="7"/>
      <c r="M4" s="7"/>
      <c r="N4" s="7"/>
    </row>
    <row r="5" spans="2:17" ht="28.5" customHeight="1">
      <c r="B5" s="555"/>
      <c r="C5" s="536" t="s">
        <v>1269</v>
      </c>
      <c r="D5" s="537"/>
      <c r="E5" s="536" t="s">
        <v>1270</v>
      </c>
      <c r="F5" s="537"/>
      <c r="G5" s="538" t="s">
        <v>123</v>
      </c>
      <c r="H5" s="539"/>
      <c r="I5" s="540" t="s">
        <v>1271</v>
      </c>
      <c r="J5" s="541"/>
      <c r="K5" s="7"/>
      <c r="L5" s="7"/>
      <c r="M5" s="7"/>
      <c r="N5" s="7"/>
    </row>
    <row r="6" spans="2:17" ht="28.5" customHeight="1">
      <c r="B6" s="555"/>
      <c r="C6" s="536" t="s">
        <v>46</v>
      </c>
      <c r="D6" s="537"/>
      <c r="E6" s="542">
        <f>AVERAGE(D13:M13)</f>
        <v>148.49230606889256</v>
      </c>
      <c r="F6" s="543">
        <f>AVERAGE(D27:O27,D13:J13)</f>
        <v>152.61987874257707</v>
      </c>
      <c r="G6" s="544">
        <f>AVERAGE(D13:J13)</f>
        <v>152.61987874257707</v>
      </c>
      <c r="H6" s="545"/>
      <c r="I6" s="544">
        <f>AVERAGE(K13:M13)</f>
        <v>138.86130316362875</v>
      </c>
      <c r="J6" s="545"/>
      <c r="K6" s="7"/>
      <c r="L6" s="7"/>
      <c r="M6" s="7"/>
      <c r="N6" s="7"/>
    </row>
    <row r="7" spans="2:17" ht="28.5" customHeight="1">
      <c r="B7" s="555"/>
      <c r="C7" s="526" t="s">
        <v>47</v>
      </c>
      <c r="D7" s="527"/>
      <c r="E7" s="528">
        <f>AVERAGE(D14:M14)</f>
        <v>141.48807214635423</v>
      </c>
      <c r="F7" s="529">
        <f>AVERAGE(D28:O28,D14:J14)</f>
        <v>145.25757601011324</v>
      </c>
      <c r="G7" s="530">
        <f>AVERAGE(D14:J14)</f>
        <v>145.25757601011324</v>
      </c>
      <c r="H7" s="531"/>
      <c r="I7" s="530">
        <f>AVERAGE(K14:M14)</f>
        <v>132.69256313091648</v>
      </c>
      <c r="J7" s="531"/>
      <c r="K7" s="7"/>
      <c r="L7" s="7"/>
      <c r="M7" s="7"/>
      <c r="N7" s="7"/>
    </row>
    <row r="8" spans="2:17" ht="28.5" customHeight="1">
      <c r="B8" s="556"/>
      <c r="C8" s="526" t="s">
        <v>48</v>
      </c>
      <c r="D8" s="527"/>
      <c r="E8" s="532">
        <f>AVERAGE(D15:M15)</f>
        <v>0.95019872558895524</v>
      </c>
      <c r="F8" s="533">
        <f>AVERAGE(D15:J15,D29:O29)</f>
        <v>0.94787442190920401</v>
      </c>
      <c r="G8" s="534">
        <f>AVERAGE(D15:J15)</f>
        <v>0.94787442190920401</v>
      </c>
      <c r="H8" s="535"/>
      <c r="I8" s="534">
        <f>AVERAGE(K15:M15)</f>
        <v>0.95562210084170862</v>
      </c>
      <c r="J8" s="535"/>
      <c r="K8" s="8" t="s">
        <v>1272</v>
      </c>
      <c r="L8" s="7"/>
      <c r="M8" s="7"/>
      <c r="N8" s="7"/>
    </row>
    <row r="9" spans="2:17" ht="28.5" customHeight="1" thickBot="1">
      <c r="H9" s="10"/>
      <c r="N9" s="7"/>
      <c r="O9" s="7"/>
      <c r="P9" s="7"/>
      <c r="Q9" s="7"/>
    </row>
    <row r="10" spans="2:17" ht="30" customHeight="1">
      <c r="B10" s="509" t="s">
        <v>1273</v>
      </c>
      <c r="C10" s="510"/>
      <c r="D10" s="511" t="s">
        <v>1274</v>
      </c>
      <c r="E10" s="512"/>
      <c r="F10" s="512"/>
      <c r="G10" s="512"/>
      <c r="H10" s="512"/>
      <c r="I10" s="512"/>
      <c r="J10" s="513"/>
      <c r="K10" s="514" t="s">
        <v>1275</v>
      </c>
      <c r="L10" s="515"/>
      <c r="M10" s="516"/>
      <c r="P10" s="11"/>
      <c r="Q10" s="11"/>
    </row>
    <row r="11" spans="2:17" ht="17.25" customHeight="1">
      <c r="B11" s="517" t="s">
        <v>1276</v>
      </c>
      <c r="C11" s="518"/>
      <c r="D11" s="12">
        <v>1</v>
      </c>
      <c r="E11" s="13">
        <v>2</v>
      </c>
      <c r="F11" s="13">
        <v>3</v>
      </c>
      <c r="G11" s="13">
        <v>4</v>
      </c>
      <c r="H11" s="13">
        <v>5</v>
      </c>
      <c r="I11" s="13">
        <v>6</v>
      </c>
      <c r="J11" s="14">
        <v>7</v>
      </c>
      <c r="K11" s="12">
        <v>1</v>
      </c>
      <c r="L11" s="13">
        <v>2</v>
      </c>
      <c r="M11" s="14">
        <v>3</v>
      </c>
      <c r="P11" s="11"/>
      <c r="Q11" s="11"/>
    </row>
    <row r="12" spans="2:17" ht="34.15" customHeight="1">
      <c r="B12" s="519"/>
      <c r="C12" s="520"/>
      <c r="D12" s="15" t="s">
        <v>49</v>
      </c>
      <c r="E12" s="16" t="s">
        <v>50</v>
      </c>
      <c r="F12" s="16" t="s">
        <v>51</v>
      </c>
      <c r="G12" s="16" t="s">
        <v>52</v>
      </c>
      <c r="H12" s="16" t="s">
        <v>53</v>
      </c>
      <c r="I12" s="16" t="s">
        <v>54</v>
      </c>
      <c r="J12" s="17" t="s">
        <v>55</v>
      </c>
      <c r="K12" s="15" t="s">
        <v>56</v>
      </c>
      <c r="L12" s="16" t="s">
        <v>57</v>
      </c>
      <c r="M12" s="17" t="s">
        <v>58</v>
      </c>
    </row>
    <row r="13" spans="2:17" ht="40.15" customHeight="1">
      <c r="B13" s="521" t="s">
        <v>1277</v>
      </c>
      <c r="C13" s="18" t="s">
        <v>1278</v>
      </c>
      <c r="D13" s="19">
        <f>SUMIFS('1218 4度C'!$K:$K,'1218 4度C'!$A:$A,"新豐6線",'1218 4度C'!$B:$B,"平均")</f>
        <v>133.33333333333334</v>
      </c>
      <c r="E13" s="20">
        <f>SUMIFS('1218 4度C'!$K:$K,'1218 4度C'!$A:$A,"新豐2線",'1218 4度C'!$B:$B,"平均")</f>
        <v>83.333333333333329</v>
      </c>
      <c r="F13" s="21">
        <f>SUMIFS('1218 4度C'!$K:$K,'1218 4度C'!$A:$A,"新豐5線",'1218 4度C'!$B:$B,"平均")</f>
        <v>93.406593406593416</v>
      </c>
      <c r="G13" s="21">
        <f>SUMIFS('1218 4度C'!$K:$K,'1218 4度C'!$A:$A,"新豐7線",'1218 4度C'!$B:$B,"平均")</f>
        <v>118.32061068702291</v>
      </c>
      <c r="H13" s="21">
        <f>SUMIFS('1218 4度C'!$K:$K,'1218 4度C'!$A:$A,"新豐3線",'1218 4度C'!$B:$B,"平均")</f>
        <v>235.29411764705881</v>
      </c>
      <c r="I13" s="21">
        <f>SUMIFS('1218 4度C'!$K:$K,'1218 4度C'!$A:$A,"新豐1線",'1218 4度C'!$B:$B,"平均")</f>
        <v>104.65116279069768</v>
      </c>
      <c r="J13" s="22">
        <f>SUMIFS('1218 4度C'!$K:$K,'1218 4度C'!$A:$A,"新豐10線",'1218 4度C'!$B:$B,"平均")</f>
        <v>300</v>
      </c>
      <c r="K13" s="23">
        <f>SUMIFS('1218 4度C'!$K:$K,'1218 4度C'!$A:$A,"新豐8線",'1218 4度C'!$B:$B,"平均")</f>
        <v>130.23255813953489</v>
      </c>
      <c r="L13" s="24">
        <f>SUMIFS('1218 4度C'!$K:$K,'1218 4度C'!$A:$A,"新豐9線",'1218 4度C'!$B:$B,"平均")</f>
        <v>135</v>
      </c>
      <c r="M13" s="22">
        <f>SUMIFS('1218 4度C'!$K:$K,'1218 4度C'!$A:$A,"新豐4線",'1218 4度C'!$B:$B,"平均")</f>
        <v>151.35135135135135</v>
      </c>
    </row>
    <row r="14" spans="2:17" ht="39.6" customHeight="1">
      <c r="B14" s="522"/>
      <c r="C14" s="25" t="s">
        <v>1279</v>
      </c>
      <c r="D14" s="26">
        <f>SUMIFS('1218 4度C'!$N:$N,'1218 4度C'!$A:$A,"新豐6線",'1218 4度C'!$B:$B,"平均")</f>
        <v>128.04504137837478</v>
      </c>
      <c r="E14" s="27">
        <f>SUMIFS('1218 4度C'!$N:$N,'1218 4度C'!$A:$A,"新豐2線",'1218 4度C'!$B:$B,"平均")</f>
        <v>79.395287502898199</v>
      </c>
      <c r="F14" s="27">
        <f>SUMIFS('1218 4度C'!$N:$N,'1218 4度C'!$A:$A,"新豐5線",'1218 4度C'!$B:$B,"平均")</f>
        <v>89.79948566813502</v>
      </c>
      <c r="G14" s="27">
        <f>SUMIFS('1218 4度C'!$N:$N,'1218 4度C'!$A:$A,"新豐7線",'1218 4度C'!$B:$B,"平均")</f>
        <v>114.29629867214061</v>
      </c>
      <c r="H14" s="27">
        <f>SUMIFS('1218 4度C'!$N:$N,'1218 4度C'!$A:$A,"新豐3線",'1218 4度C'!$B:$B,"平均")</f>
        <v>225.94706011073629</v>
      </c>
      <c r="I14" s="27">
        <f>SUMIFS('1218 4度C'!$N:$N,'1218 4度C'!$A:$A,"新豐1線",'1218 4度C'!$B:$B,"平均")</f>
        <v>91.606235918585597</v>
      </c>
      <c r="J14" s="28">
        <f>SUMIFS('1218 4度C'!$N:$N,'1218 4度C'!$A:$A,"新豐10線",'1218 4度C'!$B:$B,"平均")</f>
        <v>287.71362281992214</v>
      </c>
      <c r="K14" s="29">
        <f>SUMIFS('1218 4度C'!$N:$N,'1218 4度C'!$A:$A,"新豐8線",'1218 4度C'!$B:$B,"平均")</f>
        <v>124.59321092836844</v>
      </c>
      <c r="L14" s="30">
        <f>SUMIFS('1218 4度C'!$N:$N,'1218 4度C'!$A:$A,"新豐9線",'1218 4度C'!$B:$B,"平均")</f>
        <v>128.97911626484867</v>
      </c>
      <c r="M14" s="28">
        <f>SUMIFS('1218 4度C'!$N:$N,'1218 4度C'!$A:$A,"新豐4線",'1218 4度C'!$B:$B,"平均")</f>
        <v>144.5053621995323</v>
      </c>
    </row>
    <row r="15" spans="2:17" ht="40.15" customHeight="1">
      <c r="B15" s="523"/>
      <c r="C15" s="31" t="s">
        <v>1280</v>
      </c>
      <c r="D15" s="32">
        <f t="shared" ref="D15:M15" si="0">D14/D13</f>
        <v>0.96033781033781074</v>
      </c>
      <c r="E15" s="33">
        <f t="shared" si="0"/>
        <v>0.95274345003477845</v>
      </c>
      <c r="F15" s="33">
        <f t="shared" si="0"/>
        <v>0.96138272891768073</v>
      </c>
      <c r="G15" s="33">
        <f t="shared" si="0"/>
        <v>0.96598807264841413</v>
      </c>
      <c r="H15" s="33">
        <f t="shared" si="0"/>
        <v>0.96027500547062927</v>
      </c>
      <c r="I15" s="33">
        <f t="shared" si="0"/>
        <v>0.8753484765553734</v>
      </c>
      <c r="J15" s="34">
        <f t="shared" si="0"/>
        <v>0.95904540939974048</v>
      </c>
      <c r="K15" s="32">
        <f t="shared" si="0"/>
        <v>0.95669786962854331</v>
      </c>
      <c r="L15" s="33">
        <f t="shared" si="0"/>
        <v>0.95540086122110124</v>
      </c>
      <c r="M15" s="34">
        <f t="shared" si="0"/>
        <v>0.95476757167548121</v>
      </c>
    </row>
    <row r="16" spans="2:17" ht="17.25" customHeight="1">
      <c r="B16" s="524" t="s">
        <v>1281</v>
      </c>
      <c r="C16" s="35" t="s">
        <v>1282</v>
      </c>
      <c r="D16" s="49">
        <f>VLOOKUP("新豐6線",'1218 4度C'!$A:$T,19,0)</f>
        <v>0.70833333333333337</v>
      </c>
      <c r="E16" s="50">
        <f>VLOOKUP("新豐2線",'1218 4度C'!$A:$T,19,0)</f>
        <v>0.16666666666666666</v>
      </c>
      <c r="F16" s="50">
        <f>VLOOKUP("新豐5線",'1218 4度C'!$A:$T,19,0)</f>
        <v>0.20833333333333334</v>
      </c>
      <c r="G16" s="50">
        <f>VLOOKUP("新豐7線",'1218 4度C'!$A:$T,19,0)</f>
        <v>0.20833333333333334</v>
      </c>
      <c r="H16" s="50">
        <f>VLOOKUP("新豐3線",'1218 4度C'!$A:$T,19,0)</f>
        <v>8.3333333333333329E-2</v>
      </c>
      <c r="I16" s="50">
        <f>VLOOKUP("新豐1線",'1218 4度C'!$A:$T,19,0)</f>
        <v>0.20833333333333334</v>
      </c>
      <c r="J16" s="51">
        <f>VLOOKUP("新豐10線",'1218 4度C'!$A:$T,19,0)</f>
        <v>0.20833333333333334</v>
      </c>
      <c r="K16" s="36">
        <f>VLOOKUP("新豐8線",'1218 4度C'!$A:$T,19,0)</f>
        <v>8.3333333333333329E-2</v>
      </c>
      <c r="L16" s="37">
        <f>VLOOKUP("新豐9線",'1218 4度C'!$A:$T,19,0)</f>
        <v>8.3333333333333329E-2</v>
      </c>
      <c r="M16" s="38">
        <f>VLOOKUP("新豐4線",'1218 4度C'!$A:$T,19,0)</f>
        <v>8.3333333333333329E-2</v>
      </c>
    </row>
    <row r="17" spans="2:13" ht="17.25" customHeight="1">
      <c r="B17" s="525"/>
      <c r="C17" s="35" t="s">
        <v>1283</v>
      </c>
      <c r="D17" s="36">
        <f>LOOKUP(2,1/(('1218 4度C'!$A:$A="新豐6線")*('1218 4度C'!$T:$T&lt;&gt;"")),'1218 4度C'!$T:$T)</f>
        <v>0.82361111111111107</v>
      </c>
      <c r="E17" s="50">
        <f>LOOKUP(2,1/(('1218 4度C'!$A:$A="新豐2線")*('1218 4度C'!$T:$T&lt;&gt;"")),'1218 4度C'!$T:$T)</f>
        <v>0.44722222222222219</v>
      </c>
      <c r="F17" s="50">
        <f>LOOKUP(2,1/(('1218 4度C'!$A:$A="新豐5線")*('1218 4度C'!$T:$T&lt;&gt;"")),'1218 4度C'!$T:$T)</f>
        <v>0.83125000000000004</v>
      </c>
      <c r="G17" s="50">
        <f>LOOKUP(2,1/(('1218 4度C'!$A:$A="新豐7線")*('1218 4度C'!$T:$T&lt;&gt;"")),'1218 4度C'!$T:$T)</f>
        <v>0.81527777777777777</v>
      </c>
      <c r="H17" s="50">
        <f>LOOKUP(2,1/(('1218 4度C'!$A:$A="新豐3線")*('1218 4度C'!$T:$T&lt;&gt;"")),'1218 4度C'!$T:$T)</f>
        <v>0.48263888888888884</v>
      </c>
      <c r="I17" s="50">
        <f>LOOKUP(2,1/(('1218 4度C'!$A:$A="新豐1線")*('1218 4度C'!$T:$T&lt;&gt;"")),'1218 4度C'!$T:$T)</f>
        <v>0.82847222222222217</v>
      </c>
      <c r="J17" s="51">
        <f>LOOKUP(2,1/(('1218 4度C'!$A:$A="新豐10線")*('1218 4度C'!$T:$T&lt;&gt;"")),'1218 4度C'!$T:$T)</f>
        <v>0.48819444444444432</v>
      </c>
      <c r="K17" s="49">
        <f>LOOKUP(2,1/(('1218 4度C'!$A:$A="新豐8線")*('1218 4度C'!$T:$T&lt;&gt;"")),'1218 4度C'!$T:$T)</f>
        <v>0.63958333333333317</v>
      </c>
      <c r="L17" s="50">
        <f>LOOKUP(2,1/(('1218 4度C'!$A:$A="新豐9線")*('1218 4度C'!$T:$T&lt;&gt;"")),'1218 4度C'!$T:$T)</f>
        <v>0.62152777777777757</v>
      </c>
      <c r="M17" s="51">
        <f>LOOKUP(2,1/(('1218 4度C'!$A:$A="新豐4線")*('1218 4度C'!$T:$T&lt;&gt;"")),'1218 4度C'!$T:$T)</f>
        <v>0.65416666666666656</v>
      </c>
    </row>
    <row r="18" spans="2:13" ht="17.25" customHeight="1">
      <c r="B18" s="503" t="s">
        <v>1284</v>
      </c>
      <c r="C18" s="504"/>
      <c r="D18" s="39">
        <f>SUMIFS('1218 4度C'!$I:$I,'1218 4度C'!$A:$A,"新豐6線",'1218 4度C'!$B:$B,"平均")</f>
        <v>15</v>
      </c>
      <c r="E18" s="40">
        <f>SUMIFS('1218 4度C'!$I:$I,'1218 4度C'!$A:$A,"新豐2線",'1218 4度C'!$B:$B,"平均")</f>
        <v>18</v>
      </c>
      <c r="F18" s="40">
        <f>SUMIFS('1218 4度C'!$I:$I,'1218 4度C'!$A:$A,"新豐5線",'1218 4度C'!$B:$B,"平均")</f>
        <v>18.2</v>
      </c>
      <c r="G18" s="40">
        <f>SUMIFS('1218 4度C'!$I:$I,'1218 4度C'!$A:$A,"新豐7線",'1218 4度C'!$B:$B,"平均")</f>
        <v>16.375</v>
      </c>
      <c r="H18" s="40">
        <f>SUMIFS('1218 4度C'!$I:$I,'1218 4度C'!$A:$A,"新豐3線",'1218 4度C'!$B:$B,"平均")</f>
        <v>11.333333333333334</v>
      </c>
      <c r="I18" s="40">
        <f>SUMIFS('1218 4度C'!$I:$I,'1218 4度C'!$A:$A,"新豐1線",'1218 4度C'!$B:$B,"平均")</f>
        <v>18.428571428571427</v>
      </c>
      <c r="J18" s="41">
        <f>SUMIFS('1218 4度C'!$I:$I,'1218 4度C'!$A:$A,"新豐10線",'1218 4度C'!$B:$B,"平均")</f>
        <v>9.1666666666666661</v>
      </c>
      <c r="K18" s="39">
        <f>SUMIFS('1218 4度C'!$I:$I,'1218 4度C'!$A:$A,"新豐8線",'1218 4度C'!$B:$B,"平均")</f>
        <v>18.428571428571427</v>
      </c>
      <c r="L18" s="40">
        <f>SUMIFS('1218 4度C'!$I:$I,'1218 4度C'!$A:$A,"新豐9線",'1218 4度C'!$B:$B,"平均")</f>
        <v>17.777777777777779</v>
      </c>
      <c r="M18" s="41">
        <f>SUMIFS('1218 4度C'!$I:$I,'1218 4度C'!$A:$A,"新豐4線",'1218 4度C'!$B:$B,"平均")</f>
        <v>15.857142857142858</v>
      </c>
    </row>
    <row r="19" spans="2:13" ht="17.25" customHeight="1">
      <c r="B19" s="503" t="s">
        <v>1285</v>
      </c>
      <c r="C19" s="504"/>
      <c r="D19" s="42" t="s">
        <v>59</v>
      </c>
      <c r="E19" s="43" t="s">
        <v>60</v>
      </c>
      <c r="F19" s="43" t="s">
        <v>1286</v>
      </c>
      <c r="G19" s="43" t="s">
        <v>137</v>
      </c>
      <c r="H19" s="43" t="s">
        <v>61</v>
      </c>
      <c r="I19" s="43" t="s">
        <v>59</v>
      </c>
      <c r="J19" s="44" t="s">
        <v>61</v>
      </c>
      <c r="K19" s="42" t="s">
        <v>1287</v>
      </c>
      <c r="L19" s="43" t="s">
        <v>1287</v>
      </c>
      <c r="M19" s="44" t="s">
        <v>1287</v>
      </c>
    </row>
    <row r="20" spans="2:13" ht="17.25" customHeight="1">
      <c r="B20" s="503" t="s">
        <v>1288</v>
      </c>
      <c r="C20" s="504"/>
      <c r="D20" s="42"/>
      <c r="E20" s="43"/>
      <c r="F20" s="43" t="s">
        <v>1289</v>
      </c>
      <c r="G20" s="43" t="s">
        <v>59</v>
      </c>
      <c r="H20" s="43"/>
      <c r="I20" s="43"/>
      <c r="J20" s="44"/>
      <c r="K20" s="42"/>
      <c r="L20" s="43"/>
      <c r="M20" s="44"/>
    </row>
    <row r="21" spans="2:13" ht="17.25" customHeight="1" thickBot="1">
      <c r="B21" s="505" t="s">
        <v>1290</v>
      </c>
      <c r="C21" s="506"/>
      <c r="D21" s="45"/>
      <c r="E21" s="46" t="s">
        <v>1291</v>
      </c>
      <c r="F21" s="507" t="s">
        <v>1292</v>
      </c>
      <c r="G21" s="508"/>
      <c r="H21" s="46" t="s">
        <v>1293</v>
      </c>
      <c r="I21" s="46" t="s">
        <v>1294</v>
      </c>
      <c r="J21" s="47" t="s">
        <v>1293</v>
      </c>
      <c r="K21" s="48"/>
      <c r="L21" s="46"/>
      <c r="M21" s="4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20:C20"/>
    <mergeCell ref="B21:C21"/>
    <mergeCell ref="F21:G21"/>
    <mergeCell ref="K10:M10"/>
    <mergeCell ref="B11:C12"/>
    <mergeCell ref="B13:B15"/>
    <mergeCell ref="B18:C18"/>
    <mergeCell ref="B19:C19"/>
  </mergeCells>
  <phoneticPr fontId="3" type="noConversion"/>
  <conditionalFormatting sqref="D15:M15">
    <cfRule type="cellIs" dxfId="1225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75"/>
  <sheetViews>
    <sheetView zoomScale="80" zoomScaleNormal="80" workbookViewId="0">
      <pane ySplit="4" topLeftCell="A5" activePane="bottomLeft" state="frozen"/>
      <selection pane="bottomLeft" activeCell="O70" sqref="O70"/>
    </sheetView>
  </sheetViews>
  <sheetFormatPr defaultColWidth="8" defaultRowHeight="15.75"/>
  <cols>
    <col min="1" max="1" width="15.125" style="54" customWidth="1"/>
    <col min="2" max="2" width="19.375" style="54" customWidth="1"/>
    <col min="3" max="3" width="15.25" style="54" customWidth="1"/>
    <col min="4" max="4" width="17.5" style="54" customWidth="1"/>
    <col min="5" max="5" width="7.5" style="54" bestFit="1" customWidth="1"/>
    <col min="6" max="6" width="14.375" style="54" bestFit="1" customWidth="1"/>
    <col min="7" max="7" width="14.375" style="54" customWidth="1"/>
    <col min="8" max="8" width="8" style="54" customWidth="1"/>
    <col min="9" max="9" width="5.875" style="54" customWidth="1"/>
    <col min="10" max="10" width="10.625" style="54" customWidth="1"/>
    <col min="11" max="11" width="14.625" style="54" customWidth="1"/>
    <col min="12" max="12" width="7.25" style="54" bestFit="1" customWidth="1"/>
    <col min="13" max="13" width="8" style="54" customWidth="1"/>
    <col min="14" max="14" width="12" style="54" customWidth="1"/>
    <col min="15" max="15" width="6" style="54" customWidth="1"/>
    <col min="16" max="16" width="9.25" style="54" customWidth="1"/>
    <col min="17" max="17" width="11.5" style="54" customWidth="1"/>
    <col min="18" max="18" width="8.5" style="54" customWidth="1"/>
    <col min="19" max="19" width="10.125" style="73" bestFit="1" customWidth="1"/>
    <col min="20" max="20" width="7.625" style="73" bestFit="1" customWidth="1"/>
    <col min="21" max="21" width="10.25" style="54" bestFit="1" customWidth="1"/>
    <col min="22" max="22" width="8.75" style="71" customWidth="1"/>
    <col min="23" max="23" width="7.375" style="54" customWidth="1"/>
    <col min="24" max="24" width="6.875" style="54" bestFit="1" customWidth="1"/>
    <col min="25" max="25" width="12.75" style="54" customWidth="1"/>
    <col min="26" max="26" width="18.875" style="54" customWidth="1"/>
    <col min="27" max="27" width="13.125" style="54" bestFit="1" customWidth="1"/>
    <col min="28" max="28" width="10.375" style="54" customWidth="1"/>
    <col min="29" max="29" width="9.375" style="54" customWidth="1"/>
    <col min="30" max="30" width="8" style="54"/>
    <col min="31" max="31" width="24.625" style="54" bestFit="1" customWidth="1"/>
    <col min="32" max="16384" width="8" style="54"/>
  </cols>
  <sheetData>
    <row r="1" spans="1:29" ht="26.25" customHeight="1">
      <c r="A1" s="52" t="s">
        <v>1295</v>
      </c>
      <c r="B1" s="52"/>
      <c r="C1" s="117" t="s">
        <v>1296</v>
      </c>
      <c r="D1" s="118">
        <f>SUM(F5:F74)</f>
        <v>161966</v>
      </c>
      <c r="E1" s="291" t="s">
        <v>1297</v>
      </c>
      <c r="F1" s="52">
        <f>SUM(G5:G74)</f>
        <v>5378125.3100000005</v>
      </c>
      <c r="G1" s="52" t="s">
        <v>1298</v>
      </c>
      <c r="H1" s="53">
        <f>L8+L11+L51+L59+L17+L66+L34+L44+L26+L74</f>
        <v>158.56706349206351</v>
      </c>
      <c r="I1" s="607" t="s">
        <v>1299</v>
      </c>
      <c r="J1" s="607"/>
      <c r="K1" s="607"/>
      <c r="L1" s="607" t="s">
        <v>1300</v>
      </c>
      <c r="M1" s="607"/>
      <c r="N1" s="607"/>
      <c r="O1" s="607" t="s">
        <v>1301</v>
      </c>
      <c r="P1" s="607"/>
      <c r="Q1" s="607"/>
      <c r="R1" s="607"/>
      <c r="S1" s="607" t="s">
        <v>1302</v>
      </c>
      <c r="T1" s="607"/>
      <c r="U1" s="607"/>
      <c r="V1" s="607"/>
      <c r="W1" s="607"/>
      <c r="X1" s="607"/>
      <c r="Y1" s="607" t="s">
        <v>1303</v>
      </c>
      <c r="Z1" s="607"/>
      <c r="AA1" s="607" t="s">
        <v>1304</v>
      </c>
      <c r="AB1" s="608"/>
      <c r="AC1" s="608"/>
    </row>
    <row r="2" spans="1:29" ht="26.25" customHeight="1">
      <c r="A2" s="55">
        <v>46009</v>
      </c>
      <c r="B2" s="56" t="s">
        <v>329</v>
      </c>
      <c r="C2" s="117" t="s">
        <v>1277</v>
      </c>
      <c r="D2" s="119">
        <f>AVERAGE(N8,N11,N51,N59,N17,N66,N26,N34,N44,N74)</f>
        <v>141.48807214635423</v>
      </c>
      <c r="E2" s="120" t="s">
        <v>0</v>
      </c>
      <c r="F2" s="121">
        <f>F1/D1</f>
        <v>33.205273390711632</v>
      </c>
      <c r="G2" s="52" t="s">
        <v>1305</v>
      </c>
      <c r="H2" s="290">
        <f>COUNT(H5:H74)</f>
        <v>7</v>
      </c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8"/>
      <c r="AB2" s="608"/>
      <c r="AC2" s="608"/>
    </row>
    <row r="3" spans="1:29" ht="23.25" customHeight="1">
      <c r="A3" s="559" t="s">
        <v>1306</v>
      </c>
      <c r="B3" s="559" t="s">
        <v>1307</v>
      </c>
      <c r="C3" s="559" t="s">
        <v>1308</v>
      </c>
      <c r="D3" s="559"/>
      <c r="E3" s="605" t="s">
        <v>1309</v>
      </c>
      <c r="F3" s="559" t="s">
        <v>1310</v>
      </c>
      <c r="G3" s="605" t="s">
        <v>1311</v>
      </c>
      <c r="H3" s="598" t="s">
        <v>1312</v>
      </c>
      <c r="I3" s="596" t="s">
        <v>1313</v>
      </c>
      <c r="J3" s="601" t="s">
        <v>1314</v>
      </c>
      <c r="K3" s="603" t="s">
        <v>1277</v>
      </c>
      <c r="L3" s="596" t="s">
        <v>1313</v>
      </c>
      <c r="M3" s="601" t="s">
        <v>1314</v>
      </c>
      <c r="N3" s="603" t="s">
        <v>1277</v>
      </c>
      <c r="O3" s="596" t="s">
        <v>1313</v>
      </c>
      <c r="P3" s="603" t="s">
        <v>1277</v>
      </c>
      <c r="Q3" s="602" t="s">
        <v>1315</v>
      </c>
      <c r="R3" s="574" t="s">
        <v>1316</v>
      </c>
      <c r="S3" s="604" t="s">
        <v>1</v>
      </c>
      <c r="T3" s="604"/>
      <c r="U3" s="598" t="s">
        <v>2</v>
      </c>
      <c r="V3" s="598" t="s">
        <v>1317</v>
      </c>
      <c r="W3" s="559" t="s">
        <v>1318</v>
      </c>
      <c r="X3" s="559"/>
      <c r="Y3" s="599" t="s">
        <v>1319</v>
      </c>
      <c r="Z3" s="600"/>
      <c r="AA3" s="601" t="s">
        <v>1320</v>
      </c>
      <c r="AB3" s="602" t="s">
        <v>1321</v>
      </c>
      <c r="AC3" s="574" t="s">
        <v>1322</v>
      </c>
    </row>
    <row r="4" spans="1:29">
      <c r="A4" s="559"/>
      <c r="B4" s="559"/>
      <c r="C4" s="559"/>
      <c r="D4" s="559"/>
      <c r="E4" s="606"/>
      <c r="F4" s="559"/>
      <c r="G4" s="606"/>
      <c r="H4" s="598"/>
      <c r="I4" s="596"/>
      <c r="J4" s="601"/>
      <c r="K4" s="603"/>
      <c r="L4" s="596"/>
      <c r="M4" s="601"/>
      <c r="N4" s="603"/>
      <c r="O4" s="596"/>
      <c r="P4" s="603"/>
      <c r="Q4" s="602"/>
      <c r="R4" s="574"/>
      <c r="S4" s="294" t="s">
        <v>3</v>
      </c>
      <c r="T4" s="294" t="s">
        <v>4</v>
      </c>
      <c r="U4" s="598"/>
      <c r="V4" s="598"/>
      <c r="W4" s="291" t="s">
        <v>1323</v>
      </c>
      <c r="X4" s="291" t="s">
        <v>1324</v>
      </c>
      <c r="Y4" s="600"/>
      <c r="Z4" s="600"/>
      <c r="AA4" s="601"/>
      <c r="AB4" s="602"/>
      <c r="AC4" s="574"/>
    </row>
    <row r="5" spans="1:29">
      <c r="A5" s="595" t="s">
        <v>1325</v>
      </c>
      <c r="B5" s="57" t="s">
        <v>6</v>
      </c>
      <c r="C5" s="597" t="s">
        <v>9</v>
      </c>
      <c r="D5" s="597"/>
      <c r="E5" s="57">
        <v>50.67</v>
      </c>
      <c r="F5" s="294">
        <v>1239</v>
      </c>
      <c r="G5" s="291">
        <f t="shared" ref="G5:G7" si="0">E5*F5</f>
        <v>62780.130000000005</v>
      </c>
      <c r="H5" s="302" t="s">
        <v>5</v>
      </c>
      <c r="I5" s="293">
        <v>17</v>
      </c>
      <c r="J5" s="58">
        <v>2000</v>
      </c>
      <c r="K5" s="59">
        <f t="shared" ref="K5:K68" si="1">J5/I5</f>
        <v>117.64705882352941</v>
      </c>
      <c r="L5" s="293">
        <v>17</v>
      </c>
      <c r="M5" s="60">
        <f t="shared" ref="M5:M7" si="2">F5/V5*60</f>
        <v>1906.1538461538451</v>
      </c>
      <c r="N5" s="59">
        <f t="shared" ref="N5:N68" si="3">M5/L5</f>
        <v>112.12669683257911</v>
      </c>
      <c r="O5" s="61">
        <f t="shared" ref="O5:O68" si="4">L5-I5</f>
        <v>0</v>
      </c>
      <c r="P5" s="62">
        <f t="shared" ref="P5:P68" si="5">N5-K5</f>
        <v>-5.5203619909502919</v>
      </c>
      <c r="Q5" s="295">
        <f t="shared" ref="Q5:Q68" si="6">N5/K5</f>
        <v>0.95307692307692249</v>
      </c>
      <c r="R5" s="566">
        <f>Q8</f>
        <v>0.96033781033781074</v>
      </c>
      <c r="S5" s="63">
        <v>0.70833333333333337</v>
      </c>
      <c r="T5" s="63">
        <v>0.73541666666666672</v>
      </c>
      <c r="U5" s="291"/>
      <c r="V5" s="292">
        <f t="shared" ref="V5:V7" si="7">(T5-S5)*24*60</f>
        <v>39.000000000000021</v>
      </c>
      <c r="W5" s="64"/>
      <c r="X5" s="65"/>
      <c r="Y5" s="559"/>
      <c r="Z5" s="559"/>
      <c r="AA5" s="61">
        <f t="shared" ref="AA5:AA68" si="8">M5-J5</f>
        <v>-93.846153846154948</v>
      </c>
      <c r="AB5" s="295">
        <f t="shared" ref="AB5:AB68" si="9">M5/J5</f>
        <v>0.95307692307692249</v>
      </c>
      <c r="AC5" s="566">
        <f>AB8</f>
        <v>0.96033781033781074</v>
      </c>
    </row>
    <row r="6" spans="1:29">
      <c r="A6" s="596" t="s">
        <v>116</v>
      </c>
      <c r="B6" s="57" t="s">
        <v>6</v>
      </c>
      <c r="C6" s="597" t="s">
        <v>8</v>
      </c>
      <c r="D6" s="597"/>
      <c r="E6" s="57">
        <v>50.49</v>
      </c>
      <c r="F6" s="294">
        <v>1744</v>
      </c>
      <c r="G6" s="291">
        <f t="shared" si="0"/>
        <v>88054.56</v>
      </c>
      <c r="H6" s="302" t="s">
        <v>5</v>
      </c>
      <c r="I6" s="293">
        <v>15</v>
      </c>
      <c r="J6" s="58">
        <v>2000</v>
      </c>
      <c r="K6" s="59">
        <f t="shared" si="1"/>
        <v>133.33333333333334</v>
      </c>
      <c r="L6" s="293">
        <v>15</v>
      </c>
      <c r="M6" s="60">
        <f t="shared" si="2"/>
        <v>1937.7777777777787</v>
      </c>
      <c r="N6" s="59">
        <f t="shared" si="3"/>
        <v>129.18518518518525</v>
      </c>
      <c r="O6" s="61">
        <f t="shared" si="4"/>
        <v>0</v>
      </c>
      <c r="P6" s="62">
        <f t="shared" si="5"/>
        <v>-4.1481481481480955</v>
      </c>
      <c r="Q6" s="295">
        <f t="shared" si="6"/>
        <v>0.96888888888888924</v>
      </c>
      <c r="R6" s="566"/>
      <c r="S6" s="63">
        <v>0.73888888888888893</v>
      </c>
      <c r="T6" s="63">
        <v>0.77638888888888891</v>
      </c>
      <c r="U6" s="291">
        <f t="shared" ref="U6:U7" si="10">IF(S6=TIME(17,0,0),"",(S6-T5)*24*60)</f>
        <v>4.9999999999999822</v>
      </c>
      <c r="V6" s="292">
        <f t="shared" si="7"/>
        <v>53.999999999999972</v>
      </c>
      <c r="W6" s="64"/>
      <c r="X6" s="64"/>
      <c r="Y6" s="559"/>
      <c r="Z6" s="559"/>
      <c r="AA6" s="61">
        <f t="shared" si="8"/>
        <v>-62.222222222221262</v>
      </c>
      <c r="AB6" s="295">
        <f t="shared" si="9"/>
        <v>0.96888888888888935</v>
      </c>
      <c r="AC6" s="566"/>
    </row>
    <row r="7" spans="1:29">
      <c r="A7" s="596" t="s">
        <v>116</v>
      </c>
      <c r="B7" s="57" t="s">
        <v>6</v>
      </c>
      <c r="C7" s="590" t="s">
        <v>94</v>
      </c>
      <c r="D7" s="591"/>
      <c r="E7" s="57">
        <v>57.3</v>
      </c>
      <c r="F7" s="294">
        <v>2014</v>
      </c>
      <c r="G7" s="291">
        <f t="shared" si="0"/>
        <v>115402.2</v>
      </c>
      <c r="H7" s="302" t="s">
        <v>5</v>
      </c>
      <c r="I7" s="293">
        <v>13</v>
      </c>
      <c r="J7" s="58">
        <v>2000</v>
      </c>
      <c r="K7" s="59">
        <f t="shared" si="1"/>
        <v>153.84615384615384</v>
      </c>
      <c r="L7" s="293">
        <v>13</v>
      </c>
      <c r="M7" s="60">
        <f t="shared" si="2"/>
        <v>1918.0952380952401</v>
      </c>
      <c r="N7" s="59">
        <f t="shared" si="3"/>
        <v>147.5457875457877</v>
      </c>
      <c r="O7" s="61">
        <f t="shared" si="4"/>
        <v>0</v>
      </c>
      <c r="P7" s="62">
        <f t="shared" si="5"/>
        <v>-6.3003663003661359</v>
      </c>
      <c r="Q7" s="295">
        <f t="shared" si="6"/>
        <v>0.95904761904762015</v>
      </c>
      <c r="R7" s="566"/>
      <c r="S7" s="63">
        <v>0.77986111111111112</v>
      </c>
      <c r="T7" s="63">
        <v>0.82361111111111107</v>
      </c>
      <c r="U7" s="291">
        <f t="shared" si="10"/>
        <v>4.9999999999999822</v>
      </c>
      <c r="V7" s="292">
        <f t="shared" si="7"/>
        <v>62.999999999999936</v>
      </c>
      <c r="W7" s="64"/>
      <c r="X7" s="64"/>
      <c r="Y7" s="569"/>
      <c r="Z7" s="570"/>
      <c r="AA7" s="61">
        <f t="shared" si="8"/>
        <v>-81.90476190475988</v>
      </c>
      <c r="AB7" s="295">
        <f t="shared" si="9"/>
        <v>0.95904761904762004</v>
      </c>
      <c r="AC7" s="566"/>
    </row>
    <row r="8" spans="1:29">
      <c r="A8" s="596" t="s">
        <v>116</v>
      </c>
      <c r="B8" s="57" t="s">
        <v>159</v>
      </c>
      <c r="C8" s="571"/>
      <c r="D8" s="571"/>
      <c r="E8" s="298"/>
      <c r="F8" s="66"/>
      <c r="G8" s="59"/>
      <c r="H8" s="294"/>
      <c r="I8" s="67">
        <v>15</v>
      </c>
      <c r="J8" s="58">
        <v>2000</v>
      </c>
      <c r="K8" s="59">
        <f t="shared" si="1"/>
        <v>133.33333333333334</v>
      </c>
      <c r="L8" s="67">
        <v>15</v>
      </c>
      <c r="M8" s="60">
        <f>AVERAGE(M5:M7)</f>
        <v>1920.6756206756215</v>
      </c>
      <c r="N8" s="59">
        <f t="shared" si="3"/>
        <v>128.04504137837478</v>
      </c>
      <c r="O8" s="61">
        <f t="shared" si="4"/>
        <v>0</v>
      </c>
      <c r="P8" s="62">
        <f t="shared" si="5"/>
        <v>-5.2882919549585665</v>
      </c>
      <c r="Q8" s="295">
        <f t="shared" si="6"/>
        <v>0.96033781033781074</v>
      </c>
      <c r="R8" s="566"/>
      <c r="S8" s="63"/>
      <c r="T8" s="63"/>
      <c r="U8" s="291"/>
      <c r="V8" s="292"/>
      <c r="W8" s="59"/>
      <c r="X8" s="59"/>
      <c r="Y8" s="559"/>
      <c r="Z8" s="559"/>
      <c r="AA8" s="61">
        <f t="shared" si="8"/>
        <v>-79.324379324378469</v>
      </c>
      <c r="AB8" s="295">
        <f t="shared" si="9"/>
        <v>0.96033781033781074</v>
      </c>
      <c r="AC8" s="566"/>
    </row>
    <row r="9" spans="1:29" ht="15.75" customHeight="1">
      <c r="A9" s="594" t="s">
        <v>234</v>
      </c>
      <c r="B9" s="57" t="s">
        <v>10</v>
      </c>
      <c r="C9" s="590" t="s">
        <v>14</v>
      </c>
      <c r="D9" s="591"/>
      <c r="E9" s="57">
        <v>39.619999999999997</v>
      </c>
      <c r="F9" s="294">
        <v>3627</v>
      </c>
      <c r="G9" s="291">
        <f t="shared" ref="G9:G10" si="11">E9*F9</f>
        <v>143701.74</v>
      </c>
      <c r="H9" s="302" t="s">
        <v>5</v>
      </c>
      <c r="I9" s="293">
        <v>19</v>
      </c>
      <c r="J9" s="58">
        <v>1500</v>
      </c>
      <c r="K9" s="59">
        <f t="shared" si="1"/>
        <v>78.94736842105263</v>
      </c>
      <c r="L9" s="293">
        <v>19</v>
      </c>
      <c r="M9" s="60">
        <f t="shared" ref="M9:M10" si="12">F9/V9*60</f>
        <v>1431.7105263157894</v>
      </c>
      <c r="N9" s="59">
        <f t="shared" si="3"/>
        <v>75.353185595567865</v>
      </c>
      <c r="O9" s="61">
        <f t="shared" si="4"/>
        <v>0</v>
      </c>
      <c r="P9" s="62">
        <f t="shared" si="5"/>
        <v>-3.594182825484765</v>
      </c>
      <c r="Q9" s="295">
        <f t="shared" si="6"/>
        <v>0.95447368421052636</v>
      </c>
      <c r="R9" s="566">
        <f>Q11</f>
        <v>0.95274345003477845</v>
      </c>
      <c r="S9" s="63">
        <v>0.16666666666666666</v>
      </c>
      <c r="T9" s="63">
        <v>0.2722222222222222</v>
      </c>
      <c r="U9" s="291"/>
      <c r="V9" s="292">
        <f t="shared" ref="V9:V10" si="13">(T9-S9)*24*60</f>
        <v>152</v>
      </c>
      <c r="W9" s="64">
        <f>T9</f>
        <v>0.2722222222222222</v>
      </c>
      <c r="X9" s="64">
        <f>S10</f>
        <v>0.2895833333333333</v>
      </c>
      <c r="Y9" s="559"/>
      <c r="Z9" s="559"/>
      <c r="AA9" s="61">
        <f t="shared" si="8"/>
        <v>-68.289473684210634</v>
      </c>
      <c r="AB9" s="295">
        <f t="shared" si="9"/>
        <v>0.95447368421052625</v>
      </c>
      <c r="AC9" s="566">
        <f>AB11</f>
        <v>0.95274345003477845</v>
      </c>
    </row>
    <row r="10" spans="1:29" ht="15.75" customHeight="1">
      <c r="A10" s="594" t="s">
        <v>234</v>
      </c>
      <c r="B10" s="57" t="s">
        <v>10</v>
      </c>
      <c r="C10" s="590" t="s">
        <v>11</v>
      </c>
      <c r="D10" s="591"/>
      <c r="E10" s="57">
        <v>39.799999999999997</v>
      </c>
      <c r="F10" s="294">
        <v>5397</v>
      </c>
      <c r="G10" s="291">
        <f t="shared" si="11"/>
        <v>214800.59999999998</v>
      </c>
      <c r="H10" s="302" t="s">
        <v>5</v>
      </c>
      <c r="I10" s="293">
        <v>17</v>
      </c>
      <c r="J10" s="58">
        <v>1500</v>
      </c>
      <c r="K10" s="59">
        <f t="shared" si="1"/>
        <v>88.235294117647058</v>
      </c>
      <c r="L10" s="293">
        <v>17</v>
      </c>
      <c r="M10" s="60">
        <f t="shared" si="12"/>
        <v>1426.5198237885461</v>
      </c>
      <c r="N10" s="59">
        <f t="shared" si="3"/>
        <v>83.912930811090945</v>
      </c>
      <c r="O10" s="61">
        <f t="shared" si="4"/>
        <v>0</v>
      </c>
      <c r="P10" s="62">
        <f t="shared" si="5"/>
        <v>-4.3223633065561131</v>
      </c>
      <c r="Q10" s="295">
        <f t="shared" si="6"/>
        <v>0.95101321585903076</v>
      </c>
      <c r="R10" s="566"/>
      <c r="S10" s="63">
        <v>0.2895833333333333</v>
      </c>
      <c r="T10" s="63">
        <v>0.44722222222222219</v>
      </c>
      <c r="U10" s="291">
        <f t="shared" ref="U10" si="14">IF(S10=TIME(17,0,0),"",(S10-T9)*24*60)</f>
        <v>24.999999999999993</v>
      </c>
      <c r="V10" s="292">
        <f t="shared" si="13"/>
        <v>227</v>
      </c>
      <c r="W10" s="64"/>
      <c r="X10" s="64"/>
      <c r="Y10" s="559"/>
      <c r="Z10" s="559"/>
      <c r="AA10" s="61">
        <f t="shared" si="8"/>
        <v>-73.480176211453909</v>
      </c>
      <c r="AB10" s="295">
        <f t="shared" si="9"/>
        <v>0.95101321585903076</v>
      </c>
      <c r="AC10" s="566"/>
    </row>
    <row r="11" spans="1:29" ht="16.5" customHeight="1">
      <c r="A11" s="594" t="s">
        <v>234</v>
      </c>
      <c r="B11" s="57" t="s">
        <v>159</v>
      </c>
      <c r="C11" s="571"/>
      <c r="D11" s="571"/>
      <c r="E11" s="298"/>
      <c r="F11" s="58"/>
      <c r="G11" s="60"/>
      <c r="H11" s="294"/>
      <c r="I11" s="67">
        <v>18</v>
      </c>
      <c r="J11" s="58">
        <v>1500</v>
      </c>
      <c r="K11" s="59">
        <f t="shared" si="1"/>
        <v>83.333333333333329</v>
      </c>
      <c r="L11" s="67">
        <v>18</v>
      </c>
      <c r="M11" s="60">
        <f>AVERAGE(M9:M10)</f>
        <v>1429.1151750521676</v>
      </c>
      <c r="N11" s="59">
        <f t="shared" si="3"/>
        <v>79.395287502898199</v>
      </c>
      <c r="O11" s="61">
        <f t="shared" si="4"/>
        <v>0</v>
      </c>
      <c r="P11" s="62">
        <f t="shared" si="5"/>
        <v>-3.9380458304351293</v>
      </c>
      <c r="Q11" s="295">
        <f t="shared" si="6"/>
        <v>0.95274345003477845</v>
      </c>
      <c r="R11" s="566"/>
      <c r="S11" s="63"/>
      <c r="T11" s="63"/>
      <c r="U11" s="59"/>
      <c r="V11" s="292"/>
      <c r="W11" s="59"/>
      <c r="X11" s="59"/>
      <c r="Y11" s="559"/>
      <c r="Z11" s="559"/>
      <c r="AA11" s="61">
        <f t="shared" si="8"/>
        <v>-70.884824947832385</v>
      </c>
      <c r="AB11" s="295">
        <f t="shared" si="9"/>
        <v>0.95274345003477845</v>
      </c>
      <c r="AC11" s="566"/>
    </row>
    <row r="12" spans="1:29" ht="16.5" customHeight="1">
      <c r="A12" s="592" t="s">
        <v>160</v>
      </c>
      <c r="B12" s="294" t="s">
        <v>12</v>
      </c>
      <c r="C12" s="584" t="s">
        <v>13</v>
      </c>
      <c r="D12" s="584"/>
      <c r="E12" s="57">
        <v>41</v>
      </c>
      <c r="F12" s="294">
        <v>2164</v>
      </c>
      <c r="G12" s="291">
        <f t="shared" ref="G12:G16" si="15">E12*F12</f>
        <v>88724</v>
      </c>
      <c r="H12" s="302" t="s">
        <v>5</v>
      </c>
      <c r="I12" s="293">
        <v>26</v>
      </c>
      <c r="J12" s="58">
        <v>1500</v>
      </c>
      <c r="K12" s="59">
        <f t="shared" si="1"/>
        <v>57.692307692307693</v>
      </c>
      <c r="L12" s="293">
        <v>26</v>
      </c>
      <c r="M12" s="60">
        <f t="shared" ref="M12:M16" si="16">F12/V12*60</f>
        <v>1426.8131868131861</v>
      </c>
      <c r="N12" s="59">
        <f t="shared" si="3"/>
        <v>54.877430262045621</v>
      </c>
      <c r="O12" s="61">
        <f t="shared" si="4"/>
        <v>0</v>
      </c>
      <c r="P12" s="62">
        <f t="shared" si="5"/>
        <v>-2.8148774302620723</v>
      </c>
      <c r="Q12" s="295">
        <f t="shared" si="6"/>
        <v>0.95120879120879076</v>
      </c>
      <c r="R12" s="566">
        <f>Q17</f>
        <v>0.96138272891768073</v>
      </c>
      <c r="S12" s="63">
        <v>0.20833333333333334</v>
      </c>
      <c r="T12" s="63">
        <v>0.27152777777777781</v>
      </c>
      <c r="U12" s="291"/>
      <c r="V12" s="292">
        <f t="shared" ref="V12:V16" si="17">(T12-S12)*24*60</f>
        <v>91.000000000000043</v>
      </c>
      <c r="W12" s="68"/>
      <c r="X12" s="68"/>
      <c r="Y12" s="559"/>
      <c r="Z12" s="559"/>
      <c r="AA12" s="61">
        <f t="shared" si="8"/>
        <v>-73.186813186813879</v>
      </c>
      <c r="AB12" s="295">
        <f t="shared" si="9"/>
        <v>0.95120879120879076</v>
      </c>
      <c r="AC12" s="566">
        <f>AB17</f>
        <v>0.96138272891768073</v>
      </c>
    </row>
    <row r="13" spans="1:29" ht="16.5" customHeight="1">
      <c r="A13" s="593" t="s">
        <v>160</v>
      </c>
      <c r="B13" s="294" t="s">
        <v>657</v>
      </c>
      <c r="C13" s="584" t="s">
        <v>236</v>
      </c>
      <c r="D13" s="584"/>
      <c r="E13" s="57">
        <v>72.400000000000006</v>
      </c>
      <c r="F13" s="294">
        <v>1507</v>
      </c>
      <c r="G13" s="291">
        <f t="shared" si="15"/>
        <v>109106.8</v>
      </c>
      <c r="H13" s="302" t="s">
        <v>5</v>
      </c>
      <c r="I13" s="293">
        <v>18</v>
      </c>
      <c r="J13" s="58">
        <v>1500</v>
      </c>
      <c r="K13" s="59">
        <f t="shared" si="1"/>
        <v>83.333333333333329</v>
      </c>
      <c r="L13" s="293">
        <v>18</v>
      </c>
      <c r="M13" s="60">
        <f t="shared" si="16"/>
        <v>1435.2380952380947</v>
      </c>
      <c r="N13" s="59">
        <f t="shared" si="3"/>
        <v>79.735449735449706</v>
      </c>
      <c r="O13" s="61">
        <f t="shared" si="4"/>
        <v>0</v>
      </c>
      <c r="P13" s="62">
        <f t="shared" si="5"/>
        <v>-3.597883597883623</v>
      </c>
      <c r="Q13" s="295">
        <f t="shared" si="6"/>
        <v>0.95682539682539647</v>
      </c>
      <c r="R13" s="566"/>
      <c r="S13" s="63">
        <v>0.27638888888888891</v>
      </c>
      <c r="T13" s="63">
        <v>0.32013888888888892</v>
      </c>
      <c r="U13" s="291">
        <f t="shared" ref="U13:U16" si="18">IF(S13=TIME(17,0,0),"",(S13-T12)*24*60)</f>
        <v>6.9999999999999751</v>
      </c>
      <c r="V13" s="292">
        <f t="shared" si="17"/>
        <v>63.000000000000014</v>
      </c>
      <c r="W13" s="64"/>
      <c r="X13" s="64"/>
      <c r="Y13" s="559"/>
      <c r="Z13" s="559"/>
      <c r="AA13" s="61">
        <f t="shared" si="8"/>
        <v>-64.761904761905271</v>
      </c>
      <c r="AB13" s="295">
        <f t="shared" si="9"/>
        <v>0.95682539682539647</v>
      </c>
      <c r="AC13" s="566"/>
    </row>
    <row r="14" spans="1:29" ht="16.5" customHeight="1">
      <c r="A14" s="593" t="s">
        <v>160</v>
      </c>
      <c r="B14" s="294" t="s">
        <v>6</v>
      </c>
      <c r="C14" s="584" t="s">
        <v>95</v>
      </c>
      <c r="D14" s="584"/>
      <c r="E14" s="57">
        <v>50.98</v>
      </c>
      <c r="F14" s="294">
        <v>2198</v>
      </c>
      <c r="G14" s="291">
        <f t="shared" si="15"/>
        <v>112054.04</v>
      </c>
      <c r="H14" s="302" t="s">
        <v>5</v>
      </c>
      <c r="I14" s="293">
        <v>16</v>
      </c>
      <c r="J14" s="58">
        <v>2000</v>
      </c>
      <c r="K14" s="59">
        <f t="shared" si="1"/>
        <v>125</v>
      </c>
      <c r="L14" s="293">
        <v>16</v>
      </c>
      <c r="M14" s="60">
        <f t="shared" si="16"/>
        <v>1911.3043478260849</v>
      </c>
      <c r="N14" s="59">
        <f t="shared" si="3"/>
        <v>119.45652173913031</v>
      </c>
      <c r="O14" s="61">
        <f t="shared" si="4"/>
        <v>0</v>
      </c>
      <c r="P14" s="62">
        <f t="shared" si="5"/>
        <v>-5.5434782608696906</v>
      </c>
      <c r="Q14" s="295">
        <f t="shared" si="6"/>
        <v>0.95565217391304247</v>
      </c>
      <c r="R14" s="566"/>
      <c r="S14" s="63">
        <v>0.70833333333333337</v>
      </c>
      <c r="T14" s="63">
        <v>0.75625000000000009</v>
      </c>
      <c r="U14" s="291" t="str">
        <f t="shared" si="18"/>
        <v/>
      </c>
      <c r="V14" s="292">
        <f t="shared" si="17"/>
        <v>69.000000000000071</v>
      </c>
      <c r="W14" s="64"/>
      <c r="X14" s="64"/>
      <c r="Y14" s="559"/>
      <c r="Z14" s="559"/>
      <c r="AA14" s="61">
        <f t="shared" si="8"/>
        <v>-88.69565217391505</v>
      </c>
      <c r="AB14" s="295">
        <f t="shared" si="9"/>
        <v>0.95565217391304247</v>
      </c>
      <c r="AC14" s="566"/>
    </row>
    <row r="15" spans="1:29" ht="16.5" customHeight="1">
      <c r="A15" s="593" t="s">
        <v>160</v>
      </c>
      <c r="B15" s="294" t="s">
        <v>6</v>
      </c>
      <c r="C15" s="584" t="s">
        <v>18</v>
      </c>
      <c r="D15" s="584"/>
      <c r="E15" s="57">
        <v>50.92</v>
      </c>
      <c r="F15" s="294">
        <v>2182</v>
      </c>
      <c r="G15" s="291">
        <f t="shared" si="15"/>
        <v>111107.44</v>
      </c>
      <c r="H15" s="302" t="s">
        <v>5</v>
      </c>
      <c r="I15" s="293">
        <v>15</v>
      </c>
      <c r="J15" s="58">
        <v>2000</v>
      </c>
      <c r="K15" s="59">
        <f t="shared" si="1"/>
        <v>133.33333333333334</v>
      </c>
      <c r="L15" s="293">
        <v>15</v>
      </c>
      <c r="M15" s="60">
        <f t="shared" si="16"/>
        <v>1925.2941176470613</v>
      </c>
      <c r="N15" s="59">
        <f t="shared" si="3"/>
        <v>128.35294117647075</v>
      </c>
      <c r="O15" s="61">
        <f t="shared" si="4"/>
        <v>0</v>
      </c>
      <c r="P15" s="62">
        <f t="shared" si="5"/>
        <v>-4.9803921568625924</v>
      </c>
      <c r="Q15" s="295">
        <f t="shared" si="6"/>
        <v>0.96264705882353052</v>
      </c>
      <c r="R15" s="566"/>
      <c r="S15" s="63">
        <v>0.7597222222222223</v>
      </c>
      <c r="T15" s="63">
        <v>0.80694444444444446</v>
      </c>
      <c r="U15" s="291">
        <f t="shared" si="18"/>
        <v>4.9999999999999822</v>
      </c>
      <c r="V15" s="292">
        <f t="shared" si="17"/>
        <v>67.999999999999915</v>
      </c>
      <c r="W15" s="64"/>
      <c r="X15" s="64"/>
      <c r="Y15" s="559"/>
      <c r="Z15" s="559"/>
      <c r="AA15" s="61">
        <f t="shared" si="8"/>
        <v>-74.705882352938715</v>
      </c>
      <c r="AB15" s="295">
        <f t="shared" si="9"/>
        <v>0.96264705882353063</v>
      </c>
      <c r="AC15" s="566"/>
    </row>
    <row r="16" spans="1:29" ht="16.5" customHeight="1">
      <c r="A16" s="593" t="s">
        <v>160</v>
      </c>
      <c r="B16" s="294" t="s">
        <v>6</v>
      </c>
      <c r="C16" s="584" t="s">
        <v>99</v>
      </c>
      <c r="D16" s="584"/>
      <c r="E16" s="57">
        <v>53.68</v>
      </c>
      <c r="F16" s="294">
        <v>712</v>
      </c>
      <c r="G16" s="291">
        <f t="shared" si="15"/>
        <v>38220.159999999996</v>
      </c>
      <c r="H16" s="302" t="s">
        <v>5</v>
      </c>
      <c r="I16" s="293">
        <v>16</v>
      </c>
      <c r="J16" s="58">
        <v>1500</v>
      </c>
      <c r="K16" s="59">
        <f t="shared" si="1"/>
        <v>93.75</v>
      </c>
      <c r="L16" s="293">
        <v>16</v>
      </c>
      <c r="M16" s="60">
        <f t="shared" si="16"/>
        <v>1473.1034482758591</v>
      </c>
      <c r="N16" s="59">
        <f t="shared" si="3"/>
        <v>92.068965517241196</v>
      </c>
      <c r="O16" s="61">
        <f t="shared" si="4"/>
        <v>0</v>
      </c>
      <c r="P16" s="62">
        <f t="shared" si="5"/>
        <v>-1.681034482758804</v>
      </c>
      <c r="Q16" s="295">
        <f t="shared" si="6"/>
        <v>0.98206896551723943</v>
      </c>
      <c r="R16" s="566"/>
      <c r="S16" s="63">
        <v>0.81111111111111112</v>
      </c>
      <c r="T16" s="63">
        <v>0.83125000000000004</v>
      </c>
      <c r="U16" s="291">
        <f t="shared" si="18"/>
        <v>5.9999999999999787</v>
      </c>
      <c r="V16" s="292">
        <f t="shared" si="17"/>
        <v>29.000000000000057</v>
      </c>
      <c r="W16" s="64"/>
      <c r="X16" s="64"/>
      <c r="Y16" s="559"/>
      <c r="Z16" s="559"/>
      <c r="AA16" s="61">
        <f t="shared" si="8"/>
        <v>-26.896551724140863</v>
      </c>
      <c r="AB16" s="295">
        <f t="shared" si="9"/>
        <v>0.98206896551723943</v>
      </c>
      <c r="AC16" s="566"/>
    </row>
    <row r="17" spans="1:29" ht="16.5" customHeight="1">
      <c r="A17" s="593" t="s">
        <v>160</v>
      </c>
      <c r="B17" s="57" t="s">
        <v>159</v>
      </c>
      <c r="C17" s="571"/>
      <c r="D17" s="571"/>
      <c r="E17" s="298"/>
      <c r="F17" s="66"/>
      <c r="G17" s="59"/>
      <c r="H17" s="294"/>
      <c r="I17" s="67">
        <v>18.2</v>
      </c>
      <c r="J17" s="58">
        <v>1700</v>
      </c>
      <c r="K17" s="59">
        <f t="shared" si="1"/>
        <v>93.406593406593416</v>
      </c>
      <c r="L17" s="67">
        <v>18.2</v>
      </c>
      <c r="M17" s="60">
        <f>AVERAGE(M12:M16)</f>
        <v>1634.3506391600572</v>
      </c>
      <c r="N17" s="59">
        <f t="shared" si="3"/>
        <v>89.79948566813502</v>
      </c>
      <c r="O17" s="61">
        <f t="shared" si="4"/>
        <v>0</v>
      </c>
      <c r="P17" s="62">
        <f t="shared" si="5"/>
        <v>-3.6071077384583958</v>
      </c>
      <c r="Q17" s="295">
        <f t="shared" si="6"/>
        <v>0.96138272891768073</v>
      </c>
      <c r="R17" s="566"/>
      <c r="S17" s="63"/>
      <c r="T17" s="63"/>
      <c r="U17" s="291"/>
      <c r="V17" s="292"/>
      <c r="W17" s="59"/>
      <c r="X17" s="59"/>
      <c r="Y17" s="559"/>
      <c r="Z17" s="559"/>
      <c r="AA17" s="61">
        <f t="shared" si="8"/>
        <v>-65.649360839942801</v>
      </c>
      <c r="AB17" s="295">
        <f t="shared" si="9"/>
        <v>0.96138272891768073</v>
      </c>
      <c r="AC17" s="566"/>
    </row>
    <row r="18" spans="1:29" ht="15.75" customHeight="1">
      <c r="A18" s="588" t="s">
        <v>86</v>
      </c>
      <c r="B18" s="57" t="s">
        <v>12</v>
      </c>
      <c r="C18" s="584" t="s">
        <v>19</v>
      </c>
      <c r="D18" s="584"/>
      <c r="E18" s="57">
        <v>43.14</v>
      </c>
      <c r="F18" s="294">
        <v>1036</v>
      </c>
      <c r="G18" s="291">
        <f t="shared" ref="G18:G25" si="19">E18*F18</f>
        <v>44693.04</v>
      </c>
      <c r="H18" s="302" t="s">
        <v>5</v>
      </c>
      <c r="I18" s="293">
        <v>17</v>
      </c>
      <c r="J18" s="58">
        <v>2000</v>
      </c>
      <c r="K18" s="59">
        <f t="shared" si="1"/>
        <v>117.64705882352941</v>
      </c>
      <c r="L18" s="293">
        <v>17</v>
      </c>
      <c r="M18" s="60">
        <f t="shared" ref="M18:M25" si="20">F18/V18*60</f>
        <v>1942.4999999999995</v>
      </c>
      <c r="N18" s="59">
        <f t="shared" si="3"/>
        <v>114.26470588235291</v>
      </c>
      <c r="O18" s="61">
        <f t="shared" si="4"/>
        <v>0</v>
      </c>
      <c r="P18" s="62">
        <f t="shared" si="5"/>
        <v>-3.3823529411764923</v>
      </c>
      <c r="Q18" s="295">
        <f t="shared" si="6"/>
        <v>0.97124999999999984</v>
      </c>
      <c r="R18" s="566">
        <f>Q26</f>
        <v>0.96598807264841413</v>
      </c>
      <c r="S18" s="63">
        <v>0.20833333333333334</v>
      </c>
      <c r="T18" s="63">
        <v>0.23055555555555557</v>
      </c>
      <c r="U18" s="291"/>
      <c r="V18" s="292">
        <f t="shared" ref="V18:V25" si="21">(T18-S18)*24*60</f>
        <v>32.000000000000007</v>
      </c>
      <c r="W18" s="68"/>
      <c r="X18" s="68"/>
      <c r="Y18" s="559"/>
      <c r="Z18" s="559"/>
      <c r="AA18" s="61">
        <f t="shared" si="8"/>
        <v>-57.500000000000455</v>
      </c>
      <c r="AB18" s="295">
        <f t="shared" si="9"/>
        <v>0.97124999999999972</v>
      </c>
      <c r="AC18" s="566">
        <f>AB26</f>
        <v>0.96598807264841424</v>
      </c>
    </row>
    <row r="19" spans="1:29" ht="15.75" customHeight="1">
      <c r="A19" s="589" t="s">
        <v>86</v>
      </c>
      <c r="B19" s="57" t="s">
        <v>65</v>
      </c>
      <c r="C19" s="584" t="s">
        <v>97</v>
      </c>
      <c r="D19" s="584"/>
      <c r="E19" s="57">
        <v>49.9</v>
      </c>
      <c r="F19" s="294">
        <v>1356</v>
      </c>
      <c r="G19" s="291">
        <f t="shared" si="19"/>
        <v>67664.399999999994</v>
      </c>
      <c r="H19" s="302" t="s">
        <v>5</v>
      </c>
      <c r="I19" s="293">
        <v>17</v>
      </c>
      <c r="J19" s="58">
        <v>2000</v>
      </c>
      <c r="K19" s="59">
        <f t="shared" si="1"/>
        <v>117.64705882352941</v>
      </c>
      <c r="L19" s="293">
        <v>17</v>
      </c>
      <c r="M19" s="60">
        <f t="shared" si="20"/>
        <v>1937.1428571428582</v>
      </c>
      <c r="N19" s="59">
        <f t="shared" si="3"/>
        <v>113.94957983193284</v>
      </c>
      <c r="O19" s="61">
        <f t="shared" si="4"/>
        <v>0</v>
      </c>
      <c r="P19" s="62">
        <f t="shared" si="5"/>
        <v>-3.6974789915965687</v>
      </c>
      <c r="Q19" s="295">
        <f t="shared" si="6"/>
        <v>0.96857142857142919</v>
      </c>
      <c r="R19" s="566"/>
      <c r="S19" s="63">
        <v>0.23541666666666669</v>
      </c>
      <c r="T19" s="63">
        <v>0.26458333333333334</v>
      </c>
      <c r="U19" s="291">
        <f t="shared" ref="U19:U25" si="22">IF(S19=TIME(17,0,0),"",(S19-T18)*24*60)</f>
        <v>7.0000000000000151</v>
      </c>
      <c r="V19" s="292">
        <f t="shared" si="21"/>
        <v>41.999999999999972</v>
      </c>
      <c r="W19" s="64"/>
      <c r="X19" s="291"/>
      <c r="Y19" s="559"/>
      <c r="Z19" s="559"/>
      <c r="AA19" s="61">
        <f t="shared" si="8"/>
        <v>-62.857142857141753</v>
      </c>
      <c r="AB19" s="295">
        <f t="shared" si="9"/>
        <v>0.96857142857142908</v>
      </c>
      <c r="AC19" s="566"/>
    </row>
    <row r="20" spans="1:29" ht="15.75" customHeight="1">
      <c r="A20" s="589" t="s">
        <v>86</v>
      </c>
      <c r="B20" s="57" t="s">
        <v>6</v>
      </c>
      <c r="C20" s="584" t="s">
        <v>20</v>
      </c>
      <c r="D20" s="584"/>
      <c r="E20" s="57">
        <v>57.73</v>
      </c>
      <c r="F20" s="294">
        <v>2294</v>
      </c>
      <c r="G20" s="291">
        <f t="shared" si="19"/>
        <v>132432.62</v>
      </c>
      <c r="H20" s="302" t="s">
        <v>5</v>
      </c>
      <c r="I20" s="293">
        <v>14</v>
      </c>
      <c r="J20" s="58">
        <v>2000</v>
      </c>
      <c r="K20" s="59">
        <f t="shared" si="1"/>
        <v>142.85714285714286</v>
      </c>
      <c r="L20" s="293">
        <v>14</v>
      </c>
      <c r="M20" s="60">
        <f t="shared" si="20"/>
        <v>1911.666666666667</v>
      </c>
      <c r="N20" s="59">
        <f t="shared" si="3"/>
        <v>136.54761904761907</v>
      </c>
      <c r="O20" s="61">
        <f t="shared" si="4"/>
        <v>0</v>
      </c>
      <c r="P20" s="62">
        <f t="shared" si="5"/>
        <v>-6.309523809523796</v>
      </c>
      <c r="Q20" s="295">
        <f t="shared" si="6"/>
        <v>0.95583333333333342</v>
      </c>
      <c r="R20" s="566"/>
      <c r="S20" s="63">
        <v>0.26805555555555555</v>
      </c>
      <c r="T20" s="63">
        <v>0.31805555555555554</v>
      </c>
      <c r="U20" s="291">
        <f t="shared" si="22"/>
        <v>4.9999999999999822</v>
      </c>
      <c r="V20" s="292">
        <f t="shared" si="21"/>
        <v>71.999999999999986</v>
      </c>
      <c r="W20" s="64"/>
      <c r="X20" s="291"/>
      <c r="Y20" s="559"/>
      <c r="Z20" s="559"/>
      <c r="AA20" s="61">
        <f t="shared" si="8"/>
        <v>-88.33333333333303</v>
      </c>
      <c r="AB20" s="295">
        <f t="shared" si="9"/>
        <v>0.95583333333333353</v>
      </c>
      <c r="AC20" s="566"/>
    </row>
    <row r="21" spans="1:29" ht="15.75" customHeight="1">
      <c r="A21" s="589" t="s">
        <v>86</v>
      </c>
      <c r="B21" s="57" t="s">
        <v>6</v>
      </c>
      <c r="C21" s="584" t="s">
        <v>21</v>
      </c>
      <c r="D21" s="584"/>
      <c r="E21" s="57">
        <v>53.68</v>
      </c>
      <c r="F21" s="294">
        <v>1552</v>
      </c>
      <c r="G21" s="291">
        <f t="shared" si="19"/>
        <v>83311.360000000001</v>
      </c>
      <c r="H21" s="302" t="s">
        <v>5</v>
      </c>
      <c r="I21" s="293">
        <v>16</v>
      </c>
      <c r="J21" s="58">
        <v>2000</v>
      </c>
      <c r="K21" s="59">
        <f t="shared" si="1"/>
        <v>125</v>
      </c>
      <c r="L21" s="293">
        <v>16</v>
      </c>
      <c r="M21" s="60">
        <f t="shared" si="20"/>
        <v>1940.0000000000005</v>
      </c>
      <c r="N21" s="59">
        <f t="shared" si="3"/>
        <v>121.25000000000003</v>
      </c>
      <c r="O21" s="61">
        <f t="shared" si="4"/>
        <v>0</v>
      </c>
      <c r="P21" s="62">
        <f t="shared" si="5"/>
        <v>-3.7499999999999716</v>
      </c>
      <c r="Q21" s="295">
        <f t="shared" si="6"/>
        <v>0.9700000000000002</v>
      </c>
      <c r="R21" s="566"/>
      <c r="S21" s="63">
        <v>0.32291666666666663</v>
      </c>
      <c r="T21" s="63">
        <v>0.35624999999999996</v>
      </c>
      <c r="U21" s="291">
        <f t="shared" si="22"/>
        <v>6.9999999999999751</v>
      </c>
      <c r="V21" s="292">
        <f t="shared" si="21"/>
        <v>47.999999999999986</v>
      </c>
      <c r="W21" s="64"/>
      <c r="X21" s="291"/>
      <c r="Y21" s="559"/>
      <c r="Z21" s="559"/>
      <c r="AA21" s="61">
        <f t="shared" si="8"/>
        <v>-59.999999999999545</v>
      </c>
      <c r="AB21" s="295">
        <f t="shared" si="9"/>
        <v>0.9700000000000002</v>
      </c>
      <c r="AC21" s="566"/>
    </row>
    <row r="22" spans="1:29" ht="15.75" customHeight="1">
      <c r="A22" s="589" t="s">
        <v>86</v>
      </c>
      <c r="B22" s="57" t="s">
        <v>6</v>
      </c>
      <c r="C22" s="584" t="s">
        <v>96</v>
      </c>
      <c r="D22" s="584"/>
      <c r="E22" s="57">
        <v>49.91</v>
      </c>
      <c r="F22" s="294">
        <v>1160</v>
      </c>
      <c r="G22" s="291">
        <f t="shared" si="19"/>
        <v>57895.6</v>
      </c>
      <c r="H22" s="302" t="s">
        <v>5</v>
      </c>
      <c r="I22" s="293">
        <v>17</v>
      </c>
      <c r="J22" s="58">
        <v>2000</v>
      </c>
      <c r="K22" s="59">
        <f t="shared" si="1"/>
        <v>117.64705882352941</v>
      </c>
      <c r="L22" s="293">
        <v>17</v>
      </c>
      <c r="M22" s="60">
        <f t="shared" si="20"/>
        <v>1933.3333333333321</v>
      </c>
      <c r="N22" s="59">
        <f t="shared" si="3"/>
        <v>113.72549019607835</v>
      </c>
      <c r="O22" s="61">
        <f t="shared" si="4"/>
        <v>0</v>
      </c>
      <c r="P22" s="62">
        <f t="shared" si="5"/>
        <v>-3.9215686274510517</v>
      </c>
      <c r="Q22" s="295">
        <f t="shared" si="6"/>
        <v>0.96666666666666601</v>
      </c>
      <c r="R22" s="566"/>
      <c r="S22" s="63">
        <v>0.36041666666666661</v>
      </c>
      <c r="T22" s="63">
        <v>0.38541666666666663</v>
      </c>
      <c r="U22" s="291">
        <f t="shared" si="22"/>
        <v>5.9999999999999787</v>
      </c>
      <c r="V22" s="292">
        <f t="shared" si="21"/>
        <v>36.000000000000028</v>
      </c>
      <c r="W22" s="64"/>
      <c r="X22" s="291"/>
      <c r="Y22" s="559"/>
      <c r="Z22" s="559"/>
      <c r="AA22" s="61">
        <f t="shared" si="8"/>
        <v>-66.666666666667879</v>
      </c>
      <c r="AB22" s="295">
        <f t="shared" si="9"/>
        <v>0.96666666666666601</v>
      </c>
      <c r="AC22" s="566"/>
    </row>
    <row r="23" spans="1:29" ht="15.75" customHeight="1">
      <c r="A23" s="589" t="s">
        <v>86</v>
      </c>
      <c r="B23" s="57" t="s">
        <v>6</v>
      </c>
      <c r="C23" s="584" t="s">
        <v>22</v>
      </c>
      <c r="D23" s="584"/>
      <c r="E23" s="57">
        <v>54.09</v>
      </c>
      <c r="F23" s="294">
        <v>1363</v>
      </c>
      <c r="G23" s="291">
        <f t="shared" si="19"/>
        <v>73724.67</v>
      </c>
      <c r="H23" s="302" t="s">
        <v>5</v>
      </c>
      <c r="I23" s="293">
        <v>19</v>
      </c>
      <c r="J23" s="58">
        <v>2000</v>
      </c>
      <c r="K23" s="59">
        <f t="shared" si="1"/>
        <v>105.26315789473684</v>
      </c>
      <c r="L23" s="293">
        <v>19</v>
      </c>
      <c r="M23" s="60">
        <f t="shared" si="20"/>
        <v>1947.1428571428564</v>
      </c>
      <c r="N23" s="59">
        <f t="shared" si="3"/>
        <v>102.48120300751876</v>
      </c>
      <c r="O23" s="61">
        <f t="shared" si="4"/>
        <v>0</v>
      </c>
      <c r="P23" s="62">
        <f t="shared" si="5"/>
        <v>-2.7819548872180775</v>
      </c>
      <c r="Q23" s="295">
        <f t="shared" si="6"/>
        <v>0.97357142857142831</v>
      </c>
      <c r="R23" s="566"/>
      <c r="S23" s="63">
        <v>0.70833333333333337</v>
      </c>
      <c r="T23" s="63">
        <v>0.73750000000000004</v>
      </c>
      <c r="U23" s="291" t="str">
        <f t="shared" si="22"/>
        <v/>
      </c>
      <c r="V23" s="292">
        <f t="shared" si="21"/>
        <v>42.000000000000014</v>
      </c>
      <c r="W23" s="64"/>
      <c r="X23" s="68"/>
      <c r="Y23" s="559"/>
      <c r="Z23" s="559"/>
      <c r="AA23" s="61">
        <f t="shared" si="8"/>
        <v>-52.857142857143572</v>
      </c>
      <c r="AB23" s="295">
        <f t="shared" si="9"/>
        <v>0.9735714285714282</v>
      </c>
      <c r="AC23" s="566"/>
    </row>
    <row r="24" spans="1:29" ht="15.75" customHeight="1">
      <c r="A24" s="589" t="s">
        <v>86</v>
      </c>
      <c r="B24" s="57" t="s">
        <v>6</v>
      </c>
      <c r="C24" s="584" t="s">
        <v>69</v>
      </c>
      <c r="D24" s="584"/>
      <c r="E24" s="57">
        <v>57.73</v>
      </c>
      <c r="F24" s="294">
        <v>1227</v>
      </c>
      <c r="G24" s="291">
        <f t="shared" si="19"/>
        <v>70834.709999999992</v>
      </c>
      <c r="H24" s="302" t="s">
        <v>5</v>
      </c>
      <c r="I24" s="293">
        <v>16</v>
      </c>
      <c r="J24" s="58">
        <v>1500</v>
      </c>
      <c r="K24" s="59">
        <f t="shared" si="1"/>
        <v>93.75</v>
      </c>
      <c r="L24" s="293">
        <v>16</v>
      </c>
      <c r="M24" s="60">
        <f t="shared" si="20"/>
        <v>1443.5294117647065</v>
      </c>
      <c r="N24" s="59">
        <f t="shared" si="3"/>
        <v>90.220588235294159</v>
      </c>
      <c r="O24" s="61">
        <f t="shared" si="4"/>
        <v>0</v>
      </c>
      <c r="P24" s="62">
        <f t="shared" si="5"/>
        <v>-3.5294117647058414</v>
      </c>
      <c r="Q24" s="295">
        <f t="shared" si="6"/>
        <v>0.96235294117647108</v>
      </c>
      <c r="R24" s="566"/>
      <c r="S24" s="63">
        <v>0.74236111111111114</v>
      </c>
      <c r="T24" s="63">
        <v>0.77777777777777779</v>
      </c>
      <c r="U24" s="291">
        <f t="shared" si="22"/>
        <v>6.9999999999999751</v>
      </c>
      <c r="V24" s="292">
        <f t="shared" si="21"/>
        <v>50.999999999999979</v>
      </c>
      <c r="W24" s="64"/>
      <c r="X24" s="68"/>
      <c r="Y24" s="569"/>
      <c r="Z24" s="570"/>
      <c r="AA24" s="61">
        <f t="shared" si="8"/>
        <v>-56.470588235293462</v>
      </c>
      <c r="AB24" s="295">
        <f t="shared" si="9"/>
        <v>0.96235294117647108</v>
      </c>
      <c r="AC24" s="566"/>
    </row>
    <row r="25" spans="1:29" ht="15.75" customHeight="1">
      <c r="A25" s="589" t="s">
        <v>86</v>
      </c>
      <c r="B25" s="57" t="s">
        <v>6</v>
      </c>
      <c r="C25" s="585" t="s">
        <v>68</v>
      </c>
      <c r="D25" s="586"/>
      <c r="E25" s="57">
        <v>50.67</v>
      </c>
      <c r="F25" s="294">
        <v>1534</v>
      </c>
      <c r="G25" s="291">
        <f t="shared" si="19"/>
        <v>77727.78</v>
      </c>
      <c r="H25" s="302" t="s">
        <v>5</v>
      </c>
      <c r="I25" s="293">
        <v>15</v>
      </c>
      <c r="J25" s="58">
        <v>2000</v>
      </c>
      <c r="K25" s="59">
        <f t="shared" si="1"/>
        <v>133.33333333333334</v>
      </c>
      <c r="L25" s="293">
        <v>15</v>
      </c>
      <c r="M25" s="60">
        <f t="shared" si="20"/>
        <v>1917.5000000000005</v>
      </c>
      <c r="N25" s="59">
        <f t="shared" si="3"/>
        <v>127.83333333333336</v>
      </c>
      <c r="O25" s="61">
        <f t="shared" si="4"/>
        <v>0</v>
      </c>
      <c r="P25" s="62">
        <f t="shared" si="5"/>
        <v>-5.4999999999999858</v>
      </c>
      <c r="Q25" s="295">
        <f t="shared" si="6"/>
        <v>0.9587500000000001</v>
      </c>
      <c r="R25" s="566"/>
      <c r="S25" s="63">
        <v>0.78194444444444444</v>
      </c>
      <c r="T25" s="63">
        <v>0.81527777777777777</v>
      </c>
      <c r="U25" s="291">
        <f t="shared" si="22"/>
        <v>5.9999999999999787</v>
      </c>
      <c r="V25" s="292">
        <f t="shared" si="21"/>
        <v>47.999999999999986</v>
      </c>
      <c r="W25" s="64"/>
      <c r="X25" s="64"/>
      <c r="Y25" s="569"/>
      <c r="Z25" s="570"/>
      <c r="AA25" s="61">
        <f t="shared" si="8"/>
        <v>-82.499999999999545</v>
      </c>
      <c r="AB25" s="295">
        <f t="shared" si="9"/>
        <v>0.95875000000000021</v>
      </c>
      <c r="AC25" s="566"/>
    </row>
    <row r="26" spans="1:29" ht="15.75" customHeight="1">
      <c r="A26" s="589" t="s">
        <v>86</v>
      </c>
      <c r="B26" s="57" t="s">
        <v>159</v>
      </c>
      <c r="C26" s="571"/>
      <c r="D26" s="571"/>
      <c r="E26" s="298"/>
      <c r="F26" s="294"/>
      <c r="G26" s="291"/>
      <c r="H26" s="294"/>
      <c r="I26" s="67">
        <v>16.375</v>
      </c>
      <c r="J26" s="58">
        <v>1937.5</v>
      </c>
      <c r="K26" s="59">
        <f t="shared" si="1"/>
        <v>118.32061068702291</v>
      </c>
      <c r="L26" s="67">
        <v>16.375</v>
      </c>
      <c r="M26" s="60">
        <f>AVERAGE(M18:M25)</f>
        <v>1871.6018907563025</v>
      </c>
      <c r="N26" s="59">
        <f t="shared" si="3"/>
        <v>114.29629867214061</v>
      </c>
      <c r="O26" s="61">
        <f t="shared" si="4"/>
        <v>0</v>
      </c>
      <c r="P26" s="62">
        <f t="shared" si="5"/>
        <v>-4.0243120148822982</v>
      </c>
      <c r="Q26" s="295">
        <f t="shared" si="6"/>
        <v>0.96598807264841413</v>
      </c>
      <c r="R26" s="566"/>
      <c r="S26" s="63"/>
      <c r="T26" s="63"/>
      <c r="U26" s="59"/>
      <c r="V26" s="292"/>
      <c r="W26" s="59"/>
      <c r="X26" s="59"/>
      <c r="Y26" s="559"/>
      <c r="Z26" s="559"/>
      <c r="AA26" s="61">
        <f t="shared" si="8"/>
        <v>-65.89810924369749</v>
      </c>
      <c r="AB26" s="295">
        <f t="shared" si="9"/>
        <v>0.96598807264841424</v>
      </c>
      <c r="AC26" s="566"/>
    </row>
    <row r="27" spans="1:29" ht="15.75" customHeight="1">
      <c r="A27" s="587" t="s">
        <v>87</v>
      </c>
      <c r="B27" s="57" t="s">
        <v>15</v>
      </c>
      <c r="C27" s="584" t="s">
        <v>26</v>
      </c>
      <c r="D27" s="584"/>
      <c r="E27" s="57">
        <v>31.29</v>
      </c>
      <c r="F27" s="294">
        <v>5400</v>
      </c>
      <c r="G27" s="291">
        <f t="shared" ref="G27:G33" si="23">E27*F27</f>
        <v>168966</v>
      </c>
      <c r="H27" s="302">
        <v>2</v>
      </c>
      <c r="I27" s="293">
        <v>18</v>
      </c>
      <c r="J27" s="58">
        <v>2400</v>
      </c>
      <c r="K27" s="59">
        <f t="shared" si="1"/>
        <v>133.33333333333334</v>
      </c>
      <c r="L27" s="293">
        <v>18</v>
      </c>
      <c r="M27" s="60">
        <f t="shared" ref="M27:M33" si="24">F27/V27*60</f>
        <v>2297.872340425532</v>
      </c>
      <c r="N27" s="59">
        <f t="shared" si="3"/>
        <v>127.65957446808511</v>
      </c>
      <c r="O27" s="61">
        <f t="shared" si="4"/>
        <v>0</v>
      </c>
      <c r="P27" s="62">
        <f t="shared" si="5"/>
        <v>-5.6737588652482316</v>
      </c>
      <c r="Q27" s="295">
        <f t="shared" si="6"/>
        <v>0.95744680851063824</v>
      </c>
      <c r="R27" s="566">
        <f>Q34</f>
        <v>0.95669786962854331</v>
      </c>
      <c r="S27" s="63">
        <v>8.3333333333333329E-2</v>
      </c>
      <c r="T27" s="63">
        <v>0.18124999999999999</v>
      </c>
      <c r="U27" s="291"/>
      <c r="V27" s="292">
        <f t="shared" ref="V27:V33" si="25">(T27-S27)*24*60</f>
        <v>141</v>
      </c>
      <c r="W27" s="64">
        <f>T27</f>
        <v>0.18124999999999999</v>
      </c>
      <c r="X27" s="64">
        <f>S28</f>
        <v>0.20208333333333334</v>
      </c>
      <c r="Y27" s="559"/>
      <c r="Z27" s="559"/>
      <c r="AA27" s="61">
        <f t="shared" si="8"/>
        <v>-102.127659574468</v>
      </c>
      <c r="AB27" s="295">
        <f t="shared" si="9"/>
        <v>0.95744680851063835</v>
      </c>
      <c r="AC27" s="566">
        <f>AB34</f>
        <v>0.95669786962854331</v>
      </c>
    </row>
    <row r="28" spans="1:29" ht="15.75" customHeight="1">
      <c r="A28" s="587" t="s">
        <v>87</v>
      </c>
      <c r="B28" s="57" t="s">
        <v>15</v>
      </c>
      <c r="C28" s="584" t="s">
        <v>23</v>
      </c>
      <c r="D28" s="584"/>
      <c r="E28" s="57">
        <v>26.2</v>
      </c>
      <c r="F28" s="294">
        <v>2900</v>
      </c>
      <c r="G28" s="291">
        <f t="shared" si="23"/>
        <v>75980</v>
      </c>
      <c r="H28" s="302">
        <v>2</v>
      </c>
      <c r="I28" s="293">
        <v>20</v>
      </c>
      <c r="J28" s="58">
        <v>2400</v>
      </c>
      <c r="K28" s="59">
        <f t="shared" si="1"/>
        <v>120</v>
      </c>
      <c r="L28" s="293">
        <v>20</v>
      </c>
      <c r="M28" s="60">
        <f t="shared" si="24"/>
        <v>2289.4736842105272</v>
      </c>
      <c r="N28" s="59">
        <f t="shared" si="3"/>
        <v>114.47368421052636</v>
      </c>
      <c r="O28" s="61">
        <f t="shared" si="4"/>
        <v>0</v>
      </c>
      <c r="P28" s="62">
        <f t="shared" si="5"/>
        <v>-5.5263157894736423</v>
      </c>
      <c r="Q28" s="295">
        <f t="shared" si="6"/>
        <v>0.95394736842105299</v>
      </c>
      <c r="R28" s="566"/>
      <c r="S28" s="63">
        <v>0.20208333333333334</v>
      </c>
      <c r="T28" s="63">
        <v>0.25486111111111109</v>
      </c>
      <c r="U28" s="291">
        <f t="shared" ref="U28:U33" si="26">(S28-T27)*24*60</f>
        <v>30.000000000000014</v>
      </c>
      <c r="V28" s="292">
        <f t="shared" si="25"/>
        <v>75.999999999999972</v>
      </c>
      <c r="W28" s="64"/>
      <c r="X28" s="64"/>
      <c r="Y28" s="559"/>
      <c r="Z28" s="559"/>
      <c r="AA28" s="61">
        <f t="shared" si="8"/>
        <v>-110.52631578947285</v>
      </c>
      <c r="AB28" s="295">
        <f t="shared" si="9"/>
        <v>0.95394736842105299</v>
      </c>
      <c r="AC28" s="566"/>
    </row>
    <row r="29" spans="1:29" ht="15.75" customHeight="1">
      <c r="A29" s="587" t="s">
        <v>87</v>
      </c>
      <c r="B29" s="57" t="s">
        <v>15</v>
      </c>
      <c r="C29" s="584" t="s">
        <v>70</v>
      </c>
      <c r="D29" s="584"/>
      <c r="E29" s="57">
        <v>25.99</v>
      </c>
      <c r="F29" s="294">
        <v>4556</v>
      </c>
      <c r="G29" s="291">
        <f t="shared" si="23"/>
        <v>118410.43999999999</v>
      </c>
      <c r="H29" s="302" t="s">
        <v>5</v>
      </c>
      <c r="I29" s="293">
        <v>14</v>
      </c>
      <c r="J29" s="58">
        <v>2400</v>
      </c>
      <c r="K29" s="59">
        <f t="shared" si="1"/>
        <v>171.42857142857142</v>
      </c>
      <c r="L29" s="293">
        <v>14</v>
      </c>
      <c r="M29" s="60">
        <f t="shared" si="24"/>
        <v>2297.1428571428573</v>
      </c>
      <c r="N29" s="59">
        <f t="shared" si="3"/>
        <v>164.08163265306123</v>
      </c>
      <c r="O29" s="61">
        <f t="shared" si="4"/>
        <v>0</v>
      </c>
      <c r="P29" s="62">
        <f t="shared" si="5"/>
        <v>-7.346938775510182</v>
      </c>
      <c r="Q29" s="295">
        <f t="shared" si="6"/>
        <v>0.9571428571428573</v>
      </c>
      <c r="R29" s="566"/>
      <c r="S29" s="63">
        <v>0.25902777777777775</v>
      </c>
      <c r="T29" s="63">
        <v>0.34166666666666662</v>
      </c>
      <c r="U29" s="291">
        <f t="shared" si="26"/>
        <v>5.9999999999999787</v>
      </c>
      <c r="V29" s="292">
        <f t="shared" si="25"/>
        <v>118.99999999999997</v>
      </c>
      <c r="W29" s="64"/>
      <c r="X29" s="64"/>
      <c r="Y29" s="559"/>
      <c r="Z29" s="559"/>
      <c r="AA29" s="61">
        <f t="shared" si="8"/>
        <v>-102.85714285714266</v>
      </c>
      <c r="AB29" s="295">
        <f t="shared" si="9"/>
        <v>0.95714285714285718</v>
      </c>
      <c r="AC29" s="566"/>
    </row>
    <row r="30" spans="1:29" ht="15.75" customHeight="1">
      <c r="A30" s="587" t="s">
        <v>87</v>
      </c>
      <c r="B30" s="57" t="s">
        <v>15</v>
      </c>
      <c r="C30" s="584" t="s">
        <v>45</v>
      </c>
      <c r="D30" s="584"/>
      <c r="E30" s="57">
        <v>20.52</v>
      </c>
      <c r="F30" s="294">
        <v>4394</v>
      </c>
      <c r="G30" s="291">
        <f t="shared" si="23"/>
        <v>90164.88</v>
      </c>
      <c r="H30" s="302" t="s">
        <v>5</v>
      </c>
      <c r="I30" s="293">
        <v>18</v>
      </c>
      <c r="J30" s="58">
        <v>2400</v>
      </c>
      <c r="K30" s="59">
        <f t="shared" si="1"/>
        <v>133.33333333333334</v>
      </c>
      <c r="L30" s="293">
        <v>18</v>
      </c>
      <c r="M30" s="60">
        <f t="shared" si="24"/>
        <v>2292.521739130435</v>
      </c>
      <c r="N30" s="59">
        <f t="shared" si="3"/>
        <v>127.36231884057972</v>
      </c>
      <c r="O30" s="61">
        <f t="shared" si="4"/>
        <v>0</v>
      </c>
      <c r="P30" s="62">
        <f t="shared" si="5"/>
        <v>-5.9710144927536248</v>
      </c>
      <c r="Q30" s="295">
        <f t="shared" si="6"/>
        <v>0.9552173913043478</v>
      </c>
      <c r="R30" s="566"/>
      <c r="S30" s="63">
        <v>0.34583333333333327</v>
      </c>
      <c r="T30" s="63">
        <v>0.42569444444444438</v>
      </c>
      <c r="U30" s="291">
        <f t="shared" si="26"/>
        <v>5.9999999999999787</v>
      </c>
      <c r="V30" s="292">
        <f t="shared" si="25"/>
        <v>114.99999999999999</v>
      </c>
      <c r="W30" s="64"/>
      <c r="X30" s="64"/>
      <c r="Y30" s="559"/>
      <c r="Z30" s="559"/>
      <c r="AA30" s="61">
        <f t="shared" si="8"/>
        <v>-107.47826086956502</v>
      </c>
      <c r="AB30" s="295">
        <f t="shared" si="9"/>
        <v>0.95521739130434791</v>
      </c>
      <c r="AC30" s="566"/>
    </row>
    <row r="31" spans="1:29" ht="15.75" customHeight="1">
      <c r="A31" s="587" t="s">
        <v>87</v>
      </c>
      <c r="B31" s="57" t="s">
        <v>15</v>
      </c>
      <c r="C31" s="584" t="s">
        <v>98</v>
      </c>
      <c r="D31" s="584"/>
      <c r="E31" s="57">
        <v>25.98</v>
      </c>
      <c r="F31" s="294">
        <v>4020</v>
      </c>
      <c r="G31" s="291">
        <f t="shared" si="23"/>
        <v>104439.6</v>
      </c>
      <c r="H31" s="302" t="s">
        <v>5</v>
      </c>
      <c r="I31" s="293">
        <v>21</v>
      </c>
      <c r="J31" s="58">
        <v>2400</v>
      </c>
      <c r="K31" s="59">
        <f t="shared" si="1"/>
        <v>114.28571428571429</v>
      </c>
      <c r="L31" s="293">
        <v>21</v>
      </c>
      <c r="M31" s="60">
        <f t="shared" si="24"/>
        <v>2297.1428571428582</v>
      </c>
      <c r="N31" s="59">
        <f t="shared" si="3"/>
        <v>109.38775510204087</v>
      </c>
      <c r="O31" s="61">
        <f t="shared" si="4"/>
        <v>0</v>
      </c>
      <c r="P31" s="62">
        <f t="shared" si="5"/>
        <v>-4.8979591836734215</v>
      </c>
      <c r="Q31" s="295">
        <f t="shared" si="6"/>
        <v>0.95714285714285752</v>
      </c>
      <c r="R31" s="566"/>
      <c r="S31" s="63">
        <v>0.42986111111111103</v>
      </c>
      <c r="T31" s="63">
        <v>0.50277777777777766</v>
      </c>
      <c r="U31" s="291">
        <f t="shared" si="26"/>
        <v>5.9999999999999787</v>
      </c>
      <c r="V31" s="292">
        <f t="shared" si="25"/>
        <v>104.99999999999994</v>
      </c>
      <c r="W31" s="64">
        <f>T31</f>
        <v>0.50277777777777766</v>
      </c>
      <c r="X31" s="64">
        <f>S32</f>
        <v>0.54374999999999984</v>
      </c>
      <c r="Y31" s="559"/>
      <c r="Z31" s="559"/>
      <c r="AA31" s="61">
        <f t="shared" si="8"/>
        <v>-102.85714285714175</v>
      </c>
      <c r="AB31" s="295">
        <f t="shared" si="9"/>
        <v>0.95714285714285763</v>
      </c>
      <c r="AC31" s="566"/>
    </row>
    <row r="32" spans="1:29" ht="15.75" customHeight="1">
      <c r="A32" s="587" t="s">
        <v>87</v>
      </c>
      <c r="B32" s="57" t="s">
        <v>15</v>
      </c>
      <c r="C32" s="584" t="s">
        <v>26</v>
      </c>
      <c r="D32" s="584"/>
      <c r="E32" s="57">
        <v>31.29</v>
      </c>
      <c r="F32" s="294">
        <v>3134</v>
      </c>
      <c r="G32" s="291">
        <f t="shared" si="23"/>
        <v>98062.86</v>
      </c>
      <c r="H32" s="302" t="s">
        <v>5</v>
      </c>
      <c r="I32" s="293">
        <v>18</v>
      </c>
      <c r="J32" s="58">
        <v>2400</v>
      </c>
      <c r="K32" s="59">
        <f t="shared" si="1"/>
        <v>133.33333333333334</v>
      </c>
      <c r="L32" s="293">
        <v>18</v>
      </c>
      <c r="M32" s="60">
        <f t="shared" si="24"/>
        <v>2293.170731707316</v>
      </c>
      <c r="N32" s="59">
        <f t="shared" si="3"/>
        <v>127.39837398373977</v>
      </c>
      <c r="O32" s="61">
        <f t="shared" si="4"/>
        <v>0</v>
      </c>
      <c r="P32" s="62">
        <f t="shared" si="5"/>
        <v>-5.9349593495935693</v>
      </c>
      <c r="Q32" s="295">
        <f t="shared" si="6"/>
        <v>0.95548780487804819</v>
      </c>
      <c r="R32" s="566"/>
      <c r="S32" s="63">
        <v>0.54374999999999984</v>
      </c>
      <c r="T32" s="63">
        <v>0.60069444444444431</v>
      </c>
      <c r="U32" s="291">
        <f t="shared" si="26"/>
        <v>58.99999999999995</v>
      </c>
      <c r="V32" s="292">
        <f t="shared" si="25"/>
        <v>82.000000000000028</v>
      </c>
      <c r="W32" s="64"/>
      <c r="X32" s="64"/>
      <c r="Y32" s="559"/>
      <c r="Z32" s="559"/>
      <c r="AA32" s="61">
        <f t="shared" si="8"/>
        <v>-106.82926829268399</v>
      </c>
      <c r="AB32" s="295">
        <f t="shared" si="9"/>
        <v>0.9554878048780483</v>
      </c>
      <c r="AC32" s="566"/>
    </row>
    <row r="33" spans="1:29" ht="15.75" customHeight="1">
      <c r="A33" s="587" t="s">
        <v>87</v>
      </c>
      <c r="B33" s="57" t="s">
        <v>15</v>
      </c>
      <c r="C33" s="584" t="s">
        <v>23</v>
      </c>
      <c r="D33" s="584"/>
      <c r="E33" s="57">
        <v>26.2</v>
      </c>
      <c r="F33" s="294">
        <v>1921</v>
      </c>
      <c r="G33" s="291">
        <f t="shared" si="23"/>
        <v>50330.2</v>
      </c>
      <c r="H33" s="302" t="s">
        <v>5</v>
      </c>
      <c r="I33" s="293">
        <v>20</v>
      </c>
      <c r="J33" s="58">
        <v>2400</v>
      </c>
      <c r="K33" s="59">
        <f t="shared" si="1"/>
        <v>120</v>
      </c>
      <c r="L33" s="293">
        <v>20</v>
      </c>
      <c r="M33" s="60">
        <f t="shared" si="24"/>
        <v>2305.2000000000007</v>
      </c>
      <c r="N33" s="59">
        <f t="shared" si="3"/>
        <v>115.26000000000003</v>
      </c>
      <c r="O33" s="61">
        <f t="shared" si="4"/>
        <v>0</v>
      </c>
      <c r="P33" s="62">
        <f t="shared" si="5"/>
        <v>-4.7399999999999665</v>
      </c>
      <c r="Q33" s="295">
        <f t="shared" si="6"/>
        <v>0.96050000000000024</v>
      </c>
      <c r="R33" s="566"/>
      <c r="S33" s="63">
        <v>0.60486111111111096</v>
      </c>
      <c r="T33" s="63">
        <v>0.63958333333333317</v>
      </c>
      <c r="U33" s="291">
        <f t="shared" si="26"/>
        <v>5.9999999999999787</v>
      </c>
      <c r="V33" s="292">
        <f t="shared" si="25"/>
        <v>49.999999999999986</v>
      </c>
      <c r="W33" s="64"/>
      <c r="X33" s="64"/>
      <c r="Y33" s="559"/>
      <c r="Z33" s="559"/>
      <c r="AA33" s="61">
        <f t="shared" si="8"/>
        <v>-94.799999999999272</v>
      </c>
      <c r="AB33" s="295">
        <f t="shared" si="9"/>
        <v>0.96050000000000035</v>
      </c>
      <c r="AC33" s="566"/>
    </row>
    <row r="34" spans="1:29" ht="15.75" customHeight="1">
      <c r="A34" s="587" t="s">
        <v>87</v>
      </c>
      <c r="B34" s="57" t="s">
        <v>159</v>
      </c>
      <c r="C34" s="571"/>
      <c r="D34" s="571"/>
      <c r="E34" s="298"/>
      <c r="F34" s="294"/>
      <c r="G34" s="291"/>
      <c r="H34" s="294"/>
      <c r="I34" s="67">
        <v>18.428571428571427</v>
      </c>
      <c r="J34" s="58">
        <v>2400</v>
      </c>
      <c r="K34" s="59">
        <f t="shared" si="1"/>
        <v>130.23255813953489</v>
      </c>
      <c r="L34" s="67">
        <v>18.428571428571427</v>
      </c>
      <c r="M34" s="60">
        <f>AVERAGE(M27:M33)</f>
        <v>2296.0748871085038</v>
      </c>
      <c r="N34" s="59">
        <f t="shared" si="3"/>
        <v>124.59321092836844</v>
      </c>
      <c r="O34" s="61">
        <f t="shared" si="4"/>
        <v>0</v>
      </c>
      <c r="P34" s="62">
        <f t="shared" si="5"/>
        <v>-5.6393472111664522</v>
      </c>
      <c r="Q34" s="295">
        <f t="shared" si="6"/>
        <v>0.95669786962854331</v>
      </c>
      <c r="R34" s="566"/>
      <c r="S34" s="63"/>
      <c r="T34" s="63"/>
      <c r="U34" s="291"/>
      <c r="V34" s="292"/>
      <c r="W34" s="291"/>
      <c r="X34" s="291"/>
      <c r="Y34" s="559"/>
      <c r="Z34" s="559"/>
      <c r="AA34" s="61">
        <f t="shared" si="8"/>
        <v>-103.92511289149616</v>
      </c>
      <c r="AB34" s="295">
        <f t="shared" si="9"/>
        <v>0.95669786962854331</v>
      </c>
      <c r="AC34" s="566"/>
    </row>
    <row r="35" spans="1:29" ht="15.75" customHeight="1">
      <c r="A35" s="582" t="s">
        <v>88</v>
      </c>
      <c r="B35" s="57" t="s">
        <v>15</v>
      </c>
      <c r="C35" s="560" t="s">
        <v>101</v>
      </c>
      <c r="D35" s="560"/>
      <c r="E35" s="57">
        <v>22.69</v>
      </c>
      <c r="F35" s="294">
        <v>2114</v>
      </c>
      <c r="G35" s="291">
        <f t="shared" ref="G35:G43" si="27">E35*F35</f>
        <v>47966.66</v>
      </c>
      <c r="H35" s="302" t="s">
        <v>5</v>
      </c>
      <c r="I35" s="293">
        <v>15</v>
      </c>
      <c r="J35" s="58">
        <v>2400</v>
      </c>
      <c r="K35" s="59">
        <f t="shared" si="1"/>
        <v>160</v>
      </c>
      <c r="L35" s="293">
        <v>15</v>
      </c>
      <c r="M35" s="60">
        <f t="shared" ref="M35:M43" si="28">F35/V35*60</f>
        <v>2306.1818181818185</v>
      </c>
      <c r="N35" s="59">
        <f t="shared" si="3"/>
        <v>153.74545454545458</v>
      </c>
      <c r="O35" s="61">
        <f t="shared" si="4"/>
        <v>0</v>
      </c>
      <c r="P35" s="62">
        <f t="shared" si="5"/>
        <v>-6.254545454545422</v>
      </c>
      <c r="Q35" s="295">
        <f t="shared" si="6"/>
        <v>0.96090909090909116</v>
      </c>
      <c r="R35" s="566">
        <f>Q44</f>
        <v>0.95540086122110124</v>
      </c>
      <c r="S35" s="63">
        <v>8.3333333333333329E-2</v>
      </c>
      <c r="T35" s="63">
        <v>0.12152777777777776</v>
      </c>
      <c r="U35" s="291"/>
      <c r="V35" s="292">
        <f t="shared" ref="V35:V43" si="29">(T35-S35)*24*60</f>
        <v>54.999999999999986</v>
      </c>
      <c r="W35" s="68">
        <f>T35</f>
        <v>0.12152777777777776</v>
      </c>
      <c r="X35" s="68">
        <f>S36</f>
        <v>0.1423611111111111</v>
      </c>
      <c r="Y35" s="559"/>
      <c r="Z35" s="559"/>
      <c r="AA35" s="61">
        <f t="shared" si="8"/>
        <v>-93.818181818181529</v>
      </c>
      <c r="AB35" s="295">
        <f t="shared" si="9"/>
        <v>0.96090909090909105</v>
      </c>
      <c r="AC35" s="566">
        <f>AB44</f>
        <v>0.95540086122110135</v>
      </c>
    </row>
    <row r="36" spans="1:29" ht="15.75" customHeight="1">
      <c r="A36" s="582" t="s">
        <v>88</v>
      </c>
      <c r="B36" s="57" t="s">
        <v>15</v>
      </c>
      <c r="C36" s="560" t="s">
        <v>27</v>
      </c>
      <c r="D36" s="560"/>
      <c r="E36" s="57">
        <v>26.2</v>
      </c>
      <c r="F36" s="294">
        <v>3600</v>
      </c>
      <c r="G36" s="291">
        <f t="shared" si="27"/>
        <v>94320</v>
      </c>
      <c r="H36" s="302">
        <v>2</v>
      </c>
      <c r="I36" s="293">
        <v>18</v>
      </c>
      <c r="J36" s="58">
        <v>2400</v>
      </c>
      <c r="K36" s="59">
        <f t="shared" si="1"/>
        <v>133.33333333333334</v>
      </c>
      <c r="L36" s="293">
        <v>18</v>
      </c>
      <c r="M36" s="60">
        <f t="shared" si="28"/>
        <v>2297.872340425532</v>
      </c>
      <c r="N36" s="59">
        <f t="shared" si="3"/>
        <v>127.65957446808511</v>
      </c>
      <c r="O36" s="61">
        <f t="shared" si="4"/>
        <v>0</v>
      </c>
      <c r="P36" s="62">
        <f t="shared" si="5"/>
        <v>-5.6737588652482316</v>
      </c>
      <c r="Q36" s="295">
        <f t="shared" si="6"/>
        <v>0.95744680851063824</v>
      </c>
      <c r="R36" s="566"/>
      <c r="S36" s="63">
        <v>0.1423611111111111</v>
      </c>
      <c r="T36" s="63">
        <v>0.20763888888888887</v>
      </c>
      <c r="U36" s="291">
        <f t="shared" ref="U36:U43" si="30">(S36-T35)*24*60</f>
        <v>30.000000000000014</v>
      </c>
      <c r="V36" s="292">
        <f t="shared" si="29"/>
        <v>93.999999999999986</v>
      </c>
      <c r="W36" s="291"/>
      <c r="X36" s="291"/>
      <c r="Y36" s="559"/>
      <c r="Z36" s="559"/>
      <c r="AA36" s="61">
        <f t="shared" si="8"/>
        <v>-102.127659574468</v>
      </c>
      <c r="AB36" s="295">
        <f t="shared" si="9"/>
        <v>0.95744680851063835</v>
      </c>
      <c r="AC36" s="566"/>
    </row>
    <row r="37" spans="1:29">
      <c r="A37" s="583" t="s">
        <v>88</v>
      </c>
      <c r="B37" s="57" t="s">
        <v>15</v>
      </c>
      <c r="C37" s="560" t="s">
        <v>25</v>
      </c>
      <c r="D37" s="560"/>
      <c r="E37" s="57">
        <v>26.18</v>
      </c>
      <c r="F37" s="294">
        <v>2512</v>
      </c>
      <c r="G37" s="291">
        <f t="shared" si="27"/>
        <v>65764.160000000003</v>
      </c>
      <c r="H37" s="302" t="s">
        <v>5</v>
      </c>
      <c r="I37" s="293">
        <v>19</v>
      </c>
      <c r="J37" s="58">
        <v>2400</v>
      </c>
      <c r="K37" s="59">
        <f t="shared" si="1"/>
        <v>126.31578947368421</v>
      </c>
      <c r="L37" s="293">
        <v>19</v>
      </c>
      <c r="M37" s="60">
        <f t="shared" si="28"/>
        <v>2283.6363636363644</v>
      </c>
      <c r="N37" s="59">
        <f t="shared" si="3"/>
        <v>120.19138755980866</v>
      </c>
      <c r="O37" s="61">
        <f t="shared" si="4"/>
        <v>0</v>
      </c>
      <c r="P37" s="62">
        <f t="shared" si="5"/>
        <v>-6.1244019138755448</v>
      </c>
      <c r="Q37" s="295">
        <f t="shared" si="6"/>
        <v>0.95151515151515198</v>
      </c>
      <c r="R37" s="566"/>
      <c r="S37" s="63">
        <v>0.21319444444444444</v>
      </c>
      <c r="T37" s="63">
        <v>0.25902777777777775</v>
      </c>
      <c r="U37" s="291">
        <f t="shared" si="30"/>
        <v>8.0000000000000107</v>
      </c>
      <c r="V37" s="292">
        <f t="shared" si="29"/>
        <v>65.999999999999972</v>
      </c>
      <c r="W37" s="291"/>
      <c r="X37" s="291"/>
      <c r="Y37" s="559"/>
      <c r="Z37" s="559"/>
      <c r="AA37" s="61">
        <f t="shared" si="8"/>
        <v>-116.36363636363558</v>
      </c>
      <c r="AB37" s="295">
        <f t="shared" si="9"/>
        <v>0.95151515151515187</v>
      </c>
      <c r="AC37" s="566"/>
    </row>
    <row r="38" spans="1:29">
      <c r="A38" s="583" t="s">
        <v>88</v>
      </c>
      <c r="B38" s="57" t="s">
        <v>15</v>
      </c>
      <c r="C38" s="560" t="s">
        <v>28</v>
      </c>
      <c r="D38" s="560"/>
      <c r="E38" s="57">
        <v>26.39</v>
      </c>
      <c r="F38" s="294">
        <v>3800</v>
      </c>
      <c r="G38" s="291">
        <f t="shared" si="27"/>
        <v>100282</v>
      </c>
      <c r="H38" s="302">
        <v>2</v>
      </c>
      <c r="I38" s="293">
        <v>19</v>
      </c>
      <c r="J38" s="58">
        <v>2400</v>
      </c>
      <c r="K38" s="59">
        <f t="shared" si="1"/>
        <v>126.31578947368421</v>
      </c>
      <c r="L38" s="293">
        <v>19</v>
      </c>
      <c r="M38" s="60">
        <f t="shared" si="28"/>
        <v>2280.0000000000009</v>
      </c>
      <c r="N38" s="59">
        <f t="shared" si="3"/>
        <v>120.00000000000004</v>
      </c>
      <c r="O38" s="61">
        <f t="shared" si="4"/>
        <v>0</v>
      </c>
      <c r="P38" s="62">
        <f t="shared" si="5"/>
        <v>-6.3157894736841627</v>
      </c>
      <c r="Q38" s="295">
        <f t="shared" si="6"/>
        <v>0.9500000000000004</v>
      </c>
      <c r="R38" s="566"/>
      <c r="S38" s="63">
        <v>0.26249999999999996</v>
      </c>
      <c r="T38" s="63">
        <v>0.33194444444444438</v>
      </c>
      <c r="U38" s="291">
        <f t="shared" si="30"/>
        <v>4.9999999999999822</v>
      </c>
      <c r="V38" s="292">
        <f t="shared" si="29"/>
        <v>99.999999999999972</v>
      </c>
      <c r="W38" s="64"/>
      <c r="X38" s="64"/>
      <c r="Y38" s="559"/>
      <c r="Z38" s="559"/>
      <c r="AA38" s="61">
        <f t="shared" si="8"/>
        <v>-119.99999999999909</v>
      </c>
      <c r="AB38" s="295">
        <f t="shared" si="9"/>
        <v>0.9500000000000004</v>
      </c>
      <c r="AC38" s="566"/>
    </row>
    <row r="39" spans="1:29">
      <c r="A39" s="583" t="s">
        <v>88</v>
      </c>
      <c r="B39" s="57" t="s">
        <v>15</v>
      </c>
      <c r="C39" s="560" t="s">
        <v>658</v>
      </c>
      <c r="D39" s="560"/>
      <c r="E39" s="57">
        <v>22.69</v>
      </c>
      <c r="F39" s="294">
        <v>4485</v>
      </c>
      <c r="G39" s="291">
        <f t="shared" si="27"/>
        <v>101764.65000000001</v>
      </c>
      <c r="H39" s="302" t="s">
        <v>5</v>
      </c>
      <c r="I39" s="293">
        <v>16</v>
      </c>
      <c r="J39" s="58">
        <v>2400</v>
      </c>
      <c r="K39" s="59">
        <f t="shared" si="1"/>
        <v>150</v>
      </c>
      <c r="L39" s="293">
        <v>16</v>
      </c>
      <c r="M39" s="60">
        <f t="shared" si="28"/>
        <v>2280.5084745762715</v>
      </c>
      <c r="N39" s="59">
        <f t="shared" si="3"/>
        <v>142.53177966101697</v>
      </c>
      <c r="O39" s="61">
        <f t="shared" si="4"/>
        <v>0</v>
      </c>
      <c r="P39" s="62">
        <f t="shared" si="5"/>
        <v>-7.4682203389830306</v>
      </c>
      <c r="Q39" s="295">
        <f t="shared" si="6"/>
        <v>0.95021186440677985</v>
      </c>
      <c r="R39" s="566"/>
      <c r="S39" s="63">
        <v>0.33611111111111103</v>
      </c>
      <c r="T39" s="63">
        <v>0.41805555555555546</v>
      </c>
      <c r="U39" s="291">
        <f t="shared" si="30"/>
        <v>5.9999999999999787</v>
      </c>
      <c r="V39" s="292">
        <f t="shared" si="29"/>
        <v>117.99999999999999</v>
      </c>
      <c r="W39" s="64"/>
      <c r="X39" s="64"/>
      <c r="Y39" s="559"/>
      <c r="Z39" s="559"/>
      <c r="AA39" s="61">
        <f t="shared" si="8"/>
        <v>-119.49152542372849</v>
      </c>
      <c r="AB39" s="295">
        <f t="shared" si="9"/>
        <v>0.95021186440677985</v>
      </c>
      <c r="AC39" s="566"/>
    </row>
    <row r="40" spans="1:29">
      <c r="A40" s="583" t="s">
        <v>88</v>
      </c>
      <c r="B40" s="57" t="s">
        <v>15</v>
      </c>
      <c r="C40" s="560" t="s">
        <v>16</v>
      </c>
      <c r="D40" s="560"/>
      <c r="E40" s="57">
        <v>24.45</v>
      </c>
      <c r="F40" s="294">
        <v>2404</v>
      </c>
      <c r="G40" s="291">
        <f t="shared" si="27"/>
        <v>58777.799999999996</v>
      </c>
      <c r="H40" s="302" t="s">
        <v>5</v>
      </c>
      <c r="I40" s="293">
        <v>20</v>
      </c>
      <c r="J40" s="58">
        <v>2400</v>
      </c>
      <c r="K40" s="59">
        <f t="shared" si="1"/>
        <v>120</v>
      </c>
      <c r="L40" s="293">
        <v>20</v>
      </c>
      <c r="M40" s="60">
        <f t="shared" si="28"/>
        <v>2289.5238095238092</v>
      </c>
      <c r="N40" s="59">
        <f t="shared" si="3"/>
        <v>114.47619047619045</v>
      </c>
      <c r="O40" s="61">
        <f t="shared" si="4"/>
        <v>0</v>
      </c>
      <c r="P40" s="62">
        <f t="shared" si="5"/>
        <v>-5.5238095238095468</v>
      </c>
      <c r="Q40" s="295">
        <f t="shared" si="6"/>
        <v>0.9539682539682538</v>
      </c>
      <c r="R40" s="566"/>
      <c r="S40" s="63">
        <v>0.42361111111111099</v>
      </c>
      <c r="T40" s="63">
        <v>0.46736111111111101</v>
      </c>
      <c r="U40" s="291">
        <f t="shared" si="30"/>
        <v>7.9999999999999716</v>
      </c>
      <c r="V40" s="292">
        <f t="shared" si="29"/>
        <v>63.000000000000014</v>
      </c>
      <c r="W40" s="64"/>
      <c r="X40" s="64"/>
      <c r="Y40" s="559"/>
      <c r="Z40" s="559"/>
      <c r="AA40" s="61">
        <f t="shared" si="8"/>
        <v>-110.47619047619082</v>
      </c>
      <c r="AB40" s="295">
        <f t="shared" si="9"/>
        <v>0.9539682539682538</v>
      </c>
      <c r="AC40" s="566"/>
    </row>
    <row r="41" spans="1:29">
      <c r="A41" s="583" t="s">
        <v>88</v>
      </c>
      <c r="B41" s="57" t="s">
        <v>15</v>
      </c>
      <c r="C41" s="560" t="s">
        <v>100</v>
      </c>
      <c r="D41" s="560"/>
      <c r="E41" s="57">
        <v>28.51</v>
      </c>
      <c r="F41" s="294">
        <v>1356</v>
      </c>
      <c r="G41" s="291">
        <f t="shared" si="27"/>
        <v>38659.560000000005</v>
      </c>
      <c r="H41" s="302" t="s">
        <v>5</v>
      </c>
      <c r="I41" s="293">
        <v>16</v>
      </c>
      <c r="J41" s="58">
        <v>2400</v>
      </c>
      <c r="K41" s="59">
        <f t="shared" si="1"/>
        <v>150</v>
      </c>
      <c r="L41" s="293">
        <v>16</v>
      </c>
      <c r="M41" s="60">
        <f t="shared" si="28"/>
        <v>2324.5714285714262</v>
      </c>
      <c r="N41" s="59">
        <f t="shared" si="3"/>
        <v>145.28571428571414</v>
      </c>
      <c r="O41" s="61">
        <f t="shared" si="4"/>
        <v>0</v>
      </c>
      <c r="P41" s="62">
        <f t="shared" si="5"/>
        <v>-4.7142857142858645</v>
      </c>
      <c r="Q41" s="295">
        <f t="shared" si="6"/>
        <v>0.96857142857142753</v>
      </c>
      <c r="R41" s="566"/>
      <c r="S41" s="63">
        <v>0.47152777777777766</v>
      </c>
      <c r="T41" s="63">
        <v>0.49583333333333324</v>
      </c>
      <c r="U41" s="291">
        <f t="shared" si="30"/>
        <v>5.9999999999999787</v>
      </c>
      <c r="V41" s="292">
        <f t="shared" si="29"/>
        <v>35.000000000000036</v>
      </c>
      <c r="W41" s="64">
        <f>T41</f>
        <v>0.49583333333333324</v>
      </c>
      <c r="X41" s="64">
        <f>S42</f>
        <v>0.53749999999999987</v>
      </c>
      <c r="Y41" s="569"/>
      <c r="Z41" s="570"/>
      <c r="AA41" s="61">
        <f t="shared" si="8"/>
        <v>-75.428571428573832</v>
      </c>
      <c r="AB41" s="295">
        <f t="shared" si="9"/>
        <v>0.96857142857142753</v>
      </c>
      <c r="AC41" s="566"/>
    </row>
    <row r="42" spans="1:29">
      <c r="A42" s="583" t="s">
        <v>88</v>
      </c>
      <c r="B42" s="57" t="s">
        <v>15</v>
      </c>
      <c r="C42" s="560" t="s">
        <v>27</v>
      </c>
      <c r="D42" s="560"/>
      <c r="E42" s="57">
        <v>26.2</v>
      </c>
      <c r="F42" s="294">
        <v>2328</v>
      </c>
      <c r="G42" s="291">
        <f t="shared" si="27"/>
        <v>60993.599999999999</v>
      </c>
      <c r="H42" s="302" t="s">
        <v>5</v>
      </c>
      <c r="I42" s="293">
        <v>18</v>
      </c>
      <c r="J42" s="58">
        <v>2400</v>
      </c>
      <c r="K42" s="59">
        <f t="shared" si="1"/>
        <v>133.33333333333334</v>
      </c>
      <c r="L42" s="293">
        <v>18</v>
      </c>
      <c r="M42" s="60">
        <f t="shared" si="28"/>
        <v>2289.8360655737729</v>
      </c>
      <c r="N42" s="59">
        <f t="shared" si="3"/>
        <v>127.2131147540985</v>
      </c>
      <c r="O42" s="61">
        <f t="shared" si="4"/>
        <v>0</v>
      </c>
      <c r="P42" s="62">
        <f t="shared" si="5"/>
        <v>-6.1202185792348445</v>
      </c>
      <c r="Q42" s="295">
        <f t="shared" si="6"/>
        <v>0.95409836065573872</v>
      </c>
      <c r="R42" s="566"/>
      <c r="S42" s="63">
        <v>0.53749999999999987</v>
      </c>
      <c r="T42" s="63">
        <v>0.57986111111111094</v>
      </c>
      <c r="U42" s="291">
        <f t="shared" si="30"/>
        <v>59.999999999999943</v>
      </c>
      <c r="V42" s="292">
        <f t="shared" si="29"/>
        <v>60.999999999999943</v>
      </c>
      <c r="W42" s="64"/>
      <c r="X42" s="64"/>
      <c r="Y42" s="569"/>
      <c r="Z42" s="570"/>
      <c r="AA42" s="61">
        <f t="shared" si="8"/>
        <v>-110.16393442622712</v>
      </c>
      <c r="AB42" s="295">
        <f t="shared" si="9"/>
        <v>0.95409836065573872</v>
      </c>
      <c r="AC42" s="566"/>
    </row>
    <row r="43" spans="1:29">
      <c r="A43" s="583" t="s">
        <v>88</v>
      </c>
      <c r="B43" s="57" t="s">
        <v>15</v>
      </c>
      <c r="C43" s="560" t="s">
        <v>28</v>
      </c>
      <c r="D43" s="560"/>
      <c r="E43" s="57">
        <v>26.39</v>
      </c>
      <c r="F43" s="294">
        <v>2018</v>
      </c>
      <c r="G43" s="291">
        <f t="shared" si="27"/>
        <v>53255.020000000004</v>
      </c>
      <c r="H43" s="302" t="s">
        <v>5</v>
      </c>
      <c r="I43" s="293">
        <v>19</v>
      </c>
      <c r="J43" s="58">
        <v>2400</v>
      </c>
      <c r="K43" s="59">
        <f t="shared" si="1"/>
        <v>126.31578947368421</v>
      </c>
      <c r="L43" s="293">
        <v>19</v>
      </c>
      <c r="M43" s="60">
        <f t="shared" si="28"/>
        <v>2284.5283018867935</v>
      </c>
      <c r="N43" s="59">
        <f t="shared" si="3"/>
        <v>120.23833167825229</v>
      </c>
      <c r="O43" s="61">
        <f t="shared" si="4"/>
        <v>0</v>
      </c>
      <c r="P43" s="62">
        <f t="shared" si="5"/>
        <v>-6.0774577954319113</v>
      </c>
      <c r="Q43" s="295">
        <f t="shared" si="6"/>
        <v>0.9518867924528307</v>
      </c>
      <c r="R43" s="566"/>
      <c r="S43" s="63">
        <v>0.58472222222222203</v>
      </c>
      <c r="T43" s="63">
        <v>0.62152777777777757</v>
      </c>
      <c r="U43" s="291">
        <f t="shared" si="30"/>
        <v>6.9999999999999751</v>
      </c>
      <c r="V43" s="292">
        <f t="shared" si="29"/>
        <v>52.999999999999972</v>
      </c>
      <c r="W43" s="64"/>
      <c r="X43" s="64"/>
      <c r="Y43" s="569"/>
      <c r="Z43" s="570"/>
      <c r="AA43" s="61">
        <f t="shared" si="8"/>
        <v>-115.47169811320646</v>
      </c>
      <c r="AB43" s="295">
        <f t="shared" si="9"/>
        <v>0.95188679245283059</v>
      </c>
      <c r="AC43" s="566"/>
    </row>
    <row r="44" spans="1:29">
      <c r="A44" s="583" t="s">
        <v>88</v>
      </c>
      <c r="B44" s="66" t="s">
        <v>159</v>
      </c>
      <c r="C44" s="571"/>
      <c r="D44" s="571"/>
      <c r="E44" s="298"/>
      <c r="F44" s="66"/>
      <c r="G44" s="59"/>
      <c r="H44" s="294"/>
      <c r="I44" s="67">
        <v>17.777777777777779</v>
      </c>
      <c r="J44" s="58">
        <v>2400</v>
      </c>
      <c r="K44" s="59">
        <f t="shared" si="1"/>
        <v>135</v>
      </c>
      <c r="L44" s="67">
        <v>17.777777777777779</v>
      </c>
      <c r="M44" s="60">
        <f>AVERAGE(M35:M43)</f>
        <v>2292.9620669306432</v>
      </c>
      <c r="N44" s="59">
        <f t="shared" si="3"/>
        <v>128.97911626484867</v>
      </c>
      <c r="O44" s="61">
        <f t="shared" si="4"/>
        <v>0</v>
      </c>
      <c r="P44" s="62">
        <f t="shared" si="5"/>
        <v>-6.0208837351513296</v>
      </c>
      <c r="Q44" s="295">
        <f t="shared" si="6"/>
        <v>0.95540086122110124</v>
      </c>
      <c r="R44" s="566"/>
      <c r="S44" s="63"/>
      <c r="T44" s="63"/>
      <c r="U44" s="59"/>
      <c r="V44" s="292"/>
      <c r="W44" s="59"/>
      <c r="X44" s="59"/>
      <c r="Y44" s="559"/>
      <c r="Z44" s="559"/>
      <c r="AA44" s="61">
        <f t="shared" si="8"/>
        <v>-107.03793306935677</v>
      </c>
      <c r="AB44" s="295">
        <f t="shared" si="9"/>
        <v>0.95540086122110135</v>
      </c>
      <c r="AC44" s="566"/>
    </row>
    <row r="45" spans="1:29" ht="15.75" customHeight="1">
      <c r="A45" s="576" t="s">
        <v>168</v>
      </c>
      <c r="B45" s="57" t="s">
        <v>31</v>
      </c>
      <c r="C45" s="567" t="s">
        <v>32</v>
      </c>
      <c r="D45" s="568"/>
      <c r="E45" s="57">
        <v>21.13</v>
      </c>
      <c r="F45" s="294">
        <v>4940</v>
      </c>
      <c r="G45" s="291">
        <f t="shared" ref="G45:G50" si="31">E45*F45</f>
        <v>104382.2</v>
      </c>
      <c r="H45" s="302" t="s">
        <v>5</v>
      </c>
      <c r="I45" s="293">
        <v>10</v>
      </c>
      <c r="J45" s="58">
        <v>3000</v>
      </c>
      <c r="K45" s="59">
        <f t="shared" si="1"/>
        <v>300</v>
      </c>
      <c r="L45" s="293">
        <v>10</v>
      </c>
      <c r="M45" s="60">
        <f t="shared" ref="M45:M50" si="32">F45/V45*60</f>
        <v>2877.6699029126216</v>
      </c>
      <c r="N45" s="60">
        <f t="shared" si="3"/>
        <v>287.76699029126218</v>
      </c>
      <c r="O45" s="61">
        <f t="shared" si="4"/>
        <v>0</v>
      </c>
      <c r="P45" s="62">
        <f t="shared" si="5"/>
        <v>-12.233009708737825</v>
      </c>
      <c r="Q45" s="295">
        <f t="shared" si="6"/>
        <v>0.95922330097087394</v>
      </c>
      <c r="R45" s="579">
        <f>Q51</f>
        <v>0.96027500547062927</v>
      </c>
      <c r="S45" s="63">
        <v>8.3333333333333329E-2</v>
      </c>
      <c r="T45" s="63">
        <v>0.15486111111111112</v>
      </c>
      <c r="U45" s="68"/>
      <c r="V45" s="292">
        <f t="shared" ref="V45:V50" si="33">(T45-S45)*24*60</f>
        <v>103</v>
      </c>
      <c r="W45" s="64">
        <f>T45</f>
        <v>0.15486111111111112</v>
      </c>
      <c r="X45" s="64">
        <f>S46</f>
        <v>0.17500000000000002</v>
      </c>
      <c r="Y45" s="569"/>
      <c r="Z45" s="570"/>
      <c r="AA45" s="61">
        <f t="shared" si="8"/>
        <v>-122.33009708737836</v>
      </c>
      <c r="AB45" s="295">
        <f t="shared" si="9"/>
        <v>0.95922330097087383</v>
      </c>
      <c r="AC45" s="579">
        <f>AB51</f>
        <v>0.96027500547062938</v>
      </c>
    </row>
    <row r="46" spans="1:29" ht="15.75" customHeight="1">
      <c r="A46" s="577" t="s">
        <v>168</v>
      </c>
      <c r="B46" s="57" t="s">
        <v>31</v>
      </c>
      <c r="C46" s="567" t="s">
        <v>33</v>
      </c>
      <c r="D46" s="568"/>
      <c r="E46" s="57">
        <v>27.17</v>
      </c>
      <c r="F46" s="294">
        <v>6813</v>
      </c>
      <c r="G46" s="291">
        <f t="shared" si="31"/>
        <v>185109.21000000002</v>
      </c>
      <c r="H46" s="302" t="s">
        <v>5</v>
      </c>
      <c r="I46" s="293">
        <v>10</v>
      </c>
      <c r="J46" s="58">
        <v>3000</v>
      </c>
      <c r="K46" s="59">
        <f t="shared" si="1"/>
        <v>300</v>
      </c>
      <c r="L46" s="293">
        <v>10</v>
      </c>
      <c r="M46" s="60">
        <f t="shared" si="32"/>
        <v>2858.6013986013982</v>
      </c>
      <c r="N46" s="60">
        <f t="shared" si="3"/>
        <v>285.86013986013984</v>
      </c>
      <c r="O46" s="61">
        <f t="shared" si="4"/>
        <v>0</v>
      </c>
      <c r="P46" s="62">
        <f t="shared" si="5"/>
        <v>-14.139860139860161</v>
      </c>
      <c r="Q46" s="295">
        <f t="shared" si="6"/>
        <v>0.95286713286713276</v>
      </c>
      <c r="R46" s="580"/>
      <c r="S46" s="63">
        <v>0.17500000000000002</v>
      </c>
      <c r="T46" s="63">
        <v>0.27430555555555558</v>
      </c>
      <c r="U46" s="291">
        <f t="shared" ref="U46:U50" si="34">(S46-T45)*24*60</f>
        <v>29.000000000000018</v>
      </c>
      <c r="V46" s="292">
        <f t="shared" si="33"/>
        <v>143.00000000000003</v>
      </c>
      <c r="W46" s="64"/>
      <c r="X46" s="64"/>
      <c r="Y46" s="569"/>
      <c r="Z46" s="570"/>
      <c r="AA46" s="61">
        <f t="shared" si="8"/>
        <v>-141.39860139860184</v>
      </c>
      <c r="AB46" s="295">
        <f t="shared" si="9"/>
        <v>0.95286713286713276</v>
      </c>
      <c r="AC46" s="580"/>
    </row>
    <row r="47" spans="1:29" ht="15.75" customHeight="1">
      <c r="A47" s="577" t="s">
        <v>168</v>
      </c>
      <c r="B47" s="57" t="s">
        <v>31</v>
      </c>
      <c r="C47" s="567" t="s">
        <v>36</v>
      </c>
      <c r="D47" s="568"/>
      <c r="E47" s="57">
        <v>36.14</v>
      </c>
      <c r="F47" s="294">
        <v>1167</v>
      </c>
      <c r="G47" s="291">
        <f t="shared" si="31"/>
        <v>42175.38</v>
      </c>
      <c r="H47" s="302" t="s">
        <v>5</v>
      </c>
      <c r="I47" s="293">
        <v>9</v>
      </c>
      <c r="J47" s="58">
        <v>3000</v>
      </c>
      <c r="K47" s="59">
        <f t="shared" si="1"/>
        <v>333.33333333333331</v>
      </c>
      <c r="L47" s="293">
        <v>9</v>
      </c>
      <c r="M47" s="60">
        <f t="shared" si="32"/>
        <v>2917.5000000000009</v>
      </c>
      <c r="N47" s="60">
        <f t="shared" si="3"/>
        <v>324.16666666666674</v>
      </c>
      <c r="O47" s="61">
        <f t="shared" si="4"/>
        <v>0</v>
      </c>
      <c r="P47" s="62">
        <f t="shared" si="5"/>
        <v>-9.1666666666665719</v>
      </c>
      <c r="Q47" s="295">
        <f t="shared" si="6"/>
        <v>0.97250000000000025</v>
      </c>
      <c r="R47" s="580"/>
      <c r="S47" s="63">
        <v>0.27916666666666667</v>
      </c>
      <c r="T47" s="63">
        <v>0.29583333333333334</v>
      </c>
      <c r="U47" s="291">
        <f t="shared" si="34"/>
        <v>6.9999999999999751</v>
      </c>
      <c r="V47" s="292">
        <f t="shared" si="33"/>
        <v>23.999999999999993</v>
      </c>
      <c r="W47" s="64"/>
      <c r="X47" s="64"/>
      <c r="Y47" s="569"/>
      <c r="Z47" s="570"/>
      <c r="AA47" s="61">
        <f t="shared" si="8"/>
        <v>-82.499999999999091</v>
      </c>
      <c r="AB47" s="295">
        <f t="shared" si="9"/>
        <v>0.97250000000000025</v>
      </c>
      <c r="AC47" s="580"/>
    </row>
    <row r="48" spans="1:29" ht="15.75" customHeight="1">
      <c r="A48" s="577" t="s">
        <v>168</v>
      </c>
      <c r="B48" s="57" t="s">
        <v>31</v>
      </c>
      <c r="C48" s="567" t="s">
        <v>34</v>
      </c>
      <c r="D48" s="568"/>
      <c r="E48" s="57">
        <v>35.119999999999997</v>
      </c>
      <c r="F48" s="294">
        <v>3987</v>
      </c>
      <c r="G48" s="291">
        <f t="shared" si="31"/>
        <v>140023.44</v>
      </c>
      <c r="H48" s="302" t="s">
        <v>5</v>
      </c>
      <c r="I48" s="293">
        <v>10</v>
      </c>
      <c r="J48" s="58">
        <v>3000</v>
      </c>
      <c r="K48" s="59">
        <f t="shared" si="1"/>
        <v>300</v>
      </c>
      <c r="L48" s="293">
        <v>10</v>
      </c>
      <c r="M48" s="60">
        <f t="shared" si="32"/>
        <v>2882.1686746987939</v>
      </c>
      <c r="N48" s="60">
        <f t="shared" si="3"/>
        <v>288.21686746987939</v>
      </c>
      <c r="O48" s="61">
        <f t="shared" si="4"/>
        <v>0</v>
      </c>
      <c r="P48" s="62">
        <f t="shared" si="5"/>
        <v>-11.783132530120611</v>
      </c>
      <c r="Q48" s="295">
        <f t="shared" si="6"/>
        <v>0.96072289156626467</v>
      </c>
      <c r="R48" s="580"/>
      <c r="S48" s="63">
        <v>0.3</v>
      </c>
      <c r="T48" s="63">
        <v>0.3576388888888889</v>
      </c>
      <c r="U48" s="291">
        <f t="shared" si="34"/>
        <v>5.9999999999999787</v>
      </c>
      <c r="V48" s="292">
        <f t="shared" si="33"/>
        <v>83.000000000000028</v>
      </c>
      <c r="W48" s="64"/>
      <c r="X48" s="64"/>
      <c r="Y48" s="569"/>
      <c r="Z48" s="570"/>
      <c r="AA48" s="61">
        <f t="shared" si="8"/>
        <v>-117.83132530120611</v>
      </c>
      <c r="AB48" s="295">
        <f t="shared" si="9"/>
        <v>0.96072289156626467</v>
      </c>
      <c r="AC48" s="580"/>
    </row>
    <row r="49" spans="1:29" ht="15.75" customHeight="1">
      <c r="A49" s="577" t="s">
        <v>168</v>
      </c>
      <c r="B49" s="57" t="s">
        <v>31</v>
      </c>
      <c r="C49" s="567" t="s">
        <v>71</v>
      </c>
      <c r="D49" s="568"/>
      <c r="E49" s="57">
        <v>31</v>
      </c>
      <c r="F49" s="294">
        <v>2102</v>
      </c>
      <c r="G49" s="291">
        <f t="shared" si="31"/>
        <v>65162</v>
      </c>
      <c r="H49" s="302" t="s">
        <v>5</v>
      </c>
      <c r="I49" s="293">
        <v>13</v>
      </c>
      <c r="J49" s="58">
        <v>2000</v>
      </c>
      <c r="K49" s="59">
        <f t="shared" si="1"/>
        <v>153.84615384615384</v>
      </c>
      <c r="L49" s="293">
        <v>13</v>
      </c>
      <c r="M49" s="60">
        <f t="shared" si="32"/>
        <v>1910.9090909090908</v>
      </c>
      <c r="N49" s="60">
        <f t="shared" si="3"/>
        <v>146.99300699300699</v>
      </c>
      <c r="O49" s="61">
        <f t="shared" si="4"/>
        <v>0</v>
      </c>
      <c r="P49" s="62">
        <f t="shared" si="5"/>
        <v>-6.8531468531468533</v>
      </c>
      <c r="Q49" s="295">
        <f t="shared" si="6"/>
        <v>0.95545454545454545</v>
      </c>
      <c r="R49" s="580"/>
      <c r="S49" s="63">
        <v>0.36319444444444443</v>
      </c>
      <c r="T49" s="63">
        <v>0.40902777777777777</v>
      </c>
      <c r="U49" s="291">
        <f t="shared" si="34"/>
        <v>7.9999999999999716</v>
      </c>
      <c r="V49" s="292">
        <f t="shared" si="33"/>
        <v>66</v>
      </c>
      <c r="W49" s="64"/>
      <c r="X49" s="64"/>
      <c r="Y49" s="569"/>
      <c r="Z49" s="570"/>
      <c r="AA49" s="61">
        <f t="shared" si="8"/>
        <v>-89.090909090909236</v>
      </c>
      <c r="AB49" s="295">
        <f t="shared" si="9"/>
        <v>0.95545454545454533</v>
      </c>
      <c r="AC49" s="580"/>
    </row>
    <row r="50" spans="1:29" ht="15.75" customHeight="1">
      <c r="A50" s="577" t="s">
        <v>168</v>
      </c>
      <c r="B50" s="57" t="s">
        <v>31</v>
      </c>
      <c r="C50" s="567" t="s">
        <v>659</v>
      </c>
      <c r="D50" s="568"/>
      <c r="E50" s="57">
        <v>37.880000000000003</v>
      </c>
      <c r="F50" s="294">
        <v>3132</v>
      </c>
      <c r="G50" s="291">
        <f t="shared" si="31"/>
        <v>118640.16</v>
      </c>
      <c r="H50" s="302" t="s">
        <v>5</v>
      </c>
      <c r="I50" s="293">
        <v>16</v>
      </c>
      <c r="J50" s="58">
        <v>2000</v>
      </c>
      <c r="K50" s="59">
        <f t="shared" si="1"/>
        <v>125</v>
      </c>
      <c r="L50" s="293">
        <v>16</v>
      </c>
      <c r="M50" s="60">
        <f t="shared" si="32"/>
        <v>1917.5510204081638</v>
      </c>
      <c r="N50" s="60">
        <f t="shared" si="3"/>
        <v>119.84693877551024</v>
      </c>
      <c r="O50" s="61">
        <f t="shared" si="4"/>
        <v>0</v>
      </c>
      <c r="P50" s="62">
        <f t="shared" si="5"/>
        <v>-5.1530612244897611</v>
      </c>
      <c r="Q50" s="295">
        <f t="shared" si="6"/>
        <v>0.95877551020408192</v>
      </c>
      <c r="R50" s="580"/>
      <c r="S50" s="63">
        <v>0.4145833333333333</v>
      </c>
      <c r="T50" s="63">
        <v>0.48263888888888884</v>
      </c>
      <c r="U50" s="291">
        <f t="shared" si="34"/>
        <v>7.9999999999999716</v>
      </c>
      <c r="V50" s="292">
        <f t="shared" si="33"/>
        <v>97.999999999999972</v>
      </c>
      <c r="W50" s="64"/>
      <c r="X50" s="64"/>
      <c r="Y50" s="569"/>
      <c r="Z50" s="570"/>
      <c r="AA50" s="61">
        <f t="shared" si="8"/>
        <v>-82.448979591836178</v>
      </c>
      <c r="AB50" s="295">
        <f t="shared" si="9"/>
        <v>0.95877551020408192</v>
      </c>
      <c r="AC50" s="580"/>
    </row>
    <row r="51" spans="1:29" ht="15.75" customHeight="1">
      <c r="A51" s="578" t="s">
        <v>168</v>
      </c>
      <c r="B51" s="57" t="s">
        <v>159</v>
      </c>
      <c r="C51" s="561"/>
      <c r="D51" s="562"/>
      <c r="E51" s="301"/>
      <c r="F51" s="294"/>
      <c r="G51" s="291"/>
      <c r="H51" s="294"/>
      <c r="I51" s="67">
        <v>11.333333333333334</v>
      </c>
      <c r="J51" s="58">
        <v>2666.6666666666665</v>
      </c>
      <c r="K51" s="59">
        <f t="shared" si="1"/>
        <v>235.29411764705881</v>
      </c>
      <c r="L51" s="67">
        <v>11.333333333333334</v>
      </c>
      <c r="M51" s="60">
        <f>AVERAGE(M45:M50)</f>
        <v>2560.7333479216782</v>
      </c>
      <c r="N51" s="59">
        <f t="shared" si="3"/>
        <v>225.94706011073629</v>
      </c>
      <c r="O51" s="61">
        <f t="shared" si="4"/>
        <v>0</v>
      </c>
      <c r="P51" s="62">
        <f t="shared" si="5"/>
        <v>-9.3470575363225237</v>
      </c>
      <c r="Q51" s="295">
        <f t="shared" si="6"/>
        <v>0.96027500547062927</v>
      </c>
      <c r="R51" s="581"/>
      <c r="S51" s="63"/>
      <c r="T51" s="63"/>
      <c r="U51" s="291"/>
      <c r="V51" s="292"/>
      <c r="W51" s="64"/>
      <c r="X51" s="64"/>
      <c r="Y51" s="569"/>
      <c r="Z51" s="570"/>
      <c r="AA51" s="61">
        <f t="shared" si="8"/>
        <v>-105.93331874498836</v>
      </c>
      <c r="AB51" s="295">
        <f t="shared" si="9"/>
        <v>0.96027500547062938</v>
      </c>
      <c r="AC51" s="581"/>
    </row>
    <row r="52" spans="1:29" ht="15.75" customHeight="1">
      <c r="A52" s="574" t="s">
        <v>117</v>
      </c>
      <c r="B52" s="57" t="s">
        <v>10</v>
      </c>
      <c r="C52" s="560" t="s">
        <v>37</v>
      </c>
      <c r="D52" s="560"/>
      <c r="E52" s="57">
        <v>46</v>
      </c>
      <c r="F52" s="69">
        <v>2007</v>
      </c>
      <c r="G52" s="291">
        <f t="shared" ref="G52:G58" si="35">E52*F52</f>
        <v>92322</v>
      </c>
      <c r="H52" s="302" t="s">
        <v>5</v>
      </c>
      <c r="I52" s="293">
        <v>17</v>
      </c>
      <c r="J52" s="58">
        <v>2000</v>
      </c>
      <c r="K52" s="59">
        <f t="shared" si="1"/>
        <v>117.64705882352941</v>
      </c>
      <c r="L52" s="293">
        <v>17</v>
      </c>
      <c r="M52" s="60">
        <f t="shared" ref="M52:M58" si="36">F52/V52*60</f>
        <v>1911.428571428572</v>
      </c>
      <c r="N52" s="60">
        <f t="shared" si="3"/>
        <v>112.43697478991601</v>
      </c>
      <c r="O52" s="61">
        <f t="shared" si="4"/>
        <v>0</v>
      </c>
      <c r="P52" s="62">
        <f t="shared" si="5"/>
        <v>-5.2100840336133984</v>
      </c>
      <c r="Q52" s="295">
        <f t="shared" si="6"/>
        <v>0.95571428571428607</v>
      </c>
      <c r="R52" s="566">
        <f>Q59</f>
        <v>0.8753484765553734</v>
      </c>
      <c r="S52" s="63">
        <v>0.20833333333333334</v>
      </c>
      <c r="T52" s="63">
        <v>0.25208333333333333</v>
      </c>
      <c r="U52" s="68"/>
      <c r="V52" s="292">
        <f t="shared" ref="V52:V58" si="37">(T52-S52)*24*60</f>
        <v>62.999999999999979</v>
      </c>
      <c r="W52" s="68"/>
      <c r="X52" s="68"/>
      <c r="Y52" s="559"/>
      <c r="Z52" s="559"/>
      <c r="AA52" s="61">
        <f t="shared" si="8"/>
        <v>-88.571428571427987</v>
      </c>
      <c r="AB52" s="295">
        <f t="shared" si="9"/>
        <v>0.95571428571428596</v>
      </c>
      <c r="AC52" s="566">
        <f>AB59</f>
        <v>0.87534847655537329</v>
      </c>
    </row>
    <row r="53" spans="1:29" ht="15.75" customHeight="1">
      <c r="A53" s="574" t="s">
        <v>117</v>
      </c>
      <c r="B53" s="57" t="s">
        <v>10</v>
      </c>
      <c r="C53" s="560" t="s">
        <v>38</v>
      </c>
      <c r="D53" s="560"/>
      <c r="E53" s="57">
        <v>46</v>
      </c>
      <c r="F53" s="69">
        <v>2116</v>
      </c>
      <c r="G53" s="291">
        <f t="shared" si="35"/>
        <v>97336</v>
      </c>
      <c r="H53" s="302" t="s">
        <v>5</v>
      </c>
      <c r="I53" s="293">
        <v>17</v>
      </c>
      <c r="J53" s="58">
        <v>2000</v>
      </c>
      <c r="K53" s="59">
        <f t="shared" si="1"/>
        <v>117.64705882352941</v>
      </c>
      <c r="L53" s="293">
        <v>17</v>
      </c>
      <c r="M53" s="60">
        <f t="shared" si="36"/>
        <v>1923.6363636363637</v>
      </c>
      <c r="N53" s="60">
        <f t="shared" si="3"/>
        <v>113.15508021390374</v>
      </c>
      <c r="O53" s="61">
        <f t="shared" si="4"/>
        <v>0</v>
      </c>
      <c r="P53" s="62">
        <f t="shared" si="5"/>
        <v>-4.4919786096256615</v>
      </c>
      <c r="Q53" s="295">
        <f t="shared" si="6"/>
        <v>0.96181818181818191</v>
      </c>
      <c r="R53" s="566"/>
      <c r="S53" s="63">
        <v>0.25763888888888886</v>
      </c>
      <c r="T53" s="63">
        <v>0.3034722222222222</v>
      </c>
      <c r="U53" s="291">
        <f t="shared" ref="U53:U58" si="38">IF(S53=TIME(17,0,0),"",(S53-T52)*24*60)</f>
        <v>7.9999999999999716</v>
      </c>
      <c r="V53" s="292">
        <f t="shared" si="37"/>
        <v>66</v>
      </c>
      <c r="W53" s="64"/>
      <c r="X53" s="64"/>
      <c r="Y53" s="559"/>
      <c r="Z53" s="559"/>
      <c r="AA53" s="61">
        <f t="shared" si="8"/>
        <v>-76.36363636363626</v>
      </c>
      <c r="AB53" s="295">
        <f t="shared" si="9"/>
        <v>0.96181818181818191</v>
      </c>
      <c r="AC53" s="566"/>
    </row>
    <row r="54" spans="1:29" ht="15.75" customHeight="1">
      <c r="A54" s="574" t="s">
        <v>117</v>
      </c>
      <c r="B54" s="57" t="s">
        <v>6</v>
      </c>
      <c r="C54" s="567" t="s">
        <v>1181</v>
      </c>
      <c r="D54" s="568"/>
      <c r="E54" s="57">
        <v>51.86</v>
      </c>
      <c r="F54" s="69">
        <v>1211</v>
      </c>
      <c r="G54" s="291">
        <f t="shared" si="35"/>
        <v>62802.46</v>
      </c>
      <c r="H54" s="302" t="s">
        <v>5</v>
      </c>
      <c r="I54" s="293">
        <v>25</v>
      </c>
      <c r="J54" s="58">
        <v>2000</v>
      </c>
      <c r="K54" s="59">
        <f t="shared" si="1"/>
        <v>80</v>
      </c>
      <c r="L54" s="293">
        <v>25</v>
      </c>
      <c r="M54" s="60">
        <f t="shared" si="36"/>
        <v>1252.7586206896544</v>
      </c>
      <c r="N54" s="60">
        <f t="shared" si="3"/>
        <v>50.110344827586175</v>
      </c>
      <c r="O54" s="61">
        <f t="shared" si="4"/>
        <v>0</v>
      </c>
      <c r="P54" s="62">
        <f t="shared" si="5"/>
        <v>-29.889655172413825</v>
      </c>
      <c r="Q54" s="295">
        <f t="shared" si="6"/>
        <v>0.62637931034482719</v>
      </c>
      <c r="R54" s="566"/>
      <c r="S54" s="63">
        <v>0.30694444444444441</v>
      </c>
      <c r="T54" s="63">
        <v>0.34722222222222221</v>
      </c>
      <c r="U54" s="291">
        <f t="shared" si="38"/>
        <v>4.9999999999999822</v>
      </c>
      <c r="V54" s="292">
        <f t="shared" si="37"/>
        <v>58.000000000000036</v>
      </c>
      <c r="W54" s="64"/>
      <c r="X54" s="64"/>
      <c r="Y54" s="296"/>
      <c r="Z54" s="297"/>
      <c r="AA54" s="61">
        <f t="shared" si="8"/>
        <v>-747.24137931034556</v>
      </c>
      <c r="AB54" s="295">
        <f t="shared" si="9"/>
        <v>0.62637931034482719</v>
      </c>
      <c r="AC54" s="566"/>
    </row>
    <row r="55" spans="1:29" ht="15.75" customHeight="1">
      <c r="A55" s="574" t="s">
        <v>117</v>
      </c>
      <c r="B55" s="57" t="s">
        <v>6</v>
      </c>
      <c r="C55" s="299" t="s">
        <v>1182</v>
      </c>
      <c r="D55" s="300"/>
      <c r="E55" s="57">
        <v>56.43</v>
      </c>
      <c r="F55" s="69">
        <v>2107</v>
      </c>
      <c r="G55" s="291">
        <f t="shared" si="35"/>
        <v>118898.01</v>
      </c>
      <c r="H55" s="302" t="s">
        <v>5</v>
      </c>
      <c r="I55" s="293">
        <v>22</v>
      </c>
      <c r="J55" s="58">
        <v>2000</v>
      </c>
      <c r="K55" s="59">
        <f t="shared" si="1"/>
        <v>90.909090909090907</v>
      </c>
      <c r="L55" s="293">
        <v>22</v>
      </c>
      <c r="M55" s="60">
        <f t="shared" si="36"/>
        <v>1436.590909090909</v>
      </c>
      <c r="N55" s="60">
        <f t="shared" si="3"/>
        <v>65.299586776859499</v>
      </c>
      <c r="O55" s="61">
        <f t="shared" si="4"/>
        <v>0</v>
      </c>
      <c r="P55" s="62">
        <f t="shared" si="5"/>
        <v>-25.609504132231407</v>
      </c>
      <c r="Q55" s="295">
        <f t="shared" si="6"/>
        <v>0.71829545454545451</v>
      </c>
      <c r="R55" s="566"/>
      <c r="S55" s="63">
        <v>0.35138888888888886</v>
      </c>
      <c r="T55" s="63">
        <v>0.41249999999999998</v>
      </c>
      <c r="U55" s="291">
        <f t="shared" si="38"/>
        <v>5.9999999999999787</v>
      </c>
      <c r="V55" s="292">
        <f t="shared" si="37"/>
        <v>88</v>
      </c>
      <c r="W55" s="64"/>
      <c r="X55" s="64"/>
      <c r="Y55" s="296"/>
      <c r="Z55" s="297"/>
      <c r="AA55" s="61">
        <f t="shared" si="8"/>
        <v>-563.40909090909099</v>
      </c>
      <c r="AB55" s="295">
        <f t="shared" si="9"/>
        <v>0.71829545454545451</v>
      </c>
      <c r="AC55" s="566"/>
    </row>
    <row r="56" spans="1:29" ht="15.75" customHeight="1">
      <c r="A56" s="574" t="s">
        <v>117</v>
      </c>
      <c r="B56" s="57" t="s">
        <v>6</v>
      </c>
      <c r="C56" s="299" t="s">
        <v>39</v>
      </c>
      <c r="D56" s="300"/>
      <c r="E56" s="57">
        <v>55.56</v>
      </c>
      <c r="F56" s="69">
        <v>1863</v>
      </c>
      <c r="G56" s="291">
        <f t="shared" si="35"/>
        <v>103508.28</v>
      </c>
      <c r="H56" s="302" t="s">
        <v>5</v>
      </c>
      <c r="I56" s="293">
        <v>17</v>
      </c>
      <c r="J56" s="58">
        <v>2000</v>
      </c>
      <c r="K56" s="59">
        <f t="shared" si="1"/>
        <v>117.64705882352941</v>
      </c>
      <c r="L56" s="293">
        <v>17</v>
      </c>
      <c r="M56" s="60">
        <f t="shared" si="36"/>
        <v>1927.241379310346</v>
      </c>
      <c r="N56" s="60">
        <f t="shared" si="3"/>
        <v>113.36713995943212</v>
      </c>
      <c r="O56" s="61">
        <f t="shared" si="4"/>
        <v>0</v>
      </c>
      <c r="P56" s="62">
        <f t="shared" si="5"/>
        <v>-4.2799188640972829</v>
      </c>
      <c r="Q56" s="295">
        <f t="shared" si="6"/>
        <v>0.96362068965517311</v>
      </c>
      <c r="R56" s="566"/>
      <c r="S56" s="63">
        <v>0.70833333333333337</v>
      </c>
      <c r="T56" s="63">
        <v>0.74861111111111112</v>
      </c>
      <c r="U56" s="291" t="str">
        <f t="shared" si="38"/>
        <v/>
      </c>
      <c r="V56" s="292">
        <f t="shared" si="37"/>
        <v>57.999999999999957</v>
      </c>
      <c r="W56" s="64"/>
      <c r="X56" s="64"/>
      <c r="Y56" s="296"/>
      <c r="Z56" s="297"/>
      <c r="AA56" s="61">
        <f t="shared" si="8"/>
        <v>-72.758620689653981</v>
      </c>
      <c r="AB56" s="295">
        <f t="shared" si="9"/>
        <v>0.963620689655173</v>
      </c>
      <c r="AC56" s="566"/>
    </row>
    <row r="57" spans="1:29" ht="15.75" customHeight="1">
      <c r="A57" s="574" t="s">
        <v>117</v>
      </c>
      <c r="B57" s="57" t="s">
        <v>6</v>
      </c>
      <c r="C57" s="567" t="s">
        <v>40</v>
      </c>
      <c r="D57" s="568"/>
      <c r="E57" s="57">
        <v>55.32</v>
      </c>
      <c r="F57" s="69">
        <v>1406</v>
      </c>
      <c r="G57" s="291">
        <f t="shared" si="35"/>
        <v>77779.92</v>
      </c>
      <c r="H57" s="302" t="s">
        <v>5</v>
      </c>
      <c r="I57" s="293">
        <v>15</v>
      </c>
      <c r="J57" s="58">
        <v>2000</v>
      </c>
      <c r="K57" s="59">
        <f t="shared" si="1"/>
        <v>133.33333333333334</v>
      </c>
      <c r="L57" s="293">
        <v>15</v>
      </c>
      <c r="M57" s="60">
        <f t="shared" si="36"/>
        <v>1917.2727272727273</v>
      </c>
      <c r="N57" s="60">
        <f t="shared" si="3"/>
        <v>127.81818181818181</v>
      </c>
      <c r="O57" s="61">
        <f t="shared" si="4"/>
        <v>0</v>
      </c>
      <c r="P57" s="62">
        <f t="shared" si="5"/>
        <v>-5.5151515151515298</v>
      </c>
      <c r="Q57" s="295">
        <f t="shared" si="6"/>
        <v>0.95863636363636351</v>
      </c>
      <c r="R57" s="566"/>
      <c r="S57" s="63">
        <v>0.75208333333333333</v>
      </c>
      <c r="T57" s="63">
        <v>0.78263888888888888</v>
      </c>
      <c r="U57" s="291">
        <f t="shared" si="38"/>
        <v>4.9999999999999822</v>
      </c>
      <c r="V57" s="292">
        <f t="shared" si="37"/>
        <v>44</v>
      </c>
      <c r="W57" s="64"/>
      <c r="X57" s="64"/>
      <c r="Y57" s="569"/>
      <c r="Z57" s="570"/>
      <c r="AA57" s="61">
        <f t="shared" si="8"/>
        <v>-82.727272727272748</v>
      </c>
      <c r="AB57" s="295">
        <f t="shared" si="9"/>
        <v>0.95863636363636362</v>
      </c>
      <c r="AC57" s="566"/>
    </row>
    <row r="58" spans="1:29" ht="15.75" customHeight="1">
      <c r="A58" s="574" t="s">
        <v>117</v>
      </c>
      <c r="B58" s="57" t="s">
        <v>6</v>
      </c>
      <c r="C58" s="567" t="s">
        <v>99</v>
      </c>
      <c r="D58" s="568"/>
      <c r="E58" s="57">
        <v>53.68</v>
      </c>
      <c r="F58" s="69">
        <v>1400</v>
      </c>
      <c r="G58" s="291">
        <f t="shared" si="35"/>
        <v>75152</v>
      </c>
      <c r="H58" s="302">
        <v>2</v>
      </c>
      <c r="I58" s="293">
        <v>16</v>
      </c>
      <c r="J58" s="58">
        <v>1500</v>
      </c>
      <c r="K58" s="59">
        <f t="shared" si="1"/>
        <v>93.75</v>
      </c>
      <c r="L58" s="293">
        <v>16</v>
      </c>
      <c r="M58" s="60">
        <f t="shared" si="36"/>
        <v>1448.2758620689665</v>
      </c>
      <c r="N58" s="60">
        <f t="shared" si="3"/>
        <v>90.517241379310406</v>
      </c>
      <c r="O58" s="61">
        <f t="shared" si="4"/>
        <v>0</v>
      </c>
      <c r="P58" s="62">
        <f t="shared" si="5"/>
        <v>-3.2327586206895944</v>
      </c>
      <c r="Q58" s="295">
        <f t="shared" si="6"/>
        <v>0.96551724137931094</v>
      </c>
      <c r="R58" s="566"/>
      <c r="S58" s="63">
        <v>0.78819444444444442</v>
      </c>
      <c r="T58" s="63">
        <v>0.82847222222222217</v>
      </c>
      <c r="U58" s="291">
        <f t="shared" si="38"/>
        <v>7.9999999999999716</v>
      </c>
      <c r="V58" s="292">
        <f t="shared" si="37"/>
        <v>57.999999999999957</v>
      </c>
      <c r="W58" s="64"/>
      <c r="X58" s="64"/>
      <c r="Y58" s="569"/>
      <c r="Z58" s="570"/>
      <c r="AA58" s="61">
        <f t="shared" si="8"/>
        <v>-51.724137931033511</v>
      </c>
      <c r="AB58" s="295">
        <f t="shared" si="9"/>
        <v>0.96551724137931094</v>
      </c>
      <c r="AC58" s="566"/>
    </row>
    <row r="59" spans="1:29">
      <c r="A59" s="575" t="s">
        <v>117</v>
      </c>
      <c r="B59" s="57" t="s">
        <v>159</v>
      </c>
      <c r="C59" s="571"/>
      <c r="D59" s="571"/>
      <c r="E59" s="298"/>
      <c r="F59" s="66"/>
      <c r="G59" s="59"/>
      <c r="H59" s="294"/>
      <c r="I59" s="67">
        <v>18.428571428571427</v>
      </c>
      <c r="J59" s="58">
        <v>1928.5714285714287</v>
      </c>
      <c r="K59" s="59">
        <f t="shared" si="1"/>
        <v>104.65116279069768</v>
      </c>
      <c r="L59" s="67">
        <v>18.428571428571427</v>
      </c>
      <c r="M59" s="60">
        <f>AVERAGE(M52:M58)</f>
        <v>1688.17206192822</v>
      </c>
      <c r="N59" s="59">
        <f t="shared" si="3"/>
        <v>91.606235918585597</v>
      </c>
      <c r="O59" s="61">
        <f t="shared" si="4"/>
        <v>0</v>
      </c>
      <c r="P59" s="62">
        <f t="shared" si="5"/>
        <v>-13.044926872112086</v>
      </c>
      <c r="Q59" s="295">
        <f t="shared" si="6"/>
        <v>0.8753484765553734</v>
      </c>
      <c r="R59" s="566"/>
      <c r="S59" s="70"/>
      <c r="T59" s="63"/>
      <c r="U59" s="59"/>
      <c r="V59" s="292"/>
      <c r="W59" s="59"/>
      <c r="X59" s="59"/>
      <c r="Y59" s="559"/>
      <c r="Z59" s="559"/>
      <c r="AA59" s="61">
        <f t="shared" si="8"/>
        <v>-240.39936664320862</v>
      </c>
      <c r="AB59" s="295">
        <f t="shared" si="9"/>
        <v>0.87534847655537329</v>
      </c>
      <c r="AC59" s="566"/>
    </row>
    <row r="60" spans="1:29" ht="15.75" customHeight="1">
      <c r="A60" s="572" t="s">
        <v>93</v>
      </c>
      <c r="B60" s="294" t="s">
        <v>10</v>
      </c>
      <c r="C60" s="560" t="s">
        <v>42</v>
      </c>
      <c r="D60" s="560"/>
      <c r="E60" s="57">
        <v>26.97</v>
      </c>
      <c r="F60" s="69">
        <v>2660</v>
      </c>
      <c r="G60" s="291">
        <f t="shared" ref="G60:G65" si="39">E60*F60</f>
        <v>71740.2</v>
      </c>
      <c r="H60" s="302" t="s">
        <v>5</v>
      </c>
      <c r="I60" s="293">
        <v>8</v>
      </c>
      <c r="J60" s="58">
        <v>1500</v>
      </c>
      <c r="K60" s="59">
        <f t="shared" si="1"/>
        <v>187.5</v>
      </c>
      <c r="L60" s="293">
        <v>8</v>
      </c>
      <c r="M60" s="60">
        <f t="shared" ref="M60:M65" si="40">F60/V60*60</f>
        <v>1437.8378378378382</v>
      </c>
      <c r="N60" s="59">
        <f t="shared" si="3"/>
        <v>179.72972972972977</v>
      </c>
      <c r="O60" s="61">
        <f t="shared" si="4"/>
        <v>0</v>
      </c>
      <c r="P60" s="62">
        <f t="shared" si="5"/>
        <v>-7.7702702702702311</v>
      </c>
      <c r="Q60" s="295">
        <f t="shared" si="6"/>
        <v>0.95855855855855876</v>
      </c>
      <c r="R60" s="566">
        <f>Q66</f>
        <v>0.95904540939974048</v>
      </c>
      <c r="S60" s="63">
        <v>0.20833333333333334</v>
      </c>
      <c r="T60" s="63">
        <v>0.28541666666666665</v>
      </c>
      <c r="U60" s="291"/>
      <c r="V60" s="292">
        <f t="shared" ref="V60:V65" si="41">(T60-S60)*24*60</f>
        <v>110.99999999999997</v>
      </c>
      <c r="W60" s="68"/>
      <c r="X60" s="68"/>
      <c r="Y60" s="559"/>
      <c r="Z60" s="559"/>
      <c r="AA60" s="61">
        <f t="shared" si="8"/>
        <v>-62.162162162161849</v>
      </c>
      <c r="AB60" s="295">
        <f t="shared" si="9"/>
        <v>0.95855855855855876</v>
      </c>
      <c r="AC60" s="566">
        <f>AB66</f>
        <v>0.95904540939974037</v>
      </c>
    </row>
    <row r="61" spans="1:29" ht="15.75" customHeight="1">
      <c r="A61" s="572" t="s">
        <v>93</v>
      </c>
      <c r="B61" s="294" t="s">
        <v>31</v>
      </c>
      <c r="C61" s="560" t="s">
        <v>41</v>
      </c>
      <c r="D61" s="560"/>
      <c r="E61" s="57">
        <v>26.78</v>
      </c>
      <c r="F61" s="69">
        <v>2619</v>
      </c>
      <c r="G61" s="291">
        <f t="shared" si="39"/>
        <v>70136.820000000007</v>
      </c>
      <c r="H61" s="302" t="s">
        <v>5</v>
      </c>
      <c r="I61" s="293">
        <v>10</v>
      </c>
      <c r="J61" s="58">
        <v>3000</v>
      </c>
      <c r="K61" s="59">
        <f t="shared" si="1"/>
        <v>300</v>
      </c>
      <c r="L61" s="293">
        <v>10</v>
      </c>
      <c r="M61" s="60">
        <f t="shared" si="40"/>
        <v>2857.0909090909108</v>
      </c>
      <c r="N61" s="59">
        <f t="shared" si="3"/>
        <v>285.70909090909106</v>
      </c>
      <c r="O61" s="61">
        <f t="shared" si="4"/>
        <v>0</v>
      </c>
      <c r="P61" s="62">
        <f t="shared" si="5"/>
        <v>-14.29090909090894</v>
      </c>
      <c r="Q61" s="295">
        <f t="shared" si="6"/>
        <v>0.95236363636363686</v>
      </c>
      <c r="R61" s="566"/>
      <c r="S61" s="63">
        <v>0.29097222222222219</v>
      </c>
      <c r="T61" s="63">
        <v>0.32916666666666661</v>
      </c>
      <c r="U61" s="291">
        <f t="shared" ref="U61:U65" si="42">(S61-T60)*24*60</f>
        <v>7.9999999999999716</v>
      </c>
      <c r="V61" s="292">
        <f t="shared" si="41"/>
        <v>54.999999999999964</v>
      </c>
      <c r="W61" s="291"/>
      <c r="X61" s="291"/>
      <c r="Y61" s="559"/>
      <c r="Z61" s="559"/>
      <c r="AA61" s="61">
        <f t="shared" si="8"/>
        <v>-142.90909090908917</v>
      </c>
      <c r="AB61" s="295">
        <f t="shared" si="9"/>
        <v>0.95236363636363697</v>
      </c>
      <c r="AC61" s="566"/>
    </row>
    <row r="62" spans="1:29" ht="15.75" customHeight="1">
      <c r="A62" s="572" t="s">
        <v>93</v>
      </c>
      <c r="B62" s="294" t="s">
        <v>31</v>
      </c>
      <c r="C62" s="560" t="s">
        <v>64</v>
      </c>
      <c r="D62" s="560"/>
      <c r="E62" s="57">
        <v>37.880000000000003</v>
      </c>
      <c r="F62" s="69">
        <v>2713</v>
      </c>
      <c r="G62" s="291">
        <f t="shared" si="39"/>
        <v>102768.44</v>
      </c>
      <c r="H62" s="302" t="s">
        <v>5</v>
      </c>
      <c r="I62" s="293">
        <v>10</v>
      </c>
      <c r="J62" s="58">
        <v>3000</v>
      </c>
      <c r="K62" s="59">
        <f t="shared" si="1"/>
        <v>300</v>
      </c>
      <c r="L62" s="293">
        <v>10</v>
      </c>
      <c r="M62" s="60">
        <f t="shared" si="40"/>
        <v>2855.7894736842127</v>
      </c>
      <c r="N62" s="59">
        <f t="shared" si="3"/>
        <v>285.57894736842127</v>
      </c>
      <c r="O62" s="61">
        <f t="shared" si="4"/>
        <v>0</v>
      </c>
      <c r="P62" s="62">
        <f t="shared" si="5"/>
        <v>-14.421052631578732</v>
      </c>
      <c r="Q62" s="295">
        <f t="shared" si="6"/>
        <v>0.95192982456140418</v>
      </c>
      <c r="R62" s="566"/>
      <c r="S62" s="63">
        <v>0.33333333333333326</v>
      </c>
      <c r="T62" s="63">
        <v>0.37291666666666656</v>
      </c>
      <c r="U62" s="291">
        <f t="shared" si="42"/>
        <v>5.9999999999999787</v>
      </c>
      <c r="V62" s="292">
        <f t="shared" si="41"/>
        <v>56.999999999999957</v>
      </c>
      <c r="W62" s="291"/>
      <c r="X62" s="291"/>
      <c r="Y62" s="559"/>
      <c r="Z62" s="559"/>
      <c r="AA62" s="61">
        <f t="shared" si="8"/>
        <v>-144.21052631578732</v>
      </c>
      <c r="AB62" s="295">
        <f t="shared" si="9"/>
        <v>0.95192982456140418</v>
      </c>
      <c r="AC62" s="566"/>
    </row>
    <row r="63" spans="1:29" ht="15.75" customHeight="1">
      <c r="A63" s="572" t="s">
        <v>93</v>
      </c>
      <c r="B63" s="294" t="s">
        <v>31</v>
      </c>
      <c r="C63" s="560" t="s">
        <v>72</v>
      </c>
      <c r="D63" s="560"/>
      <c r="E63" s="57">
        <v>40.51</v>
      </c>
      <c r="F63" s="69">
        <v>2413</v>
      </c>
      <c r="G63" s="291">
        <f t="shared" si="39"/>
        <v>97750.62999999999</v>
      </c>
      <c r="H63" s="302" t="s">
        <v>5</v>
      </c>
      <c r="I63" s="293">
        <v>8</v>
      </c>
      <c r="J63" s="58">
        <v>3000</v>
      </c>
      <c r="K63" s="59">
        <f t="shared" si="1"/>
        <v>375</v>
      </c>
      <c r="L63" s="293">
        <v>8</v>
      </c>
      <c r="M63" s="60">
        <f t="shared" si="40"/>
        <v>2895.6000000000008</v>
      </c>
      <c r="N63" s="59">
        <f t="shared" si="3"/>
        <v>361.9500000000001</v>
      </c>
      <c r="O63" s="61">
        <f t="shared" si="4"/>
        <v>0</v>
      </c>
      <c r="P63" s="62">
        <f t="shared" si="5"/>
        <v>-13.049999999999898</v>
      </c>
      <c r="Q63" s="295">
        <f t="shared" si="6"/>
        <v>0.96520000000000028</v>
      </c>
      <c r="R63" s="566"/>
      <c r="S63" s="63">
        <v>0.37638888888888877</v>
      </c>
      <c r="T63" s="63">
        <v>0.41111111111111098</v>
      </c>
      <c r="U63" s="291">
        <f t="shared" si="42"/>
        <v>4.9999999999999822</v>
      </c>
      <c r="V63" s="292">
        <f t="shared" si="41"/>
        <v>49.999999999999986</v>
      </c>
      <c r="W63" s="291"/>
      <c r="X63" s="291"/>
      <c r="Y63" s="559"/>
      <c r="Z63" s="559"/>
      <c r="AA63" s="61">
        <f t="shared" si="8"/>
        <v>-104.39999999999918</v>
      </c>
      <c r="AB63" s="295">
        <f t="shared" si="9"/>
        <v>0.96520000000000028</v>
      </c>
      <c r="AC63" s="566"/>
    </row>
    <row r="64" spans="1:29">
      <c r="A64" s="573" t="s">
        <v>93</v>
      </c>
      <c r="B64" s="294" t="s">
        <v>31</v>
      </c>
      <c r="C64" s="560" t="s">
        <v>35</v>
      </c>
      <c r="D64" s="560"/>
      <c r="E64" s="57">
        <v>35.869999999999997</v>
      </c>
      <c r="F64" s="69">
        <v>2782</v>
      </c>
      <c r="G64" s="291">
        <f t="shared" si="39"/>
        <v>99790.34</v>
      </c>
      <c r="H64" s="302" t="s">
        <v>5</v>
      </c>
      <c r="I64" s="293">
        <v>9</v>
      </c>
      <c r="J64" s="58">
        <v>3000</v>
      </c>
      <c r="K64" s="59">
        <f t="shared" si="1"/>
        <v>333.33333333333331</v>
      </c>
      <c r="L64" s="293">
        <v>9</v>
      </c>
      <c r="M64" s="60">
        <f t="shared" si="40"/>
        <v>2877.9310344827568</v>
      </c>
      <c r="N64" s="59">
        <f t="shared" si="3"/>
        <v>319.77011494252855</v>
      </c>
      <c r="O64" s="61">
        <f t="shared" si="4"/>
        <v>0</v>
      </c>
      <c r="P64" s="62">
        <f t="shared" si="5"/>
        <v>-13.563218390804764</v>
      </c>
      <c r="Q64" s="295">
        <f t="shared" si="6"/>
        <v>0.9593103448275857</v>
      </c>
      <c r="R64" s="566"/>
      <c r="S64" s="63">
        <v>0.41458333333333319</v>
      </c>
      <c r="T64" s="63">
        <v>0.45486111111111099</v>
      </c>
      <c r="U64" s="291">
        <f t="shared" si="42"/>
        <v>4.9999999999999822</v>
      </c>
      <c r="V64" s="292">
        <f t="shared" si="41"/>
        <v>58.000000000000036</v>
      </c>
      <c r="W64" s="64"/>
      <c r="X64" s="64"/>
      <c r="Y64" s="559"/>
      <c r="Z64" s="559"/>
      <c r="AA64" s="61">
        <f t="shared" si="8"/>
        <v>-122.06896551724321</v>
      </c>
      <c r="AB64" s="295">
        <f t="shared" si="9"/>
        <v>0.95931034482758559</v>
      </c>
      <c r="AC64" s="566"/>
    </row>
    <row r="65" spans="1:29" ht="15" customHeight="1">
      <c r="A65" s="573" t="s">
        <v>93</v>
      </c>
      <c r="B65" s="294" t="s">
        <v>31</v>
      </c>
      <c r="C65" s="567" t="s">
        <v>63</v>
      </c>
      <c r="D65" s="568"/>
      <c r="E65" s="57">
        <v>34.36</v>
      </c>
      <c r="F65" s="69">
        <v>2030</v>
      </c>
      <c r="G65" s="291">
        <f t="shared" si="39"/>
        <v>69750.8</v>
      </c>
      <c r="H65" s="302" t="s">
        <v>5</v>
      </c>
      <c r="I65" s="293">
        <v>10</v>
      </c>
      <c r="J65" s="58">
        <v>3000</v>
      </c>
      <c r="K65" s="59">
        <f t="shared" si="1"/>
        <v>300</v>
      </c>
      <c r="L65" s="293">
        <v>10</v>
      </c>
      <c r="M65" s="60">
        <f t="shared" si="40"/>
        <v>2899.9999999999991</v>
      </c>
      <c r="N65" s="59">
        <f t="shared" si="3"/>
        <v>289.99999999999989</v>
      </c>
      <c r="O65" s="61">
        <f t="shared" si="4"/>
        <v>0</v>
      </c>
      <c r="P65" s="62">
        <f t="shared" si="5"/>
        <v>-10.000000000000114</v>
      </c>
      <c r="Q65" s="295">
        <f t="shared" si="6"/>
        <v>0.96666666666666634</v>
      </c>
      <c r="R65" s="566"/>
      <c r="S65" s="63">
        <v>0.45902777777777765</v>
      </c>
      <c r="T65" s="63">
        <v>0.48819444444444432</v>
      </c>
      <c r="U65" s="291">
        <f t="shared" si="42"/>
        <v>5.9999999999999787</v>
      </c>
      <c r="V65" s="292">
        <f t="shared" si="41"/>
        <v>42.000000000000014</v>
      </c>
      <c r="W65" s="291"/>
      <c r="X65" s="291"/>
      <c r="Y65" s="569"/>
      <c r="Z65" s="570"/>
      <c r="AA65" s="61">
        <f t="shared" si="8"/>
        <v>-100.00000000000091</v>
      </c>
      <c r="AB65" s="295">
        <f t="shared" si="9"/>
        <v>0.96666666666666634</v>
      </c>
      <c r="AC65" s="566"/>
    </row>
    <row r="66" spans="1:29">
      <c r="A66" s="573" t="s">
        <v>93</v>
      </c>
      <c r="B66" s="57" t="s">
        <v>159</v>
      </c>
      <c r="C66" s="571"/>
      <c r="D66" s="571"/>
      <c r="E66" s="298"/>
      <c r="F66" s="66"/>
      <c r="G66" s="59"/>
      <c r="H66" s="294"/>
      <c r="I66" s="67">
        <v>9.1666666666666661</v>
      </c>
      <c r="J66" s="58">
        <v>2750</v>
      </c>
      <c r="K66" s="59">
        <f t="shared" si="1"/>
        <v>300</v>
      </c>
      <c r="L66" s="67">
        <v>9.1666666666666661</v>
      </c>
      <c r="M66" s="60">
        <f>AVERAGE(M60:M65)</f>
        <v>2637.3748758492861</v>
      </c>
      <c r="N66" s="59">
        <f t="shared" si="3"/>
        <v>287.71362281992214</v>
      </c>
      <c r="O66" s="61">
        <f t="shared" si="4"/>
        <v>0</v>
      </c>
      <c r="P66" s="62">
        <f t="shared" si="5"/>
        <v>-12.286377180077864</v>
      </c>
      <c r="Q66" s="295">
        <f t="shared" si="6"/>
        <v>0.95904540939974048</v>
      </c>
      <c r="R66" s="566"/>
      <c r="S66" s="63"/>
      <c r="T66" s="63"/>
      <c r="U66" s="59"/>
      <c r="V66" s="292"/>
      <c r="W66" s="59"/>
      <c r="X66" s="59"/>
      <c r="Y66" s="559"/>
      <c r="Z66" s="559"/>
      <c r="AA66" s="61">
        <f t="shared" si="8"/>
        <v>-112.62512415071387</v>
      </c>
      <c r="AB66" s="295">
        <f t="shared" si="9"/>
        <v>0.95904540939974037</v>
      </c>
      <c r="AC66" s="566"/>
    </row>
    <row r="67" spans="1:29" ht="15.75" customHeight="1">
      <c r="A67" s="563" t="s">
        <v>90</v>
      </c>
      <c r="B67" s="294" t="s">
        <v>15</v>
      </c>
      <c r="C67" s="560" t="s">
        <v>43</v>
      </c>
      <c r="D67" s="560"/>
      <c r="E67" s="57">
        <v>20.2</v>
      </c>
      <c r="F67" s="294">
        <v>2297</v>
      </c>
      <c r="G67" s="291">
        <f t="shared" ref="G67:G73" si="43">E67*F67</f>
        <v>46399.4</v>
      </c>
      <c r="H67" s="302" t="s">
        <v>5</v>
      </c>
      <c r="I67" s="293">
        <v>19</v>
      </c>
      <c r="J67" s="58">
        <v>2400</v>
      </c>
      <c r="K67" s="59">
        <f t="shared" si="1"/>
        <v>126.31578947368421</v>
      </c>
      <c r="L67" s="293">
        <v>19</v>
      </c>
      <c r="M67" s="60">
        <f t="shared" ref="M67:M73" si="44">F67/V67*60</f>
        <v>2297</v>
      </c>
      <c r="N67" s="59">
        <f t="shared" si="3"/>
        <v>120.89473684210526</v>
      </c>
      <c r="O67" s="61">
        <f t="shared" si="4"/>
        <v>0</v>
      </c>
      <c r="P67" s="62">
        <f t="shared" si="5"/>
        <v>-5.4210526315789451</v>
      </c>
      <c r="Q67" s="295">
        <f t="shared" si="6"/>
        <v>0.9570833333333334</v>
      </c>
      <c r="R67" s="566">
        <f>Q74</f>
        <v>0.95476757167548121</v>
      </c>
      <c r="S67" s="63">
        <v>8.3333333333333329E-2</v>
      </c>
      <c r="T67" s="63">
        <v>0.125</v>
      </c>
      <c r="U67" s="68"/>
      <c r="V67" s="292">
        <f t="shared" ref="V67:V73" si="45">(T67-S67)*24*60</f>
        <v>60</v>
      </c>
      <c r="W67" s="64">
        <f>T67</f>
        <v>0.125</v>
      </c>
      <c r="X67" s="64">
        <f>S68</f>
        <v>0.14305555555555555</v>
      </c>
      <c r="Y67" s="559"/>
      <c r="Z67" s="559"/>
      <c r="AA67" s="61">
        <f t="shared" si="8"/>
        <v>-103</v>
      </c>
      <c r="AB67" s="295">
        <f t="shared" si="9"/>
        <v>0.95708333333333329</v>
      </c>
      <c r="AC67" s="566">
        <f>AB74</f>
        <v>0.95476757167548143</v>
      </c>
    </row>
    <row r="68" spans="1:29" ht="15.75" customHeight="1">
      <c r="A68" s="564" t="s">
        <v>1326</v>
      </c>
      <c r="B68" s="294" t="s">
        <v>15</v>
      </c>
      <c r="C68" s="560" t="s">
        <v>24</v>
      </c>
      <c r="D68" s="560"/>
      <c r="E68" s="57">
        <v>20.52</v>
      </c>
      <c r="F68" s="294">
        <v>3197</v>
      </c>
      <c r="G68" s="291">
        <f t="shared" si="43"/>
        <v>65602.44</v>
      </c>
      <c r="H68" s="302" t="s">
        <v>5</v>
      </c>
      <c r="I68" s="293">
        <v>18</v>
      </c>
      <c r="J68" s="58">
        <v>2400</v>
      </c>
      <c r="K68" s="59">
        <f t="shared" si="1"/>
        <v>133.33333333333334</v>
      </c>
      <c r="L68" s="293">
        <v>18</v>
      </c>
      <c r="M68" s="60">
        <f t="shared" si="44"/>
        <v>2283.5714285714289</v>
      </c>
      <c r="N68" s="59">
        <f t="shared" si="3"/>
        <v>126.86507936507938</v>
      </c>
      <c r="O68" s="61">
        <f t="shared" si="4"/>
        <v>0</v>
      </c>
      <c r="P68" s="62">
        <f t="shared" si="5"/>
        <v>-6.4682539682539613</v>
      </c>
      <c r="Q68" s="295">
        <f t="shared" si="6"/>
        <v>0.9514880952380953</v>
      </c>
      <c r="R68" s="566"/>
      <c r="S68" s="63">
        <v>0.14305555555555555</v>
      </c>
      <c r="T68" s="63">
        <v>0.20138888888888887</v>
      </c>
      <c r="U68" s="291">
        <f t="shared" ref="U68:U73" si="46">(S68-T67)*24*60</f>
        <v>25.999999999999986</v>
      </c>
      <c r="V68" s="292">
        <f t="shared" si="45"/>
        <v>83.999999999999986</v>
      </c>
      <c r="W68" s="64"/>
      <c r="X68" s="64"/>
      <c r="Y68" s="559"/>
      <c r="Z68" s="559"/>
      <c r="AA68" s="61">
        <f t="shared" si="8"/>
        <v>-116.4285714285711</v>
      </c>
      <c r="AB68" s="295">
        <f t="shared" si="9"/>
        <v>0.95148809523809541</v>
      </c>
      <c r="AC68" s="566"/>
    </row>
    <row r="69" spans="1:29" ht="15.75" customHeight="1">
      <c r="A69" s="564" t="s">
        <v>1327</v>
      </c>
      <c r="B69" s="294" t="s">
        <v>15</v>
      </c>
      <c r="C69" s="560" t="s">
        <v>44</v>
      </c>
      <c r="D69" s="560"/>
      <c r="E69" s="57">
        <v>19.02</v>
      </c>
      <c r="F69" s="294">
        <v>5000</v>
      </c>
      <c r="G69" s="291">
        <f t="shared" si="43"/>
        <v>95100</v>
      </c>
      <c r="H69" s="302">
        <v>2</v>
      </c>
      <c r="I69" s="293">
        <v>15</v>
      </c>
      <c r="J69" s="58">
        <v>2400</v>
      </c>
      <c r="K69" s="59">
        <f t="shared" ref="K69:K74" si="47">J69/I69</f>
        <v>160</v>
      </c>
      <c r="L69" s="293">
        <v>15</v>
      </c>
      <c r="M69" s="60">
        <f t="shared" si="44"/>
        <v>2290.0763358778631</v>
      </c>
      <c r="N69" s="59">
        <f t="shared" ref="N69:N74" si="48">M69/L69</f>
        <v>152.67175572519088</v>
      </c>
      <c r="O69" s="61">
        <f t="shared" ref="O69:O74" si="49">L69-I69</f>
        <v>0</v>
      </c>
      <c r="P69" s="62">
        <f t="shared" ref="P69:P74" si="50">N69-K69</f>
        <v>-7.3282442748091228</v>
      </c>
      <c r="Q69" s="295">
        <f t="shared" ref="Q69:Q74" si="51">N69/K69</f>
        <v>0.954198473282443</v>
      </c>
      <c r="R69" s="566"/>
      <c r="S69" s="63">
        <v>0.20486111111111108</v>
      </c>
      <c r="T69" s="63">
        <v>0.29583333333333328</v>
      </c>
      <c r="U69" s="291">
        <f t="shared" si="46"/>
        <v>4.9999999999999822</v>
      </c>
      <c r="V69" s="292">
        <f t="shared" si="45"/>
        <v>130.99999999999997</v>
      </c>
      <c r="W69" s="64"/>
      <c r="X69" s="64"/>
      <c r="Y69" s="559"/>
      <c r="Z69" s="559"/>
      <c r="AA69" s="61">
        <f t="shared" ref="AA69:AA74" si="52">M69-J69</f>
        <v>-109.92366412213687</v>
      </c>
      <c r="AB69" s="295">
        <f t="shared" ref="AB69:AB74" si="53">M69/J69</f>
        <v>0.954198473282443</v>
      </c>
      <c r="AC69" s="566"/>
    </row>
    <row r="70" spans="1:29" ht="15.75" customHeight="1">
      <c r="A70" s="564" t="s">
        <v>1328</v>
      </c>
      <c r="B70" s="294" t="s">
        <v>15</v>
      </c>
      <c r="C70" s="560" t="s">
        <v>29</v>
      </c>
      <c r="D70" s="560"/>
      <c r="E70" s="57">
        <v>24.43</v>
      </c>
      <c r="F70" s="294">
        <v>4100</v>
      </c>
      <c r="G70" s="291">
        <f t="shared" si="43"/>
        <v>100163</v>
      </c>
      <c r="H70" s="302">
        <v>2</v>
      </c>
      <c r="I70" s="293">
        <v>14</v>
      </c>
      <c r="J70" s="58">
        <v>2400</v>
      </c>
      <c r="K70" s="59">
        <f t="shared" si="47"/>
        <v>171.42857142857142</v>
      </c>
      <c r="L70" s="293">
        <v>14</v>
      </c>
      <c r="M70" s="60">
        <f t="shared" si="44"/>
        <v>2299.0654205607475</v>
      </c>
      <c r="N70" s="59">
        <f t="shared" si="48"/>
        <v>164.21895861148195</v>
      </c>
      <c r="O70" s="61">
        <f t="shared" si="49"/>
        <v>0</v>
      </c>
      <c r="P70" s="62">
        <f t="shared" si="50"/>
        <v>-7.2096128170894644</v>
      </c>
      <c r="Q70" s="295">
        <f t="shared" si="51"/>
        <v>0.9579439252336448</v>
      </c>
      <c r="R70" s="566"/>
      <c r="S70" s="63">
        <v>0.29930555555555549</v>
      </c>
      <c r="T70" s="63">
        <v>0.37361111111111106</v>
      </c>
      <c r="U70" s="291">
        <f t="shared" si="46"/>
        <v>4.9999999999999822</v>
      </c>
      <c r="V70" s="292">
        <f t="shared" si="45"/>
        <v>107.00000000000001</v>
      </c>
      <c r="W70" s="64"/>
      <c r="X70" s="64"/>
      <c r="Y70" s="559"/>
      <c r="Z70" s="559"/>
      <c r="AA70" s="61">
        <f t="shared" si="52"/>
        <v>-100.9345794392525</v>
      </c>
      <c r="AB70" s="295">
        <f t="shared" si="53"/>
        <v>0.9579439252336448</v>
      </c>
      <c r="AC70" s="566"/>
    </row>
    <row r="71" spans="1:29" ht="15.75" customHeight="1">
      <c r="A71" s="564" t="s">
        <v>1326</v>
      </c>
      <c r="B71" s="294" t="s">
        <v>15</v>
      </c>
      <c r="C71" s="560" t="s">
        <v>1183</v>
      </c>
      <c r="D71" s="560"/>
      <c r="E71" s="57">
        <v>19.309999999999999</v>
      </c>
      <c r="F71" s="294">
        <v>6435</v>
      </c>
      <c r="G71" s="291">
        <f t="shared" si="43"/>
        <v>124259.84999999999</v>
      </c>
      <c r="H71" s="302" t="s">
        <v>5</v>
      </c>
      <c r="I71" s="293">
        <v>16</v>
      </c>
      <c r="J71" s="58">
        <v>2400</v>
      </c>
      <c r="K71" s="59">
        <f t="shared" si="47"/>
        <v>150</v>
      </c>
      <c r="L71" s="293">
        <v>16</v>
      </c>
      <c r="M71" s="60">
        <f t="shared" si="44"/>
        <v>2284.6153846153843</v>
      </c>
      <c r="N71" s="59">
        <f t="shared" si="48"/>
        <v>142.78846153846152</v>
      </c>
      <c r="O71" s="61">
        <f t="shared" si="49"/>
        <v>0</v>
      </c>
      <c r="P71" s="62">
        <f t="shared" si="50"/>
        <v>-7.2115384615384812</v>
      </c>
      <c r="Q71" s="295">
        <f t="shared" si="51"/>
        <v>0.95192307692307676</v>
      </c>
      <c r="R71" s="566"/>
      <c r="S71" s="63">
        <v>0.37847222222222215</v>
      </c>
      <c r="T71" s="63">
        <v>0.49583333333333329</v>
      </c>
      <c r="U71" s="291">
        <f t="shared" si="46"/>
        <v>6.9999999999999751</v>
      </c>
      <c r="V71" s="292">
        <f t="shared" si="45"/>
        <v>169.00000000000003</v>
      </c>
      <c r="W71" s="64">
        <f>T71</f>
        <v>0.49583333333333329</v>
      </c>
      <c r="X71" s="64">
        <f>S72</f>
        <v>0.53749999999999998</v>
      </c>
      <c r="Y71" s="559"/>
      <c r="Z71" s="559"/>
      <c r="AA71" s="61">
        <f t="shared" si="52"/>
        <v>-115.3846153846157</v>
      </c>
      <c r="AB71" s="295">
        <f t="shared" si="53"/>
        <v>0.95192307692307676</v>
      </c>
      <c r="AC71" s="566"/>
    </row>
    <row r="72" spans="1:29" ht="15.75" customHeight="1">
      <c r="A72" s="564" t="s">
        <v>90</v>
      </c>
      <c r="B72" s="294" t="s">
        <v>15</v>
      </c>
      <c r="C72" s="560" t="s">
        <v>44</v>
      </c>
      <c r="D72" s="560"/>
      <c r="E72" s="57">
        <v>19.02</v>
      </c>
      <c r="F72" s="294">
        <v>3878</v>
      </c>
      <c r="G72" s="291">
        <f t="shared" si="43"/>
        <v>73759.56</v>
      </c>
      <c r="H72" s="302" t="s">
        <v>5</v>
      </c>
      <c r="I72" s="293">
        <v>15</v>
      </c>
      <c r="J72" s="58">
        <v>2400</v>
      </c>
      <c r="K72" s="59">
        <f t="shared" si="47"/>
        <v>160</v>
      </c>
      <c r="L72" s="293">
        <v>15</v>
      </c>
      <c r="M72" s="60">
        <f t="shared" si="44"/>
        <v>2281.1764705882365</v>
      </c>
      <c r="N72" s="59">
        <f t="shared" si="48"/>
        <v>152.07843137254909</v>
      </c>
      <c r="O72" s="61">
        <f t="shared" si="49"/>
        <v>0</v>
      </c>
      <c r="P72" s="62">
        <f t="shared" si="50"/>
        <v>-7.9215686274509096</v>
      </c>
      <c r="Q72" s="295">
        <f t="shared" si="51"/>
        <v>0.95049019607843177</v>
      </c>
      <c r="R72" s="566"/>
      <c r="S72" s="63">
        <v>0.53749999999999998</v>
      </c>
      <c r="T72" s="63">
        <v>0.60833333333333328</v>
      </c>
      <c r="U72" s="291">
        <f t="shared" si="46"/>
        <v>60.000000000000028</v>
      </c>
      <c r="V72" s="292">
        <f t="shared" si="45"/>
        <v>101.99999999999996</v>
      </c>
      <c r="W72" s="64"/>
      <c r="X72" s="64"/>
      <c r="Y72" s="559"/>
      <c r="Z72" s="559"/>
      <c r="AA72" s="61">
        <f t="shared" si="52"/>
        <v>-118.8235294117635</v>
      </c>
      <c r="AB72" s="295">
        <f t="shared" si="53"/>
        <v>0.95049019607843188</v>
      </c>
      <c r="AC72" s="566"/>
    </row>
    <row r="73" spans="1:29" ht="15.75" customHeight="1">
      <c r="A73" s="564" t="s">
        <v>90</v>
      </c>
      <c r="B73" s="294" t="s">
        <v>15</v>
      </c>
      <c r="C73" s="560" t="s">
        <v>29</v>
      </c>
      <c r="D73" s="560"/>
      <c r="E73" s="57">
        <v>24.43</v>
      </c>
      <c r="F73" s="294">
        <v>2343</v>
      </c>
      <c r="G73" s="291">
        <f t="shared" si="43"/>
        <v>57239.49</v>
      </c>
      <c r="H73" s="302" t="s">
        <v>5</v>
      </c>
      <c r="I73" s="293">
        <v>14</v>
      </c>
      <c r="J73" s="58">
        <v>2400</v>
      </c>
      <c r="K73" s="59">
        <f t="shared" si="47"/>
        <v>171.42857142857142</v>
      </c>
      <c r="L73" s="293">
        <v>14</v>
      </c>
      <c r="M73" s="60">
        <f t="shared" si="44"/>
        <v>2304.5901639344283</v>
      </c>
      <c r="N73" s="59">
        <f t="shared" si="48"/>
        <v>164.61358313817345</v>
      </c>
      <c r="O73" s="61">
        <f t="shared" si="49"/>
        <v>0</v>
      </c>
      <c r="P73" s="62">
        <f t="shared" si="50"/>
        <v>-6.8149882903979631</v>
      </c>
      <c r="Q73" s="295">
        <f t="shared" si="51"/>
        <v>0.9602459016393452</v>
      </c>
      <c r="R73" s="566"/>
      <c r="S73" s="63">
        <v>0.61180555555555549</v>
      </c>
      <c r="T73" s="63">
        <v>0.65416666666666656</v>
      </c>
      <c r="U73" s="291">
        <f t="shared" si="46"/>
        <v>4.9999999999999822</v>
      </c>
      <c r="V73" s="292">
        <f t="shared" si="45"/>
        <v>60.999999999999943</v>
      </c>
      <c r="W73" s="64"/>
      <c r="X73" s="64"/>
      <c r="Y73" s="569"/>
      <c r="Z73" s="570"/>
      <c r="AA73" s="61">
        <f t="shared" si="52"/>
        <v>-95.409836065571653</v>
      </c>
      <c r="AB73" s="295">
        <f t="shared" si="53"/>
        <v>0.96024590163934509</v>
      </c>
      <c r="AC73" s="566"/>
    </row>
    <row r="74" spans="1:29" ht="16.5" customHeight="1">
      <c r="A74" s="565" t="s">
        <v>90</v>
      </c>
      <c r="B74" s="57" t="s">
        <v>159</v>
      </c>
      <c r="C74" s="561"/>
      <c r="D74" s="562"/>
      <c r="E74" s="298"/>
      <c r="F74" s="66"/>
      <c r="G74" s="59"/>
      <c r="H74" s="294"/>
      <c r="I74" s="67">
        <v>15.857142857142858</v>
      </c>
      <c r="J74" s="58">
        <v>2400</v>
      </c>
      <c r="K74" s="59">
        <f t="shared" si="47"/>
        <v>151.35135135135135</v>
      </c>
      <c r="L74" s="67">
        <v>15.857142857142858</v>
      </c>
      <c r="M74" s="60">
        <f>AVERAGE(M67:M73)</f>
        <v>2291.4421720211553</v>
      </c>
      <c r="N74" s="59">
        <f t="shared" si="48"/>
        <v>144.5053621995323</v>
      </c>
      <c r="O74" s="61">
        <f t="shared" si="49"/>
        <v>0</v>
      </c>
      <c r="P74" s="62">
        <f t="shared" si="50"/>
        <v>-6.8459891518190545</v>
      </c>
      <c r="Q74" s="295">
        <f t="shared" si="51"/>
        <v>0.95476757167548121</v>
      </c>
      <c r="R74" s="566"/>
      <c r="S74" s="63"/>
      <c r="T74" s="63"/>
      <c r="U74" s="59"/>
      <c r="V74" s="292"/>
      <c r="W74" s="59"/>
      <c r="X74" s="59"/>
      <c r="Y74" s="559"/>
      <c r="Z74" s="559"/>
      <c r="AA74" s="61">
        <f t="shared" si="52"/>
        <v>-108.55782797884467</v>
      </c>
      <c r="AB74" s="295">
        <f t="shared" si="53"/>
        <v>0.95476757167548143</v>
      </c>
      <c r="AC74" s="566"/>
    </row>
    <row r="75" spans="1:29">
      <c r="D75" s="122"/>
      <c r="E75" s="122"/>
      <c r="J75" s="73"/>
    </row>
  </sheetData>
  <mergeCells count="196"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C8:D8"/>
    <mergeCell ref="Y8:Z8"/>
    <mergeCell ref="A9:A11"/>
    <mergeCell ref="C9:D9"/>
    <mergeCell ref="R9:R11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C14:D14"/>
    <mergeCell ref="Y14:Z14"/>
    <mergeCell ref="C15:D15"/>
    <mergeCell ref="Y15:Z15"/>
    <mergeCell ref="AC9:AC11"/>
    <mergeCell ref="C10:D10"/>
    <mergeCell ref="Y10:Z10"/>
    <mergeCell ref="C11:D11"/>
    <mergeCell ref="Y11:Z11"/>
    <mergeCell ref="C12:D12"/>
    <mergeCell ref="R12:R17"/>
    <mergeCell ref="Y12:Z12"/>
    <mergeCell ref="AC12:AC17"/>
    <mergeCell ref="C16:D16"/>
    <mergeCell ref="Y16:Z16"/>
    <mergeCell ref="C17:D17"/>
    <mergeCell ref="Y17:Z17"/>
    <mergeCell ref="A18:A26"/>
    <mergeCell ref="C18:D18"/>
    <mergeCell ref="R18:R26"/>
    <mergeCell ref="Y18:Z18"/>
    <mergeCell ref="Y23:Z23"/>
    <mergeCell ref="C24:D24"/>
    <mergeCell ref="A12:A17"/>
    <mergeCell ref="AC18:AC26"/>
    <mergeCell ref="C19:D19"/>
    <mergeCell ref="Y19:Z19"/>
    <mergeCell ref="C20:D20"/>
    <mergeCell ref="Y20:Z20"/>
    <mergeCell ref="C21:D21"/>
    <mergeCell ref="Y21:Z21"/>
    <mergeCell ref="C22:D22"/>
    <mergeCell ref="Y22:Z22"/>
    <mergeCell ref="C23:D23"/>
    <mergeCell ref="Y24:Z24"/>
    <mergeCell ref="C25:D25"/>
    <mergeCell ref="Y25:Z25"/>
    <mergeCell ref="C26:D26"/>
    <mergeCell ref="Y26:Z26"/>
    <mergeCell ref="C13:D13"/>
    <mergeCell ref="Y13:Z13"/>
    <mergeCell ref="A27:A34"/>
    <mergeCell ref="C27:D27"/>
    <mergeCell ref="R27:R34"/>
    <mergeCell ref="Y27:Z27"/>
    <mergeCell ref="Y32:Z32"/>
    <mergeCell ref="AC27:AC34"/>
    <mergeCell ref="C28:D28"/>
    <mergeCell ref="Y28:Z28"/>
    <mergeCell ref="C29:D29"/>
    <mergeCell ref="Y29:Z29"/>
    <mergeCell ref="C30:D30"/>
    <mergeCell ref="Y30:Z30"/>
    <mergeCell ref="C31:D31"/>
    <mergeCell ref="Y31:Z31"/>
    <mergeCell ref="C32:D32"/>
    <mergeCell ref="C33:D33"/>
    <mergeCell ref="Y33:Z33"/>
    <mergeCell ref="C34:D34"/>
    <mergeCell ref="Y34:Z34"/>
    <mergeCell ref="A35:A44"/>
    <mergeCell ref="C35:D35"/>
    <mergeCell ref="R35:R44"/>
    <mergeCell ref="Y35:Z35"/>
    <mergeCell ref="Y40:Z40"/>
    <mergeCell ref="C41:D41"/>
    <mergeCell ref="Y41:Z41"/>
    <mergeCell ref="C42:D42"/>
    <mergeCell ref="Y42:Z42"/>
    <mergeCell ref="C43:D43"/>
    <mergeCell ref="Y43:Z43"/>
    <mergeCell ref="C44:D44"/>
    <mergeCell ref="Y44:Z44"/>
    <mergeCell ref="AC35:AC44"/>
    <mergeCell ref="C36:D36"/>
    <mergeCell ref="Y36:Z36"/>
    <mergeCell ref="C37:D37"/>
    <mergeCell ref="Y37:Z37"/>
    <mergeCell ref="C38:D38"/>
    <mergeCell ref="Y38:Z38"/>
    <mergeCell ref="C39:D39"/>
    <mergeCell ref="Y39:Z39"/>
    <mergeCell ref="C40:D40"/>
    <mergeCell ref="A45:A51"/>
    <mergeCell ref="C45:D45"/>
    <mergeCell ref="R45:R51"/>
    <mergeCell ref="Y45:Z45"/>
    <mergeCell ref="AC45:AC51"/>
    <mergeCell ref="C46:D46"/>
    <mergeCell ref="Y46:Z46"/>
    <mergeCell ref="C47:D47"/>
    <mergeCell ref="Y47:Z47"/>
    <mergeCell ref="C48:D48"/>
    <mergeCell ref="AC52:AC59"/>
    <mergeCell ref="C53:D53"/>
    <mergeCell ref="Y53:Z53"/>
    <mergeCell ref="C54:D54"/>
    <mergeCell ref="C57:D57"/>
    <mergeCell ref="Y57:Z57"/>
    <mergeCell ref="Y48:Z48"/>
    <mergeCell ref="C49:D49"/>
    <mergeCell ref="Y49:Z49"/>
    <mergeCell ref="C50:D50"/>
    <mergeCell ref="Y50:Z50"/>
    <mergeCell ref="C51:D51"/>
    <mergeCell ref="Y51:Z51"/>
    <mergeCell ref="C58:D58"/>
    <mergeCell ref="Y58:Z58"/>
    <mergeCell ref="C59:D59"/>
    <mergeCell ref="Y59:Z59"/>
    <mergeCell ref="A60:A66"/>
    <mergeCell ref="C60:D60"/>
    <mergeCell ref="R60:R66"/>
    <mergeCell ref="Y60:Z60"/>
    <mergeCell ref="Y65:Z65"/>
    <mergeCell ref="C66:D66"/>
    <mergeCell ref="A52:A59"/>
    <mergeCell ref="C52:D52"/>
    <mergeCell ref="R52:R59"/>
    <mergeCell ref="Y52:Z52"/>
    <mergeCell ref="Y66:Z66"/>
    <mergeCell ref="A67:A74"/>
    <mergeCell ref="C67:D67"/>
    <mergeCell ref="R67:R74"/>
    <mergeCell ref="Y67:Z67"/>
    <mergeCell ref="AC67:AC74"/>
    <mergeCell ref="C68:D68"/>
    <mergeCell ref="Y68:Z68"/>
    <mergeCell ref="C69:D69"/>
    <mergeCell ref="Y69:Z69"/>
    <mergeCell ref="C73:D73"/>
    <mergeCell ref="Y73:Z73"/>
    <mergeCell ref="C74:D74"/>
    <mergeCell ref="Y74:Z74"/>
    <mergeCell ref="C70:D70"/>
    <mergeCell ref="Y70:Z70"/>
    <mergeCell ref="C71:D71"/>
    <mergeCell ref="Y71:Z71"/>
    <mergeCell ref="C72:D72"/>
    <mergeCell ref="Y72:Z72"/>
    <mergeCell ref="AC60:AC66"/>
    <mergeCell ref="C61:D61"/>
    <mergeCell ref="Y61:Z61"/>
    <mergeCell ref="C62:D62"/>
    <mergeCell ref="Y62:Z62"/>
    <mergeCell ref="C63:D63"/>
    <mergeCell ref="Y63:Z63"/>
    <mergeCell ref="C64:D64"/>
    <mergeCell ref="Y64:Z64"/>
    <mergeCell ref="C65:D65"/>
  </mergeCells>
  <phoneticPr fontId="3" type="noConversion"/>
  <conditionalFormatting sqref="O63:O72 O59:O60 O74 O5:O9 O11:O13 O17:O57">
    <cfRule type="cellIs" dxfId="1224" priority="51" operator="greaterThan">
      <formula>0</formula>
    </cfRule>
  </conditionalFormatting>
  <conditionalFormatting sqref="P5:P7 P63:P65 AA63:AA65 P67:P72 P27:P33 P60 P9 P11:P13 P18:P25 P52:P57 P35:P50 AA5:AA60 AA67:AA74">
    <cfRule type="cellIs" dxfId="1223" priority="55" operator="lessThan">
      <formula>0</formula>
    </cfRule>
  </conditionalFormatting>
  <conditionalFormatting sqref="AB63:AB65 Q63:Q72 Q59:Q60 Q74 Q5:Q9 Q11:Q13 Q17:Q57 AB5:AB60 AB67:AB74">
    <cfRule type="cellIs" dxfId="1222" priority="52" operator="greaterThan">
      <formula>1</formula>
    </cfRule>
    <cfRule type="cellIs" dxfId="1221" priority="53" operator="lessThan">
      <formula>0.8</formula>
    </cfRule>
  </conditionalFormatting>
  <conditionalFormatting sqref="AC12:AC13 R12:R13 AC63 R63:R72 R17:R23 AC17:AC23 R26:R42 AC26:AC42 AC59:AC60 R59:R60 R74 AC5:AC9 R5:R9 AC44:AC57 R44:R57">
    <cfRule type="cellIs" dxfId="1220" priority="57" operator="lessThan">
      <formula>0.8</formula>
    </cfRule>
  </conditionalFormatting>
  <conditionalFormatting sqref="AC45">
    <cfRule type="cellIs" dxfId="1219" priority="59" operator="lessThan">
      <formula>0.8</formula>
    </cfRule>
  </conditionalFormatting>
  <conditionalFormatting sqref="AC18:AC23">
    <cfRule type="cellIs" dxfId="1218" priority="56" operator="lessThan">
      <formula>0.8</formula>
    </cfRule>
  </conditionalFormatting>
  <conditionalFormatting sqref="AC27">
    <cfRule type="cellIs" dxfId="1217" priority="58" operator="lessThan">
      <formula>0.8</formula>
    </cfRule>
  </conditionalFormatting>
  <conditionalFormatting sqref="AC35:AC42">
    <cfRule type="cellIs" dxfId="1216" priority="54" operator="lessThan">
      <formula>0.8</formula>
    </cfRule>
  </conditionalFormatting>
  <conditionalFormatting sqref="AA66">
    <cfRule type="cellIs" dxfId="1215" priority="50" operator="lessThan">
      <formula>0</formula>
    </cfRule>
  </conditionalFormatting>
  <conditionalFormatting sqref="AB66">
    <cfRule type="cellIs" dxfId="1214" priority="48" operator="greaterThan">
      <formula>1</formula>
    </cfRule>
    <cfRule type="cellIs" dxfId="1213" priority="49" operator="lessThan">
      <formula>0.8</formula>
    </cfRule>
  </conditionalFormatting>
  <conditionalFormatting sqref="O14:O15">
    <cfRule type="cellIs" dxfId="1212" priority="43" operator="greaterThan">
      <formula>0</formula>
    </cfRule>
  </conditionalFormatting>
  <conditionalFormatting sqref="P14:P15">
    <cfRule type="cellIs" dxfId="1211" priority="46" operator="lessThan">
      <formula>0</formula>
    </cfRule>
  </conditionalFormatting>
  <conditionalFormatting sqref="Q14:Q15">
    <cfRule type="cellIs" dxfId="1210" priority="44" operator="greaterThan">
      <formula>1</formula>
    </cfRule>
    <cfRule type="cellIs" dxfId="1209" priority="45" operator="lessThan">
      <formula>0.8</formula>
    </cfRule>
  </conditionalFormatting>
  <conditionalFormatting sqref="R14:R15 AC14:AC15">
    <cfRule type="cellIs" dxfId="1208" priority="47" operator="lessThan">
      <formula>0.8</formula>
    </cfRule>
  </conditionalFormatting>
  <conditionalFormatting sqref="O10">
    <cfRule type="cellIs" dxfId="1207" priority="39" operator="greaterThan">
      <formula>0</formula>
    </cfRule>
  </conditionalFormatting>
  <conditionalFormatting sqref="P10">
    <cfRule type="cellIs" dxfId="1206" priority="42" operator="lessThan">
      <formula>0</formula>
    </cfRule>
  </conditionalFormatting>
  <conditionalFormatting sqref="Q10">
    <cfRule type="cellIs" dxfId="1205" priority="40" operator="greaterThan">
      <formula>1</formula>
    </cfRule>
    <cfRule type="cellIs" dxfId="1204" priority="41" operator="lessThan">
      <formula>0.8</formula>
    </cfRule>
  </conditionalFormatting>
  <conditionalFormatting sqref="O58">
    <cfRule type="cellIs" dxfId="1203" priority="34" operator="greaterThan">
      <formula>0</formula>
    </cfRule>
  </conditionalFormatting>
  <conditionalFormatting sqref="P58">
    <cfRule type="cellIs" dxfId="1202" priority="37" operator="lessThan">
      <formula>0</formula>
    </cfRule>
  </conditionalFormatting>
  <conditionalFormatting sqref="Q58">
    <cfRule type="cellIs" dxfId="1201" priority="35" operator="greaterThan">
      <formula>1</formula>
    </cfRule>
    <cfRule type="cellIs" dxfId="1200" priority="36" operator="lessThan">
      <formula>0.8</formula>
    </cfRule>
  </conditionalFormatting>
  <conditionalFormatting sqref="R58 AC58">
    <cfRule type="cellIs" dxfId="1199" priority="38" operator="lessThan">
      <formula>0.8</formula>
    </cfRule>
  </conditionalFormatting>
  <conditionalFormatting sqref="AC25 R25">
    <cfRule type="cellIs" dxfId="1198" priority="33" operator="lessThan">
      <formula>0.8</formula>
    </cfRule>
  </conditionalFormatting>
  <conditionalFormatting sqref="R43 AC43">
    <cfRule type="cellIs" dxfId="1197" priority="32" operator="lessThan">
      <formula>0.8</formula>
    </cfRule>
  </conditionalFormatting>
  <conditionalFormatting sqref="AC43">
    <cfRule type="cellIs" dxfId="1196" priority="31" operator="lessThan">
      <formula>0.8</formula>
    </cfRule>
  </conditionalFormatting>
  <conditionalFormatting sqref="O62">
    <cfRule type="cellIs" dxfId="1195" priority="26" operator="greaterThan">
      <formula>0</formula>
    </cfRule>
  </conditionalFormatting>
  <conditionalFormatting sqref="P62 AA62">
    <cfRule type="cellIs" dxfId="1194" priority="29" operator="lessThan">
      <formula>0</formula>
    </cfRule>
  </conditionalFormatting>
  <conditionalFormatting sqref="Q62 AB62">
    <cfRule type="cellIs" dxfId="1193" priority="27" operator="greaterThan">
      <formula>1</formula>
    </cfRule>
    <cfRule type="cellIs" dxfId="1192" priority="28" operator="lessThan">
      <formula>0.8</formula>
    </cfRule>
  </conditionalFormatting>
  <conditionalFormatting sqref="R62 AC62">
    <cfRule type="cellIs" dxfId="1191" priority="30" operator="lessThan">
      <formula>0.8</formula>
    </cfRule>
  </conditionalFormatting>
  <conditionalFormatting sqref="O73">
    <cfRule type="cellIs" dxfId="1190" priority="21" operator="greaterThan">
      <formula>0</formula>
    </cfRule>
  </conditionalFormatting>
  <conditionalFormatting sqref="P73">
    <cfRule type="cellIs" dxfId="1189" priority="24" operator="lessThan">
      <formula>0</formula>
    </cfRule>
  </conditionalFormatting>
  <conditionalFormatting sqref="Q73">
    <cfRule type="cellIs" dxfId="1188" priority="22" operator="greaterThan">
      <formula>1</formula>
    </cfRule>
    <cfRule type="cellIs" dxfId="1187" priority="23" operator="lessThan">
      <formula>0.8</formula>
    </cfRule>
  </conditionalFormatting>
  <conditionalFormatting sqref="R73">
    <cfRule type="cellIs" dxfId="1186" priority="25" operator="lessThan">
      <formula>0.8</formula>
    </cfRule>
  </conditionalFormatting>
  <conditionalFormatting sqref="O16">
    <cfRule type="cellIs" dxfId="1185" priority="16" operator="greaterThan">
      <formula>0</formula>
    </cfRule>
  </conditionalFormatting>
  <conditionalFormatting sqref="P16">
    <cfRule type="cellIs" dxfId="1184" priority="19" operator="lessThan">
      <formula>0</formula>
    </cfRule>
  </conditionalFormatting>
  <conditionalFormatting sqref="Q16">
    <cfRule type="cellIs" dxfId="1183" priority="17" operator="greaterThan">
      <formula>1</formula>
    </cfRule>
    <cfRule type="cellIs" dxfId="1182" priority="18" operator="lessThan">
      <formula>0.8</formula>
    </cfRule>
  </conditionalFormatting>
  <conditionalFormatting sqref="R16 AC16">
    <cfRule type="cellIs" dxfId="1181" priority="20" operator="lessThan">
      <formula>0.8</formula>
    </cfRule>
  </conditionalFormatting>
  <conditionalFormatting sqref="R24 AC24">
    <cfRule type="cellIs" dxfId="1180" priority="15" operator="lessThan">
      <formula>0.8</formula>
    </cfRule>
  </conditionalFormatting>
  <conditionalFormatting sqref="AC24">
    <cfRule type="cellIs" dxfId="1179" priority="14" operator="lessThan">
      <formula>0.8</formula>
    </cfRule>
  </conditionalFormatting>
  <conditionalFormatting sqref="O61">
    <cfRule type="cellIs" dxfId="1178" priority="9" operator="greaterThan">
      <formula>0</formula>
    </cfRule>
  </conditionalFormatting>
  <conditionalFormatting sqref="P61 AA61">
    <cfRule type="cellIs" dxfId="1177" priority="12" operator="lessThan">
      <formula>0</formula>
    </cfRule>
  </conditionalFormatting>
  <conditionalFormatting sqref="Q61 AB61">
    <cfRule type="cellIs" dxfId="1176" priority="10" operator="greaterThan">
      <formula>1</formula>
    </cfRule>
    <cfRule type="cellIs" dxfId="1175" priority="11" operator="lessThan">
      <formula>0.8</formula>
    </cfRule>
  </conditionalFormatting>
  <conditionalFormatting sqref="R61 AC61">
    <cfRule type="cellIs" dxfId="1174" priority="13" operator="lessThan">
      <formula>0.8</formula>
    </cfRule>
  </conditionalFormatting>
  <conditionalFormatting sqref="P8">
    <cfRule type="cellIs" dxfId="1173" priority="8" operator="lessThan">
      <formula>0</formula>
    </cfRule>
  </conditionalFormatting>
  <conditionalFormatting sqref="P17">
    <cfRule type="cellIs" dxfId="1172" priority="7" operator="lessThan">
      <formula>0</formula>
    </cfRule>
  </conditionalFormatting>
  <conditionalFormatting sqref="P26">
    <cfRule type="cellIs" dxfId="1171" priority="6" operator="lessThan">
      <formula>0</formula>
    </cfRule>
  </conditionalFormatting>
  <conditionalFormatting sqref="P34">
    <cfRule type="cellIs" dxfId="1170" priority="5" operator="lessThan">
      <formula>0</formula>
    </cfRule>
  </conditionalFormatting>
  <conditionalFormatting sqref="P51">
    <cfRule type="cellIs" dxfId="1169" priority="4" operator="lessThan">
      <formula>0</formula>
    </cfRule>
  </conditionalFormatting>
  <conditionalFormatting sqref="P59">
    <cfRule type="cellIs" dxfId="1168" priority="3" operator="lessThan">
      <formula>0</formula>
    </cfRule>
  </conditionalFormatting>
  <conditionalFormatting sqref="P66">
    <cfRule type="cellIs" dxfId="1167" priority="2" operator="lessThan">
      <formula>0</formula>
    </cfRule>
  </conditionalFormatting>
  <conditionalFormatting sqref="P74">
    <cfRule type="cellIs" dxfId="1166" priority="1" operator="lessThan">
      <formula>0</formula>
    </cfRule>
  </conditionalFormatting>
  <dataValidations count="1">
    <dataValidation type="list" allowBlank="1" showInputMessage="1" showErrorMessage="1" sqref="Z8 Z64:Z65 Y5:Z7 Y8:Y65 Z10:Z60 Y66:Z74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="85" zoomScaleNormal="85" workbookViewId="0">
      <selection activeCell="N49" sqref="N49"/>
    </sheetView>
  </sheetViews>
  <sheetFormatPr defaultColWidth="8.75" defaultRowHeight="15.75"/>
  <cols>
    <col min="1" max="1" width="8.75" style="2"/>
    <col min="2" max="2" width="17.875" style="2" customWidth="1"/>
    <col min="3" max="3" width="9.25" style="9" customWidth="1"/>
    <col min="4" max="13" width="12.625" style="2" customWidth="1"/>
    <col min="14" max="14" width="11" style="2" bestFit="1" customWidth="1"/>
    <col min="15" max="15" width="17.75" style="2" bestFit="1" customWidth="1"/>
    <col min="16" max="16" width="12.25" style="2" bestFit="1" customWidth="1"/>
    <col min="17" max="22" width="9.25" style="2" customWidth="1"/>
    <col min="23" max="23" width="10.75" style="2" customWidth="1"/>
    <col min="24" max="24" width="11" style="2" customWidth="1"/>
    <col min="25" max="16384" width="8.75" style="2"/>
  </cols>
  <sheetData>
    <row r="1" spans="2:17" ht="27.75" customHeight="1">
      <c r="B1" s="546" t="s">
        <v>1184</v>
      </c>
      <c r="C1" s="546"/>
      <c r="D1" s="546"/>
      <c r="E1" s="546"/>
      <c r="F1" s="546"/>
      <c r="G1" s="546"/>
      <c r="H1" s="546"/>
      <c r="I1" s="546"/>
      <c r="J1" s="546"/>
      <c r="K1" s="1"/>
      <c r="L1" s="1"/>
      <c r="M1" s="1"/>
      <c r="N1" s="1"/>
      <c r="O1" s="1"/>
      <c r="P1" s="1"/>
    </row>
    <row r="2" spans="2:17" ht="27.75" customHeight="1">
      <c r="B2" s="547"/>
      <c r="C2" s="547"/>
      <c r="D2" s="547"/>
      <c r="E2" s="547"/>
      <c r="F2" s="547"/>
      <c r="G2" s="547"/>
      <c r="H2" s="547"/>
      <c r="I2" s="547"/>
      <c r="J2" s="547"/>
      <c r="K2" s="3"/>
      <c r="L2" s="3"/>
      <c r="M2" s="3"/>
      <c r="N2" s="1"/>
      <c r="O2" s="1"/>
      <c r="P2" s="1"/>
    </row>
    <row r="3" spans="2:17" ht="46.5" customHeight="1">
      <c r="B3" s="4" t="s">
        <v>1185</v>
      </c>
      <c r="C3" s="548" t="str">
        <f>TEXT('1217 4度C'!A2,"yyyy.mm.ddaaaa")</f>
        <v>2025.12.17星期三</v>
      </c>
      <c r="D3" s="549"/>
      <c r="E3" s="4" t="s">
        <v>1186</v>
      </c>
      <c r="F3" s="550">
        <f>'1217 4度C'!D1</f>
        <v>174993</v>
      </c>
      <c r="G3" s="551"/>
      <c r="H3" s="4" t="s">
        <v>1187</v>
      </c>
      <c r="I3" s="552">
        <f>'1217 4度C'!F1</f>
        <v>5873319.2699999996</v>
      </c>
      <c r="J3" s="553"/>
      <c r="K3" s="5"/>
      <c r="L3" s="6"/>
      <c r="M3" s="7"/>
      <c r="N3" s="7"/>
    </row>
    <row r="4" spans="2:17" ht="28.5" customHeight="1">
      <c r="B4" s="554" t="s">
        <v>1238</v>
      </c>
      <c r="C4" s="536" t="s">
        <v>1188</v>
      </c>
      <c r="D4" s="537"/>
      <c r="E4" s="557" t="s">
        <v>1189</v>
      </c>
      <c r="F4" s="558"/>
      <c r="G4" s="557" t="s">
        <v>1190</v>
      </c>
      <c r="H4" s="558"/>
      <c r="I4" s="557" t="s">
        <v>1191</v>
      </c>
      <c r="J4" s="558"/>
      <c r="L4" s="7"/>
      <c r="M4" s="7"/>
      <c r="N4" s="7"/>
    </row>
    <row r="5" spans="2:17" ht="28.5" customHeight="1">
      <c r="B5" s="555"/>
      <c r="C5" s="536" t="s">
        <v>1239</v>
      </c>
      <c r="D5" s="537"/>
      <c r="E5" s="536" t="s">
        <v>1240</v>
      </c>
      <c r="F5" s="537"/>
      <c r="G5" s="538" t="s">
        <v>1241</v>
      </c>
      <c r="H5" s="539"/>
      <c r="I5" s="540" t="s">
        <v>1192</v>
      </c>
      <c r="J5" s="541"/>
      <c r="K5" s="7"/>
      <c r="L5" s="7"/>
      <c r="M5" s="7"/>
      <c r="N5" s="7"/>
    </row>
    <row r="6" spans="2:17" ht="28.5" customHeight="1">
      <c r="B6" s="555"/>
      <c r="C6" s="536" t="s">
        <v>46</v>
      </c>
      <c r="D6" s="537"/>
      <c r="E6" s="542">
        <f>AVERAGE(D13:M13)</f>
        <v>148.36469136870369</v>
      </c>
      <c r="F6" s="543">
        <f>AVERAGE(D27:O27,D13:J13)</f>
        <v>152.43757202802155</v>
      </c>
      <c r="G6" s="544">
        <f>AVERAGE(D13:J13)</f>
        <v>152.43757202802155</v>
      </c>
      <c r="H6" s="545"/>
      <c r="I6" s="544">
        <f>AVERAGE(K13:M13)</f>
        <v>138.86130316362875</v>
      </c>
      <c r="J6" s="545"/>
      <c r="K6" s="7"/>
      <c r="L6" s="7"/>
      <c r="M6" s="7"/>
      <c r="N6" s="7"/>
    </row>
    <row r="7" spans="2:17" ht="28.5" customHeight="1">
      <c r="B7" s="555"/>
      <c r="C7" s="526" t="s">
        <v>47</v>
      </c>
      <c r="D7" s="527"/>
      <c r="E7" s="528">
        <f>AVERAGE(D14:M14)</f>
        <v>141.18340159680955</v>
      </c>
      <c r="F7" s="529">
        <f>AVERAGE(D28:O28,D14:J14)</f>
        <v>144.81778180507825</v>
      </c>
      <c r="G7" s="530">
        <f>AVERAGE(D14:J14)</f>
        <v>144.81778180507825</v>
      </c>
      <c r="H7" s="531"/>
      <c r="I7" s="530">
        <f>AVERAGE(K14:M14)</f>
        <v>132.70318111084921</v>
      </c>
      <c r="J7" s="531"/>
      <c r="K7" s="7"/>
      <c r="L7" s="7"/>
      <c r="M7" s="7"/>
      <c r="N7" s="7"/>
    </row>
    <row r="8" spans="2:17" ht="28.5" customHeight="1">
      <c r="B8" s="556"/>
      <c r="C8" s="526" t="s">
        <v>48</v>
      </c>
      <c r="D8" s="527"/>
      <c r="E8" s="532">
        <f>AVERAGE(D15:M15)</f>
        <v>0.94936487235260869</v>
      </c>
      <c r="F8" s="533">
        <f>AVERAGE(D15:J15,D29:O29)</f>
        <v>0.94669856265874819</v>
      </c>
      <c r="G8" s="534">
        <f>AVERAGE(D15:J15)</f>
        <v>0.94669856265874819</v>
      </c>
      <c r="H8" s="535"/>
      <c r="I8" s="534">
        <f>AVERAGE(K15:M15)</f>
        <v>0.95558626163828375</v>
      </c>
      <c r="J8" s="535"/>
      <c r="K8" s="8" t="s">
        <v>1193</v>
      </c>
      <c r="L8" s="7"/>
      <c r="M8" s="7"/>
      <c r="N8" s="7"/>
    </row>
    <row r="9" spans="2:17" ht="28.5" customHeight="1" thickBot="1">
      <c r="H9" s="10"/>
      <c r="N9" s="7"/>
      <c r="O9" s="7"/>
      <c r="P9" s="7"/>
      <c r="Q9" s="7"/>
    </row>
    <row r="10" spans="2:17" ht="30" customHeight="1">
      <c r="B10" s="509" t="s">
        <v>1242</v>
      </c>
      <c r="C10" s="510"/>
      <c r="D10" s="511" t="s">
        <v>1194</v>
      </c>
      <c r="E10" s="512"/>
      <c r="F10" s="512"/>
      <c r="G10" s="512"/>
      <c r="H10" s="512"/>
      <c r="I10" s="512"/>
      <c r="J10" s="513"/>
      <c r="K10" s="514" t="s">
        <v>1195</v>
      </c>
      <c r="L10" s="515"/>
      <c r="M10" s="516"/>
      <c r="P10" s="11"/>
      <c r="Q10" s="11"/>
    </row>
    <row r="11" spans="2:17" ht="17.25" customHeight="1">
      <c r="B11" s="517" t="s">
        <v>1196</v>
      </c>
      <c r="C11" s="518"/>
      <c r="D11" s="12">
        <v>1</v>
      </c>
      <c r="E11" s="13">
        <v>2</v>
      </c>
      <c r="F11" s="13">
        <v>3</v>
      </c>
      <c r="G11" s="13">
        <v>4</v>
      </c>
      <c r="H11" s="13">
        <v>5</v>
      </c>
      <c r="I11" s="13">
        <v>6</v>
      </c>
      <c r="J11" s="14">
        <v>7</v>
      </c>
      <c r="K11" s="12">
        <v>1</v>
      </c>
      <c r="L11" s="13">
        <v>2</v>
      </c>
      <c r="M11" s="14">
        <v>3</v>
      </c>
      <c r="P11" s="11"/>
      <c r="Q11" s="11"/>
    </row>
    <row r="12" spans="2:17" ht="34.15" customHeight="1">
      <c r="B12" s="519"/>
      <c r="C12" s="520"/>
      <c r="D12" s="15" t="s">
        <v>49</v>
      </c>
      <c r="E12" s="16" t="s">
        <v>50</v>
      </c>
      <c r="F12" s="16" t="s">
        <v>51</v>
      </c>
      <c r="G12" s="16" t="s">
        <v>52</v>
      </c>
      <c r="H12" s="16" t="s">
        <v>53</v>
      </c>
      <c r="I12" s="16" t="s">
        <v>54</v>
      </c>
      <c r="J12" s="17" t="s">
        <v>55</v>
      </c>
      <c r="K12" s="15" t="s">
        <v>56</v>
      </c>
      <c r="L12" s="16" t="s">
        <v>57</v>
      </c>
      <c r="M12" s="17" t="s">
        <v>58</v>
      </c>
    </row>
    <row r="13" spans="2:17" ht="40.15" customHeight="1">
      <c r="B13" s="521" t="s">
        <v>1197</v>
      </c>
      <c r="C13" s="18" t="s">
        <v>1198</v>
      </c>
      <c r="D13" s="19">
        <f>SUMIFS('1217 4度C'!$K:$K,'1217 4度C'!$A:$A,"新豐6線",'1217 4度C'!$B:$B,"平均")</f>
        <v>133.33333333333334</v>
      </c>
      <c r="E13" s="20">
        <f>SUMIFS('1217 4度C'!$K:$K,'1217 4度C'!$A:$A,"新豐2線",'1217 4度C'!$B:$B,"平均")</f>
        <v>83.333333333333329</v>
      </c>
      <c r="F13" s="21">
        <f>SUMIFS('1217 4度C'!$K:$K,'1217 4度C'!$A:$A,"新豐5線",'1217 4度C'!$B:$B,"平均")</f>
        <v>93.333333333333329</v>
      </c>
      <c r="G13" s="21">
        <f>SUMIFS('1217 4度C'!$K:$K,'1217 4度C'!$A:$A,"新豐7線",'1217 4度C'!$B:$B,"平均")</f>
        <v>118.32061068702291</v>
      </c>
      <c r="H13" s="21">
        <f>SUMIFS('1217 4度C'!$K:$K,'1217 4度C'!$A:$A,"新豐3線",'1217 4度C'!$B:$B,"平均")</f>
        <v>235.29411764705881</v>
      </c>
      <c r="I13" s="21">
        <f>SUMIFS('1217 4度C'!$K:$K,'1217 4度C'!$A:$A,"新豐1線",'1217 4度C'!$B:$B,"平均")</f>
        <v>103.44827586206897</v>
      </c>
      <c r="J13" s="22">
        <f>SUMIFS('1217 4度C'!$K:$K,'1217 4度C'!$A:$A,"新豐10線",'1217 4度C'!$B:$B,"平均")</f>
        <v>300</v>
      </c>
      <c r="K13" s="23">
        <f>SUMIFS('1217 4度C'!$K:$K,'1217 4度C'!$A:$A,"新豐8線",'1217 4度C'!$B:$B,"平均")</f>
        <v>130.23255813953489</v>
      </c>
      <c r="L13" s="24">
        <f>SUMIFS('1217 4度C'!$K:$K,'1217 4度C'!$A:$A,"新豐9線",'1217 4度C'!$B:$B,"平均")</f>
        <v>135</v>
      </c>
      <c r="M13" s="22">
        <f>SUMIFS('1217 4度C'!$K:$K,'1217 4度C'!$A:$A,"新豐4線",'1217 4度C'!$B:$B,"平均")</f>
        <v>151.35135135135135</v>
      </c>
    </row>
    <row r="14" spans="2:17" ht="39.6" customHeight="1">
      <c r="B14" s="522"/>
      <c r="C14" s="25" t="s">
        <v>1199</v>
      </c>
      <c r="D14" s="26">
        <f>SUMIFS('1217 4度C'!$N:$N,'1217 4度C'!$A:$A,"新豐6線",'1217 4度C'!$B:$B,"平均")</f>
        <v>127.93117584225864</v>
      </c>
      <c r="E14" s="27">
        <f>SUMIFS('1217 4度C'!$N:$N,'1217 4度C'!$A:$A,"新豐2線",'1217 4度C'!$B:$B,"平均")</f>
        <v>79.440223699482942</v>
      </c>
      <c r="F14" s="27">
        <f>SUMIFS('1217 4度C'!$N:$N,'1217 4度C'!$A:$A,"新豐5線",'1217 4度C'!$B:$B,"平均")</f>
        <v>89.309367088607573</v>
      </c>
      <c r="G14" s="27">
        <f>SUMIFS('1217 4度C'!$N:$N,'1217 4度C'!$A:$A,"新豐7線",'1217 4度C'!$B:$B,"平均")</f>
        <v>113.44721633265895</v>
      </c>
      <c r="H14" s="27">
        <f>SUMIFS('1217 4度C'!$N:$N,'1217 4度C'!$A:$A,"新豐3線",'1217 4度C'!$B:$B,"平均")</f>
        <v>224.93930681910709</v>
      </c>
      <c r="I14" s="27">
        <f>SUMIFS('1217 4度C'!$N:$N,'1217 4度C'!$A:$A,"新豐1線",'1217 4度C'!$B:$B,"平均")</f>
        <v>91.617274510474459</v>
      </c>
      <c r="J14" s="28">
        <f>SUMIFS('1217 4度C'!$N:$N,'1217 4度C'!$A:$A,"新豐10線",'1217 4度C'!$B:$B,"平均")</f>
        <v>287.03990834295797</v>
      </c>
      <c r="K14" s="29">
        <f>SUMIFS('1217 4度C'!$N:$N,'1217 4度C'!$A:$A,"新豐8線",'1217 4度C'!$B:$B,"平均")</f>
        <v>124.24975132217011</v>
      </c>
      <c r="L14" s="30">
        <f>SUMIFS('1217 4度C'!$N:$N,'1217 4度C'!$A:$A,"新豐9線",'1217 4度C'!$B:$B,"平均")</f>
        <v>129.04160971668458</v>
      </c>
      <c r="M14" s="28">
        <f>SUMIFS('1217 4度C'!$N:$N,'1217 4度C'!$A:$A,"新豐4線",'1217 4度C'!$B:$B,"平均")</f>
        <v>144.81818229369296</v>
      </c>
    </row>
    <row r="15" spans="2:17" ht="40.15" customHeight="1">
      <c r="B15" s="523"/>
      <c r="C15" s="31" t="s">
        <v>1243</v>
      </c>
      <c r="D15" s="32">
        <f t="shared" ref="D15:M15" si="0">D14/D13</f>
        <v>0.95948381881693978</v>
      </c>
      <c r="E15" s="33">
        <f t="shared" si="0"/>
        <v>0.95328268439379538</v>
      </c>
      <c r="F15" s="33">
        <f t="shared" si="0"/>
        <v>0.95688607594936692</v>
      </c>
      <c r="G15" s="33">
        <f t="shared" si="0"/>
        <v>0.95881195739214986</v>
      </c>
      <c r="H15" s="33">
        <f t="shared" si="0"/>
        <v>0.95599205398120513</v>
      </c>
      <c r="I15" s="33">
        <f t="shared" si="0"/>
        <v>0.88563365360125312</v>
      </c>
      <c r="J15" s="34">
        <f t="shared" si="0"/>
        <v>0.95679969447652657</v>
      </c>
      <c r="K15" s="32">
        <f t="shared" si="0"/>
        <v>0.95406059050952052</v>
      </c>
      <c r="L15" s="33">
        <f t="shared" si="0"/>
        <v>0.95586377567914504</v>
      </c>
      <c r="M15" s="34">
        <f t="shared" si="0"/>
        <v>0.95683441872618558</v>
      </c>
    </row>
    <row r="16" spans="2:17" ht="17.25" customHeight="1">
      <c r="B16" s="524" t="s">
        <v>1200</v>
      </c>
      <c r="C16" s="35" t="s">
        <v>1201</v>
      </c>
      <c r="D16" s="49">
        <f>VLOOKUP("新豐6線",'1217 4度C'!$A:$T,19,0)</f>
        <v>0.70833333333333337</v>
      </c>
      <c r="E16" s="50">
        <f>VLOOKUP("新豐2線",'1217 4度C'!$A:$T,19,0)</f>
        <v>0.16666666666666666</v>
      </c>
      <c r="F16" s="50">
        <f>VLOOKUP("新豐5線",'1217 4度C'!$A:$T,19,0)</f>
        <v>0.20833333333333334</v>
      </c>
      <c r="G16" s="50">
        <f>VLOOKUP("新豐7線",'1217 4度C'!$A:$T,19,0)</f>
        <v>0.20833333333333334</v>
      </c>
      <c r="H16" s="50">
        <f>VLOOKUP("新豐3線",'1217 4度C'!$A:$T,19,0)</f>
        <v>8.3333333333333329E-2</v>
      </c>
      <c r="I16" s="50">
        <f>VLOOKUP("新豐1線",'1217 4度C'!$A:$T,19,0)</f>
        <v>0.20833333333333334</v>
      </c>
      <c r="J16" s="51">
        <f>VLOOKUP("新豐10線",'1217 4度C'!$A:$T,19,0)</f>
        <v>0.20833333333333334</v>
      </c>
      <c r="K16" s="36">
        <f>VLOOKUP("新豐8線",'1217 4度C'!$A:$T,19,0)</f>
        <v>8.3333333333333329E-2</v>
      </c>
      <c r="L16" s="37">
        <f>VLOOKUP("新豐9線",'1217 4度C'!$A:$T,19,0)</f>
        <v>8.3333333333333329E-2</v>
      </c>
      <c r="M16" s="38">
        <f>VLOOKUP("新豐4線",'1217 4度C'!$A:$T,19,0)</f>
        <v>8.3333333333333329E-2</v>
      </c>
    </row>
    <row r="17" spans="2:13" ht="17.25" customHeight="1">
      <c r="B17" s="525"/>
      <c r="C17" s="35" t="s">
        <v>1202</v>
      </c>
      <c r="D17" s="36">
        <f>LOOKUP(2,1/(('1217 4度C'!$A:$A="新豐6線")*('1217 4度C'!$T:$T&lt;&gt;"")),'1217 4度C'!$T:$T)</f>
        <v>0.85000000000000009</v>
      </c>
      <c r="E17" s="50">
        <f>LOOKUP(2,1/(('1217 4度C'!$A:$A="新豐2線")*('1217 4度C'!$T:$T&lt;&gt;"")),'1217 4度C'!$T:$T)</f>
        <v>0.46388888888888891</v>
      </c>
      <c r="F17" s="50">
        <f>LOOKUP(2,1/(('1217 4度C'!$A:$A="新豐5線")*('1217 4度C'!$T:$T&lt;&gt;"")),'1217 4度C'!$T:$T)</f>
        <v>0.82430555555555562</v>
      </c>
      <c r="G17" s="50">
        <f>LOOKUP(2,1/(('1217 4度C'!$A:$A="新豐7線")*('1217 4度C'!$T:$T&lt;&gt;"")),'1217 4度C'!$T:$T)</f>
        <v>0.8388888888888888</v>
      </c>
      <c r="H17" s="50">
        <f>LOOKUP(2,1/(('1217 4度C'!$A:$A="新豐3線")*('1217 4度C'!$T:$T&lt;&gt;"")),'1217 4度C'!$T:$T)</f>
        <v>0.50486111111111098</v>
      </c>
      <c r="I17" s="50">
        <f>LOOKUP(2,1/(('1217 4度C'!$A:$A="新豐1線")*('1217 4度C'!$T:$T&lt;&gt;"")),'1217 4度C'!$T:$T)</f>
        <v>0.90833333333333321</v>
      </c>
      <c r="J17" s="51">
        <f>LOOKUP(2,1/(('1217 4度C'!$A:$A="新豐10線")*('1217 4度C'!$T:$T&lt;&gt;"")),'1217 4度C'!$T:$T)</f>
        <v>0.50208333333333333</v>
      </c>
      <c r="K17" s="49">
        <f>LOOKUP(2,1/(('1217 4度C'!$A:$A="新豐8線")*('1217 4度C'!$T:$T&lt;&gt;"")),'1217 4度C'!$T:$T)</f>
        <v>0.67222222222222205</v>
      </c>
      <c r="L17" s="50">
        <f>LOOKUP(2,1/(('1217 4度C'!$A:$A="新豐9線")*('1217 4度C'!$T:$T&lt;&gt;"")),'1217 4度C'!$T:$T)</f>
        <v>0.64999999999999991</v>
      </c>
      <c r="M17" s="51">
        <f>LOOKUP(2,1/(('1217 4度C'!$A:$A="新豐4線")*('1217 4度C'!$T:$T&lt;&gt;"")),'1217 4度C'!$T:$T)</f>
        <v>0.69166666666666665</v>
      </c>
    </row>
    <row r="18" spans="2:13" ht="17.25" customHeight="1">
      <c r="B18" s="503" t="s">
        <v>1244</v>
      </c>
      <c r="C18" s="504"/>
      <c r="D18" s="39">
        <f>SUMIFS('1217 4度C'!$I:$I,'1217 4度C'!$A:$A,"新豐6線",'1217 4度C'!$B:$B,"平均")</f>
        <v>15</v>
      </c>
      <c r="E18" s="40">
        <f>SUMIFS('1217 4度C'!$I:$I,'1217 4度C'!$A:$A,"新豐2線",'1217 4度C'!$B:$B,"平均")</f>
        <v>18</v>
      </c>
      <c r="F18" s="40">
        <f>SUMIFS('1217 4度C'!$I:$I,'1217 4度C'!$A:$A,"新豐5線",'1217 4度C'!$B:$B,"平均")</f>
        <v>18.75</v>
      </c>
      <c r="G18" s="40">
        <f>SUMIFS('1217 4度C'!$I:$I,'1217 4度C'!$A:$A,"新豐7線",'1217 4度C'!$B:$B,"平均")</f>
        <v>16.375</v>
      </c>
      <c r="H18" s="40">
        <f>SUMIFS('1217 4度C'!$I:$I,'1217 4度C'!$A:$A,"新豐3線",'1217 4度C'!$B:$B,"平均")</f>
        <v>11.333333333333334</v>
      </c>
      <c r="I18" s="40">
        <f>SUMIFS('1217 4度C'!$I:$I,'1217 4度C'!$A:$A,"新豐1線",'1217 4度C'!$B:$B,"平均")</f>
        <v>18.125</v>
      </c>
      <c r="J18" s="41">
        <f>SUMIFS('1217 4度C'!$I:$I,'1217 4度C'!$A:$A,"新豐10線",'1217 4度C'!$B:$B,"平均")</f>
        <v>9.1666666666666661</v>
      </c>
      <c r="K18" s="39">
        <f>SUMIFS('1217 4度C'!$I:$I,'1217 4度C'!$A:$A,"新豐8線",'1217 4度C'!$B:$B,"平均")</f>
        <v>18.428571428571427</v>
      </c>
      <c r="L18" s="40">
        <f>SUMIFS('1217 4度C'!$I:$I,'1217 4度C'!$A:$A,"新豐9線",'1217 4度C'!$B:$B,"平均")</f>
        <v>17.777777777777779</v>
      </c>
      <c r="M18" s="41">
        <f>SUMIFS('1217 4度C'!$I:$I,'1217 4度C'!$A:$A,"新豐4線",'1217 4度C'!$B:$B,"平均")</f>
        <v>15.857142857142858</v>
      </c>
    </row>
    <row r="19" spans="2:13" ht="17.25" customHeight="1">
      <c r="B19" s="503" t="s">
        <v>1203</v>
      </c>
      <c r="C19" s="504"/>
      <c r="D19" s="42" t="s">
        <v>59</v>
      </c>
      <c r="E19" s="43" t="s">
        <v>60</v>
      </c>
      <c r="F19" s="43" t="s">
        <v>1204</v>
      </c>
      <c r="G19" s="43" t="s">
        <v>1204</v>
      </c>
      <c r="H19" s="43" t="s">
        <v>61</v>
      </c>
      <c r="I19" s="43" t="s">
        <v>59</v>
      </c>
      <c r="J19" s="44" t="s">
        <v>61</v>
      </c>
      <c r="K19" s="42" t="s">
        <v>1205</v>
      </c>
      <c r="L19" s="43" t="s">
        <v>276</v>
      </c>
      <c r="M19" s="44" t="s">
        <v>1205</v>
      </c>
    </row>
    <row r="20" spans="2:13" ht="17.25" customHeight="1">
      <c r="B20" s="503" t="s">
        <v>1206</v>
      </c>
      <c r="C20" s="504"/>
      <c r="D20" s="42"/>
      <c r="E20" s="43"/>
      <c r="F20" s="43" t="s">
        <v>1207</v>
      </c>
      <c r="G20" s="43" t="s">
        <v>59</v>
      </c>
      <c r="H20" s="43"/>
      <c r="I20" s="43"/>
      <c r="J20" s="44"/>
      <c r="K20" s="42"/>
      <c r="L20" s="43"/>
      <c r="M20" s="44"/>
    </row>
    <row r="21" spans="2:13" ht="17.25" customHeight="1" thickBot="1">
      <c r="B21" s="505" t="s">
        <v>1245</v>
      </c>
      <c r="C21" s="506"/>
      <c r="D21" s="45"/>
      <c r="E21" s="46" t="s">
        <v>1208</v>
      </c>
      <c r="F21" s="507" t="s">
        <v>1209</v>
      </c>
      <c r="G21" s="508"/>
      <c r="H21" s="46" t="s">
        <v>1210</v>
      </c>
      <c r="I21" s="46" t="s">
        <v>1211</v>
      </c>
      <c r="J21" s="47" t="s">
        <v>1210</v>
      </c>
      <c r="K21" s="48"/>
      <c r="L21" s="46"/>
      <c r="M21" s="4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20:C20"/>
    <mergeCell ref="B21:C21"/>
    <mergeCell ref="F21:G21"/>
    <mergeCell ref="K10:M10"/>
    <mergeCell ref="B11:C12"/>
    <mergeCell ref="B13:B15"/>
    <mergeCell ref="B18:C18"/>
    <mergeCell ref="B19:C19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1165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75"/>
  <sheetViews>
    <sheetView zoomScale="80" zoomScaleNormal="80" workbookViewId="0">
      <pane ySplit="4" topLeftCell="A44" activePane="bottomLeft" state="frozen"/>
      <selection activeCell="J13" sqref="J13"/>
      <selection pane="bottomLeft" activeCell="D1" sqref="D1"/>
    </sheetView>
  </sheetViews>
  <sheetFormatPr defaultColWidth="8" defaultRowHeight="15.75"/>
  <cols>
    <col min="1" max="1" width="15.125" style="54" customWidth="1"/>
    <col min="2" max="2" width="19.375" style="54" customWidth="1"/>
    <col min="3" max="3" width="15.25" style="54" customWidth="1"/>
    <col min="4" max="4" width="17.5" style="54" customWidth="1"/>
    <col min="5" max="5" width="7.5" style="54" bestFit="1" customWidth="1"/>
    <col min="6" max="6" width="14.375" style="54" bestFit="1" customWidth="1"/>
    <col min="7" max="7" width="14.375" style="54" customWidth="1"/>
    <col min="8" max="8" width="8" style="54" customWidth="1"/>
    <col min="9" max="9" width="5.875" style="54" customWidth="1"/>
    <col min="10" max="10" width="10.625" style="54" customWidth="1"/>
    <col min="11" max="11" width="14.625" style="54" customWidth="1"/>
    <col min="12" max="12" width="7.25" style="54" bestFit="1" customWidth="1"/>
    <col min="13" max="13" width="8" style="54" customWidth="1"/>
    <col min="14" max="14" width="12" style="54" customWidth="1"/>
    <col min="15" max="15" width="6" style="54" customWidth="1"/>
    <col min="16" max="16" width="9.25" style="54" customWidth="1"/>
    <col min="17" max="17" width="11.5" style="54" customWidth="1"/>
    <col min="18" max="18" width="8.5" style="54" customWidth="1"/>
    <col min="19" max="19" width="10.125" style="73" bestFit="1" customWidth="1"/>
    <col min="20" max="20" width="7.625" style="73" bestFit="1" customWidth="1"/>
    <col min="21" max="21" width="10.25" style="54" bestFit="1" customWidth="1"/>
    <col min="22" max="22" width="8.75" style="71" customWidth="1"/>
    <col min="23" max="23" width="7.375" style="54" customWidth="1"/>
    <col min="24" max="24" width="6.875" style="54" bestFit="1" customWidth="1"/>
    <col min="25" max="25" width="12.75" style="54" customWidth="1"/>
    <col min="26" max="26" width="18.875" style="54" customWidth="1"/>
    <col min="27" max="27" width="13.125" style="54" bestFit="1" customWidth="1"/>
    <col min="28" max="28" width="10.375" style="54" customWidth="1"/>
    <col min="29" max="29" width="9.375" style="54" customWidth="1"/>
    <col min="30" max="30" width="8" style="54"/>
    <col min="31" max="31" width="24.625" style="54" bestFit="1" customWidth="1"/>
    <col min="32" max="16384" width="8" style="54"/>
  </cols>
  <sheetData>
    <row r="1" spans="1:29" ht="26.25" customHeight="1">
      <c r="A1" s="52" t="s">
        <v>1246</v>
      </c>
      <c r="B1" s="52"/>
      <c r="C1" s="117" t="s">
        <v>1247</v>
      </c>
      <c r="D1" s="118">
        <f>SUM(F5:F74)</f>
        <v>174993</v>
      </c>
      <c r="E1" s="278" t="s">
        <v>1212</v>
      </c>
      <c r="F1" s="52">
        <f>SUM(G5:G74)</f>
        <v>5873319.2699999996</v>
      </c>
      <c r="G1" s="52" t="s">
        <v>1213</v>
      </c>
      <c r="H1" s="53">
        <f>L8+L11+L50+L59+L16+L66+L33+L43+L25+L74</f>
        <v>158.81349206349208</v>
      </c>
      <c r="I1" s="607" t="s">
        <v>1214</v>
      </c>
      <c r="J1" s="607"/>
      <c r="K1" s="607"/>
      <c r="L1" s="607" t="s">
        <v>1248</v>
      </c>
      <c r="M1" s="607"/>
      <c r="N1" s="607"/>
      <c r="O1" s="607" t="s">
        <v>1215</v>
      </c>
      <c r="P1" s="607"/>
      <c r="Q1" s="607"/>
      <c r="R1" s="607"/>
      <c r="S1" s="607" t="s">
        <v>1216</v>
      </c>
      <c r="T1" s="607"/>
      <c r="U1" s="607"/>
      <c r="V1" s="607"/>
      <c r="W1" s="607"/>
      <c r="X1" s="607"/>
      <c r="Y1" s="607" t="s">
        <v>1217</v>
      </c>
      <c r="Z1" s="607"/>
      <c r="AA1" s="607" t="s">
        <v>1218</v>
      </c>
      <c r="AB1" s="608"/>
      <c r="AC1" s="608"/>
    </row>
    <row r="2" spans="1:29" ht="26.25" customHeight="1">
      <c r="A2" s="55">
        <v>46008</v>
      </c>
      <c r="B2" s="56" t="s">
        <v>329</v>
      </c>
      <c r="C2" s="117" t="s">
        <v>1197</v>
      </c>
      <c r="D2" s="119">
        <f>AVERAGE(N8,N11,N50,N59,N16,N66,N25,N33,N43,N74)</f>
        <v>141.18340159680952</v>
      </c>
      <c r="E2" s="120" t="s">
        <v>0</v>
      </c>
      <c r="F2" s="121">
        <f>F1/D1</f>
        <v>33.563166926677063</v>
      </c>
      <c r="G2" s="52" t="s">
        <v>1219</v>
      </c>
      <c r="H2" s="288">
        <f>COUNT(H5:H74)</f>
        <v>7</v>
      </c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8"/>
      <c r="AB2" s="608"/>
      <c r="AC2" s="608"/>
    </row>
    <row r="3" spans="1:29" ht="23.25" customHeight="1">
      <c r="A3" s="559" t="s">
        <v>1542</v>
      </c>
      <c r="B3" s="559" t="s">
        <v>1249</v>
      </c>
      <c r="C3" s="559" t="s">
        <v>1220</v>
      </c>
      <c r="D3" s="559"/>
      <c r="E3" s="605" t="s">
        <v>1250</v>
      </c>
      <c r="F3" s="559" t="s">
        <v>1221</v>
      </c>
      <c r="G3" s="605" t="s">
        <v>1222</v>
      </c>
      <c r="H3" s="598" t="s">
        <v>1223</v>
      </c>
      <c r="I3" s="596" t="s">
        <v>1224</v>
      </c>
      <c r="J3" s="601" t="s">
        <v>1225</v>
      </c>
      <c r="K3" s="603" t="s">
        <v>1197</v>
      </c>
      <c r="L3" s="596" t="s">
        <v>1224</v>
      </c>
      <c r="M3" s="601" t="s">
        <v>1225</v>
      </c>
      <c r="N3" s="603" t="s">
        <v>1197</v>
      </c>
      <c r="O3" s="596" t="s">
        <v>1224</v>
      </c>
      <c r="P3" s="603" t="s">
        <v>1197</v>
      </c>
      <c r="Q3" s="602" t="s">
        <v>1226</v>
      </c>
      <c r="R3" s="574" t="s">
        <v>1227</v>
      </c>
      <c r="S3" s="604" t="s">
        <v>1</v>
      </c>
      <c r="T3" s="604"/>
      <c r="U3" s="598" t="s">
        <v>2</v>
      </c>
      <c r="V3" s="598" t="s">
        <v>1251</v>
      </c>
      <c r="W3" s="559" t="s">
        <v>1228</v>
      </c>
      <c r="X3" s="559"/>
      <c r="Y3" s="599" t="s">
        <v>1252</v>
      </c>
      <c r="Z3" s="600"/>
      <c r="AA3" s="601" t="s">
        <v>1225</v>
      </c>
      <c r="AB3" s="602" t="s">
        <v>1226</v>
      </c>
      <c r="AC3" s="574" t="s">
        <v>1227</v>
      </c>
    </row>
    <row r="4" spans="1:29">
      <c r="A4" s="559"/>
      <c r="B4" s="559"/>
      <c r="C4" s="559"/>
      <c r="D4" s="559"/>
      <c r="E4" s="606"/>
      <c r="F4" s="559"/>
      <c r="G4" s="606"/>
      <c r="H4" s="598"/>
      <c r="I4" s="596"/>
      <c r="J4" s="601"/>
      <c r="K4" s="603"/>
      <c r="L4" s="596"/>
      <c r="M4" s="601"/>
      <c r="N4" s="603"/>
      <c r="O4" s="596"/>
      <c r="P4" s="603"/>
      <c r="Q4" s="602"/>
      <c r="R4" s="574"/>
      <c r="S4" s="287" t="s">
        <v>3</v>
      </c>
      <c r="T4" s="287" t="s">
        <v>4</v>
      </c>
      <c r="U4" s="598"/>
      <c r="V4" s="598"/>
      <c r="W4" s="278" t="s">
        <v>1229</v>
      </c>
      <c r="X4" s="278" t="s">
        <v>1253</v>
      </c>
      <c r="Y4" s="600"/>
      <c r="Z4" s="600"/>
      <c r="AA4" s="601"/>
      <c r="AB4" s="602"/>
      <c r="AC4" s="574"/>
    </row>
    <row r="5" spans="1:29">
      <c r="A5" s="595" t="s">
        <v>1230</v>
      </c>
      <c r="B5" s="57" t="s">
        <v>6</v>
      </c>
      <c r="C5" s="597" t="s">
        <v>9</v>
      </c>
      <c r="D5" s="597"/>
      <c r="E5" s="57">
        <v>50.67</v>
      </c>
      <c r="F5" s="287">
        <v>1501</v>
      </c>
      <c r="G5" s="278">
        <f t="shared" ref="G5:G7" si="0">E5*F5</f>
        <v>76055.67</v>
      </c>
      <c r="H5" s="289" t="s">
        <v>5</v>
      </c>
      <c r="I5" s="285">
        <v>17</v>
      </c>
      <c r="J5" s="58">
        <v>2000</v>
      </c>
      <c r="K5" s="59">
        <f t="shared" ref="K5:K68" si="1">J5/I5</f>
        <v>117.64705882352941</v>
      </c>
      <c r="L5" s="285">
        <v>17</v>
      </c>
      <c r="M5" s="60">
        <f t="shared" ref="M5:M7" si="2">F5/V5*60</f>
        <v>1916.1702127659578</v>
      </c>
      <c r="N5" s="59">
        <f t="shared" ref="N5:N68" si="3">M5/L5</f>
        <v>112.71589486858575</v>
      </c>
      <c r="O5" s="61">
        <f t="shared" ref="O5:O68" si="4">L5-I5</f>
        <v>0</v>
      </c>
      <c r="P5" s="62">
        <f t="shared" ref="P5:P68" si="5">N5-K5</f>
        <v>-4.9311639549436563</v>
      </c>
      <c r="Q5" s="281">
        <f t="shared" ref="Q5:Q68" si="6">N5/K5</f>
        <v>0.95808510638297895</v>
      </c>
      <c r="R5" s="566">
        <f>Q8</f>
        <v>0.95948381881693978</v>
      </c>
      <c r="S5" s="63">
        <v>0.70833333333333337</v>
      </c>
      <c r="T5" s="63">
        <v>0.74097222222222225</v>
      </c>
      <c r="U5" s="278"/>
      <c r="V5" s="286">
        <f t="shared" ref="V5:V7" si="7">(T5-S5)*24*60</f>
        <v>46.999999999999993</v>
      </c>
      <c r="W5" s="64"/>
      <c r="X5" s="65"/>
      <c r="Y5" s="559"/>
      <c r="Z5" s="559"/>
      <c r="AA5" s="61">
        <f t="shared" ref="AA5:AA68" si="8">M5-J5</f>
        <v>-83.829787234042215</v>
      </c>
      <c r="AB5" s="281">
        <f t="shared" ref="AB5:AB68" si="9">M5/J5</f>
        <v>0.95808510638297895</v>
      </c>
      <c r="AC5" s="566">
        <f>AB8</f>
        <v>0.95948381881693978</v>
      </c>
    </row>
    <row r="6" spans="1:29">
      <c r="A6" s="596" t="s">
        <v>1230</v>
      </c>
      <c r="B6" s="57" t="s">
        <v>6</v>
      </c>
      <c r="C6" s="597" t="s">
        <v>8</v>
      </c>
      <c r="D6" s="597"/>
      <c r="E6" s="57">
        <v>50.49</v>
      </c>
      <c r="F6" s="287">
        <v>2157</v>
      </c>
      <c r="G6" s="278">
        <f t="shared" si="0"/>
        <v>108906.93000000001</v>
      </c>
      <c r="H6" s="289" t="s">
        <v>5</v>
      </c>
      <c r="I6" s="285">
        <v>15</v>
      </c>
      <c r="J6" s="58">
        <v>2000</v>
      </c>
      <c r="K6" s="59">
        <f t="shared" si="1"/>
        <v>133.33333333333334</v>
      </c>
      <c r="L6" s="285">
        <v>15</v>
      </c>
      <c r="M6" s="60">
        <f t="shared" si="2"/>
        <v>1931.6417910447735</v>
      </c>
      <c r="N6" s="59">
        <f t="shared" si="3"/>
        <v>128.7761194029849</v>
      </c>
      <c r="O6" s="61">
        <f t="shared" si="4"/>
        <v>0</v>
      </c>
      <c r="P6" s="62">
        <f t="shared" si="5"/>
        <v>-4.5572139303484391</v>
      </c>
      <c r="Q6" s="281">
        <f t="shared" si="6"/>
        <v>0.9658208955223867</v>
      </c>
      <c r="R6" s="566"/>
      <c r="S6" s="63">
        <v>0.74513888888888891</v>
      </c>
      <c r="T6" s="63">
        <v>0.79166666666666674</v>
      </c>
      <c r="U6" s="278">
        <f t="shared" ref="U6:U7" si="10">IF(S6=TIME(17,0,0),"",(S6-T5)*24*60)</f>
        <v>5.9999999999999787</v>
      </c>
      <c r="V6" s="286">
        <f t="shared" si="7"/>
        <v>67.000000000000085</v>
      </c>
      <c r="W6" s="64"/>
      <c r="X6" s="64"/>
      <c r="Y6" s="559"/>
      <c r="Z6" s="559"/>
      <c r="AA6" s="61">
        <f t="shared" si="8"/>
        <v>-68.358208955226473</v>
      </c>
      <c r="AB6" s="281">
        <f t="shared" si="9"/>
        <v>0.96582089552238681</v>
      </c>
      <c r="AC6" s="566"/>
    </row>
    <row r="7" spans="1:29">
      <c r="A7" s="596" t="s">
        <v>1230</v>
      </c>
      <c r="B7" s="57" t="s">
        <v>6</v>
      </c>
      <c r="C7" s="590" t="s">
        <v>94</v>
      </c>
      <c r="D7" s="591"/>
      <c r="E7" s="57">
        <v>57.3</v>
      </c>
      <c r="F7" s="287">
        <v>2450</v>
      </c>
      <c r="G7" s="278">
        <f t="shared" si="0"/>
        <v>140385</v>
      </c>
      <c r="H7" s="289" t="s">
        <v>5</v>
      </c>
      <c r="I7" s="285">
        <v>13</v>
      </c>
      <c r="J7" s="58">
        <v>2000</v>
      </c>
      <c r="K7" s="59">
        <f t="shared" si="1"/>
        <v>153.84615384615384</v>
      </c>
      <c r="L7" s="285">
        <v>13</v>
      </c>
      <c r="M7" s="60">
        <f t="shared" si="2"/>
        <v>1909.0909090909079</v>
      </c>
      <c r="N7" s="59">
        <f t="shared" si="3"/>
        <v>146.85314685314677</v>
      </c>
      <c r="O7" s="61">
        <f t="shared" si="4"/>
        <v>0</v>
      </c>
      <c r="P7" s="62">
        <f t="shared" si="5"/>
        <v>-6.9930069930070715</v>
      </c>
      <c r="Q7" s="281">
        <f t="shared" si="6"/>
        <v>0.95454545454545403</v>
      </c>
      <c r="R7" s="566"/>
      <c r="S7" s="63">
        <v>0.79652777777777783</v>
      </c>
      <c r="T7" s="63">
        <v>0.85000000000000009</v>
      </c>
      <c r="U7" s="278">
        <f t="shared" si="10"/>
        <v>6.9999999999999751</v>
      </c>
      <c r="V7" s="286">
        <f t="shared" si="7"/>
        <v>77.000000000000043</v>
      </c>
      <c r="W7" s="64"/>
      <c r="X7" s="64"/>
      <c r="Y7" s="569"/>
      <c r="Z7" s="570"/>
      <c r="AA7" s="61">
        <f t="shared" si="8"/>
        <v>-90.909090909092129</v>
      </c>
      <c r="AB7" s="281">
        <f t="shared" si="9"/>
        <v>0.95454545454545392</v>
      </c>
      <c r="AC7" s="566"/>
    </row>
    <row r="8" spans="1:29">
      <c r="A8" s="596" t="s">
        <v>1230</v>
      </c>
      <c r="B8" s="57" t="s">
        <v>1232</v>
      </c>
      <c r="C8" s="571"/>
      <c r="D8" s="571"/>
      <c r="E8" s="284"/>
      <c r="F8" s="66"/>
      <c r="G8" s="59"/>
      <c r="H8" s="287"/>
      <c r="I8" s="67">
        <v>15</v>
      </c>
      <c r="J8" s="58">
        <v>2000</v>
      </c>
      <c r="K8" s="59">
        <f t="shared" si="1"/>
        <v>133.33333333333334</v>
      </c>
      <c r="L8" s="67">
        <v>15</v>
      </c>
      <c r="M8" s="60">
        <f>AVERAGE(M5:M7)</f>
        <v>1918.9676376338796</v>
      </c>
      <c r="N8" s="59">
        <f t="shared" si="3"/>
        <v>127.93117584225864</v>
      </c>
      <c r="O8" s="61">
        <f t="shared" si="4"/>
        <v>0</v>
      </c>
      <c r="P8" s="62">
        <f t="shared" si="5"/>
        <v>-5.4021574910747034</v>
      </c>
      <c r="Q8" s="281">
        <f t="shared" si="6"/>
        <v>0.95948381881693978</v>
      </c>
      <c r="R8" s="566"/>
      <c r="S8" s="63"/>
      <c r="T8" s="63"/>
      <c r="U8" s="278"/>
      <c r="V8" s="286"/>
      <c r="W8" s="59"/>
      <c r="X8" s="59"/>
      <c r="Y8" s="559"/>
      <c r="Z8" s="559"/>
      <c r="AA8" s="61">
        <f t="shared" si="8"/>
        <v>-81.032362366120424</v>
      </c>
      <c r="AB8" s="281">
        <f t="shared" si="9"/>
        <v>0.95948381881693978</v>
      </c>
      <c r="AC8" s="566"/>
    </row>
    <row r="9" spans="1:29" ht="15.75" customHeight="1">
      <c r="A9" s="594" t="s">
        <v>1254</v>
      </c>
      <c r="B9" s="57" t="s">
        <v>10</v>
      </c>
      <c r="C9" s="590" t="s">
        <v>14</v>
      </c>
      <c r="D9" s="591"/>
      <c r="E9" s="57">
        <v>39.619999999999997</v>
      </c>
      <c r="F9" s="287">
        <v>3716</v>
      </c>
      <c r="G9" s="278">
        <f t="shared" ref="G9:G10" si="11">E9*F9</f>
        <v>147227.91999999998</v>
      </c>
      <c r="H9" s="289" t="s">
        <v>5</v>
      </c>
      <c r="I9" s="285">
        <v>19</v>
      </c>
      <c r="J9" s="58">
        <v>1500</v>
      </c>
      <c r="K9" s="59">
        <f t="shared" si="1"/>
        <v>78.94736842105263</v>
      </c>
      <c r="L9" s="285">
        <v>19</v>
      </c>
      <c r="M9" s="60">
        <f t="shared" ref="M9:M10" si="12">F9/V9*60</f>
        <v>1429.2307692307691</v>
      </c>
      <c r="N9" s="59">
        <f t="shared" si="3"/>
        <v>75.222672064777313</v>
      </c>
      <c r="O9" s="61">
        <f t="shared" si="4"/>
        <v>0</v>
      </c>
      <c r="P9" s="62">
        <f t="shared" si="5"/>
        <v>-3.7246963562753166</v>
      </c>
      <c r="Q9" s="281">
        <f t="shared" si="6"/>
        <v>0.95282051282051261</v>
      </c>
      <c r="R9" s="566">
        <f>Q11</f>
        <v>0.95328268439379538</v>
      </c>
      <c r="S9" s="63">
        <v>0.16666666666666666</v>
      </c>
      <c r="T9" s="63">
        <v>0.27500000000000002</v>
      </c>
      <c r="U9" s="278"/>
      <c r="V9" s="286">
        <f t="shared" ref="V9:V10" si="13">(T9-S9)*24*60</f>
        <v>156.00000000000003</v>
      </c>
      <c r="W9" s="64">
        <f>T9</f>
        <v>0.27500000000000002</v>
      </c>
      <c r="X9" s="64">
        <f>S10</f>
        <v>0.2951388888888889</v>
      </c>
      <c r="Y9" s="559"/>
      <c r="Z9" s="559"/>
      <c r="AA9" s="61">
        <f t="shared" si="8"/>
        <v>-70.769230769230944</v>
      </c>
      <c r="AB9" s="281">
        <f t="shared" si="9"/>
        <v>0.95282051282051272</v>
      </c>
      <c r="AC9" s="566">
        <f>AB11</f>
        <v>0.95328268439379538</v>
      </c>
    </row>
    <row r="10" spans="1:29" ht="15.75" customHeight="1">
      <c r="A10" s="594" t="s">
        <v>1255</v>
      </c>
      <c r="B10" s="57" t="s">
        <v>10</v>
      </c>
      <c r="C10" s="590" t="s">
        <v>11</v>
      </c>
      <c r="D10" s="591"/>
      <c r="E10" s="57">
        <v>39.799999999999997</v>
      </c>
      <c r="F10" s="287">
        <v>5794</v>
      </c>
      <c r="G10" s="278">
        <f t="shared" si="11"/>
        <v>230601.19999999998</v>
      </c>
      <c r="H10" s="289" t="s">
        <v>5</v>
      </c>
      <c r="I10" s="285">
        <v>17</v>
      </c>
      <c r="J10" s="58">
        <v>1500</v>
      </c>
      <c r="K10" s="59">
        <f t="shared" si="1"/>
        <v>88.235294117647058</v>
      </c>
      <c r="L10" s="285">
        <v>17</v>
      </c>
      <c r="M10" s="60">
        <f t="shared" si="12"/>
        <v>1430.6172839506171</v>
      </c>
      <c r="N10" s="59">
        <f t="shared" si="3"/>
        <v>84.153957879448058</v>
      </c>
      <c r="O10" s="61">
        <f t="shared" si="4"/>
        <v>0</v>
      </c>
      <c r="P10" s="62">
        <f t="shared" si="5"/>
        <v>-4.0813362381990004</v>
      </c>
      <c r="Q10" s="281">
        <f t="shared" si="6"/>
        <v>0.95374485596707803</v>
      </c>
      <c r="R10" s="566"/>
      <c r="S10" s="63">
        <v>0.2951388888888889</v>
      </c>
      <c r="T10" s="63">
        <v>0.46388888888888891</v>
      </c>
      <c r="U10" s="278">
        <f t="shared" ref="U10" si="14">IF(S10=TIME(17,0,0),"",(S10-T9)*24*60)</f>
        <v>28.999999999999979</v>
      </c>
      <c r="V10" s="286">
        <f t="shared" si="13"/>
        <v>243.00000000000006</v>
      </c>
      <c r="W10" s="64"/>
      <c r="X10" s="64"/>
      <c r="Y10" s="559"/>
      <c r="Z10" s="559"/>
      <c r="AA10" s="61">
        <f t="shared" si="8"/>
        <v>-69.382716049382907</v>
      </c>
      <c r="AB10" s="281">
        <f t="shared" si="9"/>
        <v>0.95374485596707803</v>
      </c>
      <c r="AC10" s="566"/>
    </row>
    <row r="11" spans="1:29" ht="16.5" customHeight="1">
      <c r="A11" s="594" t="s">
        <v>1254</v>
      </c>
      <c r="B11" s="57" t="s">
        <v>1231</v>
      </c>
      <c r="C11" s="571"/>
      <c r="D11" s="571"/>
      <c r="E11" s="284"/>
      <c r="F11" s="58"/>
      <c r="G11" s="60"/>
      <c r="H11" s="287"/>
      <c r="I11" s="67">
        <v>18</v>
      </c>
      <c r="J11" s="58">
        <v>1500</v>
      </c>
      <c r="K11" s="59">
        <f t="shared" si="1"/>
        <v>83.333333333333329</v>
      </c>
      <c r="L11" s="67">
        <v>18</v>
      </c>
      <c r="M11" s="60">
        <f>AVERAGE(M9:M10)</f>
        <v>1429.9240265906931</v>
      </c>
      <c r="N11" s="59">
        <f t="shared" si="3"/>
        <v>79.440223699482942</v>
      </c>
      <c r="O11" s="61">
        <f t="shared" si="4"/>
        <v>0</v>
      </c>
      <c r="P11" s="62">
        <f t="shared" si="5"/>
        <v>-3.8931096338503863</v>
      </c>
      <c r="Q11" s="281">
        <f t="shared" si="6"/>
        <v>0.95328268439379538</v>
      </c>
      <c r="R11" s="566"/>
      <c r="S11" s="63"/>
      <c r="T11" s="63"/>
      <c r="U11" s="59"/>
      <c r="V11" s="286"/>
      <c r="W11" s="59"/>
      <c r="X11" s="59"/>
      <c r="Y11" s="559"/>
      <c r="Z11" s="559"/>
      <c r="AA11" s="61">
        <f t="shared" si="8"/>
        <v>-70.075973409306926</v>
      </c>
      <c r="AB11" s="281">
        <f t="shared" si="9"/>
        <v>0.95328268439379538</v>
      </c>
      <c r="AC11" s="566"/>
    </row>
    <row r="12" spans="1:29" ht="16.5" customHeight="1">
      <c r="A12" s="592" t="s">
        <v>1233</v>
      </c>
      <c r="B12" s="287" t="s">
        <v>12</v>
      </c>
      <c r="C12" s="584" t="s">
        <v>13</v>
      </c>
      <c r="D12" s="584"/>
      <c r="E12" s="57">
        <v>41</v>
      </c>
      <c r="F12" s="287">
        <v>2400</v>
      </c>
      <c r="G12" s="278">
        <f t="shared" ref="G12:G15" si="15">E12*F12</f>
        <v>98400</v>
      </c>
      <c r="H12" s="289" t="s">
        <v>5</v>
      </c>
      <c r="I12" s="285">
        <v>26</v>
      </c>
      <c r="J12" s="58">
        <v>1500</v>
      </c>
      <c r="K12" s="59">
        <f t="shared" si="1"/>
        <v>57.692307692307693</v>
      </c>
      <c r="L12" s="285">
        <v>26</v>
      </c>
      <c r="M12" s="60">
        <f t="shared" ref="M12:M15" si="16">F12/V12*60</f>
        <v>1440</v>
      </c>
      <c r="N12" s="59">
        <f t="shared" si="3"/>
        <v>55.384615384615387</v>
      </c>
      <c r="O12" s="61">
        <f t="shared" si="4"/>
        <v>0</v>
      </c>
      <c r="P12" s="62">
        <f t="shared" si="5"/>
        <v>-2.3076923076923066</v>
      </c>
      <c r="Q12" s="281">
        <f t="shared" si="6"/>
        <v>0.96</v>
      </c>
      <c r="R12" s="566">
        <f>Q16</f>
        <v>0.95688607594936692</v>
      </c>
      <c r="S12" s="63">
        <v>0.20833333333333334</v>
      </c>
      <c r="T12" s="63">
        <v>0.27777777777777779</v>
      </c>
      <c r="U12" s="278"/>
      <c r="V12" s="286">
        <f t="shared" ref="V12:V15" si="17">(T12-S12)*24*60</f>
        <v>100</v>
      </c>
      <c r="W12" s="68"/>
      <c r="X12" s="68"/>
      <c r="Y12" s="559"/>
      <c r="Z12" s="559"/>
      <c r="AA12" s="61">
        <f t="shared" si="8"/>
        <v>-60</v>
      </c>
      <c r="AB12" s="281">
        <f t="shared" si="9"/>
        <v>0.96</v>
      </c>
      <c r="AC12" s="566">
        <f>AB16</f>
        <v>0.95688607594936681</v>
      </c>
    </row>
    <row r="13" spans="1:29" ht="16.5" customHeight="1">
      <c r="A13" s="593" t="s">
        <v>1233</v>
      </c>
      <c r="B13" s="287" t="s">
        <v>657</v>
      </c>
      <c r="C13" s="584" t="s">
        <v>236</v>
      </c>
      <c r="D13" s="584"/>
      <c r="E13" s="57">
        <v>72.400000000000006</v>
      </c>
      <c r="F13" s="287">
        <v>1917</v>
      </c>
      <c r="G13" s="278">
        <f t="shared" si="15"/>
        <v>138790.80000000002</v>
      </c>
      <c r="H13" s="289" t="s">
        <v>5</v>
      </c>
      <c r="I13" s="285">
        <v>18</v>
      </c>
      <c r="J13" s="58">
        <v>1500</v>
      </c>
      <c r="K13" s="59">
        <f t="shared" si="1"/>
        <v>83.333333333333329</v>
      </c>
      <c r="L13" s="285">
        <v>18</v>
      </c>
      <c r="M13" s="60">
        <f t="shared" si="16"/>
        <v>1437.7499999999995</v>
      </c>
      <c r="N13" s="59">
        <f t="shared" si="3"/>
        <v>79.874999999999972</v>
      </c>
      <c r="O13" s="61">
        <f t="shared" si="4"/>
        <v>0</v>
      </c>
      <c r="P13" s="62">
        <f t="shared" si="5"/>
        <v>-3.458333333333357</v>
      </c>
      <c r="Q13" s="281">
        <f t="shared" si="6"/>
        <v>0.95849999999999969</v>
      </c>
      <c r="R13" s="566"/>
      <c r="S13" s="63">
        <v>0.28125</v>
      </c>
      <c r="T13" s="63">
        <v>0.33680555555555558</v>
      </c>
      <c r="U13" s="278">
        <f t="shared" ref="U13:U15" si="18">IF(S13=TIME(17,0,0),"",(S13-T12)*24*60)</f>
        <v>4.9999999999999822</v>
      </c>
      <c r="V13" s="286">
        <f t="shared" si="17"/>
        <v>80.000000000000028</v>
      </c>
      <c r="W13" s="64"/>
      <c r="X13" s="64"/>
      <c r="Y13" s="559"/>
      <c r="Z13" s="559"/>
      <c r="AA13" s="61">
        <f t="shared" si="8"/>
        <v>-62.250000000000455</v>
      </c>
      <c r="AB13" s="281">
        <f t="shared" si="9"/>
        <v>0.95849999999999969</v>
      </c>
      <c r="AC13" s="566"/>
    </row>
    <row r="14" spans="1:29" ht="16.5" customHeight="1">
      <c r="A14" s="593" t="s">
        <v>1233</v>
      </c>
      <c r="B14" s="287" t="s">
        <v>6</v>
      </c>
      <c r="C14" s="584" t="s">
        <v>95</v>
      </c>
      <c r="D14" s="584"/>
      <c r="E14" s="57">
        <v>50.98</v>
      </c>
      <c r="F14" s="287">
        <v>2523</v>
      </c>
      <c r="G14" s="278">
        <f t="shared" si="15"/>
        <v>128622.54</v>
      </c>
      <c r="H14" s="289" t="s">
        <v>5</v>
      </c>
      <c r="I14" s="285">
        <v>16</v>
      </c>
      <c r="J14" s="58">
        <v>2000</v>
      </c>
      <c r="K14" s="59">
        <f t="shared" si="1"/>
        <v>125</v>
      </c>
      <c r="L14" s="285">
        <v>16</v>
      </c>
      <c r="M14" s="60">
        <f t="shared" si="16"/>
        <v>1916.2025316455686</v>
      </c>
      <c r="N14" s="59">
        <f t="shared" si="3"/>
        <v>119.76265822784804</v>
      </c>
      <c r="O14" s="61">
        <f t="shared" si="4"/>
        <v>0</v>
      </c>
      <c r="P14" s="62">
        <f t="shared" si="5"/>
        <v>-5.2373417721519644</v>
      </c>
      <c r="Q14" s="281">
        <f t="shared" si="6"/>
        <v>0.95810126582278432</v>
      </c>
      <c r="R14" s="566"/>
      <c r="S14" s="63">
        <v>0.70833333333333337</v>
      </c>
      <c r="T14" s="63">
        <v>0.76319444444444451</v>
      </c>
      <c r="U14" s="278" t="str">
        <f t="shared" si="18"/>
        <v/>
      </c>
      <c r="V14" s="286">
        <f t="shared" si="17"/>
        <v>79.000000000000043</v>
      </c>
      <c r="W14" s="64"/>
      <c r="X14" s="64"/>
      <c r="Y14" s="559"/>
      <c r="Z14" s="559"/>
      <c r="AA14" s="61">
        <f t="shared" si="8"/>
        <v>-83.79746835443143</v>
      </c>
      <c r="AB14" s="281">
        <f t="shared" si="9"/>
        <v>0.95810126582278432</v>
      </c>
      <c r="AC14" s="566"/>
    </row>
    <row r="15" spans="1:29" ht="16.5" customHeight="1">
      <c r="A15" s="593" t="s">
        <v>1233</v>
      </c>
      <c r="B15" s="287" t="s">
        <v>6</v>
      </c>
      <c r="C15" s="584" t="s">
        <v>18</v>
      </c>
      <c r="D15" s="584"/>
      <c r="E15" s="57">
        <v>50.92</v>
      </c>
      <c r="F15" s="287">
        <v>2539</v>
      </c>
      <c r="G15" s="278">
        <f t="shared" si="15"/>
        <v>129285.88</v>
      </c>
      <c r="H15" s="289" t="s">
        <v>5</v>
      </c>
      <c r="I15" s="285">
        <v>15</v>
      </c>
      <c r="J15" s="58">
        <v>2000</v>
      </c>
      <c r="K15" s="59">
        <f t="shared" si="1"/>
        <v>133.33333333333334</v>
      </c>
      <c r="L15" s="285">
        <v>15</v>
      </c>
      <c r="M15" s="60">
        <f t="shared" si="16"/>
        <v>1904.2499999999993</v>
      </c>
      <c r="N15" s="59">
        <f t="shared" si="3"/>
        <v>126.94999999999996</v>
      </c>
      <c r="O15" s="61">
        <f t="shared" si="4"/>
        <v>0</v>
      </c>
      <c r="P15" s="62">
        <f t="shared" si="5"/>
        <v>-6.3833333333333826</v>
      </c>
      <c r="Q15" s="281">
        <f t="shared" si="6"/>
        <v>0.95212499999999967</v>
      </c>
      <c r="R15" s="566"/>
      <c r="S15" s="63">
        <v>0.76875000000000004</v>
      </c>
      <c r="T15" s="63">
        <v>0.82430555555555562</v>
      </c>
      <c r="U15" s="278">
        <f t="shared" si="18"/>
        <v>7.9999999999999716</v>
      </c>
      <c r="V15" s="286">
        <f t="shared" si="17"/>
        <v>80.000000000000028</v>
      </c>
      <c r="W15" s="64"/>
      <c r="X15" s="64"/>
      <c r="Y15" s="559"/>
      <c r="Z15" s="559"/>
      <c r="AA15" s="61">
        <f t="shared" si="8"/>
        <v>-95.750000000000682</v>
      </c>
      <c r="AB15" s="281">
        <f t="shared" si="9"/>
        <v>0.95212499999999967</v>
      </c>
      <c r="AC15" s="566"/>
    </row>
    <row r="16" spans="1:29" ht="16.5" customHeight="1">
      <c r="A16" s="593" t="s">
        <v>1233</v>
      </c>
      <c r="B16" s="57" t="s">
        <v>1231</v>
      </c>
      <c r="C16" s="571"/>
      <c r="D16" s="571"/>
      <c r="E16" s="284"/>
      <c r="F16" s="66"/>
      <c r="G16" s="59"/>
      <c r="H16" s="287"/>
      <c r="I16" s="67">
        <v>18.75</v>
      </c>
      <c r="J16" s="58">
        <v>1750</v>
      </c>
      <c r="K16" s="59">
        <f t="shared" si="1"/>
        <v>93.333333333333329</v>
      </c>
      <c r="L16" s="67">
        <v>18.75</v>
      </c>
      <c r="M16" s="60">
        <f>AVERAGE(M12:M15)</f>
        <v>1674.5506329113919</v>
      </c>
      <c r="N16" s="59">
        <f t="shared" si="3"/>
        <v>89.309367088607573</v>
      </c>
      <c r="O16" s="61">
        <f t="shared" si="4"/>
        <v>0</v>
      </c>
      <c r="P16" s="62">
        <f t="shared" si="5"/>
        <v>-4.0239662447257558</v>
      </c>
      <c r="Q16" s="281">
        <f t="shared" si="6"/>
        <v>0.95688607594936692</v>
      </c>
      <c r="R16" s="566"/>
      <c r="S16" s="63"/>
      <c r="T16" s="63"/>
      <c r="U16" s="278"/>
      <c r="V16" s="286"/>
      <c r="W16" s="59"/>
      <c r="X16" s="59"/>
      <c r="Y16" s="559"/>
      <c r="Z16" s="559"/>
      <c r="AA16" s="61">
        <f t="shared" si="8"/>
        <v>-75.449367088608142</v>
      </c>
      <c r="AB16" s="281">
        <f t="shared" si="9"/>
        <v>0.95688607594936681</v>
      </c>
      <c r="AC16" s="566"/>
    </row>
    <row r="17" spans="1:29" ht="15.75" customHeight="1">
      <c r="A17" s="588" t="s">
        <v>1235</v>
      </c>
      <c r="B17" s="57" t="s">
        <v>12</v>
      </c>
      <c r="C17" s="584" t="s">
        <v>19</v>
      </c>
      <c r="D17" s="584"/>
      <c r="E17" s="57">
        <v>43.14</v>
      </c>
      <c r="F17" s="287">
        <v>1090</v>
      </c>
      <c r="G17" s="278">
        <f t="shared" ref="G17:G24" si="19">E17*F17</f>
        <v>47022.6</v>
      </c>
      <c r="H17" s="289" t="s">
        <v>5</v>
      </c>
      <c r="I17" s="285">
        <v>17</v>
      </c>
      <c r="J17" s="58">
        <v>2000</v>
      </c>
      <c r="K17" s="59">
        <f t="shared" si="1"/>
        <v>117.64705882352941</v>
      </c>
      <c r="L17" s="285">
        <v>17</v>
      </c>
      <c r="M17" s="60">
        <f t="shared" ref="M17:M24" si="20">F17/V17*60</f>
        <v>1923.5294117647061</v>
      </c>
      <c r="N17" s="59">
        <f t="shared" si="3"/>
        <v>113.14878892733566</v>
      </c>
      <c r="O17" s="61">
        <f t="shared" si="4"/>
        <v>0</v>
      </c>
      <c r="P17" s="62">
        <f t="shared" si="5"/>
        <v>-4.4982698961937473</v>
      </c>
      <c r="Q17" s="281">
        <f t="shared" si="6"/>
        <v>0.96176470588235319</v>
      </c>
      <c r="R17" s="566">
        <f>Q25</f>
        <v>0.95881195739214986</v>
      </c>
      <c r="S17" s="63">
        <v>0.20833333333333334</v>
      </c>
      <c r="T17" s="63">
        <v>0.23194444444444445</v>
      </c>
      <c r="U17" s="278"/>
      <c r="V17" s="286">
        <f t="shared" ref="V17:V24" si="21">(T17-S17)*24*60</f>
        <v>34</v>
      </c>
      <c r="W17" s="68"/>
      <c r="X17" s="68"/>
      <c r="Y17" s="559"/>
      <c r="Z17" s="559"/>
      <c r="AA17" s="61">
        <f t="shared" si="8"/>
        <v>-76.470588235293917</v>
      </c>
      <c r="AB17" s="281">
        <f t="shared" si="9"/>
        <v>0.96176470588235308</v>
      </c>
      <c r="AC17" s="566">
        <f>AB25</f>
        <v>0.95881195739214986</v>
      </c>
    </row>
    <row r="18" spans="1:29" ht="15.75" customHeight="1">
      <c r="A18" s="589" t="s">
        <v>1235</v>
      </c>
      <c r="B18" s="57" t="s">
        <v>65</v>
      </c>
      <c r="C18" s="584" t="s">
        <v>97</v>
      </c>
      <c r="D18" s="584"/>
      <c r="E18" s="57">
        <v>49.9</v>
      </c>
      <c r="F18" s="287">
        <v>1439</v>
      </c>
      <c r="G18" s="278">
        <f t="shared" si="19"/>
        <v>71806.099999999991</v>
      </c>
      <c r="H18" s="289" t="s">
        <v>5</v>
      </c>
      <c r="I18" s="285">
        <v>17</v>
      </c>
      <c r="J18" s="58">
        <v>2000</v>
      </c>
      <c r="K18" s="59">
        <f t="shared" si="1"/>
        <v>117.64705882352941</v>
      </c>
      <c r="L18" s="285">
        <v>17</v>
      </c>
      <c r="M18" s="60">
        <f t="shared" si="20"/>
        <v>1918.6666666666667</v>
      </c>
      <c r="N18" s="59">
        <f t="shared" si="3"/>
        <v>112.86274509803923</v>
      </c>
      <c r="O18" s="61">
        <f t="shared" si="4"/>
        <v>0</v>
      </c>
      <c r="P18" s="62">
        <f t="shared" si="5"/>
        <v>-4.7843137254901791</v>
      </c>
      <c r="Q18" s="281">
        <f t="shared" si="6"/>
        <v>0.95933333333333348</v>
      </c>
      <c r="R18" s="566"/>
      <c r="S18" s="63">
        <v>0.23541666666666666</v>
      </c>
      <c r="T18" s="63">
        <v>0.26666666666666666</v>
      </c>
      <c r="U18" s="278">
        <f t="shared" ref="U18:U24" si="22">IF(S18=TIME(17,0,0),"",(S18-T17)*24*60)</f>
        <v>4.9999999999999822</v>
      </c>
      <c r="V18" s="286">
        <f t="shared" si="21"/>
        <v>45</v>
      </c>
      <c r="W18" s="64"/>
      <c r="X18" s="278"/>
      <c r="Y18" s="559"/>
      <c r="Z18" s="559"/>
      <c r="AA18" s="61">
        <f t="shared" si="8"/>
        <v>-81.333333333333258</v>
      </c>
      <c r="AB18" s="281">
        <f t="shared" si="9"/>
        <v>0.95933333333333337</v>
      </c>
      <c r="AC18" s="566"/>
    </row>
    <row r="19" spans="1:29" ht="15.75" customHeight="1">
      <c r="A19" s="589" t="s">
        <v>1235</v>
      </c>
      <c r="B19" s="57" t="s">
        <v>6</v>
      </c>
      <c r="C19" s="584" t="s">
        <v>20</v>
      </c>
      <c r="D19" s="584"/>
      <c r="E19" s="57">
        <v>57.73</v>
      </c>
      <c r="F19" s="287">
        <v>2513</v>
      </c>
      <c r="G19" s="278">
        <f t="shared" si="19"/>
        <v>145075.49</v>
      </c>
      <c r="H19" s="289" t="s">
        <v>5</v>
      </c>
      <c r="I19" s="285">
        <v>14</v>
      </c>
      <c r="J19" s="58">
        <v>2000</v>
      </c>
      <c r="K19" s="59">
        <f t="shared" si="1"/>
        <v>142.85714285714286</v>
      </c>
      <c r="L19" s="285">
        <v>14</v>
      </c>
      <c r="M19" s="60">
        <f t="shared" si="20"/>
        <v>1908.60759493671</v>
      </c>
      <c r="N19" s="59">
        <f t="shared" si="3"/>
        <v>136.32911392405072</v>
      </c>
      <c r="O19" s="61">
        <f t="shared" si="4"/>
        <v>0</v>
      </c>
      <c r="P19" s="62">
        <f t="shared" si="5"/>
        <v>-6.5280289330921448</v>
      </c>
      <c r="Q19" s="281">
        <f t="shared" si="6"/>
        <v>0.95430379746835503</v>
      </c>
      <c r="R19" s="566"/>
      <c r="S19" s="63">
        <v>0.2722222222222222</v>
      </c>
      <c r="T19" s="63">
        <v>0.32708333333333328</v>
      </c>
      <c r="U19" s="278">
        <f t="shared" si="22"/>
        <v>7.9999999999999716</v>
      </c>
      <c r="V19" s="286">
        <f t="shared" si="21"/>
        <v>78.999999999999957</v>
      </c>
      <c r="W19" s="64"/>
      <c r="X19" s="278"/>
      <c r="Y19" s="559"/>
      <c r="Z19" s="559"/>
      <c r="AA19" s="61">
        <f t="shared" si="8"/>
        <v>-91.392405063289971</v>
      </c>
      <c r="AB19" s="281">
        <f t="shared" si="9"/>
        <v>0.95430379746835503</v>
      </c>
      <c r="AC19" s="566"/>
    </row>
    <row r="20" spans="1:29" ht="15.75" customHeight="1">
      <c r="A20" s="589" t="s">
        <v>1235</v>
      </c>
      <c r="B20" s="57" t="s">
        <v>6</v>
      </c>
      <c r="C20" s="584" t="s">
        <v>21</v>
      </c>
      <c r="D20" s="584"/>
      <c r="E20" s="57">
        <v>53.68</v>
      </c>
      <c r="F20" s="287">
        <v>1656</v>
      </c>
      <c r="G20" s="278">
        <f t="shared" si="19"/>
        <v>88894.080000000002</v>
      </c>
      <c r="H20" s="289" t="s">
        <v>5</v>
      </c>
      <c r="I20" s="285">
        <v>16</v>
      </c>
      <c r="J20" s="58">
        <v>2000</v>
      </c>
      <c r="K20" s="59">
        <f t="shared" si="1"/>
        <v>125</v>
      </c>
      <c r="L20" s="285">
        <v>16</v>
      </c>
      <c r="M20" s="60">
        <f t="shared" si="20"/>
        <v>1910.7692307692319</v>
      </c>
      <c r="N20" s="59">
        <f t="shared" si="3"/>
        <v>119.42307692307699</v>
      </c>
      <c r="O20" s="61">
        <f t="shared" si="4"/>
        <v>0</v>
      </c>
      <c r="P20" s="62">
        <f t="shared" si="5"/>
        <v>-5.5769230769230091</v>
      </c>
      <c r="Q20" s="281">
        <f t="shared" si="6"/>
        <v>0.95538461538461594</v>
      </c>
      <c r="R20" s="566"/>
      <c r="S20" s="63">
        <v>0.33124999999999993</v>
      </c>
      <c r="T20" s="63">
        <v>0.36736111111111103</v>
      </c>
      <c r="U20" s="278">
        <f t="shared" si="22"/>
        <v>5.9999999999999787</v>
      </c>
      <c r="V20" s="286">
        <f t="shared" si="21"/>
        <v>51.999999999999972</v>
      </c>
      <c r="W20" s="64"/>
      <c r="X20" s="278"/>
      <c r="Y20" s="559"/>
      <c r="Z20" s="559"/>
      <c r="AA20" s="61">
        <f t="shared" si="8"/>
        <v>-89.230769230768146</v>
      </c>
      <c r="AB20" s="281">
        <f t="shared" si="9"/>
        <v>0.95538461538461594</v>
      </c>
      <c r="AC20" s="566"/>
    </row>
    <row r="21" spans="1:29" ht="15.75" customHeight="1">
      <c r="A21" s="589" t="s">
        <v>1235</v>
      </c>
      <c r="B21" s="57" t="s">
        <v>6</v>
      </c>
      <c r="C21" s="584" t="s">
        <v>96</v>
      </c>
      <c r="D21" s="584"/>
      <c r="E21" s="57">
        <v>49.91</v>
      </c>
      <c r="F21" s="287">
        <v>1197</v>
      </c>
      <c r="G21" s="278">
        <f t="shared" si="19"/>
        <v>59742.27</v>
      </c>
      <c r="H21" s="289" t="s">
        <v>5</v>
      </c>
      <c r="I21" s="285">
        <v>17</v>
      </c>
      <c r="J21" s="58">
        <v>2000</v>
      </c>
      <c r="K21" s="59">
        <f t="shared" si="1"/>
        <v>117.64705882352941</v>
      </c>
      <c r="L21" s="285">
        <v>17</v>
      </c>
      <c r="M21" s="60">
        <f t="shared" si="20"/>
        <v>1941.0810810810794</v>
      </c>
      <c r="N21" s="59">
        <f t="shared" si="3"/>
        <v>114.18124006359291</v>
      </c>
      <c r="O21" s="61">
        <f t="shared" si="4"/>
        <v>0</v>
      </c>
      <c r="P21" s="62">
        <f t="shared" si="5"/>
        <v>-3.4658187599364965</v>
      </c>
      <c r="Q21" s="281">
        <f t="shared" si="6"/>
        <v>0.97054054054053973</v>
      </c>
      <c r="R21" s="566"/>
      <c r="S21" s="63">
        <v>0.37222222222222212</v>
      </c>
      <c r="T21" s="63">
        <v>0.39791666666666659</v>
      </c>
      <c r="U21" s="278">
        <f t="shared" si="22"/>
        <v>6.9999999999999751</v>
      </c>
      <c r="V21" s="286">
        <f t="shared" si="21"/>
        <v>37.000000000000028</v>
      </c>
      <c r="W21" s="64"/>
      <c r="X21" s="278"/>
      <c r="Y21" s="559"/>
      <c r="Z21" s="559"/>
      <c r="AA21" s="61">
        <f t="shared" si="8"/>
        <v>-58.918918918920554</v>
      </c>
      <c r="AB21" s="281">
        <f t="shared" si="9"/>
        <v>0.97054054054053973</v>
      </c>
      <c r="AC21" s="566"/>
    </row>
    <row r="22" spans="1:29" ht="15.75" customHeight="1">
      <c r="A22" s="589" t="s">
        <v>1235</v>
      </c>
      <c r="B22" s="57" t="s">
        <v>6</v>
      </c>
      <c r="C22" s="584" t="s">
        <v>22</v>
      </c>
      <c r="D22" s="584"/>
      <c r="E22" s="57">
        <v>54.09</v>
      </c>
      <c r="F22" s="287">
        <v>1560</v>
      </c>
      <c r="G22" s="278">
        <f t="shared" si="19"/>
        <v>84380.400000000009</v>
      </c>
      <c r="H22" s="289" t="s">
        <v>5</v>
      </c>
      <c r="I22" s="285">
        <v>19</v>
      </c>
      <c r="J22" s="58">
        <v>2000</v>
      </c>
      <c r="K22" s="59">
        <f t="shared" si="1"/>
        <v>105.26315789473684</v>
      </c>
      <c r="L22" s="285">
        <v>19</v>
      </c>
      <c r="M22" s="60">
        <f t="shared" si="20"/>
        <v>1910.2040816326535</v>
      </c>
      <c r="N22" s="59">
        <f t="shared" si="3"/>
        <v>100.53705692803439</v>
      </c>
      <c r="O22" s="61">
        <f t="shared" si="4"/>
        <v>0</v>
      </c>
      <c r="P22" s="62">
        <f t="shared" si="5"/>
        <v>-4.7261009667024467</v>
      </c>
      <c r="Q22" s="281">
        <f t="shared" si="6"/>
        <v>0.95510204081632677</v>
      </c>
      <c r="R22" s="566"/>
      <c r="S22" s="63">
        <v>0.70833333333333337</v>
      </c>
      <c r="T22" s="63">
        <v>0.74236111111111114</v>
      </c>
      <c r="U22" s="278" t="str">
        <f t="shared" si="22"/>
        <v/>
      </c>
      <c r="V22" s="286">
        <f t="shared" si="21"/>
        <v>48.999999999999986</v>
      </c>
      <c r="W22" s="64"/>
      <c r="X22" s="68"/>
      <c r="Y22" s="559"/>
      <c r="Z22" s="559"/>
      <c r="AA22" s="61">
        <f t="shared" si="8"/>
        <v>-89.79591836734653</v>
      </c>
      <c r="AB22" s="281">
        <f t="shared" si="9"/>
        <v>0.95510204081632677</v>
      </c>
      <c r="AC22" s="566"/>
    </row>
    <row r="23" spans="1:29" ht="15.75" customHeight="1">
      <c r="A23" s="589" t="s">
        <v>1235</v>
      </c>
      <c r="B23" s="57" t="s">
        <v>6</v>
      </c>
      <c r="C23" s="584" t="s">
        <v>69</v>
      </c>
      <c r="D23" s="584"/>
      <c r="E23" s="57">
        <v>57.73</v>
      </c>
      <c r="F23" s="287">
        <v>1576</v>
      </c>
      <c r="G23" s="278">
        <f t="shared" si="19"/>
        <v>90982.48</v>
      </c>
      <c r="H23" s="289" t="s">
        <v>5</v>
      </c>
      <c r="I23" s="285">
        <v>16</v>
      </c>
      <c r="J23" s="58">
        <v>1500</v>
      </c>
      <c r="K23" s="59">
        <f t="shared" si="1"/>
        <v>93.75</v>
      </c>
      <c r="L23" s="285">
        <v>16</v>
      </c>
      <c r="M23" s="60">
        <f t="shared" si="20"/>
        <v>1432.7272727272743</v>
      </c>
      <c r="N23" s="59">
        <f t="shared" si="3"/>
        <v>89.545454545454646</v>
      </c>
      <c r="O23" s="61">
        <f t="shared" si="4"/>
        <v>0</v>
      </c>
      <c r="P23" s="62">
        <f t="shared" si="5"/>
        <v>-4.2045454545453538</v>
      </c>
      <c r="Q23" s="281">
        <f t="shared" si="6"/>
        <v>0.95515151515151619</v>
      </c>
      <c r="R23" s="566"/>
      <c r="S23" s="63">
        <v>0.74791666666666667</v>
      </c>
      <c r="T23" s="63">
        <v>0.79374999999999996</v>
      </c>
      <c r="U23" s="278">
        <f t="shared" si="22"/>
        <v>7.9999999999999716</v>
      </c>
      <c r="V23" s="286">
        <f t="shared" si="21"/>
        <v>65.999999999999929</v>
      </c>
      <c r="W23" s="64"/>
      <c r="X23" s="68"/>
      <c r="Y23" s="569"/>
      <c r="Z23" s="570"/>
      <c r="AA23" s="61">
        <f t="shared" si="8"/>
        <v>-67.27272727272566</v>
      </c>
      <c r="AB23" s="281">
        <f t="shared" si="9"/>
        <v>0.95515151515151619</v>
      </c>
      <c r="AC23" s="566"/>
    </row>
    <row r="24" spans="1:29" ht="15.75" customHeight="1">
      <c r="A24" s="589" t="s">
        <v>1234</v>
      </c>
      <c r="B24" s="57" t="s">
        <v>6</v>
      </c>
      <c r="C24" s="585" t="s">
        <v>68</v>
      </c>
      <c r="D24" s="586"/>
      <c r="E24" s="57">
        <v>50.67</v>
      </c>
      <c r="F24" s="287">
        <v>1916</v>
      </c>
      <c r="G24" s="278">
        <f t="shared" si="19"/>
        <v>97083.72</v>
      </c>
      <c r="H24" s="289" t="s">
        <v>5</v>
      </c>
      <c r="I24" s="285">
        <v>15</v>
      </c>
      <c r="J24" s="58">
        <v>2000</v>
      </c>
      <c r="K24" s="59">
        <f t="shared" si="1"/>
        <v>133.33333333333334</v>
      </c>
      <c r="L24" s="285">
        <v>15</v>
      </c>
      <c r="M24" s="60">
        <f t="shared" si="20"/>
        <v>1916.0000000000018</v>
      </c>
      <c r="N24" s="59">
        <f t="shared" si="3"/>
        <v>127.73333333333345</v>
      </c>
      <c r="O24" s="61">
        <f t="shared" si="4"/>
        <v>0</v>
      </c>
      <c r="P24" s="62">
        <f t="shared" si="5"/>
        <v>-5.5999999999998948</v>
      </c>
      <c r="Q24" s="281">
        <f t="shared" si="6"/>
        <v>0.95800000000000074</v>
      </c>
      <c r="R24" s="566"/>
      <c r="S24" s="63">
        <v>0.79722222222222217</v>
      </c>
      <c r="T24" s="63">
        <v>0.8388888888888888</v>
      </c>
      <c r="U24" s="278">
        <f t="shared" si="22"/>
        <v>4.9999999999999822</v>
      </c>
      <c r="V24" s="286">
        <f t="shared" si="21"/>
        <v>59.999999999999943</v>
      </c>
      <c r="W24" s="64"/>
      <c r="X24" s="64"/>
      <c r="Y24" s="569"/>
      <c r="Z24" s="570"/>
      <c r="AA24" s="61">
        <f t="shared" si="8"/>
        <v>-83.999999999998181</v>
      </c>
      <c r="AB24" s="281">
        <f t="shared" si="9"/>
        <v>0.95800000000000096</v>
      </c>
      <c r="AC24" s="566"/>
    </row>
    <row r="25" spans="1:29" ht="15.75" customHeight="1">
      <c r="A25" s="589" t="s">
        <v>1234</v>
      </c>
      <c r="B25" s="57" t="s">
        <v>1232</v>
      </c>
      <c r="C25" s="571"/>
      <c r="D25" s="571"/>
      <c r="E25" s="284"/>
      <c r="F25" s="287"/>
      <c r="G25" s="278"/>
      <c r="H25" s="287"/>
      <c r="I25" s="67">
        <v>16.375</v>
      </c>
      <c r="J25" s="58">
        <v>1937.5</v>
      </c>
      <c r="K25" s="59">
        <f t="shared" si="1"/>
        <v>118.32061068702291</v>
      </c>
      <c r="L25" s="67">
        <v>16.375</v>
      </c>
      <c r="M25" s="60">
        <f>AVERAGE(M17:M24)</f>
        <v>1857.6981674472904</v>
      </c>
      <c r="N25" s="59">
        <f t="shared" si="3"/>
        <v>113.44721633265895</v>
      </c>
      <c r="O25" s="61">
        <f t="shared" si="4"/>
        <v>0</v>
      </c>
      <c r="P25" s="62">
        <f t="shared" si="5"/>
        <v>-4.8733943543639526</v>
      </c>
      <c r="Q25" s="281">
        <f t="shared" si="6"/>
        <v>0.95881195739214986</v>
      </c>
      <c r="R25" s="566"/>
      <c r="S25" s="63"/>
      <c r="T25" s="63"/>
      <c r="U25" s="59"/>
      <c r="V25" s="286"/>
      <c r="W25" s="59"/>
      <c r="X25" s="59"/>
      <c r="Y25" s="559"/>
      <c r="Z25" s="559"/>
      <c r="AA25" s="61">
        <f t="shared" si="8"/>
        <v>-79.801832552709584</v>
      </c>
      <c r="AB25" s="281">
        <f t="shared" si="9"/>
        <v>0.95881195739214986</v>
      </c>
      <c r="AC25" s="566"/>
    </row>
    <row r="26" spans="1:29" ht="15.75" customHeight="1">
      <c r="A26" s="587" t="s">
        <v>1236</v>
      </c>
      <c r="B26" s="57" t="s">
        <v>15</v>
      </c>
      <c r="C26" s="584" t="s">
        <v>26</v>
      </c>
      <c r="D26" s="584"/>
      <c r="E26" s="57">
        <v>31.29</v>
      </c>
      <c r="F26" s="287">
        <v>5400</v>
      </c>
      <c r="G26" s="278">
        <f t="shared" ref="G26:G32" si="23">E26*F26</f>
        <v>168966</v>
      </c>
      <c r="H26" s="289">
        <v>2</v>
      </c>
      <c r="I26" s="285">
        <v>18</v>
      </c>
      <c r="J26" s="58">
        <v>2400</v>
      </c>
      <c r="K26" s="59">
        <f t="shared" si="1"/>
        <v>133.33333333333334</v>
      </c>
      <c r="L26" s="285">
        <v>18</v>
      </c>
      <c r="M26" s="60">
        <f t="shared" ref="M26:M32" si="24">F26/V26*60</f>
        <v>2281.6901408450703</v>
      </c>
      <c r="N26" s="59">
        <f t="shared" si="3"/>
        <v>126.76056338028168</v>
      </c>
      <c r="O26" s="61">
        <f t="shared" si="4"/>
        <v>0</v>
      </c>
      <c r="P26" s="62">
        <f t="shared" si="5"/>
        <v>-6.5727699530516617</v>
      </c>
      <c r="Q26" s="281">
        <f t="shared" si="6"/>
        <v>0.95070422535211252</v>
      </c>
      <c r="R26" s="566">
        <f>Q33</f>
        <v>0.95406059050952052</v>
      </c>
      <c r="S26" s="63">
        <v>8.3333333333333329E-2</v>
      </c>
      <c r="T26" s="63">
        <v>0.18194444444444444</v>
      </c>
      <c r="U26" s="278"/>
      <c r="V26" s="286">
        <f t="shared" ref="V26:V32" si="25">(T26-S26)*24*60</f>
        <v>142</v>
      </c>
      <c r="W26" s="64">
        <f>T26</f>
        <v>0.18194444444444444</v>
      </c>
      <c r="X26" s="64">
        <f>S27</f>
        <v>0.20277777777777778</v>
      </c>
      <c r="Y26" s="559"/>
      <c r="Z26" s="559"/>
      <c r="AA26" s="61">
        <f t="shared" si="8"/>
        <v>-118.30985915492965</v>
      </c>
      <c r="AB26" s="281">
        <f t="shared" si="9"/>
        <v>0.95070422535211263</v>
      </c>
      <c r="AC26" s="566">
        <f>AB33</f>
        <v>0.95406059050952041</v>
      </c>
    </row>
    <row r="27" spans="1:29" ht="15.75" customHeight="1">
      <c r="A27" s="587" t="s">
        <v>1236</v>
      </c>
      <c r="B27" s="57" t="s">
        <v>15</v>
      </c>
      <c r="C27" s="584" t="s">
        <v>23</v>
      </c>
      <c r="D27" s="584"/>
      <c r="E27" s="57">
        <v>26.2</v>
      </c>
      <c r="F27" s="287">
        <v>2900</v>
      </c>
      <c r="G27" s="278">
        <f t="shared" si="23"/>
        <v>75980</v>
      </c>
      <c r="H27" s="289">
        <v>2</v>
      </c>
      <c r="I27" s="285">
        <v>20</v>
      </c>
      <c r="J27" s="58">
        <v>2400</v>
      </c>
      <c r="K27" s="59">
        <f t="shared" si="1"/>
        <v>120</v>
      </c>
      <c r="L27" s="285">
        <v>20</v>
      </c>
      <c r="M27" s="60">
        <f t="shared" si="24"/>
        <v>2289.4736842105272</v>
      </c>
      <c r="N27" s="59">
        <f t="shared" si="3"/>
        <v>114.47368421052636</v>
      </c>
      <c r="O27" s="61">
        <f t="shared" si="4"/>
        <v>0</v>
      </c>
      <c r="P27" s="62">
        <f t="shared" si="5"/>
        <v>-5.5263157894736423</v>
      </c>
      <c r="Q27" s="281">
        <f t="shared" si="6"/>
        <v>0.95394736842105299</v>
      </c>
      <c r="R27" s="566"/>
      <c r="S27" s="63">
        <v>0.20277777777777778</v>
      </c>
      <c r="T27" s="63">
        <v>0.25555555555555554</v>
      </c>
      <c r="U27" s="278">
        <f t="shared" ref="U27:U32" si="26">(S27-T26)*24*60</f>
        <v>30.000000000000014</v>
      </c>
      <c r="V27" s="286">
        <f t="shared" si="25"/>
        <v>75.999999999999972</v>
      </c>
      <c r="W27" s="64"/>
      <c r="X27" s="64"/>
      <c r="Y27" s="559"/>
      <c r="Z27" s="559"/>
      <c r="AA27" s="61">
        <f t="shared" si="8"/>
        <v>-110.52631578947285</v>
      </c>
      <c r="AB27" s="281">
        <f t="shared" si="9"/>
        <v>0.95394736842105299</v>
      </c>
      <c r="AC27" s="566"/>
    </row>
    <row r="28" spans="1:29" ht="15.75" customHeight="1">
      <c r="A28" s="587" t="s">
        <v>1236</v>
      </c>
      <c r="B28" s="57" t="s">
        <v>15</v>
      </c>
      <c r="C28" s="584" t="s">
        <v>70</v>
      </c>
      <c r="D28" s="584"/>
      <c r="E28" s="57">
        <v>25.99</v>
      </c>
      <c r="F28" s="287">
        <v>4718</v>
      </c>
      <c r="G28" s="278">
        <f t="shared" si="23"/>
        <v>122620.81999999999</v>
      </c>
      <c r="H28" s="289" t="s">
        <v>5</v>
      </c>
      <c r="I28" s="285">
        <v>14</v>
      </c>
      <c r="J28" s="58">
        <v>2400</v>
      </c>
      <c r="K28" s="59">
        <f t="shared" si="1"/>
        <v>171.42857142857142</v>
      </c>
      <c r="L28" s="285">
        <v>14</v>
      </c>
      <c r="M28" s="60">
        <f t="shared" si="24"/>
        <v>2282.9032258064508</v>
      </c>
      <c r="N28" s="59">
        <f t="shared" si="3"/>
        <v>163.0645161290322</v>
      </c>
      <c r="O28" s="61">
        <f t="shared" si="4"/>
        <v>0</v>
      </c>
      <c r="P28" s="62">
        <f t="shared" si="5"/>
        <v>-8.364055299539217</v>
      </c>
      <c r="Q28" s="281">
        <f t="shared" si="6"/>
        <v>0.95120967741935458</v>
      </c>
      <c r="R28" s="566"/>
      <c r="S28" s="63">
        <v>0.25902777777777775</v>
      </c>
      <c r="T28" s="63">
        <v>0.34513888888888888</v>
      </c>
      <c r="U28" s="278">
        <f t="shared" si="26"/>
        <v>4.9999999999999822</v>
      </c>
      <c r="V28" s="286">
        <f t="shared" si="25"/>
        <v>124.00000000000004</v>
      </c>
      <c r="W28" s="64"/>
      <c r="X28" s="64"/>
      <c r="Y28" s="559"/>
      <c r="Z28" s="559"/>
      <c r="AA28" s="61">
        <f t="shared" si="8"/>
        <v>-117.09677419354921</v>
      </c>
      <c r="AB28" s="281">
        <f t="shared" si="9"/>
        <v>0.95120967741935447</v>
      </c>
      <c r="AC28" s="566"/>
    </row>
    <row r="29" spans="1:29" ht="15.75" customHeight="1">
      <c r="A29" s="587" t="s">
        <v>1236</v>
      </c>
      <c r="B29" s="57" t="s">
        <v>15</v>
      </c>
      <c r="C29" s="584" t="s">
        <v>45</v>
      </c>
      <c r="D29" s="584"/>
      <c r="E29" s="57">
        <v>20.52</v>
      </c>
      <c r="F29" s="287">
        <v>4584</v>
      </c>
      <c r="G29" s="278">
        <f t="shared" si="23"/>
        <v>94063.679999999993</v>
      </c>
      <c r="H29" s="289" t="s">
        <v>5</v>
      </c>
      <c r="I29" s="285">
        <v>18</v>
      </c>
      <c r="J29" s="58">
        <v>2400</v>
      </c>
      <c r="K29" s="59">
        <f t="shared" si="1"/>
        <v>133.33333333333334</v>
      </c>
      <c r="L29" s="285">
        <v>18</v>
      </c>
      <c r="M29" s="60">
        <f t="shared" si="24"/>
        <v>2292.0000000000005</v>
      </c>
      <c r="N29" s="59">
        <f t="shared" si="3"/>
        <v>127.33333333333336</v>
      </c>
      <c r="O29" s="61">
        <f t="shared" si="4"/>
        <v>0</v>
      </c>
      <c r="P29" s="62">
        <f t="shared" si="5"/>
        <v>-5.9999999999999858</v>
      </c>
      <c r="Q29" s="281">
        <f t="shared" si="6"/>
        <v>0.95500000000000007</v>
      </c>
      <c r="R29" s="566"/>
      <c r="S29" s="63">
        <v>0.35069444444444442</v>
      </c>
      <c r="T29" s="63">
        <v>0.43402777777777773</v>
      </c>
      <c r="U29" s="278">
        <f t="shared" si="26"/>
        <v>7.9999999999999716</v>
      </c>
      <c r="V29" s="286">
        <f t="shared" si="25"/>
        <v>119.99999999999997</v>
      </c>
      <c r="W29" s="64"/>
      <c r="X29" s="64"/>
      <c r="Y29" s="559"/>
      <c r="Z29" s="559"/>
      <c r="AA29" s="61">
        <f t="shared" si="8"/>
        <v>-107.99999999999955</v>
      </c>
      <c r="AB29" s="281">
        <f t="shared" si="9"/>
        <v>0.95500000000000018</v>
      </c>
      <c r="AC29" s="566"/>
    </row>
    <row r="30" spans="1:29" ht="15.75" customHeight="1">
      <c r="A30" s="587" t="s">
        <v>1236</v>
      </c>
      <c r="B30" s="57" t="s">
        <v>15</v>
      </c>
      <c r="C30" s="584" t="s">
        <v>98</v>
      </c>
      <c r="D30" s="584"/>
      <c r="E30" s="57">
        <v>25.98</v>
      </c>
      <c r="F30" s="287">
        <v>4308</v>
      </c>
      <c r="G30" s="278">
        <f t="shared" si="23"/>
        <v>111921.84</v>
      </c>
      <c r="H30" s="289" t="s">
        <v>5</v>
      </c>
      <c r="I30" s="285">
        <v>21</v>
      </c>
      <c r="J30" s="58">
        <v>2400</v>
      </c>
      <c r="K30" s="59">
        <f t="shared" si="1"/>
        <v>114.28571428571429</v>
      </c>
      <c r="L30" s="285">
        <v>21</v>
      </c>
      <c r="M30" s="60">
        <f t="shared" si="24"/>
        <v>2287.4336283185839</v>
      </c>
      <c r="N30" s="59">
        <f t="shared" si="3"/>
        <v>108.92541087231352</v>
      </c>
      <c r="O30" s="61">
        <f t="shared" si="4"/>
        <v>0</v>
      </c>
      <c r="P30" s="62">
        <f t="shared" si="5"/>
        <v>-5.3603034134007714</v>
      </c>
      <c r="Q30" s="281">
        <f t="shared" si="6"/>
        <v>0.95309734513274325</v>
      </c>
      <c r="R30" s="566"/>
      <c r="S30" s="63">
        <v>0.43958333333333327</v>
      </c>
      <c r="T30" s="63">
        <v>0.51805555555555549</v>
      </c>
      <c r="U30" s="278">
        <f t="shared" si="26"/>
        <v>7.9999999999999716</v>
      </c>
      <c r="V30" s="286">
        <f t="shared" si="25"/>
        <v>113</v>
      </c>
      <c r="W30" s="64">
        <f>T30</f>
        <v>0.51805555555555549</v>
      </c>
      <c r="X30" s="64">
        <f>S31</f>
        <v>0.55833333333333324</v>
      </c>
      <c r="Y30" s="559"/>
      <c r="Z30" s="559"/>
      <c r="AA30" s="61">
        <f t="shared" si="8"/>
        <v>-112.56637168141606</v>
      </c>
      <c r="AB30" s="281">
        <f t="shared" si="9"/>
        <v>0.95309734513274336</v>
      </c>
      <c r="AC30" s="566"/>
    </row>
    <row r="31" spans="1:29" ht="15.75" customHeight="1">
      <c r="A31" s="587" t="s">
        <v>1236</v>
      </c>
      <c r="B31" s="57" t="s">
        <v>15</v>
      </c>
      <c r="C31" s="584" t="s">
        <v>26</v>
      </c>
      <c r="D31" s="584"/>
      <c r="E31" s="57">
        <v>31.29</v>
      </c>
      <c r="F31" s="287">
        <v>3832</v>
      </c>
      <c r="G31" s="278">
        <f t="shared" si="23"/>
        <v>119903.28</v>
      </c>
      <c r="H31" s="289" t="s">
        <v>5</v>
      </c>
      <c r="I31" s="285">
        <v>18</v>
      </c>
      <c r="J31" s="58">
        <v>2400</v>
      </c>
      <c r="K31" s="59">
        <f t="shared" si="1"/>
        <v>133.33333333333334</v>
      </c>
      <c r="L31" s="285">
        <v>18</v>
      </c>
      <c r="M31" s="60">
        <f t="shared" si="24"/>
        <v>2299.2000000000003</v>
      </c>
      <c r="N31" s="59">
        <f t="shared" si="3"/>
        <v>127.73333333333335</v>
      </c>
      <c r="O31" s="61">
        <f t="shared" si="4"/>
        <v>0</v>
      </c>
      <c r="P31" s="62">
        <f t="shared" si="5"/>
        <v>-5.5999999999999943</v>
      </c>
      <c r="Q31" s="281">
        <f t="shared" si="6"/>
        <v>0.95800000000000007</v>
      </c>
      <c r="R31" s="566"/>
      <c r="S31" s="63">
        <v>0.55833333333333324</v>
      </c>
      <c r="T31" s="63">
        <v>0.62777777777777766</v>
      </c>
      <c r="U31" s="278">
        <f t="shared" si="26"/>
        <v>57.999999999999957</v>
      </c>
      <c r="V31" s="286">
        <f t="shared" si="25"/>
        <v>99.999999999999972</v>
      </c>
      <c r="W31" s="64"/>
      <c r="X31" s="64"/>
      <c r="Y31" s="559"/>
      <c r="Z31" s="559"/>
      <c r="AA31" s="61">
        <f t="shared" si="8"/>
        <v>-100.79999999999973</v>
      </c>
      <c r="AB31" s="281">
        <f t="shared" si="9"/>
        <v>0.95800000000000007</v>
      </c>
      <c r="AC31" s="566"/>
    </row>
    <row r="32" spans="1:29" ht="15.75" customHeight="1">
      <c r="A32" s="587" t="s">
        <v>1236</v>
      </c>
      <c r="B32" s="57" t="s">
        <v>15</v>
      </c>
      <c r="C32" s="584" t="s">
        <v>23</v>
      </c>
      <c r="D32" s="584"/>
      <c r="E32" s="57">
        <v>26.2</v>
      </c>
      <c r="F32" s="287">
        <v>2219</v>
      </c>
      <c r="G32" s="278">
        <f t="shared" si="23"/>
        <v>58137.799999999996</v>
      </c>
      <c r="H32" s="289" t="s">
        <v>5</v>
      </c>
      <c r="I32" s="285">
        <v>20</v>
      </c>
      <c r="J32" s="58">
        <v>2400</v>
      </c>
      <c r="K32" s="59">
        <f t="shared" si="1"/>
        <v>120</v>
      </c>
      <c r="L32" s="285">
        <v>20</v>
      </c>
      <c r="M32" s="60">
        <f t="shared" si="24"/>
        <v>2295.5172413793121</v>
      </c>
      <c r="N32" s="59">
        <f t="shared" si="3"/>
        <v>114.77586206896561</v>
      </c>
      <c r="O32" s="61">
        <f t="shared" si="4"/>
        <v>0</v>
      </c>
      <c r="P32" s="62">
        <f t="shared" si="5"/>
        <v>-5.2241379310343916</v>
      </c>
      <c r="Q32" s="281">
        <f t="shared" si="6"/>
        <v>0.95646551724138007</v>
      </c>
      <c r="R32" s="566"/>
      <c r="S32" s="63">
        <v>0.63194444444444431</v>
      </c>
      <c r="T32" s="63">
        <v>0.67222222222222205</v>
      </c>
      <c r="U32" s="278">
        <f t="shared" si="26"/>
        <v>5.9999999999999787</v>
      </c>
      <c r="V32" s="286">
        <f t="shared" si="25"/>
        <v>57.999999999999957</v>
      </c>
      <c r="W32" s="64"/>
      <c r="X32" s="64"/>
      <c r="Y32" s="559"/>
      <c r="Z32" s="559"/>
      <c r="AA32" s="61">
        <f t="shared" si="8"/>
        <v>-104.48275862068795</v>
      </c>
      <c r="AB32" s="281">
        <f t="shared" si="9"/>
        <v>0.95646551724138007</v>
      </c>
      <c r="AC32" s="566"/>
    </row>
    <row r="33" spans="1:29" ht="15.75" customHeight="1">
      <c r="A33" s="587" t="s">
        <v>1237</v>
      </c>
      <c r="B33" s="57" t="s">
        <v>1231</v>
      </c>
      <c r="C33" s="571"/>
      <c r="D33" s="571"/>
      <c r="E33" s="284"/>
      <c r="F33" s="287"/>
      <c r="G33" s="278"/>
      <c r="H33" s="287"/>
      <c r="I33" s="67">
        <v>18.428571428571427</v>
      </c>
      <c r="J33" s="58">
        <v>2400</v>
      </c>
      <c r="K33" s="59">
        <f t="shared" si="1"/>
        <v>130.23255813953489</v>
      </c>
      <c r="L33" s="67">
        <v>18.428571428571427</v>
      </c>
      <c r="M33" s="60">
        <f>AVERAGE(M26:M32)</f>
        <v>2289.745417222849</v>
      </c>
      <c r="N33" s="59">
        <f t="shared" si="3"/>
        <v>124.24975132217011</v>
      </c>
      <c r="O33" s="61">
        <f t="shared" si="4"/>
        <v>0</v>
      </c>
      <c r="P33" s="62">
        <f t="shared" si="5"/>
        <v>-5.982806817364775</v>
      </c>
      <c r="Q33" s="281">
        <f t="shared" si="6"/>
        <v>0.95406059050952052</v>
      </c>
      <c r="R33" s="566"/>
      <c r="S33" s="63"/>
      <c r="T33" s="63"/>
      <c r="U33" s="278"/>
      <c r="V33" s="286"/>
      <c r="W33" s="278"/>
      <c r="X33" s="278"/>
      <c r="Y33" s="559"/>
      <c r="Z33" s="559"/>
      <c r="AA33" s="61">
        <f t="shared" si="8"/>
        <v>-110.25458277715097</v>
      </c>
      <c r="AB33" s="281">
        <f t="shared" si="9"/>
        <v>0.95406059050952041</v>
      </c>
      <c r="AC33" s="566"/>
    </row>
    <row r="34" spans="1:29" ht="15.75" customHeight="1">
      <c r="A34" s="582" t="s">
        <v>1256</v>
      </c>
      <c r="B34" s="57" t="s">
        <v>15</v>
      </c>
      <c r="C34" s="560" t="s">
        <v>101</v>
      </c>
      <c r="D34" s="560"/>
      <c r="E34" s="57">
        <v>22.69</v>
      </c>
      <c r="F34" s="287">
        <v>2287</v>
      </c>
      <c r="G34" s="278">
        <f t="shared" ref="G34:G42" si="27">E34*F34</f>
        <v>51892.030000000006</v>
      </c>
      <c r="H34" s="289" t="s">
        <v>5</v>
      </c>
      <c r="I34" s="285">
        <v>15</v>
      </c>
      <c r="J34" s="58">
        <v>2400</v>
      </c>
      <c r="K34" s="59">
        <f t="shared" si="1"/>
        <v>160</v>
      </c>
      <c r="L34" s="285">
        <v>15</v>
      </c>
      <c r="M34" s="60">
        <f t="shared" ref="M34:M42" si="28">F34/V34*60</f>
        <v>2287</v>
      </c>
      <c r="N34" s="59">
        <f t="shared" si="3"/>
        <v>152.46666666666667</v>
      </c>
      <c r="O34" s="61">
        <f t="shared" si="4"/>
        <v>0</v>
      </c>
      <c r="P34" s="62">
        <f t="shared" si="5"/>
        <v>-7.5333333333333314</v>
      </c>
      <c r="Q34" s="281">
        <f t="shared" si="6"/>
        <v>0.95291666666666663</v>
      </c>
      <c r="R34" s="566">
        <f>Q43</f>
        <v>0.95586377567914504</v>
      </c>
      <c r="S34" s="63">
        <v>8.3333333333333329E-2</v>
      </c>
      <c r="T34" s="63">
        <v>0.125</v>
      </c>
      <c r="U34" s="278"/>
      <c r="V34" s="286">
        <f t="shared" ref="V34:V42" si="29">(T34-S34)*24*60</f>
        <v>60</v>
      </c>
      <c r="W34" s="68">
        <f>T34</f>
        <v>0.125</v>
      </c>
      <c r="X34" s="68">
        <f>S35</f>
        <v>0.14444444444444446</v>
      </c>
      <c r="Y34" s="559"/>
      <c r="Z34" s="559"/>
      <c r="AA34" s="61">
        <f t="shared" si="8"/>
        <v>-113</v>
      </c>
      <c r="AB34" s="281">
        <f t="shared" si="9"/>
        <v>0.95291666666666663</v>
      </c>
      <c r="AC34" s="566">
        <f>AB43</f>
        <v>0.95586377567914493</v>
      </c>
    </row>
    <row r="35" spans="1:29" ht="15.75" customHeight="1">
      <c r="A35" s="582" t="s">
        <v>1257</v>
      </c>
      <c r="B35" s="57" t="s">
        <v>15</v>
      </c>
      <c r="C35" s="560" t="s">
        <v>27</v>
      </c>
      <c r="D35" s="560"/>
      <c r="E35" s="57">
        <v>26.2</v>
      </c>
      <c r="F35" s="287">
        <v>3600</v>
      </c>
      <c r="G35" s="278">
        <f t="shared" si="27"/>
        <v>94320</v>
      </c>
      <c r="H35" s="289">
        <v>2</v>
      </c>
      <c r="I35" s="285">
        <v>18</v>
      </c>
      <c r="J35" s="58">
        <v>2400</v>
      </c>
      <c r="K35" s="59">
        <f t="shared" si="1"/>
        <v>133.33333333333334</v>
      </c>
      <c r="L35" s="285">
        <v>18</v>
      </c>
      <c r="M35" s="60">
        <f t="shared" si="28"/>
        <v>2297.8723404255311</v>
      </c>
      <c r="N35" s="59">
        <f t="shared" si="3"/>
        <v>127.65957446808505</v>
      </c>
      <c r="O35" s="61">
        <f t="shared" si="4"/>
        <v>0</v>
      </c>
      <c r="P35" s="62">
        <f t="shared" si="5"/>
        <v>-5.6737588652482884</v>
      </c>
      <c r="Q35" s="281">
        <f t="shared" si="6"/>
        <v>0.95744680851063779</v>
      </c>
      <c r="R35" s="566"/>
      <c r="S35" s="63">
        <v>0.14444444444444446</v>
      </c>
      <c r="T35" s="63">
        <v>0.20972222222222225</v>
      </c>
      <c r="U35" s="278">
        <f t="shared" ref="U35:U42" si="30">(S35-T34)*24*60</f>
        <v>28.000000000000021</v>
      </c>
      <c r="V35" s="286">
        <f t="shared" si="29"/>
        <v>94.000000000000028</v>
      </c>
      <c r="W35" s="278"/>
      <c r="X35" s="278"/>
      <c r="Y35" s="559"/>
      <c r="Z35" s="559"/>
      <c r="AA35" s="61">
        <f t="shared" si="8"/>
        <v>-102.12765957446891</v>
      </c>
      <c r="AB35" s="281">
        <f t="shared" si="9"/>
        <v>0.9574468085106379</v>
      </c>
      <c r="AC35" s="566"/>
    </row>
    <row r="36" spans="1:29">
      <c r="A36" s="583" t="s">
        <v>1256</v>
      </c>
      <c r="B36" s="57" t="s">
        <v>15</v>
      </c>
      <c r="C36" s="560" t="s">
        <v>25</v>
      </c>
      <c r="D36" s="560"/>
      <c r="E36" s="57">
        <v>26.18</v>
      </c>
      <c r="F36" s="287">
        <v>2671</v>
      </c>
      <c r="G36" s="278">
        <f t="shared" si="27"/>
        <v>69926.78</v>
      </c>
      <c r="H36" s="289" t="s">
        <v>5</v>
      </c>
      <c r="I36" s="285">
        <v>19</v>
      </c>
      <c r="J36" s="58">
        <v>2400</v>
      </c>
      <c r="K36" s="59">
        <f t="shared" si="1"/>
        <v>126.31578947368421</v>
      </c>
      <c r="L36" s="285">
        <v>19</v>
      </c>
      <c r="M36" s="60">
        <f t="shared" si="28"/>
        <v>2289.4285714285706</v>
      </c>
      <c r="N36" s="59">
        <f t="shared" si="3"/>
        <v>120.49624060150371</v>
      </c>
      <c r="O36" s="61">
        <f t="shared" si="4"/>
        <v>0</v>
      </c>
      <c r="P36" s="62">
        <f t="shared" si="5"/>
        <v>-5.8195488721804907</v>
      </c>
      <c r="Q36" s="281">
        <f t="shared" si="6"/>
        <v>0.95392857142857113</v>
      </c>
      <c r="R36" s="566"/>
      <c r="S36" s="63">
        <v>0.21527777777777782</v>
      </c>
      <c r="T36" s="63">
        <v>0.26388888888888895</v>
      </c>
      <c r="U36" s="278">
        <f t="shared" si="30"/>
        <v>8.0000000000000107</v>
      </c>
      <c r="V36" s="286">
        <f t="shared" si="29"/>
        <v>70.000000000000028</v>
      </c>
      <c r="W36" s="278"/>
      <c r="X36" s="278"/>
      <c r="Y36" s="559"/>
      <c r="Z36" s="559"/>
      <c r="AA36" s="61">
        <f t="shared" si="8"/>
        <v>-110.57142857142935</v>
      </c>
      <c r="AB36" s="281">
        <f t="shared" si="9"/>
        <v>0.95392857142857113</v>
      </c>
      <c r="AC36" s="566"/>
    </row>
    <row r="37" spans="1:29">
      <c r="A37" s="583" t="s">
        <v>1256</v>
      </c>
      <c r="B37" s="57" t="s">
        <v>15</v>
      </c>
      <c r="C37" s="560" t="s">
        <v>28</v>
      </c>
      <c r="D37" s="560"/>
      <c r="E37" s="57">
        <v>26.39</v>
      </c>
      <c r="F37" s="287">
        <v>3800</v>
      </c>
      <c r="G37" s="278">
        <f t="shared" si="27"/>
        <v>100282</v>
      </c>
      <c r="H37" s="289">
        <v>2</v>
      </c>
      <c r="I37" s="285">
        <v>19</v>
      </c>
      <c r="J37" s="58">
        <v>2400</v>
      </c>
      <c r="K37" s="59">
        <f t="shared" si="1"/>
        <v>126.31578947368421</v>
      </c>
      <c r="L37" s="285">
        <v>19</v>
      </c>
      <c r="M37" s="60">
        <f t="shared" si="28"/>
        <v>2303.0303030303039</v>
      </c>
      <c r="N37" s="59">
        <f t="shared" si="3"/>
        <v>121.21212121212126</v>
      </c>
      <c r="O37" s="61">
        <f t="shared" si="4"/>
        <v>0</v>
      </c>
      <c r="P37" s="62">
        <f t="shared" si="5"/>
        <v>-5.1036682615629445</v>
      </c>
      <c r="Q37" s="281">
        <f t="shared" si="6"/>
        <v>0.95959595959596</v>
      </c>
      <c r="R37" s="566"/>
      <c r="S37" s="63">
        <v>0.2680555555555556</v>
      </c>
      <c r="T37" s="63">
        <v>0.33680555555555558</v>
      </c>
      <c r="U37" s="278">
        <f t="shared" si="30"/>
        <v>5.9999999999999787</v>
      </c>
      <c r="V37" s="286">
        <f t="shared" si="29"/>
        <v>98.999999999999972</v>
      </c>
      <c r="W37" s="64"/>
      <c r="X37" s="64"/>
      <c r="Y37" s="559"/>
      <c r="Z37" s="559"/>
      <c r="AA37" s="61">
        <f t="shared" si="8"/>
        <v>-96.969696969696088</v>
      </c>
      <c r="AB37" s="281">
        <f t="shared" si="9"/>
        <v>0.95959595959596</v>
      </c>
      <c r="AC37" s="566"/>
    </row>
    <row r="38" spans="1:29">
      <c r="A38" s="583" t="s">
        <v>1256</v>
      </c>
      <c r="B38" s="57" t="s">
        <v>15</v>
      </c>
      <c r="C38" s="560" t="s">
        <v>658</v>
      </c>
      <c r="D38" s="560"/>
      <c r="E38" s="57">
        <v>22.69</v>
      </c>
      <c r="F38" s="287">
        <v>4494</v>
      </c>
      <c r="G38" s="278">
        <f t="shared" si="27"/>
        <v>101968.86</v>
      </c>
      <c r="H38" s="289" t="s">
        <v>5</v>
      </c>
      <c r="I38" s="285">
        <v>16</v>
      </c>
      <c r="J38" s="58">
        <v>2400</v>
      </c>
      <c r="K38" s="59">
        <f t="shared" si="1"/>
        <v>150</v>
      </c>
      <c r="L38" s="285">
        <v>16</v>
      </c>
      <c r="M38" s="60">
        <f t="shared" si="28"/>
        <v>2285.0847457627119</v>
      </c>
      <c r="N38" s="59">
        <f t="shared" si="3"/>
        <v>142.81779661016949</v>
      </c>
      <c r="O38" s="61">
        <f t="shared" si="4"/>
        <v>0</v>
      </c>
      <c r="P38" s="62">
        <f t="shared" si="5"/>
        <v>-7.1822033898305051</v>
      </c>
      <c r="Q38" s="281">
        <f t="shared" si="6"/>
        <v>0.95211864406779667</v>
      </c>
      <c r="R38" s="566"/>
      <c r="S38" s="63">
        <v>0.34166666666666667</v>
      </c>
      <c r="T38" s="63">
        <v>0.4236111111111111</v>
      </c>
      <c r="U38" s="278">
        <f t="shared" si="30"/>
        <v>6.9999999999999751</v>
      </c>
      <c r="V38" s="286">
        <f t="shared" si="29"/>
        <v>117.99999999999999</v>
      </c>
      <c r="W38" s="64"/>
      <c r="X38" s="64"/>
      <c r="Y38" s="559"/>
      <c r="Z38" s="559"/>
      <c r="AA38" s="61">
        <f t="shared" si="8"/>
        <v>-114.91525423728808</v>
      </c>
      <c r="AB38" s="281">
        <f t="shared" si="9"/>
        <v>0.95211864406779667</v>
      </c>
      <c r="AC38" s="566"/>
    </row>
    <row r="39" spans="1:29">
      <c r="A39" s="583" t="s">
        <v>1256</v>
      </c>
      <c r="B39" s="57" t="s">
        <v>15</v>
      </c>
      <c r="C39" s="560" t="s">
        <v>16</v>
      </c>
      <c r="D39" s="560"/>
      <c r="E39" s="57">
        <v>24.45</v>
      </c>
      <c r="F39" s="287">
        <v>2667</v>
      </c>
      <c r="G39" s="278">
        <f t="shared" si="27"/>
        <v>65208.15</v>
      </c>
      <c r="H39" s="289" t="s">
        <v>5</v>
      </c>
      <c r="I39" s="285">
        <v>20</v>
      </c>
      <c r="J39" s="58">
        <v>2400</v>
      </c>
      <c r="K39" s="59">
        <f t="shared" si="1"/>
        <v>120</v>
      </c>
      <c r="L39" s="285">
        <v>20</v>
      </c>
      <c r="M39" s="60">
        <f t="shared" si="28"/>
        <v>2286.0000000000005</v>
      </c>
      <c r="N39" s="59">
        <f t="shared" si="3"/>
        <v>114.30000000000003</v>
      </c>
      <c r="O39" s="61">
        <f t="shared" si="4"/>
        <v>0</v>
      </c>
      <c r="P39" s="62">
        <f t="shared" si="5"/>
        <v>-5.6999999999999744</v>
      </c>
      <c r="Q39" s="281">
        <f t="shared" si="6"/>
        <v>0.95250000000000024</v>
      </c>
      <c r="R39" s="566"/>
      <c r="S39" s="63">
        <v>0.42916666666666664</v>
      </c>
      <c r="T39" s="63">
        <v>0.47777777777777775</v>
      </c>
      <c r="U39" s="278">
        <f t="shared" si="30"/>
        <v>7.9999999999999716</v>
      </c>
      <c r="V39" s="286">
        <f t="shared" si="29"/>
        <v>69.999999999999986</v>
      </c>
      <c r="W39" s="64"/>
      <c r="X39" s="64"/>
      <c r="Y39" s="559"/>
      <c r="Z39" s="559"/>
      <c r="AA39" s="61">
        <f t="shared" si="8"/>
        <v>-113.99999999999955</v>
      </c>
      <c r="AB39" s="281">
        <f t="shared" si="9"/>
        <v>0.95250000000000024</v>
      </c>
      <c r="AC39" s="566"/>
    </row>
    <row r="40" spans="1:29">
      <c r="A40" s="583" t="s">
        <v>1256</v>
      </c>
      <c r="B40" s="57" t="s">
        <v>15</v>
      </c>
      <c r="C40" s="560" t="s">
        <v>100</v>
      </c>
      <c r="D40" s="560"/>
      <c r="E40" s="57">
        <v>28.51</v>
      </c>
      <c r="F40" s="287">
        <v>1544</v>
      </c>
      <c r="G40" s="278">
        <f t="shared" si="27"/>
        <v>44019.44</v>
      </c>
      <c r="H40" s="289" t="s">
        <v>5</v>
      </c>
      <c r="I40" s="285">
        <v>16</v>
      </c>
      <c r="J40" s="58">
        <v>2400</v>
      </c>
      <c r="K40" s="59">
        <f t="shared" si="1"/>
        <v>150</v>
      </c>
      <c r="L40" s="285">
        <v>16</v>
      </c>
      <c r="M40" s="60">
        <f t="shared" si="28"/>
        <v>2315.9999999999991</v>
      </c>
      <c r="N40" s="59">
        <f t="shared" si="3"/>
        <v>144.74999999999994</v>
      </c>
      <c r="O40" s="61">
        <f t="shared" si="4"/>
        <v>0</v>
      </c>
      <c r="P40" s="62">
        <f t="shared" si="5"/>
        <v>-5.2500000000000568</v>
      </c>
      <c r="Q40" s="281">
        <f t="shared" si="6"/>
        <v>0.96499999999999964</v>
      </c>
      <c r="R40" s="566"/>
      <c r="S40" s="63">
        <v>0.4819444444444444</v>
      </c>
      <c r="T40" s="63">
        <v>0.50972222222222219</v>
      </c>
      <c r="U40" s="278">
        <f t="shared" si="30"/>
        <v>5.9999999999999787</v>
      </c>
      <c r="V40" s="286">
        <f t="shared" si="29"/>
        <v>40.000000000000014</v>
      </c>
      <c r="W40" s="64">
        <f>T40</f>
        <v>0.50972222222222219</v>
      </c>
      <c r="X40" s="64">
        <f>S41</f>
        <v>0.54999999999999993</v>
      </c>
      <c r="Y40" s="569"/>
      <c r="Z40" s="570"/>
      <c r="AA40" s="61">
        <f t="shared" si="8"/>
        <v>-84.000000000000909</v>
      </c>
      <c r="AB40" s="281">
        <f t="shared" si="9"/>
        <v>0.96499999999999964</v>
      </c>
      <c r="AC40" s="566"/>
    </row>
    <row r="41" spans="1:29">
      <c r="A41" s="583" t="s">
        <v>1256</v>
      </c>
      <c r="B41" s="57" t="s">
        <v>15</v>
      </c>
      <c r="C41" s="560" t="s">
        <v>27</v>
      </c>
      <c r="D41" s="560"/>
      <c r="E41" s="57">
        <v>26.2</v>
      </c>
      <c r="F41" s="287">
        <v>2790</v>
      </c>
      <c r="G41" s="278">
        <f t="shared" si="27"/>
        <v>73098</v>
      </c>
      <c r="H41" s="289" t="s">
        <v>5</v>
      </c>
      <c r="I41" s="285">
        <v>18</v>
      </c>
      <c r="J41" s="58">
        <v>2400</v>
      </c>
      <c r="K41" s="59">
        <f t="shared" si="1"/>
        <v>133.33333333333334</v>
      </c>
      <c r="L41" s="285">
        <v>18</v>
      </c>
      <c r="M41" s="60">
        <f t="shared" si="28"/>
        <v>2293.1506849315051</v>
      </c>
      <c r="N41" s="59">
        <f t="shared" si="3"/>
        <v>127.39726027397251</v>
      </c>
      <c r="O41" s="61">
        <f t="shared" si="4"/>
        <v>0</v>
      </c>
      <c r="P41" s="62">
        <f t="shared" si="5"/>
        <v>-5.9360730593608366</v>
      </c>
      <c r="Q41" s="281">
        <f t="shared" si="6"/>
        <v>0.95547945205479368</v>
      </c>
      <c r="R41" s="566"/>
      <c r="S41" s="63">
        <v>0.54999999999999993</v>
      </c>
      <c r="T41" s="63">
        <v>0.60069444444444442</v>
      </c>
      <c r="U41" s="278">
        <f t="shared" si="30"/>
        <v>57.999999999999957</v>
      </c>
      <c r="V41" s="286">
        <f t="shared" si="29"/>
        <v>73.000000000000057</v>
      </c>
      <c r="W41" s="64"/>
      <c r="X41" s="64"/>
      <c r="Y41" s="569"/>
      <c r="Z41" s="570"/>
      <c r="AA41" s="61">
        <f t="shared" si="8"/>
        <v>-106.84931506849489</v>
      </c>
      <c r="AB41" s="281">
        <f t="shared" si="9"/>
        <v>0.95547945205479379</v>
      </c>
      <c r="AC41" s="566"/>
    </row>
    <row r="42" spans="1:29">
      <c r="A42" s="583" t="s">
        <v>1256</v>
      </c>
      <c r="B42" s="57" t="s">
        <v>15</v>
      </c>
      <c r="C42" s="560" t="s">
        <v>28</v>
      </c>
      <c r="D42" s="560"/>
      <c r="E42" s="57">
        <v>26.39</v>
      </c>
      <c r="F42" s="287">
        <v>2518</v>
      </c>
      <c r="G42" s="278">
        <f t="shared" si="27"/>
        <v>66450.02</v>
      </c>
      <c r="H42" s="289" t="s">
        <v>5</v>
      </c>
      <c r="I42" s="285">
        <v>19</v>
      </c>
      <c r="J42" s="58">
        <v>2400</v>
      </c>
      <c r="K42" s="59">
        <f t="shared" si="1"/>
        <v>126.31578947368421</v>
      </c>
      <c r="L42" s="285">
        <v>19</v>
      </c>
      <c r="M42" s="60">
        <f t="shared" si="28"/>
        <v>2289.0909090909113</v>
      </c>
      <c r="N42" s="59">
        <f t="shared" si="3"/>
        <v>120.47846889952164</v>
      </c>
      <c r="O42" s="61">
        <f t="shared" si="4"/>
        <v>0</v>
      </c>
      <c r="P42" s="62">
        <f t="shared" si="5"/>
        <v>-5.8373205741625611</v>
      </c>
      <c r="Q42" s="281">
        <f t="shared" si="6"/>
        <v>0.95378787878787974</v>
      </c>
      <c r="R42" s="566"/>
      <c r="S42" s="63">
        <v>0.60416666666666663</v>
      </c>
      <c r="T42" s="63">
        <v>0.64999999999999991</v>
      </c>
      <c r="U42" s="278">
        <f t="shared" si="30"/>
        <v>4.9999999999999822</v>
      </c>
      <c r="V42" s="286">
        <f t="shared" si="29"/>
        <v>65.999999999999929</v>
      </c>
      <c r="W42" s="64"/>
      <c r="X42" s="64"/>
      <c r="Y42" s="569"/>
      <c r="Z42" s="570"/>
      <c r="AA42" s="61">
        <f t="shared" si="8"/>
        <v>-110.90909090908872</v>
      </c>
      <c r="AB42" s="281">
        <f t="shared" si="9"/>
        <v>0.95378787878787974</v>
      </c>
      <c r="AC42" s="566"/>
    </row>
    <row r="43" spans="1:29">
      <c r="A43" s="583" t="s">
        <v>1256</v>
      </c>
      <c r="B43" s="66" t="s">
        <v>1231</v>
      </c>
      <c r="C43" s="571"/>
      <c r="D43" s="571"/>
      <c r="E43" s="284"/>
      <c r="F43" s="66"/>
      <c r="G43" s="59"/>
      <c r="H43" s="287"/>
      <c r="I43" s="67">
        <v>17.777777777777779</v>
      </c>
      <c r="J43" s="58">
        <v>2400</v>
      </c>
      <c r="K43" s="59">
        <f t="shared" si="1"/>
        <v>135</v>
      </c>
      <c r="L43" s="67">
        <v>17.777777777777779</v>
      </c>
      <c r="M43" s="60">
        <f>AVERAGE(M34:M42)</f>
        <v>2294.0730616299479</v>
      </c>
      <c r="N43" s="59">
        <f t="shared" si="3"/>
        <v>129.04160971668458</v>
      </c>
      <c r="O43" s="61">
        <f t="shared" si="4"/>
        <v>0</v>
      </c>
      <c r="P43" s="62">
        <f t="shared" si="5"/>
        <v>-5.9583902833154241</v>
      </c>
      <c r="Q43" s="281">
        <f t="shared" si="6"/>
        <v>0.95586377567914504</v>
      </c>
      <c r="R43" s="566"/>
      <c r="S43" s="63"/>
      <c r="T43" s="63"/>
      <c r="U43" s="59"/>
      <c r="V43" s="286"/>
      <c r="W43" s="59"/>
      <c r="X43" s="59"/>
      <c r="Y43" s="559"/>
      <c r="Z43" s="559"/>
      <c r="AA43" s="61">
        <f t="shared" si="8"/>
        <v>-105.92693837005208</v>
      </c>
      <c r="AB43" s="281">
        <f t="shared" si="9"/>
        <v>0.95586377567914493</v>
      </c>
      <c r="AC43" s="566"/>
    </row>
    <row r="44" spans="1:29" ht="15.75" customHeight="1">
      <c r="A44" s="576" t="s">
        <v>1258</v>
      </c>
      <c r="B44" s="57" t="s">
        <v>31</v>
      </c>
      <c r="C44" s="567" t="s">
        <v>32</v>
      </c>
      <c r="D44" s="568"/>
      <c r="E44" s="57">
        <v>21.13</v>
      </c>
      <c r="F44" s="287">
        <v>5342</v>
      </c>
      <c r="G44" s="278">
        <f t="shared" ref="G44:G49" si="31">E44*F44</f>
        <v>112876.45999999999</v>
      </c>
      <c r="H44" s="289" t="s">
        <v>5</v>
      </c>
      <c r="I44" s="285">
        <v>10</v>
      </c>
      <c r="J44" s="58">
        <v>3000</v>
      </c>
      <c r="K44" s="59">
        <f t="shared" si="1"/>
        <v>300</v>
      </c>
      <c r="L44" s="285">
        <v>10</v>
      </c>
      <c r="M44" s="60">
        <f t="shared" ref="M44:M49" si="32">F44/V44*60</f>
        <v>2861.7857142857151</v>
      </c>
      <c r="N44" s="60">
        <f t="shared" si="3"/>
        <v>286.1785714285715</v>
      </c>
      <c r="O44" s="61">
        <f t="shared" si="4"/>
        <v>0</v>
      </c>
      <c r="P44" s="62">
        <f t="shared" si="5"/>
        <v>-13.821428571428498</v>
      </c>
      <c r="Q44" s="281">
        <f t="shared" si="6"/>
        <v>0.95392857142857168</v>
      </c>
      <c r="R44" s="579">
        <f>Q50</f>
        <v>0.95599205398120513</v>
      </c>
      <c r="S44" s="63">
        <v>8.3333333333333329E-2</v>
      </c>
      <c r="T44" s="63">
        <v>0.16111111111111109</v>
      </c>
      <c r="U44" s="68"/>
      <c r="V44" s="286">
        <f t="shared" ref="V44:V49" si="33">(T44-S44)*24*60</f>
        <v>111.99999999999997</v>
      </c>
      <c r="W44" s="64">
        <f>T44</f>
        <v>0.16111111111111109</v>
      </c>
      <c r="X44" s="64">
        <f>S45</f>
        <v>0.17916666666666664</v>
      </c>
      <c r="Y44" s="569"/>
      <c r="Z44" s="570"/>
      <c r="AA44" s="61">
        <f t="shared" si="8"/>
        <v>-138.21428571428487</v>
      </c>
      <c r="AB44" s="281">
        <f t="shared" si="9"/>
        <v>0.95392857142857168</v>
      </c>
      <c r="AC44" s="579">
        <f>AB50</f>
        <v>0.95599205398120524</v>
      </c>
    </row>
    <row r="45" spans="1:29" ht="15.75" customHeight="1">
      <c r="A45" s="577" t="s">
        <v>1258</v>
      </c>
      <c r="B45" s="57" t="s">
        <v>31</v>
      </c>
      <c r="C45" s="567" t="s">
        <v>33</v>
      </c>
      <c r="D45" s="568"/>
      <c r="E45" s="57">
        <v>27.17</v>
      </c>
      <c r="F45" s="287">
        <v>7036</v>
      </c>
      <c r="G45" s="278">
        <f t="shared" si="31"/>
        <v>191168.12000000002</v>
      </c>
      <c r="H45" s="289" t="s">
        <v>5</v>
      </c>
      <c r="I45" s="285">
        <v>10</v>
      </c>
      <c r="J45" s="58">
        <v>3000</v>
      </c>
      <c r="K45" s="59">
        <f t="shared" si="1"/>
        <v>300</v>
      </c>
      <c r="L45" s="285">
        <v>10</v>
      </c>
      <c r="M45" s="60">
        <f t="shared" si="32"/>
        <v>2852.4324324324321</v>
      </c>
      <c r="N45" s="60">
        <f t="shared" si="3"/>
        <v>285.24324324324323</v>
      </c>
      <c r="O45" s="61">
        <f t="shared" si="4"/>
        <v>0</v>
      </c>
      <c r="P45" s="62">
        <f t="shared" si="5"/>
        <v>-14.756756756756772</v>
      </c>
      <c r="Q45" s="281">
        <f t="shared" si="6"/>
        <v>0.95081081081081076</v>
      </c>
      <c r="R45" s="580"/>
      <c r="S45" s="63">
        <v>0.17916666666666664</v>
      </c>
      <c r="T45" s="63">
        <v>0.28194444444444444</v>
      </c>
      <c r="U45" s="278">
        <f t="shared" ref="U45:U49" si="34">(S45-T44)*24*60</f>
        <v>25.999999999999986</v>
      </c>
      <c r="V45" s="286">
        <f t="shared" si="33"/>
        <v>148.00000000000003</v>
      </c>
      <c r="W45" s="64"/>
      <c r="X45" s="64"/>
      <c r="Y45" s="569"/>
      <c r="Z45" s="570"/>
      <c r="AA45" s="61">
        <f t="shared" si="8"/>
        <v>-147.56756756756795</v>
      </c>
      <c r="AB45" s="281">
        <f t="shared" si="9"/>
        <v>0.95081081081081065</v>
      </c>
      <c r="AC45" s="580"/>
    </row>
    <row r="46" spans="1:29" ht="15.75" customHeight="1">
      <c r="A46" s="577" t="s">
        <v>1258</v>
      </c>
      <c r="B46" s="57" t="s">
        <v>31</v>
      </c>
      <c r="C46" s="567" t="s">
        <v>36</v>
      </c>
      <c r="D46" s="568"/>
      <c r="E46" s="57">
        <v>36.14</v>
      </c>
      <c r="F46" s="287">
        <v>1216</v>
      </c>
      <c r="G46" s="278">
        <f t="shared" si="31"/>
        <v>43946.239999999998</v>
      </c>
      <c r="H46" s="289" t="s">
        <v>5</v>
      </c>
      <c r="I46" s="285">
        <v>9</v>
      </c>
      <c r="J46" s="58">
        <v>3000</v>
      </c>
      <c r="K46" s="59">
        <f t="shared" si="1"/>
        <v>333.33333333333331</v>
      </c>
      <c r="L46" s="285">
        <v>9</v>
      </c>
      <c r="M46" s="60">
        <f t="shared" si="32"/>
        <v>2918.400000000001</v>
      </c>
      <c r="N46" s="60">
        <f t="shared" si="3"/>
        <v>324.26666666666677</v>
      </c>
      <c r="O46" s="61">
        <f t="shared" si="4"/>
        <v>0</v>
      </c>
      <c r="P46" s="62">
        <f t="shared" si="5"/>
        <v>-9.0666666666665492</v>
      </c>
      <c r="Q46" s="281">
        <f t="shared" si="6"/>
        <v>0.97280000000000033</v>
      </c>
      <c r="R46" s="580"/>
      <c r="S46" s="63">
        <v>0.28749999999999998</v>
      </c>
      <c r="T46" s="63">
        <v>0.30486111111111108</v>
      </c>
      <c r="U46" s="278">
        <f t="shared" si="34"/>
        <v>7.9999999999999716</v>
      </c>
      <c r="V46" s="286">
        <f t="shared" si="33"/>
        <v>24.999999999999993</v>
      </c>
      <c r="W46" s="64"/>
      <c r="X46" s="64"/>
      <c r="Y46" s="569"/>
      <c r="Z46" s="570"/>
      <c r="AA46" s="61">
        <f t="shared" si="8"/>
        <v>-81.599999999999</v>
      </c>
      <c r="AB46" s="281">
        <f t="shared" si="9"/>
        <v>0.97280000000000033</v>
      </c>
      <c r="AC46" s="580"/>
    </row>
    <row r="47" spans="1:29" ht="15.75" customHeight="1">
      <c r="A47" s="577" t="s">
        <v>1258</v>
      </c>
      <c r="B47" s="57" t="s">
        <v>31</v>
      </c>
      <c r="C47" s="567" t="s">
        <v>34</v>
      </c>
      <c r="D47" s="568"/>
      <c r="E47" s="57">
        <v>35.119999999999997</v>
      </c>
      <c r="F47" s="287">
        <v>4370</v>
      </c>
      <c r="G47" s="278">
        <f t="shared" si="31"/>
        <v>153474.4</v>
      </c>
      <c r="H47" s="289" t="s">
        <v>5</v>
      </c>
      <c r="I47" s="285">
        <v>10</v>
      </c>
      <c r="J47" s="58">
        <v>3000</v>
      </c>
      <c r="K47" s="59">
        <f t="shared" si="1"/>
        <v>300</v>
      </c>
      <c r="L47" s="285">
        <v>10</v>
      </c>
      <c r="M47" s="60">
        <f t="shared" si="32"/>
        <v>2850</v>
      </c>
      <c r="N47" s="60">
        <f t="shared" si="3"/>
        <v>285</v>
      </c>
      <c r="O47" s="61">
        <f t="shared" si="4"/>
        <v>0</v>
      </c>
      <c r="P47" s="62">
        <f t="shared" si="5"/>
        <v>-15</v>
      </c>
      <c r="Q47" s="281">
        <f t="shared" si="6"/>
        <v>0.95</v>
      </c>
      <c r="R47" s="580"/>
      <c r="S47" s="63">
        <v>0.30902777777777773</v>
      </c>
      <c r="T47" s="63">
        <v>0.37291666666666662</v>
      </c>
      <c r="U47" s="278">
        <f t="shared" si="34"/>
        <v>5.9999999999999787</v>
      </c>
      <c r="V47" s="286">
        <f t="shared" si="33"/>
        <v>92</v>
      </c>
      <c r="W47" s="64"/>
      <c r="X47" s="64"/>
      <c r="Y47" s="569"/>
      <c r="Z47" s="570"/>
      <c r="AA47" s="61">
        <f t="shared" si="8"/>
        <v>-150</v>
      </c>
      <c r="AB47" s="281">
        <f t="shared" si="9"/>
        <v>0.95</v>
      </c>
      <c r="AC47" s="580"/>
    </row>
    <row r="48" spans="1:29" ht="15.75" customHeight="1">
      <c r="A48" s="577" t="s">
        <v>1258</v>
      </c>
      <c r="B48" s="57" t="s">
        <v>31</v>
      </c>
      <c r="C48" s="567" t="s">
        <v>71</v>
      </c>
      <c r="D48" s="568"/>
      <c r="E48" s="57">
        <v>31</v>
      </c>
      <c r="F48" s="287">
        <v>2295</v>
      </c>
      <c r="G48" s="278">
        <f t="shared" si="31"/>
        <v>71145</v>
      </c>
      <c r="H48" s="289" t="s">
        <v>5</v>
      </c>
      <c r="I48" s="285">
        <v>13</v>
      </c>
      <c r="J48" s="58">
        <v>2000</v>
      </c>
      <c r="K48" s="59">
        <f t="shared" si="1"/>
        <v>153.84615384615384</v>
      </c>
      <c r="L48" s="285">
        <v>13</v>
      </c>
      <c r="M48" s="60">
        <f t="shared" si="32"/>
        <v>1912.5000000000005</v>
      </c>
      <c r="N48" s="60">
        <f t="shared" si="3"/>
        <v>147.11538461538464</v>
      </c>
      <c r="O48" s="61">
        <f t="shared" si="4"/>
        <v>0</v>
      </c>
      <c r="P48" s="62">
        <f t="shared" si="5"/>
        <v>-6.730769230769198</v>
      </c>
      <c r="Q48" s="281">
        <f t="shared" si="6"/>
        <v>0.95625000000000027</v>
      </c>
      <c r="R48" s="580"/>
      <c r="S48" s="63">
        <v>0.37638888888888883</v>
      </c>
      <c r="T48" s="63">
        <v>0.42638888888888882</v>
      </c>
      <c r="U48" s="278">
        <f t="shared" si="34"/>
        <v>4.9999999999999822</v>
      </c>
      <c r="V48" s="286">
        <f t="shared" si="33"/>
        <v>71.999999999999986</v>
      </c>
      <c r="W48" s="64"/>
      <c r="X48" s="64"/>
      <c r="Y48" s="569"/>
      <c r="Z48" s="570"/>
      <c r="AA48" s="61">
        <f t="shared" si="8"/>
        <v>-87.499999999999545</v>
      </c>
      <c r="AB48" s="281">
        <f t="shared" si="9"/>
        <v>0.95625000000000027</v>
      </c>
      <c r="AC48" s="580"/>
    </row>
    <row r="49" spans="1:29" ht="15.75" customHeight="1">
      <c r="A49" s="577" t="s">
        <v>1258</v>
      </c>
      <c r="B49" s="57" t="s">
        <v>31</v>
      </c>
      <c r="C49" s="567" t="s">
        <v>659</v>
      </c>
      <c r="D49" s="568"/>
      <c r="E49" s="57">
        <v>37.880000000000003</v>
      </c>
      <c r="F49" s="287">
        <v>3358</v>
      </c>
      <c r="G49" s="278">
        <f t="shared" si="31"/>
        <v>127201.04000000001</v>
      </c>
      <c r="H49" s="289" t="s">
        <v>5</v>
      </c>
      <c r="I49" s="285">
        <v>16</v>
      </c>
      <c r="J49" s="58">
        <v>2000</v>
      </c>
      <c r="K49" s="59">
        <f t="shared" si="1"/>
        <v>125</v>
      </c>
      <c r="L49" s="285">
        <v>16</v>
      </c>
      <c r="M49" s="60">
        <f t="shared" si="32"/>
        <v>1900.7547169811332</v>
      </c>
      <c r="N49" s="60">
        <f t="shared" si="3"/>
        <v>118.79716981132083</v>
      </c>
      <c r="O49" s="61">
        <f t="shared" si="4"/>
        <v>0</v>
      </c>
      <c r="P49" s="62">
        <f t="shared" si="5"/>
        <v>-6.2028301886791724</v>
      </c>
      <c r="Q49" s="281">
        <f t="shared" si="6"/>
        <v>0.95037735849056659</v>
      </c>
      <c r="R49" s="580"/>
      <c r="S49" s="63">
        <v>0.43124999999999991</v>
      </c>
      <c r="T49" s="63">
        <v>0.50486111111111098</v>
      </c>
      <c r="U49" s="278">
        <f t="shared" si="34"/>
        <v>6.9999999999999751</v>
      </c>
      <c r="V49" s="286">
        <f t="shared" si="33"/>
        <v>105.99999999999994</v>
      </c>
      <c r="W49" s="64"/>
      <c r="X49" s="64"/>
      <c r="Y49" s="569"/>
      <c r="Z49" s="570"/>
      <c r="AA49" s="61">
        <f t="shared" si="8"/>
        <v>-99.245283018866758</v>
      </c>
      <c r="AB49" s="281">
        <f t="shared" si="9"/>
        <v>0.95037735849056659</v>
      </c>
      <c r="AC49" s="580"/>
    </row>
    <row r="50" spans="1:29" ht="15.75" customHeight="1">
      <c r="A50" s="578" t="s">
        <v>1258</v>
      </c>
      <c r="B50" s="57" t="s">
        <v>1231</v>
      </c>
      <c r="C50" s="561"/>
      <c r="D50" s="562"/>
      <c r="E50" s="277"/>
      <c r="F50" s="287"/>
      <c r="G50" s="278"/>
      <c r="H50" s="287"/>
      <c r="I50" s="67">
        <v>11.333333333333334</v>
      </c>
      <c r="J50" s="58">
        <v>2666.6666666666665</v>
      </c>
      <c r="K50" s="59">
        <f t="shared" si="1"/>
        <v>235.29411764705881</v>
      </c>
      <c r="L50" s="67">
        <v>11.333333333333334</v>
      </c>
      <c r="M50" s="60">
        <f>AVERAGE(M44:M49)</f>
        <v>2549.3121439498805</v>
      </c>
      <c r="N50" s="59">
        <f t="shared" si="3"/>
        <v>224.93930681910709</v>
      </c>
      <c r="O50" s="61">
        <f t="shared" si="4"/>
        <v>0</v>
      </c>
      <c r="P50" s="62">
        <f t="shared" si="5"/>
        <v>-10.354810827951724</v>
      </c>
      <c r="Q50" s="281">
        <f t="shared" si="6"/>
        <v>0.95599205398120513</v>
      </c>
      <c r="R50" s="581"/>
      <c r="S50" s="63"/>
      <c r="T50" s="63"/>
      <c r="U50" s="278"/>
      <c r="V50" s="286"/>
      <c r="W50" s="64"/>
      <c r="X50" s="64"/>
      <c r="Y50" s="569"/>
      <c r="Z50" s="570"/>
      <c r="AA50" s="61">
        <f t="shared" si="8"/>
        <v>-117.35452271678605</v>
      </c>
      <c r="AB50" s="281">
        <f t="shared" si="9"/>
        <v>0.95599205398120524</v>
      </c>
      <c r="AC50" s="581"/>
    </row>
    <row r="51" spans="1:29" ht="15.75" customHeight="1">
      <c r="A51" s="574" t="s">
        <v>1259</v>
      </c>
      <c r="B51" s="57" t="s">
        <v>10</v>
      </c>
      <c r="C51" s="560" t="s">
        <v>37</v>
      </c>
      <c r="D51" s="560"/>
      <c r="E51" s="57">
        <v>46</v>
      </c>
      <c r="F51" s="69">
        <v>2157</v>
      </c>
      <c r="G51" s="278">
        <f t="shared" ref="G51:G58" si="35">E51*F51</f>
        <v>99222</v>
      </c>
      <c r="H51" s="289" t="s">
        <v>5</v>
      </c>
      <c r="I51" s="285">
        <v>17</v>
      </c>
      <c r="J51" s="58">
        <v>2000</v>
      </c>
      <c r="K51" s="59">
        <f t="shared" si="1"/>
        <v>117.64705882352941</v>
      </c>
      <c r="L51" s="285">
        <v>17</v>
      </c>
      <c r="M51" s="60">
        <f t="shared" ref="M51:M58" si="36">F51/V51*60</f>
        <v>1903.2352941176482</v>
      </c>
      <c r="N51" s="60">
        <f t="shared" si="3"/>
        <v>111.95501730103813</v>
      </c>
      <c r="O51" s="61">
        <f t="shared" si="4"/>
        <v>0</v>
      </c>
      <c r="P51" s="62">
        <f t="shared" si="5"/>
        <v>-5.6920415224912801</v>
      </c>
      <c r="Q51" s="281">
        <f t="shared" si="6"/>
        <v>0.95161764705882412</v>
      </c>
      <c r="R51" s="566">
        <f>Q59</f>
        <v>0.88563365360125312</v>
      </c>
      <c r="S51" s="63">
        <v>0.20833333333333334</v>
      </c>
      <c r="T51" s="63">
        <v>0.25555555555555554</v>
      </c>
      <c r="U51" s="68"/>
      <c r="V51" s="286">
        <f t="shared" ref="V51:V58" si="37">(T51-S51)*24*60</f>
        <v>67.999999999999957</v>
      </c>
      <c r="W51" s="68"/>
      <c r="X51" s="68"/>
      <c r="Y51" s="559"/>
      <c r="Z51" s="559"/>
      <c r="AA51" s="61">
        <f t="shared" si="8"/>
        <v>-96.764705882351791</v>
      </c>
      <c r="AB51" s="281">
        <f t="shared" si="9"/>
        <v>0.95161764705882412</v>
      </c>
      <c r="AC51" s="566">
        <f>AB59</f>
        <v>0.88563365360125301</v>
      </c>
    </row>
    <row r="52" spans="1:29" ht="15.75" customHeight="1">
      <c r="A52" s="574" t="s">
        <v>1259</v>
      </c>
      <c r="B52" s="57" t="s">
        <v>10</v>
      </c>
      <c r="C52" s="560" t="s">
        <v>38</v>
      </c>
      <c r="D52" s="560"/>
      <c r="E52" s="57">
        <v>46</v>
      </c>
      <c r="F52" s="69">
        <v>2273</v>
      </c>
      <c r="G52" s="278">
        <f t="shared" si="35"/>
        <v>104558</v>
      </c>
      <c r="H52" s="289" t="s">
        <v>5</v>
      </c>
      <c r="I52" s="285">
        <v>17</v>
      </c>
      <c r="J52" s="58">
        <v>2000</v>
      </c>
      <c r="K52" s="59">
        <f t="shared" si="1"/>
        <v>117.64705882352941</v>
      </c>
      <c r="L52" s="285">
        <v>17</v>
      </c>
      <c r="M52" s="60">
        <f t="shared" si="36"/>
        <v>1920.8450704225359</v>
      </c>
      <c r="N52" s="60">
        <f t="shared" si="3"/>
        <v>112.99088649544329</v>
      </c>
      <c r="O52" s="61">
        <f t="shared" si="4"/>
        <v>0</v>
      </c>
      <c r="P52" s="62">
        <f t="shared" si="5"/>
        <v>-4.6561723280861145</v>
      </c>
      <c r="Q52" s="281">
        <f t="shared" si="6"/>
        <v>0.96042253521126808</v>
      </c>
      <c r="R52" s="566"/>
      <c r="S52" s="63">
        <v>0.26111111111111107</v>
      </c>
      <c r="T52" s="63">
        <v>0.31041666666666662</v>
      </c>
      <c r="U52" s="278">
        <f t="shared" ref="U52:U58" si="38">IF(S52=TIME(17,0,0),"",(S52-T51)*24*60)</f>
        <v>7.9999999999999716</v>
      </c>
      <c r="V52" s="286">
        <f t="shared" si="37"/>
        <v>70.999999999999986</v>
      </c>
      <c r="W52" s="64"/>
      <c r="X52" s="64"/>
      <c r="Y52" s="559"/>
      <c r="Z52" s="559"/>
      <c r="AA52" s="61">
        <f t="shared" si="8"/>
        <v>-79.154929577464145</v>
      </c>
      <c r="AB52" s="281">
        <f t="shared" si="9"/>
        <v>0.96042253521126797</v>
      </c>
      <c r="AC52" s="566"/>
    </row>
    <row r="53" spans="1:29" ht="15.75" customHeight="1">
      <c r="A53" s="574" t="s">
        <v>1259</v>
      </c>
      <c r="B53" s="57" t="s">
        <v>6</v>
      </c>
      <c r="C53" s="567" t="s">
        <v>1181</v>
      </c>
      <c r="D53" s="568"/>
      <c r="E53" s="57">
        <v>51.86</v>
      </c>
      <c r="F53" s="69">
        <v>1244</v>
      </c>
      <c r="G53" s="278">
        <f t="shared" si="35"/>
        <v>64513.84</v>
      </c>
      <c r="H53" s="289" t="s">
        <v>5</v>
      </c>
      <c r="I53" s="285">
        <v>25</v>
      </c>
      <c r="J53" s="58">
        <v>2000</v>
      </c>
      <c r="K53" s="59">
        <f t="shared" si="1"/>
        <v>80</v>
      </c>
      <c r="L53" s="285">
        <v>25</v>
      </c>
      <c r="M53" s="60">
        <f t="shared" si="36"/>
        <v>1265.0847457627112</v>
      </c>
      <c r="N53" s="60">
        <f t="shared" si="3"/>
        <v>50.603389830508448</v>
      </c>
      <c r="O53" s="61">
        <f t="shared" si="4"/>
        <v>0</v>
      </c>
      <c r="P53" s="62">
        <f t="shared" si="5"/>
        <v>-29.396610169491552</v>
      </c>
      <c r="Q53" s="281">
        <f t="shared" si="6"/>
        <v>0.63254237288135562</v>
      </c>
      <c r="R53" s="566"/>
      <c r="S53" s="63">
        <v>0.31597222222222215</v>
      </c>
      <c r="T53" s="63">
        <v>0.3569444444444444</v>
      </c>
      <c r="U53" s="278">
        <f t="shared" si="38"/>
        <v>7.9999999999999716</v>
      </c>
      <c r="V53" s="286">
        <f t="shared" si="37"/>
        <v>59.000000000000028</v>
      </c>
      <c r="W53" s="64"/>
      <c r="X53" s="64"/>
      <c r="Y53" s="279"/>
      <c r="Z53" s="280"/>
      <c r="AA53" s="61">
        <f t="shared" si="8"/>
        <v>-734.91525423728876</v>
      </c>
      <c r="AB53" s="281">
        <f t="shared" si="9"/>
        <v>0.63254237288135562</v>
      </c>
      <c r="AC53" s="566"/>
    </row>
    <row r="54" spans="1:29" ht="15.75" customHeight="1">
      <c r="A54" s="574" t="s">
        <v>1259</v>
      </c>
      <c r="B54" s="57" t="s">
        <v>6</v>
      </c>
      <c r="C54" s="282" t="s">
        <v>1182</v>
      </c>
      <c r="D54" s="283"/>
      <c r="E54" s="57">
        <v>56.43</v>
      </c>
      <c r="F54" s="69">
        <v>2322</v>
      </c>
      <c r="G54" s="278">
        <f t="shared" si="35"/>
        <v>131030.46</v>
      </c>
      <c r="H54" s="289" t="s">
        <v>5</v>
      </c>
      <c r="I54" s="285">
        <v>22</v>
      </c>
      <c r="J54" s="58">
        <v>2000</v>
      </c>
      <c r="K54" s="59">
        <f t="shared" si="1"/>
        <v>90.909090909090907</v>
      </c>
      <c r="L54" s="285">
        <v>22</v>
      </c>
      <c r="M54" s="60">
        <f t="shared" si="36"/>
        <v>1466.526315789474</v>
      </c>
      <c r="N54" s="60">
        <f t="shared" si="3"/>
        <v>66.660287081339732</v>
      </c>
      <c r="O54" s="61">
        <f t="shared" si="4"/>
        <v>0</v>
      </c>
      <c r="P54" s="62">
        <f t="shared" si="5"/>
        <v>-24.248803827751175</v>
      </c>
      <c r="Q54" s="281">
        <f t="shared" si="6"/>
        <v>0.73326315789473706</v>
      </c>
      <c r="R54" s="566"/>
      <c r="S54" s="63">
        <v>0.36111111111111105</v>
      </c>
      <c r="T54" s="63">
        <v>0.42708333333333326</v>
      </c>
      <c r="U54" s="278">
        <f t="shared" si="38"/>
        <v>5.9999999999999787</v>
      </c>
      <c r="V54" s="286">
        <f t="shared" si="37"/>
        <v>94.999999999999986</v>
      </c>
      <c r="W54" s="64"/>
      <c r="X54" s="64"/>
      <c r="Y54" s="279"/>
      <c r="Z54" s="280"/>
      <c r="AA54" s="61">
        <f t="shared" si="8"/>
        <v>-533.47368421052602</v>
      </c>
      <c r="AB54" s="281">
        <f t="shared" si="9"/>
        <v>0.73326315789473695</v>
      </c>
      <c r="AC54" s="566"/>
    </row>
    <row r="55" spans="1:29" ht="15.75" customHeight="1">
      <c r="A55" s="574" t="s">
        <v>1259</v>
      </c>
      <c r="B55" s="57" t="s">
        <v>6</v>
      </c>
      <c r="C55" s="282" t="s">
        <v>39</v>
      </c>
      <c r="D55" s="283"/>
      <c r="E55" s="57">
        <v>55.56</v>
      </c>
      <c r="F55" s="69">
        <v>2090</v>
      </c>
      <c r="G55" s="278">
        <f t="shared" si="35"/>
        <v>116120.40000000001</v>
      </c>
      <c r="H55" s="289" t="s">
        <v>5</v>
      </c>
      <c r="I55" s="285">
        <v>17</v>
      </c>
      <c r="J55" s="58">
        <v>2000</v>
      </c>
      <c r="K55" s="59">
        <f t="shared" si="1"/>
        <v>117.64705882352941</v>
      </c>
      <c r="L55" s="285">
        <v>17</v>
      </c>
      <c r="M55" s="60">
        <f t="shared" si="36"/>
        <v>1929.2307692307713</v>
      </c>
      <c r="N55" s="60">
        <f t="shared" si="3"/>
        <v>113.48416289592772</v>
      </c>
      <c r="O55" s="61">
        <f t="shared" si="4"/>
        <v>0</v>
      </c>
      <c r="P55" s="62">
        <f t="shared" si="5"/>
        <v>-4.1628959276016815</v>
      </c>
      <c r="Q55" s="281">
        <f t="shared" si="6"/>
        <v>0.96461538461538565</v>
      </c>
      <c r="R55" s="566"/>
      <c r="S55" s="63">
        <v>0.70833333333333337</v>
      </c>
      <c r="T55" s="63">
        <v>0.75347222222222221</v>
      </c>
      <c r="U55" s="278" t="str">
        <f t="shared" si="38"/>
        <v/>
      </c>
      <c r="V55" s="286">
        <f t="shared" si="37"/>
        <v>64.999999999999929</v>
      </c>
      <c r="W55" s="64"/>
      <c r="X55" s="64"/>
      <c r="Y55" s="279"/>
      <c r="Z55" s="280"/>
      <c r="AA55" s="61">
        <f t="shared" si="8"/>
        <v>-70.76923076922867</v>
      </c>
      <c r="AB55" s="281">
        <f t="shared" si="9"/>
        <v>0.96461538461538565</v>
      </c>
      <c r="AC55" s="566"/>
    </row>
    <row r="56" spans="1:29" ht="15.75" customHeight="1">
      <c r="A56" s="574" t="s">
        <v>1259</v>
      </c>
      <c r="B56" s="57" t="s">
        <v>6</v>
      </c>
      <c r="C56" s="567" t="s">
        <v>40</v>
      </c>
      <c r="D56" s="568"/>
      <c r="E56" s="57">
        <v>55.32</v>
      </c>
      <c r="F56" s="69">
        <v>1604</v>
      </c>
      <c r="G56" s="278">
        <f t="shared" si="35"/>
        <v>88733.28</v>
      </c>
      <c r="H56" s="289" t="s">
        <v>5</v>
      </c>
      <c r="I56" s="285">
        <v>15</v>
      </c>
      <c r="J56" s="58">
        <v>2000</v>
      </c>
      <c r="K56" s="59">
        <f t="shared" si="1"/>
        <v>133.33333333333334</v>
      </c>
      <c r="L56" s="285">
        <v>15</v>
      </c>
      <c r="M56" s="60">
        <f t="shared" si="36"/>
        <v>1924.8000000000006</v>
      </c>
      <c r="N56" s="60">
        <f t="shared" si="3"/>
        <v>128.32000000000005</v>
      </c>
      <c r="O56" s="61">
        <f t="shared" si="4"/>
        <v>0</v>
      </c>
      <c r="P56" s="62">
        <f t="shared" si="5"/>
        <v>-5.0133333333332928</v>
      </c>
      <c r="Q56" s="281">
        <f t="shared" si="6"/>
        <v>0.96240000000000026</v>
      </c>
      <c r="R56" s="566"/>
      <c r="S56" s="63">
        <v>0.75763888888888886</v>
      </c>
      <c r="T56" s="63">
        <v>0.79236111111111107</v>
      </c>
      <c r="U56" s="278">
        <f t="shared" si="38"/>
        <v>5.9999999999999787</v>
      </c>
      <c r="V56" s="286">
        <f t="shared" si="37"/>
        <v>49.999999999999986</v>
      </c>
      <c r="W56" s="64"/>
      <c r="X56" s="64"/>
      <c r="Y56" s="569"/>
      <c r="Z56" s="570"/>
      <c r="AA56" s="61">
        <f t="shared" si="8"/>
        <v>-75.199999999999363</v>
      </c>
      <c r="AB56" s="281">
        <f t="shared" si="9"/>
        <v>0.96240000000000037</v>
      </c>
      <c r="AC56" s="566"/>
    </row>
    <row r="57" spans="1:29" ht="15.75" customHeight="1">
      <c r="A57" s="574" t="s">
        <v>1259</v>
      </c>
      <c r="B57" s="57" t="s">
        <v>6</v>
      </c>
      <c r="C57" s="567" t="s">
        <v>99</v>
      </c>
      <c r="D57" s="568"/>
      <c r="E57" s="57">
        <v>53.68</v>
      </c>
      <c r="F57" s="69">
        <v>1100</v>
      </c>
      <c r="G57" s="278">
        <f t="shared" si="35"/>
        <v>59048</v>
      </c>
      <c r="H57" s="289">
        <v>2</v>
      </c>
      <c r="I57" s="285">
        <v>16</v>
      </c>
      <c r="J57" s="58">
        <v>1500</v>
      </c>
      <c r="K57" s="59">
        <f t="shared" si="1"/>
        <v>93.75</v>
      </c>
      <c r="L57" s="285">
        <v>16</v>
      </c>
      <c r="M57" s="60">
        <f t="shared" si="36"/>
        <v>1434.7826086956522</v>
      </c>
      <c r="N57" s="60">
        <f t="shared" si="3"/>
        <v>89.673913043478265</v>
      </c>
      <c r="O57" s="61">
        <f t="shared" si="4"/>
        <v>0</v>
      </c>
      <c r="P57" s="62">
        <f t="shared" si="5"/>
        <v>-4.0760869565217348</v>
      </c>
      <c r="Q57" s="281">
        <f t="shared" si="6"/>
        <v>0.95652173913043481</v>
      </c>
      <c r="R57" s="566"/>
      <c r="S57" s="63">
        <v>0.79722222222222217</v>
      </c>
      <c r="T57" s="63">
        <v>0.82916666666666661</v>
      </c>
      <c r="U57" s="278">
        <f t="shared" si="38"/>
        <v>6.9999999999999751</v>
      </c>
      <c r="V57" s="286">
        <f t="shared" si="37"/>
        <v>46</v>
      </c>
      <c r="W57" s="64">
        <f>T57</f>
        <v>0.82916666666666661</v>
      </c>
      <c r="X57" s="64">
        <f>S58</f>
        <v>0.86874999999999991</v>
      </c>
      <c r="Y57" s="569"/>
      <c r="Z57" s="570"/>
      <c r="AA57" s="61">
        <f t="shared" si="8"/>
        <v>-65.217391304347757</v>
      </c>
      <c r="AB57" s="281">
        <f t="shared" si="9"/>
        <v>0.95652173913043481</v>
      </c>
      <c r="AC57" s="566"/>
    </row>
    <row r="58" spans="1:29" ht="15.75" customHeight="1">
      <c r="A58" s="574" t="s">
        <v>1259</v>
      </c>
      <c r="B58" s="57" t="s">
        <v>6</v>
      </c>
      <c r="C58" s="567" t="s">
        <v>99</v>
      </c>
      <c r="D58" s="568"/>
      <c r="E58" s="57">
        <v>53.68</v>
      </c>
      <c r="F58" s="69">
        <v>1368</v>
      </c>
      <c r="G58" s="278">
        <f t="shared" si="35"/>
        <v>73434.240000000005</v>
      </c>
      <c r="H58" s="289" t="s">
        <v>5</v>
      </c>
      <c r="I58" s="285">
        <v>16</v>
      </c>
      <c r="J58" s="58">
        <v>1500</v>
      </c>
      <c r="K58" s="59">
        <f t="shared" si="1"/>
        <v>93.75</v>
      </c>
      <c r="L58" s="285">
        <v>16</v>
      </c>
      <c r="M58" s="60">
        <f t="shared" si="36"/>
        <v>1440.0000000000011</v>
      </c>
      <c r="N58" s="60">
        <f t="shared" si="3"/>
        <v>90.000000000000071</v>
      </c>
      <c r="O58" s="61">
        <f t="shared" si="4"/>
        <v>0</v>
      </c>
      <c r="P58" s="62">
        <f t="shared" si="5"/>
        <v>-3.7499999999999289</v>
      </c>
      <c r="Q58" s="281">
        <f t="shared" si="6"/>
        <v>0.96000000000000074</v>
      </c>
      <c r="R58" s="566"/>
      <c r="S58" s="63">
        <v>0.86874999999999991</v>
      </c>
      <c r="T58" s="63">
        <v>0.90833333333333321</v>
      </c>
      <c r="U58" s="278">
        <f t="shared" si="38"/>
        <v>56.999999999999957</v>
      </c>
      <c r="V58" s="286">
        <f t="shared" si="37"/>
        <v>56.999999999999957</v>
      </c>
      <c r="W58" s="64"/>
      <c r="X58" s="64"/>
      <c r="Y58" s="569"/>
      <c r="Z58" s="570"/>
      <c r="AA58" s="61">
        <f t="shared" si="8"/>
        <v>-59.999999999998863</v>
      </c>
      <c r="AB58" s="281">
        <f t="shared" si="9"/>
        <v>0.96000000000000074</v>
      </c>
      <c r="AC58" s="566"/>
    </row>
    <row r="59" spans="1:29">
      <c r="A59" s="575" t="s">
        <v>1259</v>
      </c>
      <c r="B59" s="57" t="s">
        <v>1231</v>
      </c>
      <c r="C59" s="571"/>
      <c r="D59" s="571"/>
      <c r="E59" s="284"/>
      <c r="F59" s="66"/>
      <c r="G59" s="59"/>
      <c r="H59" s="287"/>
      <c r="I59" s="67">
        <v>18.125</v>
      </c>
      <c r="J59" s="58">
        <v>1875</v>
      </c>
      <c r="K59" s="59">
        <f t="shared" si="1"/>
        <v>103.44827586206897</v>
      </c>
      <c r="L59" s="67">
        <v>18.125</v>
      </c>
      <c r="M59" s="60">
        <f>AVERAGE(M51:M58)</f>
        <v>1660.5631005023495</v>
      </c>
      <c r="N59" s="59">
        <f t="shared" si="3"/>
        <v>91.617274510474459</v>
      </c>
      <c r="O59" s="61">
        <f t="shared" si="4"/>
        <v>0</v>
      </c>
      <c r="P59" s="62">
        <f t="shared" si="5"/>
        <v>-11.831001351594509</v>
      </c>
      <c r="Q59" s="281">
        <f t="shared" si="6"/>
        <v>0.88563365360125312</v>
      </c>
      <c r="R59" s="566"/>
      <c r="S59" s="70"/>
      <c r="T59" s="63"/>
      <c r="U59" s="59"/>
      <c r="V59" s="286"/>
      <c r="W59" s="59"/>
      <c r="X59" s="59"/>
      <c r="Y59" s="559"/>
      <c r="Z59" s="559"/>
      <c r="AA59" s="61">
        <f t="shared" si="8"/>
        <v>-214.43689949765053</v>
      </c>
      <c r="AB59" s="281">
        <f t="shared" si="9"/>
        <v>0.88563365360125301</v>
      </c>
      <c r="AC59" s="566"/>
    </row>
    <row r="60" spans="1:29" ht="15.75" customHeight="1">
      <c r="A60" s="572" t="s">
        <v>1260</v>
      </c>
      <c r="B60" s="287" t="s">
        <v>10</v>
      </c>
      <c r="C60" s="560" t="s">
        <v>42</v>
      </c>
      <c r="D60" s="560"/>
      <c r="E60" s="57">
        <v>26.97</v>
      </c>
      <c r="F60" s="69">
        <v>2832</v>
      </c>
      <c r="G60" s="278">
        <f t="shared" ref="G60:G65" si="39">E60*F60</f>
        <v>76379.039999999994</v>
      </c>
      <c r="H60" s="289" t="s">
        <v>5</v>
      </c>
      <c r="I60" s="285">
        <v>8</v>
      </c>
      <c r="J60" s="58">
        <v>1500</v>
      </c>
      <c r="K60" s="59">
        <f t="shared" si="1"/>
        <v>187.5</v>
      </c>
      <c r="L60" s="285">
        <v>8</v>
      </c>
      <c r="M60" s="60">
        <f t="shared" ref="M60:M65" si="40">F60/V60*60</f>
        <v>1439.9999999999998</v>
      </c>
      <c r="N60" s="59">
        <f t="shared" si="3"/>
        <v>179.99999999999997</v>
      </c>
      <c r="O60" s="61">
        <f t="shared" si="4"/>
        <v>0</v>
      </c>
      <c r="P60" s="62">
        <f t="shared" si="5"/>
        <v>-7.5000000000000284</v>
      </c>
      <c r="Q60" s="281">
        <f t="shared" si="6"/>
        <v>0.95999999999999985</v>
      </c>
      <c r="R60" s="566">
        <f>Q66</f>
        <v>0.95679969447652657</v>
      </c>
      <c r="S60" s="63">
        <v>0.20833333333333334</v>
      </c>
      <c r="T60" s="63">
        <v>0.2902777777777778</v>
      </c>
      <c r="U60" s="278"/>
      <c r="V60" s="286">
        <f t="shared" ref="V60:V65" si="41">(T60-S60)*24*60</f>
        <v>118.00000000000001</v>
      </c>
      <c r="W60" s="68"/>
      <c r="X60" s="68"/>
      <c r="Y60" s="559"/>
      <c r="Z60" s="559"/>
      <c r="AA60" s="61">
        <f t="shared" si="8"/>
        <v>-60.000000000000227</v>
      </c>
      <c r="AB60" s="281">
        <f t="shared" si="9"/>
        <v>0.95999999999999985</v>
      </c>
      <c r="AC60" s="566">
        <f>AB66</f>
        <v>0.95679969447652646</v>
      </c>
    </row>
    <row r="61" spans="1:29" ht="15.75" customHeight="1">
      <c r="A61" s="572" t="s">
        <v>1260</v>
      </c>
      <c r="B61" s="287" t="s">
        <v>31</v>
      </c>
      <c r="C61" s="560" t="s">
        <v>41</v>
      </c>
      <c r="D61" s="560"/>
      <c r="E61" s="57">
        <v>26.78</v>
      </c>
      <c r="F61" s="69">
        <v>2674</v>
      </c>
      <c r="G61" s="278">
        <f t="shared" si="39"/>
        <v>71609.72</v>
      </c>
      <c r="H61" s="289" t="s">
        <v>5</v>
      </c>
      <c r="I61" s="285">
        <v>10</v>
      </c>
      <c r="J61" s="58">
        <v>3000</v>
      </c>
      <c r="K61" s="59">
        <f t="shared" si="1"/>
        <v>300</v>
      </c>
      <c r="L61" s="285">
        <v>10</v>
      </c>
      <c r="M61" s="60">
        <f t="shared" si="40"/>
        <v>2864.9999999999977</v>
      </c>
      <c r="N61" s="59">
        <f t="shared" si="3"/>
        <v>286.49999999999977</v>
      </c>
      <c r="O61" s="61">
        <f t="shared" si="4"/>
        <v>0</v>
      </c>
      <c r="P61" s="62">
        <f t="shared" si="5"/>
        <v>-13.500000000000227</v>
      </c>
      <c r="Q61" s="281">
        <f t="shared" si="6"/>
        <v>0.95499999999999929</v>
      </c>
      <c r="R61" s="566"/>
      <c r="S61" s="63">
        <v>0.29444444444444445</v>
      </c>
      <c r="T61" s="63">
        <v>0.33333333333333337</v>
      </c>
      <c r="U61" s="278">
        <f t="shared" ref="U61:U65" si="42">(S61-T60)*24*60</f>
        <v>5.9999999999999787</v>
      </c>
      <c r="V61" s="286">
        <f t="shared" si="41"/>
        <v>56.000000000000043</v>
      </c>
      <c r="W61" s="278"/>
      <c r="X61" s="278"/>
      <c r="Y61" s="559"/>
      <c r="Z61" s="559"/>
      <c r="AA61" s="61">
        <f t="shared" si="8"/>
        <v>-135.00000000000227</v>
      </c>
      <c r="AB61" s="281">
        <f t="shared" si="9"/>
        <v>0.95499999999999929</v>
      </c>
      <c r="AC61" s="566"/>
    </row>
    <row r="62" spans="1:29" ht="15.75" customHeight="1">
      <c r="A62" s="572" t="s">
        <v>1260</v>
      </c>
      <c r="B62" s="287" t="s">
        <v>31</v>
      </c>
      <c r="C62" s="560" t="s">
        <v>64</v>
      </c>
      <c r="D62" s="560"/>
      <c r="E62" s="57">
        <v>37.880000000000003</v>
      </c>
      <c r="F62" s="69">
        <v>2817</v>
      </c>
      <c r="G62" s="278">
        <f t="shared" si="39"/>
        <v>106707.96</v>
      </c>
      <c r="H62" s="289" t="s">
        <v>5</v>
      </c>
      <c r="I62" s="285">
        <v>10</v>
      </c>
      <c r="J62" s="58">
        <v>3000</v>
      </c>
      <c r="K62" s="59">
        <f t="shared" si="1"/>
        <v>300</v>
      </c>
      <c r="L62" s="285">
        <v>10</v>
      </c>
      <c r="M62" s="60">
        <f t="shared" si="40"/>
        <v>2864.7457627118633</v>
      </c>
      <c r="N62" s="59">
        <f t="shared" si="3"/>
        <v>286.47457627118632</v>
      </c>
      <c r="O62" s="61">
        <f t="shared" si="4"/>
        <v>0</v>
      </c>
      <c r="P62" s="62">
        <f t="shared" si="5"/>
        <v>-13.525423728813678</v>
      </c>
      <c r="Q62" s="281">
        <f t="shared" si="6"/>
        <v>0.95491525423728774</v>
      </c>
      <c r="R62" s="566"/>
      <c r="S62" s="63">
        <v>0.33680555555555558</v>
      </c>
      <c r="T62" s="63">
        <v>0.37777777777777782</v>
      </c>
      <c r="U62" s="278">
        <f t="shared" si="42"/>
        <v>4.9999999999999822</v>
      </c>
      <c r="V62" s="286">
        <f t="shared" si="41"/>
        <v>59.000000000000028</v>
      </c>
      <c r="W62" s="278"/>
      <c r="X62" s="278"/>
      <c r="Y62" s="559"/>
      <c r="Z62" s="559"/>
      <c r="AA62" s="61">
        <f t="shared" si="8"/>
        <v>-135.25423728813666</v>
      </c>
      <c r="AB62" s="281">
        <f t="shared" si="9"/>
        <v>0.95491525423728774</v>
      </c>
      <c r="AC62" s="566"/>
    </row>
    <row r="63" spans="1:29" ht="15.75" customHeight="1">
      <c r="A63" s="572" t="s">
        <v>1260</v>
      </c>
      <c r="B63" s="287" t="s">
        <v>31</v>
      </c>
      <c r="C63" s="560" t="s">
        <v>72</v>
      </c>
      <c r="D63" s="560"/>
      <c r="E63" s="57">
        <v>40.51</v>
      </c>
      <c r="F63" s="69">
        <v>2528</v>
      </c>
      <c r="G63" s="278">
        <f t="shared" si="39"/>
        <v>102409.28</v>
      </c>
      <c r="H63" s="289" t="s">
        <v>5</v>
      </c>
      <c r="I63" s="285">
        <v>8</v>
      </c>
      <c r="J63" s="58">
        <v>3000</v>
      </c>
      <c r="K63" s="59">
        <f t="shared" si="1"/>
        <v>375</v>
      </c>
      <c r="L63" s="285">
        <v>8</v>
      </c>
      <c r="M63" s="60">
        <f t="shared" si="40"/>
        <v>2861.8867924528317</v>
      </c>
      <c r="N63" s="59">
        <f t="shared" si="3"/>
        <v>357.73584905660397</v>
      </c>
      <c r="O63" s="61">
        <f t="shared" si="4"/>
        <v>0</v>
      </c>
      <c r="P63" s="62">
        <f t="shared" si="5"/>
        <v>-17.264150943396032</v>
      </c>
      <c r="Q63" s="281">
        <f t="shared" si="6"/>
        <v>0.95396226415094387</v>
      </c>
      <c r="R63" s="566"/>
      <c r="S63" s="63">
        <v>0.38263888888888892</v>
      </c>
      <c r="T63" s="63">
        <v>0.41944444444444445</v>
      </c>
      <c r="U63" s="278">
        <f t="shared" si="42"/>
        <v>6.9999999999999751</v>
      </c>
      <c r="V63" s="286">
        <f t="shared" si="41"/>
        <v>52.999999999999972</v>
      </c>
      <c r="W63" s="278"/>
      <c r="X63" s="278"/>
      <c r="Y63" s="559"/>
      <c r="Z63" s="559"/>
      <c r="AA63" s="61">
        <f t="shared" si="8"/>
        <v>-138.11320754716826</v>
      </c>
      <c r="AB63" s="281">
        <f t="shared" si="9"/>
        <v>0.95396226415094387</v>
      </c>
      <c r="AC63" s="566"/>
    </row>
    <row r="64" spans="1:29">
      <c r="A64" s="573" t="s">
        <v>1260</v>
      </c>
      <c r="B64" s="287" t="s">
        <v>31</v>
      </c>
      <c r="C64" s="560" t="s">
        <v>35</v>
      </c>
      <c r="D64" s="560"/>
      <c r="E64" s="57">
        <v>35.869999999999997</v>
      </c>
      <c r="F64" s="69">
        <v>2833</v>
      </c>
      <c r="G64" s="278">
        <f t="shared" si="39"/>
        <v>101619.70999999999</v>
      </c>
      <c r="H64" s="289" t="s">
        <v>5</v>
      </c>
      <c r="I64" s="285">
        <v>9</v>
      </c>
      <c r="J64" s="58">
        <v>3000</v>
      </c>
      <c r="K64" s="59">
        <f t="shared" si="1"/>
        <v>333.33333333333331</v>
      </c>
      <c r="L64" s="285">
        <v>9</v>
      </c>
      <c r="M64" s="60">
        <f t="shared" si="40"/>
        <v>2881.0169491525412</v>
      </c>
      <c r="N64" s="59">
        <f t="shared" si="3"/>
        <v>320.11299435028235</v>
      </c>
      <c r="O64" s="61">
        <f t="shared" si="4"/>
        <v>0</v>
      </c>
      <c r="P64" s="62">
        <f t="shared" si="5"/>
        <v>-13.220338983050965</v>
      </c>
      <c r="Q64" s="281">
        <f t="shared" si="6"/>
        <v>0.96033898305084708</v>
      </c>
      <c r="R64" s="566"/>
      <c r="S64" s="63">
        <v>0.42499999999999999</v>
      </c>
      <c r="T64" s="63">
        <v>0.46597222222222223</v>
      </c>
      <c r="U64" s="278">
        <f t="shared" si="42"/>
        <v>7.9999999999999716</v>
      </c>
      <c r="V64" s="286">
        <f t="shared" si="41"/>
        <v>59.000000000000028</v>
      </c>
      <c r="W64" s="64"/>
      <c r="X64" s="64"/>
      <c r="Y64" s="559"/>
      <c r="Z64" s="559"/>
      <c r="AA64" s="61">
        <f t="shared" si="8"/>
        <v>-118.9830508474588</v>
      </c>
      <c r="AB64" s="281">
        <f t="shared" si="9"/>
        <v>0.96033898305084708</v>
      </c>
      <c r="AC64" s="566"/>
    </row>
    <row r="65" spans="1:29" ht="15" customHeight="1">
      <c r="A65" s="573" t="s">
        <v>1260</v>
      </c>
      <c r="B65" s="287" t="s">
        <v>31</v>
      </c>
      <c r="C65" s="567" t="s">
        <v>63</v>
      </c>
      <c r="D65" s="568"/>
      <c r="E65" s="57">
        <v>34.36</v>
      </c>
      <c r="F65" s="69">
        <v>2108</v>
      </c>
      <c r="G65" s="278">
        <f t="shared" si="39"/>
        <v>72430.880000000005</v>
      </c>
      <c r="H65" s="289" t="s">
        <v>5</v>
      </c>
      <c r="I65" s="285">
        <v>10</v>
      </c>
      <c r="J65" s="58">
        <v>3000</v>
      </c>
      <c r="K65" s="59">
        <f t="shared" si="1"/>
        <v>300</v>
      </c>
      <c r="L65" s="285">
        <v>10</v>
      </c>
      <c r="M65" s="60">
        <f t="shared" si="40"/>
        <v>2874.5454545454545</v>
      </c>
      <c r="N65" s="59">
        <f t="shared" si="3"/>
        <v>287.45454545454544</v>
      </c>
      <c r="O65" s="61">
        <f t="shared" si="4"/>
        <v>0</v>
      </c>
      <c r="P65" s="62">
        <f t="shared" si="5"/>
        <v>-12.545454545454561</v>
      </c>
      <c r="Q65" s="281">
        <f t="shared" si="6"/>
        <v>0.95818181818181813</v>
      </c>
      <c r="R65" s="566"/>
      <c r="S65" s="63">
        <v>0.47152777777777777</v>
      </c>
      <c r="T65" s="63">
        <v>0.50208333333333333</v>
      </c>
      <c r="U65" s="278">
        <f t="shared" si="42"/>
        <v>7.9999999999999716</v>
      </c>
      <c r="V65" s="286">
        <f t="shared" si="41"/>
        <v>44</v>
      </c>
      <c r="W65" s="278"/>
      <c r="X65" s="278"/>
      <c r="Y65" s="569"/>
      <c r="Z65" s="570"/>
      <c r="AA65" s="61">
        <f t="shared" si="8"/>
        <v>-125.4545454545455</v>
      </c>
      <c r="AB65" s="281">
        <f t="shared" si="9"/>
        <v>0.95818181818181813</v>
      </c>
      <c r="AC65" s="566"/>
    </row>
    <row r="66" spans="1:29">
      <c r="A66" s="573" t="s">
        <v>1260</v>
      </c>
      <c r="B66" s="57" t="s">
        <v>1231</v>
      </c>
      <c r="C66" s="571"/>
      <c r="D66" s="571"/>
      <c r="E66" s="284"/>
      <c r="F66" s="66"/>
      <c r="G66" s="59"/>
      <c r="H66" s="287"/>
      <c r="I66" s="67">
        <v>9.1666666666666661</v>
      </c>
      <c r="J66" s="58">
        <v>2750</v>
      </c>
      <c r="K66" s="59">
        <f t="shared" si="1"/>
        <v>300</v>
      </c>
      <c r="L66" s="67">
        <v>9.1666666666666661</v>
      </c>
      <c r="M66" s="60">
        <f>AVERAGE(M60:M65)</f>
        <v>2631.1991598104478</v>
      </c>
      <c r="N66" s="59">
        <f t="shared" si="3"/>
        <v>287.03990834295797</v>
      </c>
      <c r="O66" s="61">
        <f t="shared" si="4"/>
        <v>0</v>
      </c>
      <c r="P66" s="62">
        <f t="shared" si="5"/>
        <v>-12.960091657042028</v>
      </c>
      <c r="Q66" s="281">
        <f t="shared" si="6"/>
        <v>0.95679969447652657</v>
      </c>
      <c r="R66" s="566"/>
      <c r="S66" s="63"/>
      <c r="T66" s="63"/>
      <c r="U66" s="59"/>
      <c r="V66" s="286"/>
      <c r="W66" s="59"/>
      <c r="X66" s="59"/>
      <c r="Y66" s="559"/>
      <c r="Z66" s="559"/>
      <c r="AA66" s="61">
        <f t="shared" si="8"/>
        <v>-118.80084018955222</v>
      </c>
      <c r="AB66" s="281">
        <f t="shared" si="9"/>
        <v>0.95679969447652646</v>
      </c>
      <c r="AC66" s="566"/>
    </row>
    <row r="67" spans="1:29" ht="15.75" customHeight="1">
      <c r="A67" s="563" t="s">
        <v>1261</v>
      </c>
      <c r="B67" s="287" t="s">
        <v>15</v>
      </c>
      <c r="C67" s="560" t="s">
        <v>43</v>
      </c>
      <c r="D67" s="560"/>
      <c r="E67" s="57">
        <v>20.2</v>
      </c>
      <c r="F67" s="287">
        <v>2800</v>
      </c>
      <c r="G67" s="278">
        <f t="shared" ref="G67:G73" si="43">E67*F67</f>
        <v>56560</v>
      </c>
      <c r="H67" s="289" t="s">
        <v>5</v>
      </c>
      <c r="I67" s="285">
        <v>19</v>
      </c>
      <c r="J67" s="58">
        <v>2400</v>
      </c>
      <c r="K67" s="59">
        <f t="shared" si="1"/>
        <v>126.31578947368421</v>
      </c>
      <c r="L67" s="285">
        <v>19</v>
      </c>
      <c r="M67" s="60">
        <f t="shared" ref="M67:M73" si="44">F67/V67*60</f>
        <v>2301.3698630136983</v>
      </c>
      <c r="N67" s="59">
        <f t="shared" si="3"/>
        <v>121.1247296322999</v>
      </c>
      <c r="O67" s="61">
        <f t="shared" si="4"/>
        <v>0</v>
      </c>
      <c r="P67" s="62">
        <f t="shared" si="5"/>
        <v>-5.1910598413843019</v>
      </c>
      <c r="Q67" s="281">
        <f t="shared" si="6"/>
        <v>0.95890410958904093</v>
      </c>
      <c r="R67" s="566">
        <f>Q74</f>
        <v>0.95683441872618558</v>
      </c>
      <c r="S67" s="63">
        <v>8.3333333333333329E-2</v>
      </c>
      <c r="T67" s="63">
        <v>0.13402777777777777</v>
      </c>
      <c r="U67" s="68"/>
      <c r="V67" s="286">
        <f t="shared" ref="V67:V73" si="45">(T67-S67)*24*60</f>
        <v>73</v>
      </c>
      <c r="W67" s="64">
        <f>T67</f>
        <v>0.13402777777777777</v>
      </c>
      <c r="X67" s="64">
        <f>S68</f>
        <v>0.15277777777777776</v>
      </c>
      <c r="Y67" s="559"/>
      <c r="Z67" s="559"/>
      <c r="AA67" s="61">
        <f t="shared" si="8"/>
        <v>-98.63013698630175</v>
      </c>
      <c r="AB67" s="281">
        <f t="shared" si="9"/>
        <v>0.95890410958904093</v>
      </c>
      <c r="AC67" s="566">
        <f>AB74</f>
        <v>0.95683441872618558</v>
      </c>
    </row>
    <row r="68" spans="1:29" ht="15.75" customHeight="1">
      <c r="A68" s="564" t="s">
        <v>1261</v>
      </c>
      <c r="B68" s="287" t="s">
        <v>15</v>
      </c>
      <c r="C68" s="560" t="s">
        <v>24</v>
      </c>
      <c r="D68" s="560"/>
      <c r="E68" s="57">
        <v>20.52</v>
      </c>
      <c r="F68" s="287">
        <v>3407</v>
      </c>
      <c r="G68" s="278">
        <f t="shared" si="43"/>
        <v>69911.64</v>
      </c>
      <c r="H68" s="289" t="s">
        <v>5</v>
      </c>
      <c r="I68" s="285">
        <v>18</v>
      </c>
      <c r="J68" s="58">
        <v>2400</v>
      </c>
      <c r="K68" s="59">
        <f t="shared" si="1"/>
        <v>133.33333333333334</v>
      </c>
      <c r="L68" s="285">
        <v>18</v>
      </c>
      <c r="M68" s="60">
        <f t="shared" si="44"/>
        <v>2296.8539325842694</v>
      </c>
      <c r="N68" s="59">
        <f t="shared" si="3"/>
        <v>127.60299625468163</v>
      </c>
      <c r="O68" s="61">
        <f t="shared" si="4"/>
        <v>0</v>
      </c>
      <c r="P68" s="62">
        <f t="shared" si="5"/>
        <v>-5.7303370786517149</v>
      </c>
      <c r="Q68" s="281">
        <f t="shared" si="6"/>
        <v>0.95702247191011214</v>
      </c>
      <c r="R68" s="566"/>
      <c r="S68" s="63">
        <v>0.15277777777777776</v>
      </c>
      <c r="T68" s="63">
        <v>0.21458333333333332</v>
      </c>
      <c r="U68" s="278">
        <f t="shared" ref="U68:U73" si="46">(S68-T67)*24*60</f>
        <v>26.999999999999986</v>
      </c>
      <c r="V68" s="286">
        <f t="shared" si="45"/>
        <v>89</v>
      </c>
      <c r="W68" s="64"/>
      <c r="X68" s="64"/>
      <c r="Y68" s="559"/>
      <c r="Z68" s="559"/>
      <c r="AA68" s="61">
        <f t="shared" si="8"/>
        <v>-103.14606741573061</v>
      </c>
      <c r="AB68" s="281">
        <f t="shared" si="9"/>
        <v>0.95702247191011225</v>
      </c>
      <c r="AC68" s="566"/>
    </row>
    <row r="69" spans="1:29" ht="15.75" customHeight="1">
      <c r="A69" s="564" t="s">
        <v>1261</v>
      </c>
      <c r="B69" s="287" t="s">
        <v>15</v>
      </c>
      <c r="C69" s="560" t="s">
        <v>44</v>
      </c>
      <c r="D69" s="560"/>
      <c r="E69" s="57">
        <v>19.02</v>
      </c>
      <c r="F69" s="287">
        <v>5000</v>
      </c>
      <c r="G69" s="278">
        <f t="shared" si="43"/>
        <v>95100</v>
      </c>
      <c r="H69" s="289">
        <v>2</v>
      </c>
      <c r="I69" s="285">
        <v>15</v>
      </c>
      <c r="J69" s="58">
        <v>2400</v>
      </c>
      <c r="K69" s="59">
        <f t="shared" ref="K69:K74" si="47">J69/I69</f>
        <v>160</v>
      </c>
      <c r="L69" s="285">
        <v>15</v>
      </c>
      <c r="M69" s="60">
        <f t="shared" si="44"/>
        <v>2290.0763358778627</v>
      </c>
      <c r="N69" s="59">
        <f t="shared" ref="N69:N74" si="48">M69/L69</f>
        <v>152.67175572519085</v>
      </c>
      <c r="O69" s="61">
        <f t="shared" ref="O69:O74" si="49">L69-I69</f>
        <v>0</v>
      </c>
      <c r="P69" s="62">
        <f t="shared" ref="P69:P74" si="50">N69-K69</f>
        <v>-7.3282442748091512</v>
      </c>
      <c r="Q69" s="281">
        <f t="shared" ref="Q69:Q74" si="51">N69/K69</f>
        <v>0.95419847328244278</v>
      </c>
      <c r="R69" s="566"/>
      <c r="S69" s="63">
        <v>0.21944444444444444</v>
      </c>
      <c r="T69" s="63">
        <v>0.31041666666666667</v>
      </c>
      <c r="U69" s="278">
        <f t="shared" si="46"/>
        <v>7.0000000000000151</v>
      </c>
      <c r="V69" s="286">
        <f t="shared" si="45"/>
        <v>131</v>
      </c>
      <c r="W69" s="64"/>
      <c r="X69" s="64"/>
      <c r="Y69" s="559"/>
      <c r="Z69" s="559"/>
      <c r="AA69" s="61">
        <f t="shared" ref="AA69:AA74" si="52">M69-J69</f>
        <v>-109.92366412213732</v>
      </c>
      <c r="AB69" s="281">
        <f t="shared" ref="AB69:AB74" si="53">M69/J69</f>
        <v>0.95419847328244278</v>
      </c>
      <c r="AC69" s="566"/>
    </row>
    <row r="70" spans="1:29" ht="15.75" customHeight="1">
      <c r="A70" s="564" t="s">
        <v>1261</v>
      </c>
      <c r="B70" s="287" t="s">
        <v>15</v>
      </c>
      <c r="C70" s="560" t="s">
        <v>29</v>
      </c>
      <c r="D70" s="560"/>
      <c r="E70" s="57">
        <v>24.43</v>
      </c>
      <c r="F70" s="287">
        <v>4100</v>
      </c>
      <c r="G70" s="278">
        <f t="shared" si="43"/>
        <v>100163</v>
      </c>
      <c r="H70" s="289">
        <v>2</v>
      </c>
      <c r="I70" s="285">
        <v>14</v>
      </c>
      <c r="J70" s="58">
        <v>2400</v>
      </c>
      <c r="K70" s="59">
        <f t="shared" si="47"/>
        <v>171.42857142857142</v>
      </c>
      <c r="L70" s="285">
        <v>14</v>
      </c>
      <c r="M70" s="60">
        <f t="shared" si="44"/>
        <v>2299.0654205607475</v>
      </c>
      <c r="N70" s="59">
        <f t="shared" si="48"/>
        <v>164.21895861148195</v>
      </c>
      <c r="O70" s="61">
        <f t="shared" si="49"/>
        <v>0</v>
      </c>
      <c r="P70" s="62">
        <f t="shared" si="50"/>
        <v>-7.2096128170894644</v>
      </c>
      <c r="Q70" s="281">
        <f t="shared" si="51"/>
        <v>0.9579439252336448</v>
      </c>
      <c r="R70" s="566"/>
      <c r="S70" s="63">
        <v>0.31527777777777777</v>
      </c>
      <c r="T70" s="63">
        <v>0.38958333333333334</v>
      </c>
      <c r="U70" s="278">
        <f t="shared" si="46"/>
        <v>6.9999999999999751</v>
      </c>
      <c r="V70" s="286">
        <f t="shared" si="45"/>
        <v>107.00000000000001</v>
      </c>
      <c r="W70" s="64"/>
      <c r="X70" s="64"/>
      <c r="Y70" s="559"/>
      <c r="Z70" s="559"/>
      <c r="AA70" s="61">
        <f t="shared" si="52"/>
        <v>-100.9345794392525</v>
      </c>
      <c r="AB70" s="281">
        <f t="shared" si="53"/>
        <v>0.9579439252336448</v>
      </c>
      <c r="AC70" s="566"/>
    </row>
    <row r="71" spans="1:29" ht="15.75" customHeight="1">
      <c r="A71" s="564" t="s">
        <v>1261</v>
      </c>
      <c r="B71" s="287" t="s">
        <v>15</v>
      </c>
      <c r="C71" s="560" t="s">
        <v>1183</v>
      </c>
      <c r="D71" s="560"/>
      <c r="E71" s="57">
        <v>19.309999999999999</v>
      </c>
      <c r="F71" s="287">
        <v>6989</v>
      </c>
      <c r="G71" s="278">
        <f t="shared" si="43"/>
        <v>134957.59</v>
      </c>
      <c r="H71" s="289" t="s">
        <v>5</v>
      </c>
      <c r="I71" s="285">
        <v>16</v>
      </c>
      <c r="J71" s="58">
        <v>2400</v>
      </c>
      <c r="K71" s="59">
        <f t="shared" si="47"/>
        <v>150</v>
      </c>
      <c r="L71" s="285">
        <v>16</v>
      </c>
      <c r="M71" s="60">
        <f t="shared" si="44"/>
        <v>2291.475409836065</v>
      </c>
      <c r="N71" s="59">
        <f t="shared" si="48"/>
        <v>143.21721311475406</v>
      </c>
      <c r="O71" s="61">
        <f t="shared" si="49"/>
        <v>0</v>
      </c>
      <c r="P71" s="62">
        <f t="shared" si="50"/>
        <v>-6.7827868852459403</v>
      </c>
      <c r="Q71" s="281">
        <f t="shared" si="51"/>
        <v>0.95478142076502703</v>
      </c>
      <c r="R71" s="566"/>
      <c r="S71" s="63">
        <v>0.39444444444444443</v>
      </c>
      <c r="T71" s="63">
        <v>0.52152777777777781</v>
      </c>
      <c r="U71" s="278">
        <f t="shared" si="46"/>
        <v>6.9999999999999751</v>
      </c>
      <c r="V71" s="286">
        <f t="shared" si="45"/>
        <v>183.00000000000006</v>
      </c>
      <c r="W71" s="64">
        <f>T71</f>
        <v>0.52152777777777781</v>
      </c>
      <c r="X71" s="64">
        <f>S72</f>
        <v>0.56388888888888888</v>
      </c>
      <c r="Y71" s="559"/>
      <c r="Z71" s="559"/>
      <c r="AA71" s="61">
        <f t="shared" si="52"/>
        <v>-108.52459016393504</v>
      </c>
      <c r="AB71" s="281">
        <f t="shared" si="53"/>
        <v>0.95478142076502703</v>
      </c>
      <c r="AC71" s="566"/>
    </row>
    <row r="72" spans="1:29" ht="15.75" customHeight="1">
      <c r="A72" s="564" t="s">
        <v>1261</v>
      </c>
      <c r="B72" s="287" t="s">
        <v>15</v>
      </c>
      <c r="C72" s="560" t="s">
        <v>44</v>
      </c>
      <c r="D72" s="560"/>
      <c r="E72" s="57">
        <v>19.02</v>
      </c>
      <c r="F72" s="287">
        <v>3783</v>
      </c>
      <c r="G72" s="278">
        <f t="shared" si="43"/>
        <v>71952.66</v>
      </c>
      <c r="H72" s="289" t="s">
        <v>5</v>
      </c>
      <c r="I72" s="285">
        <v>15</v>
      </c>
      <c r="J72" s="58">
        <v>2400</v>
      </c>
      <c r="K72" s="59">
        <f t="shared" si="47"/>
        <v>160</v>
      </c>
      <c r="L72" s="285">
        <v>15</v>
      </c>
      <c r="M72" s="60">
        <f t="shared" si="44"/>
        <v>2292.7272727272734</v>
      </c>
      <c r="N72" s="59">
        <f t="shared" si="48"/>
        <v>152.8484848484849</v>
      </c>
      <c r="O72" s="61">
        <f t="shared" si="49"/>
        <v>0</v>
      </c>
      <c r="P72" s="62">
        <f t="shared" si="50"/>
        <v>-7.151515151515099</v>
      </c>
      <c r="Q72" s="281">
        <f t="shared" si="51"/>
        <v>0.95530303030303065</v>
      </c>
      <c r="R72" s="566"/>
      <c r="S72" s="63">
        <v>0.56388888888888888</v>
      </c>
      <c r="T72" s="63">
        <v>0.63263888888888886</v>
      </c>
      <c r="U72" s="278">
        <f t="shared" si="46"/>
        <v>60.999999999999943</v>
      </c>
      <c r="V72" s="286">
        <f t="shared" si="45"/>
        <v>98.999999999999972</v>
      </c>
      <c r="W72" s="64"/>
      <c r="X72" s="64"/>
      <c r="Y72" s="559"/>
      <c r="Z72" s="559"/>
      <c r="AA72" s="61">
        <f t="shared" si="52"/>
        <v>-107.27272727272657</v>
      </c>
      <c r="AB72" s="281">
        <f t="shared" si="53"/>
        <v>0.95530303030303054</v>
      </c>
      <c r="AC72" s="566"/>
    </row>
    <row r="73" spans="1:29" ht="15.75" customHeight="1">
      <c r="A73" s="564" t="s">
        <v>1261</v>
      </c>
      <c r="B73" s="287" t="s">
        <v>15</v>
      </c>
      <c r="C73" s="560" t="s">
        <v>29</v>
      </c>
      <c r="D73" s="560"/>
      <c r="E73" s="57">
        <v>24.43</v>
      </c>
      <c r="F73" s="287">
        <v>3071</v>
      </c>
      <c r="G73" s="278">
        <f t="shared" si="43"/>
        <v>75024.53</v>
      </c>
      <c r="H73" s="289" t="s">
        <v>5</v>
      </c>
      <c r="I73" s="285">
        <v>14</v>
      </c>
      <c r="J73" s="58">
        <v>2400</v>
      </c>
      <c r="K73" s="59">
        <f t="shared" si="47"/>
        <v>171.42857142857142</v>
      </c>
      <c r="L73" s="285">
        <v>14</v>
      </c>
      <c r="M73" s="60">
        <f t="shared" si="44"/>
        <v>2303.2499999999991</v>
      </c>
      <c r="N73" s="59">
        <f t="shared" si="48"/>
        <v>164.51785714285708</v>
      </c>
      <c r="O73" s="61">
        <f t="shared" si="49"/>
        <v>0</v>
      </c>
      <c r="P73" s="62">
        <f t="shared" si="50"/>
        <v>-6.9107142857143344</v>
      </c>
      <c r="Q73" s="281">
        <f t="shared" si="51"/>
        <v>0.95968749999999969</v>
      </c>
      <c r="R73" s="566"/>
      <c r="S73" s="63">
        <v>0.63611111111111107</v>
      </c>
      <c r="T73" s="63">
        <v>0.69166666666666665</v>
      </c>
      <c r="U73" s="278">
        <f t="shared" si="46"/>
        <v>4.9999999999999822</v>
      </c>
      <c r="V73" s="286">
        <f t="shared" si="45"/>
        <v>80.000000000000028</v>
      </c>
      <c r="W73" s="64"/>
      <c r="X73" s="64"/>
      <c r="Y73" s="569"/>
      <c r="Z73" s="570"/>
      <c r="AA73" s="61">
        <f t="shared" si="52"/>
        <v>-96.750000000000909</v>
      </c>
      <c r="AB73" s="281">
        <f t="shared" si="53"/>
        <v>0.95968749999999958</v>
      </c>
      <c r="AC73" s="566"/>
    </row>
    <row r="74" spans="1:29" ht="16.5" customHeight="1">
      <c r="A74" s="565" t="s">
        <v>1261</v>
      </c>
      <c r="B74" s="57" t="s">
        <v>1231</v>
      </c>
      <c r="C74" s="561"/>
      <c r="D74" s="562"/>
      <c r="E74" s="284"/>
      <c r="F74" s="66"/>
      <c r="G74" s="59"/>
      <c r="H74" s="287"/>
      <c r="I74" s="67">
        <v>15.857142857142858</v>
      </c>
      <c r="J74" s="58">
        <v>2400</v>
      </c>
      <c r="K74" s="59">
        <f t="shared" si="47"/>
        <v>151.35135135135135</v>
      </c>
      <c r="L74" s="67">
        <v>15.857142857142858</v>
      </c>
      <c r="M74" s="60">
        <f>AVERAGE(M67:M73)</f>
        <v>2296.4026049428453</v>
      </c>
      <c r="N74" s="59">
        <f t="shared" si="48"/>
        <v>144.81818229369296</v>
      </c>
      <c r="O74" s="61">
        <f t="shared" si="49"/>
        <v>0</v>
      </c>
      <c r="P74" s="62">
        <f t="shared" si="50"/>
        <v>-6.5331690576583981</v>
      </c>
      <c r="Q74" s="281">
        <f t="shared" si="51"/>
        <v>0.95683441872618558</v>
      </c>
      <c r="R74" s="566"/>
      <c r="S74" s="63"/>
      <c r="T74" s="63"/>
      <c r="U74" s="59"/>
      <c r="V74" s="286"/>
      <c r="W74" s="59"/>
      <c r="X74" s="59"/>
      <c r="Y74" s="559"/>
      <c r="Z74" s="559"/>
      <c r="AA74" s="61">
        <f t="shared" si="52"/>
        <v>-103.5973950571547</v>
      </c>
      <c r="AB74" s="281">
        <f t="shared" si="53"/>
        <v>0.95683441872618558</v>
      </c>
      <c r="AC74" s="566"/>
    </row>
    <row r="75" spans="1:29">
      <c r="D75" s="122"/>
      <c r="E75" s="122"/>
    </row>
  </sheetData>
  <mergeCells count="196">
    <mergeCell ref="AC60:AC66"/>
    <mergeCell ref="AC67:AC74"/>
    <mergeCell ref="C68:D68"/>
    <mergeCell ref="Y68:Z68"/>
    <mergeCell ref="C69:D69"/>
    <mergeCell ref="Y69:Z69"/>
    <mergeCell ref="C70:D70"/>
    <mergeCell ref="C74:D74"/>
    <mergeCell ref="Y74:Z74"/>
    <mergeCell ref="Y70:Z70"/>
    <mergeCell ref="C71:D71"/>
    <mergeCell ref="Y71:Z71"/>
    <mergeCell ref="C72:D72"/>
    <mergeCell ref="Y72:Z72"/>
    <mergeCell ref="C73:D73"/>
    <mergeCell ref="Y73:Z73"/>
    <mergeCell ref="Y63:Z63"/>
    <mergeCell ref="A60:A66"/>
    <mergeCell ref="C60:D60"/>
    <mergeCell ref="R60:R66"/>
    <mergeCell ref="Y60:Z60"/>
    <mergeCell ref="A67:A74"/>
    <mergeCell ref="C67:D67"/>
    <mergeCell ref="R67:R74"/>
    <mergeCell ref="Y67:Z67"/>
    <mergeCell ref="C64:D64"/>
    <mergeCell ref="Y64:Z64"/>
    <mergeCell ref="C65:D65"/>
    <mergeCell ref="Y65:Z65"/>
    <mergeCell ref="C66:D66"/>
    <mergeCell ref="Y66:Z66"/>
    <mergeCell ref="C61:D61"/>
    <mergeCell ref="Y61:Z61"/>
    <mergeCell ref="C62:D62"/>
    <mergeCell ref="Y62:Z62"/>
    <mergeCell ref="C63:D63"/>
    <mergeCell ref="C45:D45"/>
    <mergeCell ref="Y45:Z45"/>
    <mergeCell ref="C46:D46"/>
    <mergeCell ref="Y46:Z46"/>
    <mergeCell ref="C47:D47"/>
    <mergeCell ref="Y47:Z47"/>
    <mergeCell ref="C48:D48"/>
    <mergeCell ref="Y48:Z48"/>
    <mergeCell ref="C49:D49"/>
    <mergeCell ref="AC51:AC59"/>
    <mergeCell ref="C52:D52"/>
    <mergeCell ref="Y52:Z52"/>
    <mergeCell ref="A44:A50"/>
    <mergeCell ref="C44:D44"/>
    <mergeCell ref="R44:R50"/>
    <mergeCell ref="Y44:Z44"/>
    <mergeCell ref="Y49:Z49"/>
    <mergeCell ref="C50:D50"/>
    <mergeCell ref="Y50:Z50"/>
    <mergeCell ref="A51:A59"/>
    <mergeCell ref="C51:D51"/>
    <mergeCell ref="R51:R59"/>
    <mergeCell ref="Y51:Z51"/>
    <mergeCell ref="C59:D59"/>
    <mergeCell ref="Y59:Z59"/>
    <mergeCell ref="C53:D53"/>
    <mergeCell ref="C56:D56"/>
    <mergeCell ref="Y56:Z56"/>
    <mergeCell ref="C57:D57"/>
    <mergeCell ref="Y57:Z57"/>
    <mergeCell ref="C58:D58"/>
    <mergeCell ref="Y58:Z58"/>
    <mergeCell ref="AC44:AC50"/>
    <mergeCell ref="A34:A43"/>
    <mergeCell ref="C34:D34"/>
    <mergeCell ref="R34:R43"/>
    <mergeCell ref="Y34:Z34"/>
    <mergeCell ref="Y39:Z39"/>
    <mergeCell ref="C40:D40"/>
    <mergeCell ref="Y40:Z40"/>
    <mergeCell ref="C41:D41"/>
    <mergeCell ref="AC34:AC43"/>
    <mergeCell ref="C35:D35"/>
    <mergeCell ref="Y35:Z35"/>
    <mergeCell ref="C36:D36"/>
    <mergeCell ref="Y36:Z36"/>
    <mergeCell ref="C37:D37"/>
    <mergeCell ref="Y37:Z37"/>
    <mergeCell ref="C38:D38"/>
    <mergeCell ref="Y38:Z38"/>
    <mergeCell ref="C39:D39"/>
    <mergeCell ref="Y41:Z41"/>
    <mergeCell ref="C42:D42"/>
    <mergeCell ref="Y42:Z42"/>
    <mergeCell ref="C43:D43"/>
    <mergeCell ref="Y43:Z43"/>
    <mergeCell ref="A26:A33"/>
    <mergeCell ref="C26:D26"/>
    <mergeCell ref="R26:R33"/>
    <mergeCell ref="Y26:Z26"/>
    <mergeCell ref="Y31:Z31"/>
    <mergeCell ref="C32:D32"/>
    <mergeCell ref="Y32:Z32"/>
    <mergeCell ref="AC26:AC33"/>
    <mergeCell ref="C27:D27"/>
    <mergeCell ref="Y27:Z27"/>
    <mergeCell ref="C28:D28"/>
    <mergeCell ref="Y28:Z28"/>
    <mergeCell ref="C29:D29"/>
    <mergeCell ref="Y29:Z29"/>
    <mergeCell ref="C30:D30"/>
    <mergeCell ref="Y30:Z30"/>
    <mergeCell ref="C31:D31"/>
    <mergeCell ref="C33:D33"/>
    <mergeCell ref="Y33:Z33"/>
    <mergeCell ref="AC17:AC25"/>
    <mergeCell ref="C18:D18"/>
    <mergeCell ref="Y18:Z18"/>
    <mergeCell ref="C19:D19"/>
    <mergeCell ref="Y19:Z19"/>
    <mergeCell ref="C20:D20"/>
    <mergeCell ref="Y20:Z20"/>
    <mergeCell ref="C21:D21"/>
    <mergeCell ref="Y21:Z21"/>
    <mergeCell ref="C22:D22"/>
    <mergeCell ref="Y24:Z24"/>
    <mergeCell ref="C25:D25"/>
    <mergeCell ref="Y25:Z25"/>
    <mergeCell ref="A17:A25"/>
    <mergeCell ref="C17:D17"/>
    <mergeCell ref="R17:R25"/>
    <mergeCell ref="Y17:Z17"/>
    <mergeCell ref="Y22:Z22"/>
    <mergeCell ref="C23:D23"/>
    <mergeCell ref="Y23:Z23"/>
    <mergeCell ref="C24:D24"/>
    <mergeCell ref="A12:A16"/>
    <mergeCell ref="C13:D13"/>
    <mergeCell ref="Y13:Z13"/>
    <mergeCell ref="C14:D14"/>
    <mergeCell ref="Y14:Z14"/>
    <mergeCell ref="C15:D15"/>
    <mergeCell ref="Y15:Z15"/>
    <mergeCell ref="AC9:AC11"/>
    <mergeCell ref="C10:D10"/>
    <mergeCell ref="Y10:Z10"/>
    <mergeCell ref="C11:D11"/>
    <mergeCell ref="Y11:Z11"/>
    <mergeCell ref="C12:D12"/>
    <mergeCell ref="R12:R16"/>
    <mergeCell ref="Y12:Z12"/>
    <mergeCell ref="AC12:AC16"/>
    <mergeCell ref="C16:D16"/>
    <mergeCell ref="Y16:Z16"/>
    <mergeCell ref="C8:D8"/>
    <mergeCell ref="Y8:Z8"/>
    <mergeCell ref="A9:A11"/>
    <mergeCell ref="C9:D9"/>
    <mergeCell ref="R9:R11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</mergeCells>
  <phoneticPr fontId="3" type="noConversion"/>
  <conditionalFormatting sqref="O63:O72 O59:O60 O74 O5:O9 O11:O13 O16:O56">
    <cfRule type="cellIs" dxfId="1164" priority="51" operator="greaterThan">
      <formula>0</formula>
    </cfRule>
  </conditionalFormatting>
  <conditionalFormatting sqref="P5:P7 P63:P65 AA63:AA65 P67:P72 P26:P32 P60 P9 P11:P13 P17:P24 P51:P56 P34:P49 AA5:AA60 AA67:AA74">
    <cfRule type="cellIs" dxfId="1163" priority="55" operator="lessThan">
      <formula>0</formula>
    </cfRule>
  </conditionalFormatting>
  <conditionalFormatting sqref="AB63:AB65 Q63:Q72 Q59:Q60 Q74 Q5:Q9 Q11:Q13 Q16:Q56 AB5:AB60 AB67:AB74">
    <cfRule type="cellIs" dxfId="1162" priority="52" operator="greaterThan">
      <formula>1</formula>
    </cfRule>
    <cfRule type="cellIs" dxfId="1161" priority="53" operator="lessThan">
      <formula>0.8</formula>
    </cfRule>
  </conditionalFormatting>
  <conditionalFormatting sqref="AC12:AC13 R12:R13 AC63 R63:R72 R16:R22 AC16:AC22 R25:R41 AC25:AC41 AC59:AC60 R59:R60 R74 AC5:AC9 R5:R9 AC43:AC56 R43:R56">
    <cfRule type="cellIs" dxfId="1160" priority="57" operator="lessThan">
      <formula>0.8</formula>
    </cfRule>
  </conditionalFormatting>
  <conditionalFormatting sqref="AC44">
    <cfRule type="cellIs" dxfId="1159" priority="59" operator="lessThan">
      <formula>0.8</formula>
    </cfRule>
  </conditionalFormatting>
  <conditionalFormatting sqref="AC17:AC22">
    <cfRule type="cellIs" dxfId="1158" priority="56" operator="lessThan">
      <formula>0.8</formula>
    </cfRule>
  </conditionalFormatting>
  <conditionalFormatting sqref="AC26">
    <cfRule type="cellIs" dxfId="1157" priority="58" operator="lessThan">
      <formula>0.8</formula>
    </cfRule>
  </conditionalFormatting>
  <conditionalFormatting sqref="AC34:AC41">
    <cfRule type="cellIs" dxfId="1156" priority="54" operator="lessThan">
      <formula>0.8</formula>
    </cfRule>
  </conditionalFormatting>
  <conditionalFormatting sqref="AA66">
    <cfRule type="cellIs" dxfId="1155" priority="50" operator="lessThan">
      <formula>0</formula>
    </cfRule>
  </conditionalFormatting>
  <conditionalFormatting sqref="AB66">
    <cfRule type="cellIs" dxfId="1154" priority="48" operator="greaterThan">
      <formula>1</formula>
    </cfRule>
    <cfRule type="cellIs" dxfId="1153" priority="49" operator="lessThan">
      <formula>0.8</formula>
    </cfRule>
  </conditionalFormatting>
  <conditionalFormatting sqref="O14:O15">
    <cfRule type="cellIs" dxfId="1152" priority="43" operator="greaterThan">
      <formula>0</formula>
    </cfRule>
  </conditionalFormatting>
  <conditionalFormatting sqref="P14:P15">
    <cfRule type="cellIs" dxfId="1151" priority="46" operator="lessThan">
      <formula>0</formula>
    </cfRule>
  </conditionalFormatting>
  <conditionalFormatting sqref="Q14:Q15">
    <cfRule type="cellIs" dxfId="1150" priority="44" operator="greaterThan">
      <formula>1</formula>
    </cfRule>
    <cfRule type="cellIs" dxfId="1149" priority="45" operator="lessThan">
      <formula>0.8</formula>
    </cfRule>
  </conditionalFormatting>
  <conditionalFormatting sqref="R14:R15 AC14:AC15">
    <cfRule type="cellIs" dxfId="1148" priority="47" operator="lessThan">
      <formula>0.8</formula>
    </cfRule>
  </conditionalFormatting>
  <conditionalFormatting sqref="O10">
    <cfRule type="cellIs" dxfId="1147" priority="39" operator="greaterThan">
      <formula>0</formula>
    </cfRule>
  </conditionalFormatting>
  <conditionalFormatting sqref="P10">
    <cfRule type="cellIs" dxfId="1146" priority="42" operator="lessThan">
      <formula>0</formula>
    </cfRule>
  </conditionalFormatting>
  <conditionalFormatting sqref="Q10">
    <cfRule type="cellIs" dxfId="1145" priority="40" operator="greaterThan">
      <formula>1</formula>
    </cfRule>
    <cfRule type="cellIs" dxfId="1144" priority="41" operator="lessThan">
      <formula>0.8</formula>
    </cfRule>
  </conditionalFormatting>
  <conditionalFormatting sqref="O57">
    <cfRule type="cellIs" dxfId="1143" priority="34" operator="greaterThan">
      <formula>0</formula>
    </cfRule>
  </conditionalFormatting>
  <conditionalFormatting sqref="P57">
    <cfRule type="cellIs" dxfId="1142" priority="37" operator="lessThan">
      <formula>0</formula>
    </cfRule>
  </conditionalFormatting>
  <conditionalFormatting sqref="Q57">
    <cfRule type="cellIs" dxfId="1141" priority="35" operator="greaterThan">
      <formula>1</formula>
    </cfRule>
    <cfRule type="cellIs" dxfId="1140" priority="36" operator="lessThan">
      <formula>0.8</formula>
    </cfRule>
  </conditionalFormatting>
  <conditionalFormatting sqref="R57 AC57">
    <cfRule type="cellIs" dxfId="1139" priority="38" operator="lessThan">
      <formula>0.8</formula>
    </cfRule>
  </conditionalFormatting>
  <conditionalFormatting sqref="AC24 R24">
    <cfRule type="cellIs" dxfId="1138" priority="33" operator="lessThan">
      <formula>0.8</formula>
    </cfRule>
  </conditionalFormatting>
  <conditionalFormatting sqref="R42 AC42">
    <cfRule type="cellIs" dxfId="1137" priority="32" operator="lessThan">
      <formula>0.8</formula>
    </cfRule>
  </conditionalFormatting>
  <conditionalFormatting sqref="AC42">
    <cfRule type="cellIs" dxfId="1136" priority="31" operator="lessThan">
      <formula>0.8</formula>
    </cfRule>
  </conditionalFormatting>
  <conditionalFormatting sqref="O62">
    <cfRule type="cellIs" dxfId="1135" priority="26" operator="greaterThan">
      <formula>0</formula>
    </cfRule>
  </conditionalFormatting>
  <conditionalFormatting sqref="P62 AA62">
    <cfRule type="cellIs" dxfId="1134" priority="29" operator="lessThan">
      <formula>0</formula>
    </cfRule>
  </conditionalFormatting>
  <conditionalFormatting sqref="Q62 AB62">
    <cfRule type="cellIs" dxfId="1133" priority="27" operator="greaterThan">
      <formula>1</formula>
    </cfRule>
    <cfRule type="cellIs" dxfId="1132" priority="28" operator="lessThan">
      <formula>0.8</formula>
    </cfRule>
  </conditionalFormatting>
  <conditionalFormatting sqref="R62 AC62">
    <cfRule type="cellIs" dxfId="1131" priority="30" operator="lessThan">
      <formula>0.8</formula>
    </cfRule>
  </conditionalFormatting>
  <conditionalFormatting sqref="O73">
    <cfRule type="cellIs" dxfId="1130" priority="21" operator="greaterThan">
      <formula>0</formula>
    </cfRule>
  </conditionalFormatting>
  <conditionalFormatting sqref="P73">
    <cfRule type="cellIs" dxfId="1129" priority="24" operator="lessThan">
      <formula>0</formula>
    </cfRule>
  </conditionalFormatting>
  <conditionalFormatting sqref="Q73">
    <cfRule type="cellIs" dxfId="1128" priority="22" operator="greaterThan">
      <formula>1</formula>
    </cfRule>
    <cfRule type="cellIs" dxfId="1127" priority="23" operator="lessThan">
      <formula>0.8</formula>
    </cfRule>
  </conditionalFormatting>
  <conditionalFormatting sqref="R73">
    <cfRule type="cellIs" dxfId="1126" priority="25" operator="lessThan">
      <formula>0.8</formula>
    </cfRule>
  </conditionalFormatting>
  <conditionalFormatting sqref="O58">
    <cfRule type="cellIs" dxfId="1125" priority="16" operator="greaterThan">
      <formula>0</formula>
    </cfRule>
  </conditionalFormatting>
  <conditionalFormatting sqref="P58">
    <cfRule type="cellIs" dxfId="1124" priority="19" operator="lessThan">
      <formula>0</formula>
    </cfRule>
  </conditionalFormatting>
  <conditionalFormatting sqref="Q58">
    <cfRule type="cellIs" dxfId="1123" priority="17" operator="greaterThan">
      <formula>1</formula>
    </cfRule>
    <cfRule type="cellIs" dxfId="1122" priority="18" operator="lessThan">
      <formula>0.8</formula>
    </cfRule>
  </conditionalFormatting>
  <conditionalFormatting sqref="AC58 R58">
    <cfRule type="cellIs" dxfId="1121" priority="20" operator="lessThan">
      <formula>0.8</formula>
    </cfRule>
  </conditionalFormatting>
  <conditionalFormatting sqref="R23 AC23">
    <cfRule type="cellIs" dxfId="1120" priority="15" operator="lessThan">
      <formula>0.8</formula>
    </cfRule>
  </conditionalFormatting>
  <conditionalFormatting sqref="AC23">
    <cfRule type="cellIs" dxfId="1119" priority="14" operator="lessThan">
      <formula>0.8</formula>
    </cfRule>
  </conditionalFormatting>
  <conditionalFormatting sqref="O61">
    <cfRule type="cellIs" dxfId="1118" priority="9" operator="greaterThan">
      <formula>0</formula>
    </cfRule>
  </conditionalFormatting>
  <conditionalFormatting sqref="P61 AA61">
    <cfRule type="cellIs" dxfId="1117" priority="12" operator="lessThan">
      <formula>0</formula>
    </cfRule>
  </conditionalFormatting>
  <conditionalFormatting sqref="Q61 AB61">
    <cfRule type="cellIs" dxfId="1116" priority="10" operator="greaterThan">
      <formula>1</formula>
    </cfRule>
    <cfRule type="cellIs" dxfId="1115" priority="11" operator="lessThan">
      <formula>0.8</formula>
    </cfRule>
  </conditionalFormatting>
  <conditionalFormatting sqref="R61 AC61">
    <cfRule type="cellIs" dxfId="1114" priority="13" operator="lessThan">
      <formula>0.8</formula>
    </cfRule>
  </conditionalFormatting>
  <conditionalFormatting sqref="P8">
    <cfRule type="cellIs" dxfId="1113" priority="8" operator="lessThan">
      <formula>0</formula>
    </cfRule>
  </conditionalFormatting>
  <conditionalFormatting sqref="P16">
    <cfRule type="cellIs" dxfId="1112" priority="7" operator="lessThan">
      <formula>0</formula>
    </cfRule>
  </conditionalFormatting>
  <conditionalFormatting sqref="P25">
    <cfRule type="cellIs" dxfId="1111" priority="6" operator="lessThan">
      <formula>0</formula>
    </cfRule>
  </conditionalFormatting>
  <conditionalFormatting sqref="P33">
    <cfRule type="cellIs" dxfId="1110" priority="5" operator="lessThan">
      <formula>0</formula>
    </cfRule>
  </conditionalFormatting>
  <conditionalFormatting sqref="P50">
    <cfRule type="cellIs" dxfId="1109" priority="4" operator="lessThan">
      <formula>0</formula>
    </cfRule>
  </conditionalFormatting>
  <conditionalFormatting sqref="P59">
    <cfRule type="cellIs" dxfId="1108" priority="3" operator="lessThan">
      <formula>0</formula>
    </cfRule>
  </conditionalFormatting>
  <conditionalFormatting sqref="P66">
    <cfRule type="cellIs" dxfId="1107" priority="2" operator="lessThan">
      <formula>0</formula>
    </cfRule>
  </conditionalFormatting>
  <conditionalFormatting sqref="P74">
    <cfRule type="cellIs" dxfId="1106" priority="1" operator="lessThan">
      <formula>0</formula>
    </cfRule>
  </conditionalFormatting>
  <dataValidations count="1">
    <dataValidation type="list" allowBlank="1" showInputMessage="1" showErrorMessage="1" sqref="Z8 Z64:Z65 Y5:Z7 Y8:Y65 Z10:Z60 Y66:Z74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="85" zoomScaleNormal="85" workbookViewId="0">
      <selection activeCell="E5" sqref="E5:F5"/>
    </sheetView>
  </sheetViews>
  <sheetFormatPr defaultColWidth="8.75" defaultRowHeight="15.75"/>
  <cols>
    <col min="1" max="1" width="8.75" style="2"/>
    <col min="2" max="2" width="17.875" style="2" customWidth="1"/>
    <col min="3" max="3" width="9.25" style="9" customWidth="1"/>
    <col min="4" max="13" width="12.625" style="2" customWidth="1"/>
    <col min="14" max="14" width="11" style="2" bestFit="1" customWidth="1"/>
    <col min="15" max="15" width="17.75" style="2" bestFit="1" customWidth="1"/>
    <col min="16" max="16" width="12.25" style="2" bestFit="1" customWidth="1"/>
    <col min="17" max="22" width="9.25" style="2" customWidth="1"/>
    <col min="23" max="23" width="10.75" style="2" customWidth="1"/>
    <col min="24" max="24" width="11" style="2" customWidth="1"/>
    <col min="25" max="16384" width="8.75" style="2"/>
  </cols>
  <sheetData>
    <row r="1" spans="2:17" ht="27.75" customHeight="1">
      <c r="B1" s="546" t="s">
        <v>1543</v>
      </c>
      <c r="C1" s="546"/>
      <c r="D1" s="546"/>
      <c r="E1" s="546"/>
      <c r="F1" s="546"/>
      <c r="G1" s="546"/>
      <c r="H1" s="546"/>
      <c r="I1" s="546"/>
      <c r="J1" s="546"/>
      <c r="K1" s="1"/>
      <c r="L1" s="1"/>
      <c r="M1" s="1"/>
      <c r="N1" s="1"/>
      <c r="O1" s="1"/>
      <c r="P1" s="1"/>
    </row>
    <row r="2" spans="2:17" ht="27.75" customHeight="1">
      <c r="B2" s="547"/>
      <c r="C2" s="547"/>
      <c r="D2" s="547"/>
      <c r="E2" s="547"/>
      <c r="F2" s="547"/>
      <c r="G2" s="547"/>
      <c r="H2" s="547"/>
      <c r="I2" s="547"/>
      <c r="J2" s="547"/>
      <c r="K2" s="3"/>
      <c r="L2" s="3"/>
      <c r="M2" s="3"/>
      <c r="N2" s="1"/>
      <c r="O2" s="1"/>
      <c r="P2" s="1"/>
    </row>
    <row r="3" spans="2:17" ht="46.5" customHeight="1">
      <c r="B3" s="4" t="s">
        <v>1544</v>
      </c>
      <c r="C3" s="548" t="str">
        <f>TEXT('1216 4度C'!A2,"yyyy.mm.ddaaaa")</f>
        <v>2025.12.16星期二</v>
      </c>
      <c r="D3" s="549"/>
      <c r="E3" s="4" t="s">
        <v>1545</v>
      </c>
      <c r="F3" s="550">
        <f>'1216 4度C'!D1</f>
        <v>187915</v>
      </c>
      <c r="G3" s="551"/>
      <c r="H3" s="4" t="s">
        <v>1546</v>
      </c>
      <c r="I3" s="552">
        <f>'1216 4度C'!F1</f>
        <v>6264771.3200000003</v>
      </c>
      <c r="J3" s="553"/>
      <c r="K3" s="5"/>
      <c r="L3" s="6"/>
      <c r="M3" s="7"/>
      <c r="N3" s="7"/>
    </row>
    <row r="4" spans="2:17" ht="28.5" customHeight="1">
      <c r="B4" s="554" t="s">
        <v>1547</v>
      </c>
      <c r="C4" s="536" t="s">
        <v>1548</v>
      </c>
      <c r="D4" s="537"/>
      <c r="E4" s="557" t="s">
        <v>1549</v>
      </c>
      <c r="F4" s="558"/>
      <c r="G4" s="557" t="s">
        <v>1550</v>
      </c>
      <c r="H4" s="558"/>
      <c r="I4" s="557" t="s">
        <v>1551</v>
      </c>
      <c r="J4" s="558"/>
      <c r="L4" s="7"/>
      <c r="M4" s="7"/>
      <c r="N4" s="7"/>
    </row>
    <row r="5" spans="2:17" ht="28.5" customHeight="1">
      <c r="B5" s="555"/>
      <c r="C5" s="536" t="s">
        <v>1552</v>
      </c>
      <c r="D5" s="537"/>
      <c r="E5" s="536" t="s">
        <v>1553</v>
      </c>
      <c r="F5" s="537"/>
      <c r="G5" s="538" t="s">
        <v>1554</v>
      </c>
      <c r="H5" s="539"/>
      <c r="I5" s="540" t="s">
        <v>1555</v>
      </c>
      <c r="J5" s="541"/>
      <c r="K5" s="7"/>
      <c r="L5" s="7"/>
      <c r="M5" s="7"/>
      <c r="N5" s="7"/>
    </row>
    <row r="6" spans="2:17" ht="28.5" customHeight="1">
      <c r="B6" s="555"/>
      <c r="C6" s="536" t="s">
        <v>46</v>
      </c>
      <c r="D6" s="537"/>
      <c r="E6" s="542">
        <f>AVERAGE(D13:M13)</f>
        <v>150.50857075987392</v>
      </c>
      <c r="F6" s="543">
        <f>AVERAGE(D27:O27,D13:J13)</f>
        <v>154.27947589832294</v>
      </c>
      <c r="G6" s="544">
        <f>AVERAGE(D13:J13)</f>
        <v>154.27947589832294</v>
      </c>
      <c r="H6" s="545"/>
      <c r="I6" s="544">
        <f>AVERAGE(K13:M13)</f>
        <v>141.70979210349287</v>
      </c>
      <c r="J6" s="545"/>
      <c r="K6" s="7"/>
      <c r="L6" s="7"/>
      <c r="M6" s="7"/>
      <c r="N6" s="7"/>
    </row>
    <row r="7" spans="2:17" ht="28.5" customHeight="1">
      <c r="B7" s="555"/>
      <c r="C7" s="526" t="s">
        <v>47</v>
      </c>
      <c r="D7" s="527"/>
      <c r="E7" s="528">
        <f>AVERAGE(D14:M14)</f>
        <v>143.32806030975422</v>
      </c>
      <c r="F7" s="529">
        <f>AVERAGE(D28:O28,D14:J14)</f>
        <v>146.61079810150272</v>
      </c>
      <c r="G7" s="530">
        <f>AVERAGE(D14:J14)</f>
        <v>146.61079810150272</v>
      </c>
      <c r="H7" s="531"/>
      <c r="I7" s="530">
        <f>AVERAGE(K14:M14)</f>
        <v>135.66833879567437</v>
      </c>
      <c r="J7" s="531"/>
      <c r="K7" s="7"/>
      <c r="L7" s="7"/>
      <c r="M7" s="7"/>
      <c r="N7" s="7"/>
    </row>
    <row r="8" spans="2:17" ht="28.5" customHeight="1">
      <c r="B8" s="556"/>
      <c r="C8" s="526" t="s">
        <v>48</v>
      </c>
      <c r="D8" s="527"/>
      <c r="E8" s="532">
        <f>AVERAGE(D15:M15)</f>
        <v>0.95015796538341424</v>
      </c>
      <c r="F8" s="533">
        <f>AVERAGE(D15:J15,D29:O29)</f>
        <v>0.94706547326810919</v>
      </c>
      <c r="G8" s="534">
        <f>AVERAGE(D15:J15)</f>
        <v>0.94706547326810919</v>
      </c>
      <c r="H8" s="535"/>
      <c r="I8" s="534">
        <f>AVERAGE(K15:M15)</f>
        <v>0.95737378031912546</v>
      </c>
      <c r="J8" s="535"/>
      <c r="K8" s="8" t="s">
        <v>1556</v>
      </c>
      <c r="L8" s="7"/>
      <c r="M8" s="7"/>
      <c r="N8" s="7"/>
    </row>
    <row r="9" spans="2:17" ht="28.5" customHeight="1" thickBot="1">
      <c r="H9" s="10"/>
      <c r="N9" s="7"/>
      <c r="O9" s="7"/>
      <c r="P9" s="7"/>
      <c r="Q9" s="7"/>
    </row>
    <row r="10" spans="2:17" ht="30" customHeight="1">
      <c r="B10" s="509" t="s">
        <v>1557</v>
      </c>
      <c r="C10" s="510"/>
      <c r="D10" s="511" t="s">
        <v>1558</v>
      </c>
      <c r="E10" s="512"/>
      <c r="F10" s="512"/>
      <c r="G10" s="512"/>
      <c r="H10" s="512"/>
      <c r="I10" s="512"/>
      <c r="J10" s="513"/>
      <c r="K10" s="514" t="s">
        <v>1559</v>
      </c>
      <c r="L10" s="515"/>
      <c r="M10" s="516"/>
      <c r="P10" s="11"/>
      <c r="Q10" s="11"/>
    </row>
    <row r="11" spans="2:17" ht="17.25" customHeight="1">
      <c r="B11" s="517" t="s">
        <v>1560</v>
      </c>
      <c r="C11" s="518"/>
      <c r="D11" s="12">
        <v>1</v>
      </c>
      <c r="E11" s="13">
        <v>2</v>
      </c>
      <c r="F11" s="13">
        <v>3</v>
      </c>
      <c r="G11" s="13">
        <v>4</v>
      </c>
      <c r="H11" s="13">
        <v>5</v>
      </c>
      <c r="I11" s="13">
        <v>6</v>
      </c>
      <c r="J11" s="14">
        <v>7</v>
      </c>
      <c r="K11" s="12">
        <v>1</v>
      </c>
      <c r="L11" s="13">
        <v>2</v>
      </c>
      <c r="M11" s="14">
        <v>3</v>
      </c>
      <c r="P11" s="11"/>
      <c r="Q11" s="11"/>
    </row>
    <row r="12" spans="2:17" ht="34.15" customHeight="1">
      <c r="B12" s="519"/>
      <c r="C12" s="520"/>
      <c r="D12" s="15" t="s">
        <v>49</v>
      </c>
      <c r="E12" s="16" t="s">
        <v>50</v>
      </c>
      <c r="F12" s="16" t="s">
        <v>51</v>
      </c>
      <c r="G12" s="16" t="s">
        <v>52</v>
      </c>
      <c r="H12" s="16" t="s">
        <v>53</v>
      </c>
      <c r="I12" s="16" t="s">
        <v>54</v>
      </c>
      <c r="J12" s="17" t="s">
        <v>55</v>
      </c>
      <c r="K12" s="15" t="s">
        <v>56</v>
      </c>
      <c r="L12" s="16" t="s">
        <v>57</v>
      </c>
      <c r="M12" s="17" t="s">
        <v>58</v>
      </c>
    </row>
    <row r="13" spans="2:17" ht="40.15" customHeight="1">
      <c r="B13" s="521" t="s">
        <v>1561</v>
      </c>
      <c r="C13" s="18" t="s">
        <v>1562</v>
      </c>
      <c r="D13" s="19">
        <f>SUMIFS('1216 4度C'!$K:$K,'1216 4度C'!$A:$A,"新豐6線",'1216 4度C'!$B:$B,"平均")</f>
        <v>137.93103448275863</v>
      </c>
      <c r="E13" s="20">
        <f>SUMIFS('1216 4度C'!$K:$K,'1216 4度C'!$A:$A,"新豐2線",'1216 4度C'!$B:$B,"平均")</f>
        <v>83.333333333333329</v>
      </c>
      <c r="F13" s="21">
        <f>SUMIFS('1216 4度C'!$K:$K,'1216 4度C'!$A:$A,"新豐5線",'1216 4度C'!$B:$B,"平均")</f>
        <v>93.333333333333329</v>
      </c>
      <c r="G13" s="21">
        <f>SUMIFS('1216 4度C'!$K:$K,'1216 4度C'!$A:$A,"新豐7線",'1216 4度C'!$B:$B,"平均")</f>
        <v>118.32061068702291</v>
      </c>
      <c r="H13" s="21">
        <f>SUMIFS('1216 4度C'!$K:$K,'1216 4度C'!$A:$A,"新豐3線",'1216 4度C'!$B:$B,"平均")</f>
        <v>243.58974358974359</v>
      </c>
      <c r="I13" s="21">
        <f>SUMIFS('1216 4度C'!$K:$K,'1216 4度C'!$A:$A,"新豐1線",'1216 4度C'!$B:$B,"平均")</f>
        <v>103.44827586206897</v>
      </c>
      <c r="J13" s="22">
        <f>SUMIFS('1216 4度C'!$K:$K,'1216 4度C'!$A:$A,"新豐10線",'1216 4度C'!$B:$B,"平均")</f>
        <v>300</v>
      </c>
      <c r="K13" s="23">
        <f>SUMIFS('1216 4度C'!$K:$K,'1216 4度C'!$A:$A,"新豐8線",'1216 4度C'!$B:$B,"平均")</f>
        <v>134.26573426573427</v>
      </c>
      <c r="L13" s="24">
        <f>SUMIFS('1216 4度C'!$K:$K,'1216 4度C'!$A:$A,"新豐9線",'1216 4度C'!$B:$B,"平均")</f>
        <v>139.68253968253967</v>
      </c>
      <c r="M13" s="22">
        <f>SUMIFS('1216 4度C'!$K:$K,'1216 4度C'!$A:$A,"新豐4線",'1216 4度C'!$B:$B,"平均")</f>
        <v>151.18110236220471</v>
      </c>
    </row>
    <row r="14" spans="2:17" ht="39.6" customHeight="1">
      <c r="B14" s="522"/>
      <c r="C14" s="25" t="s">
        <v>1563</v>
      </c>
      <c r="D14" s="26">
        <f>SUMIFS('1216 4度C'!$N:$N,'1216 4度C'!$A:$A,"新豐6線",'1216 4度C'!$B:$B,"平均")</f>
        <v>132.19669161020659</v>
      </c>
      <c r="E14" s="27">
        <f>SUMIFS('1216 4度C'!$N:$N,'1216 4度C'!$A:$A,"新豐2線",'1216 4度C'!$B:$B,"平均")</f>
        <v>79.478368017524645</v>
      </c>
      <c r="F14" s="27">
        <f>SUMIFS('1216 4度C'!$N:$N,'1216 4度C'!$A:$A,"新豐5線",'1216 4度C'!$B:$B,"平均")</f>
        <v>89.419410519459376</v>
      </c>
      <c r="G14" s="27">
        <f>SUMIFS('1216 4度C'!$N:$N,'1216 4度C'!$A:$A,"新豐7線",'1216 4度C'!$B:$B,"平均")</f>
        <v>113.41935977642969</v>
      </c>
      <c r="H14" s="27">
        <f>SUMIFS('1216 4度C'!$N:$N,'1216 4度C'!$A:$A,"新豐3線",'1216 4度C'!$B:$B,"平均")</f>
        <v>233.12748376712699</v>
      </c>
      <c r="I14" s="27">
        <f>SUMIFS('1216 4度C'!$N:$N,'1216 4度C'!$A:$A,"新豐1線",'1216 4度C'!$B:$B,"平均")</f>
        <v>91.813631308541929</v>
      </c>
      <c r="J14" s="28">
        <f>SUMIFS('1216 4度C'!$N:$N,'1216 4度C'!$A:$A,"新豐10線",'1216 4度C'!$B:$B,"平均")</f>
        <v>286.82064171122988</v>
      </c>
      <c r="K14" s="29">
        <f>SUMIFS('1216 4度C'!$N:$N,'1216 4度C'!$A:$A,"新豐8線",'1216 4度C'!$B:$B,"平均")</f>
        <v>128.38472651417223</v>
      </c>
      <c r="L14" s="30">
        <f>SUMIFS('1216 4度C'!$N:$N,'1216 4度C'!$A:$A,"新豐9線",'1216 4度C'!$B:$B,"平均")</f>
        <v>134.00267348723671</v>
      </c>
      <c r="M14" s="28">
        <f>SUMIFS('1216 4度C'!$N:$N,'1216 4度C'!$A:$A,"新豐4線",'1216 4度C'!$B:$B,"平均")</f>
        <v>144.61761638561421</v>
      </c>
    </row>
    <row r="15" spans="2:17" ht="40.15" customHeight="1">
      <c r="B15" s="523"/>
      <c r="C15" s="31" t="s">
        <v>1564</v>
      </c>
      <c r="D15" s="32">
        <f t="shared" ref="D15:M15" si="0">D14/D13</f>
        <v>0.95842601417399764</v>
      </c>
      <c r="E15" s="33">
        <f t="shared" si="0"/>
        <v>0.95374041621029582</v>
      </c>
      <c r="F15" s="33">
        <f t="shared" si="0"/>
        <v>0.95806511270849337</v>
      </c>
      <c r="G15" s="33">
        <f t="shared" si="0"/>
        <v>0.95857652456208309</v>
      </c>
      <c r="H15" s="33">
        <f t="shared" si="0"/>
        <v>0.95704967020188969</v>
      </c>
      <c r="I15" s="33">
        <f t="shared" si="0"/>
        <v>0.88753176931590527</v>
      </c>
      <c r="J15" s="34">
        <f t="shared" si="0"/>
        <v>0.95606880570409958</v>
      </c>
      <c r="K15" s="32">
        <f t="shared" si="0"/>
        <v>0.95619874435034524</v>
      </c>
      <c r="L15" s="33">
        <f t="shared" si="0"/>
        <v>0.95933732155635376</v>
      </c>
      <c r="M15" s="34">
        <f t="shared" si="0"/>
        <v>0.95658527505067747</v>
      </c>
    </row>
    <row r="16" spans="2:17" ht="17.25" customHeight="1">
      <c r="B16" s="524" t="s">
        <v>1565</v>
      </c>
      <c r="C16" s="35" t="s">
        <v>1566</v>
      </c>
      <c r="D16" s="49">
        <f>VLOOKUP("新豐6線",'1216 4度C'!$A:$T,19,0)</f>
        <v>0.70833333333333337</v>
      </c>
      <c r="E16" s="50">
        <f>VLOOKUP("新豐2線",'1216 4度C'!$A:$T,19,0)</f>
        <v>0.16666666666666666</v>
      </c>
      <c r="F16" s="50">
        <f>VLOOKUP("新豐5線",'1216 4度C'!$A:$T,19,0)</f>
        <v>0.20833333333333334</v>
      </c>
      <c r="G16" s="50">
        <f>VLOOKUP("新豐7線",'1216 4度C'!$A:$T,19,0)</f>
        <v>0.20833333333333334</v>
      </c>
      <c r="H16" s="50">
        <f>VLOOKUP("新豐3線",'1216 4度C'!$A:$T,19,0)</f>
        <v>8.3333333333333329E-2</v>
      </c>
      <c r="I16" s="50">
        <f>VLOOKUP("新豐1線",'1216 4度C'!$A:$T,19,0)</f>
        <v>0.20833333333333334</v>
      </c>
      <c r="J16" s="51">
        <f>VLOOKUP("新豐10線",'1216 4度C'!$A:$T,19,0)</f>
        <v>0.20833333333333334</v>
      </c>
      <c r="K16" s="36">
        <f>VLOOKUP("新豐8線",'1216 4度C'!$A:$T,19,0)</f>
        <v>8.3333333333333329E-2</v>
      </c>
      <c r="L16" s="37">
        <f>VLOOKUP("新豐9線",'1216 4度C'!$A:$T,19,0)</f>
        <v>8.3333333333333329E-2</v>
      </c>
      <c r="M16" s="38">
        <f>VLOOKUP("新豐4線",'1216 4度C'!$A:$T,19,0)</f>
        <v>8.3333333333333329E-2</v>
      </c>
    </row>
    <row r="17" spans="2:13" ht="17.25" customHeight="1">
      <c r="B17" s="525"/>
      <c r="C17" s="35" t="s">
        <v>1567</v>
      </c>
      <c r="D17" s="36">
        <f>LOOKUP(2,1/(('1216 4度C'!$A:$A="新豐6線")*('1216 4度C'!$T:$T&lt;&gt;"")),'1216 4度C'!$T:$T)</f>
        <v>0.90208333333333335</v>
      </c>
      <c r="E17" s="50">
        <f>LOOKUP(2,1/(('1216 4度C'!$A:$A="新豐2線")*('1216 4度C'!$T:$T&lt;&gt;"")),'1216 4度C'!$T:$T)</f>
        <v>0.48333333333333334</v>
      </c>
      <c r="F17" s="50">
        <f>LOOKUP(2,1/(('1216 4度C'!$A:$A="新豐5線")*('1216 4度C'!$T:$T&lt;&gt;"")),'1216 4度C'!$T:$T)</f>
        <v>0.83888888888888891</v>
      </c>
      <c r="G17" s="50">
        <f>LOOKUP(2,1/(('1216 4度C'!$A:$A="新豐7線")*('1216 4度C'!$T:$T&lt;&gt;"")),'1216 4度C'!$T:$T)</f>
        <v>0.84861111111111109</v>
      </c>
      <c r="H17" s="50">
        <f>LOOKUP(2,1/(('1216 4度C'!$A:$A="新豐3線")*('1216 4度C'!$T:$T&lt;&gt;"")),'1216 4度C'!$T:$T)</f>
        <v>0.58611111111111103</v>
      </c>
      <c r="I17" s="50">
        <f>LOOKUP(2,1/(('1216 4度C'!$A:$A="新豐1線")*('1216 4度C'!$T:$T&lt;&gt;"")),'1216 4度C'!$T:$T)</f>
        <v>0.92083333333333328</v>
      </c>
      <c r="J17" s="51">
        <f>LOOKUP(2,1/(('1216 4度C'!$A:$A="新豐10線")*('1216 4度C'!$T:$T&lt;&gt;"")),'1216 4度C'!$T:$T)</f>
        <v>0.4826388888888889</v>
      </c>
      <c r="K17" s="49">
        <f>LOOKUP(2,1/(('1216 4度C'!$A:$A="新豐8線")*('1216 4度C'!$T:$T&lt;&gt;"")),'1216 4度C'!$T:$T)</f>
        <v>0.69861111111111096</v>
      </c>
      <c r="L17" s="50">
        <f>LOOKUP(2,1/(('1216 4度C'!$A:$A="新豐9線")*('1216 4度C'!$T:$T&lt;&gt;"")),'1216 4度C'!$T:$T)</f>
        <v>0.69236111111111098</v>
      </c>
      <c r="M17" s="51">
        <f>LOOKUP(2,1/(('1216 4度C'!$A:$A="新豐4線")*('1216 4度C'!$T:$T&lt;&gt;"")),'1216 4度C'!$T:$T)</f>
        <v>0.77916666666666656</v>
      </c>
    </row>
    <row r="18" spans="2:13" ht="17.25" customHeight="1">
      <c r="B18" s="503" t="s">
        <v>1568</v>
      </c>
      <c r="C18" s="504"/>
      <c r="D18" s="39">
        <f>SUMIFS('1216 4度C'!$I:$I,'1216 4度C'!$A:$A,"新豐6線",'1216 4度C'!$B:$B,"平均")</f>
        <v>14.5</v>
      </c>
      <c r="E18" s="40">
        <f>SUMIFS('1216 4度C'!$I:$I,'1216 4度C'!$A:$A,"新豐2線",'1216 4度C'!$B:$B,"平均")</f>
        <v>18</v>
      </c>
      <c r="F18" s="40">
        <f>SUMIFS('1216 4度C'!$I:$I,'1216 4度C'!$A:$A,"新豐5線",'1216 4度C'!$B:$B,"平均")</f>
        <v>18.75</v>
      </c>
      <c r="G18" s="40">
        <f>SUMIFS('1216 4度C'!$I:$I,'1216 4度C'!$A:$A,"新豐7線",'1216 4度C'!$B:$B,"平均")</f>
        <v>16.375</v>
      </c>
      <c r="H18" s="40">
        <f>SUMIFS('1216 4度C'!$I:$I,'1216 4度C'!$A:$A,"新豐3線",'1216 4度C'!$B:$B,"平均")</f>
        <v>11.142857142857142</v>
      </c>
      <c r="I18" s="40">
        <f>SUMIFS('1216 4度C'!$I:$I,'1216 4度C'!$A:$A,"新豐1線",'1216 4度C'!$B:$B,"平均")</f>
        <v>18.125</v>
      </c>
      <c r="J18" s="41">
        <f>SUMIFS('1216 4度C'!$I:$I,'1216 4度C'!$A:$A,"新豐10線",'1216 4度C'!$B:$B,"平均")</f>
        <v>9.1666666666666661</v>
      </c>
      <c r="K18" s="39">
        <f>SUMIFS('1216 4度C'!$I:$I,'1216 4度C'!$A:$A,"新豐8線",'1216 4度C'!$B:$B,"平均")</f>
        <v>17.875</v>
      </c>
      <c r="L18" s="40">
        <f>SUMIFS('1216 4度C'!$I:$I,'1216 4度C'!$A:$A,"新豐9線",'1216 4度C'!$B:$B,"平均")</f>
        <v>17.181818181818183</v>
      </c>
      <c r="M18" s="41">
        <f>SUMIFS('1216 4度C'!$I:$I,'1216 4度C'!$A:$A,"新豐4線",'1216 4度C'!$B:$B,"平均")</f>
        <v>15.875</v>
      </c>
    </row>
    <row r="19" spans="2:13" ht="17.25" customHeight="1">
      <c r="B19" s="503" t="s">
        <v>1569</v>
      </c>
      <c r="C19" s="504"/>
      <c r="D19" s="42" t="s">
        <v>59</v>
      </c>
      <c r="E19" s="43" t="s">
        <v>60</v>
      </c>
      <c r="F19" s="43" t="s">
        <v>1570</v>
      </c>
      <c r="G19" s="43" t="s">
        <v>1570</v>
      </c>
      <c r="H19" s="43" t="s">
        <v>61</v>
      </c>
      <c r="I19" s="43" t="s">
        <v>59</v>
      </c>
      <c r="J19" s="44" t="s">
        <v>61</v>
      </c>
      <c r="K19" s="42" t="s">
        <v>1572</v>
      </c>
      <c r="L19" s="43" t="s">
        <v>1571</v>
      </c>
      <c r="M19" s="44" t="s">
        <v>1572</v>
      </c>
    </row>
    <row r="20" spans="2:13" ht="17.25" customHeight="1">
      <c r="B20" s="503" t="s">
        <v>1573</v>
      </c>
      <c r="C20" s="504"/>
      <c r="D20" s="42"/>
      <c r="E20" s="43"/>
      <c r="F20" s="43" t="s">
        <v>1574</v>
      </c>
      <c r="G20" s="43" t="s">
        <v>59</v>
      </c>
      <c r="H20" s="43"/>
      <c r="I20" s="43"/>
      <c r="J20" s="44"/>
      <c r="K20" s="42"/>
      <c r="L20" s="43"/>
      <c r="M20" s="44"/>
    </row>
    <row r="21" spans="2:13" ht="17.25" customHeight="1" thickBot="1">
      <c r="B21" s="505" t="s">
        <v>1575</v>
      </c>
      <c r="C21" s="506"/>
      <c r="D21" s="45"/>
      <c r="E21" s="46" t="s">
        <v>1576</v>
      </c>
      <c r="F21" s="507" t="s">
        <v>353</v>
      </c>
      <c r="G21" s="508"/>
      <c r="H21" s="46" t="s">
        <v>1577</v>
      </c>
      <c r="I21" s="46" t="s">
        <v>1578</v>
      </c>
      <c r="J21" s="47" t="s">
        <v>1577</v>
      </c>
      <c r="K21" s="48"/>
      <c r="L21" s="46"/>
      <c r="M21" s="4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20:C20"/>
    <mergeCell ref="B21:C21"/>
    <mergeCell ref="F21:G21"/>
    <mergeCell ref="K10:M10"/>
    <mergeCell ref="B11:C12"/>
    <mergeCell ref="B13:B15"/>
    <mergeCell ref="B18:C18"/>
    <mergeCell ref="B19:C19"/>
  </mergeCells>
  <phoneticPr fontId="3" type="noConversion"/>
  <conditionalFormatting sqref="D15:M15">
    <cfRule type="cellIs" dxfId="1105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1"/>
  <sheetViews>
    <sheetView zoomScale="80" zoomScaleNormal="80" workbookViewId="0">
      <pane ySplit="4" topLeftCell="A5" activePane="bottomLeft" state="frozen"/>
      <selection activeCell="J13" sqref="J13"/>
      <selection pane="bottomLeft" activeCell="D1" sqref="D1"/>
    </sheetView>
  </sheetViews>
  <sheetFormatPr defaultColWidth="8" defaultRowHeight="15.75"/>
  <cols>
    <col min="1" max="1" width="15.125" style="54" customWidth="1"/>
    <col min="2" max="2" width="19.375" style="73" customWidth="1"/>
    <col min="3" max="3" width="15.25" style="73" customWidth="1"/>
    <col min="4" max="4" width="17.5" style="73" customWidth="1"/>
    <col min="5" max="5" width="7.5" style="73" bestFit="1" customWidth="1"/>
    <col min="6" max="6" width="14.375" style="73" bestFit="1" customWidth="1"/>
    <col min="7" max="7" width="14.375" style="54" customWidth="1"/>
    <col min="8" max="8" width="8" style="54" customWidth="1"/>
    <col min="9" max="9" width="5.875" style="54" customWidth="1"/>
    <col min="10" max="10" width="10.625" style="54" customWidth="1"/>
    <col min="11" max="11" width="14.625" style="54" customWidth="1"/>
    <col min="12" max="12" width="7.25" style="54" bestFit="1" customWidth="1"/>
    <col min="13" max="13" width="8" style="54" customWidth="1"/>
    <col min="14" max="14" width="12" style="54" customWidth="1"/>
    <col min="15" max="15" width="6" style="54" customWidth="1"/>
    <col min="16" max="16" width="9.25" style="54" customWidth="1"/>
    <col min="17" max="17" width="11.5" style="54" customWidth="1"/>
    <col min="18" max="18" width="8.5" style="54" customWidth="1"/>
    <col min="19" max="19" width="10.125" style="73" bestFit="1" customWidth="1"/>
    <col min="20" max="20" width="7.625" style="73" bestFit="1" customWidth="1"/>
    <col min="21" max="21" width="10.25" style="54" bestFit="1" customWidth="1"/>
    <col min="22" max="22" width="8.75" style="71" customWidth="1"/>
    <col min="23" max="23" width="7.375" style="54" customWidth="1"/>
    <col min="24" max="24" width="6.875" style="54" bestFit="1" customWidth="1"/>
    <col min="25" max="25" width="12.75" style="54" customWidth="1"/>
    <col min="26" max="26" width="18.875" style="54" customWidth="1"/>
    <col min="27" max="27" width="13.125" style="54" bestFit="1" customWidth="1"/>
    <col min="28" max="28" width="10.375" style="54" customWidth="1"/>
    <col min="29" max="29" width="9.375" style="54" customWidth="1"/>
    <col min="30" max="30" width="8" style="54"/>
    <col min="31" max="31" width="24.625" style="54" bestFit="1" customWidth="1"/>
    <col min="32" max="16384" width="8" style="54"/>
  </cols>
  <sheetData>
    <row r="1" spans="1:29" ht="26.25" customHeight="1">
      <c r="A1" s="52" t="s">
        <v>1579</v>
      </c>
      <c r="B1" s="74"/>
      <c r="C1" s="75" t="s">
        <v>1580</v>
      </c>
      <c r="D1" s="118">
        <v>187915</v>
      </c>
      <c r="E1" s="350" t="s">
        <v>1581</v>
      </c>
      <c r="F1" s="74">
        <v>6264771.3200000003</v>
      </c>
      <c r="G1" s="52" t="s">
        <v>1582</v>
      </c>
      <c r="H1" s="53">
        <f>L9+L12+L55+L64+L17+L71+L35+L47+L26+L80</f>
        <v>156.99134199134198</v>
      </c>
      <c r="I1" s="607" t="s">
        <v>1583</v>
      </c>
      <c r="J1" s="607"/>
      <c r="K1" s="607"/>
      <c r="L1" s="607" t="s">
        <v>1584</v>
      </c>
      <c r="M1" s="607"/>
      <c r="N1" s="607"/>
      <c r="O1" s="607" t="s">
        <v>1585</v>
      </c>
      <c r="P1" s="607"/>
      <c r="Q1" s="607"/>
      <c r="R1" s="607"/>
      <c r="S1" s="607" t="s">
        <v>1586</v>
      </c>
      <c r="T1" s="607"/>
      <c r="U1" s="607"/>
      <c r="V1" s="607"/>
      <c r="W1" s="607"/>
      <c r="X1" s="607"/>
      <c r="Y1" s="607" t="s">
        <v>1587</v>
      </c>
      <c r="Z1" s="607"/>
      <c r="AA1" s="607" t="s">
        <v>1588</v>
      </c>
      <c r="AB1" s="608"/>
      <c r="AC1" s="608"/>
    </row>
    <row r="2" spans="1:29" ht="26.25" customHeight="1">
      <c r="A2" s="55">
        <v>46007</v>
      </c>
      <c r="B2" s="56" t="s">
        <v>212</v>
      </c>
      <c r="C2" s="75" t="s">
        <v>1561</v>
      </c>
      <c r="D2" s="77">
        <f>AVERAGE(N9,N12,N55,N64,N17,N71,N26,N35,N47,N80)</f>
        <v>143.32806030975422</v>
      </c>
      <c r="E2" s="78" t="s">
        <v>0</v>
      </c>
      <c r="F2" s="79">
        <v>33.338324880930209</v>
      </c>
      <c r="G2" s="52" t="s">
        <v>1589</v>
      </c>
      <c r="H2" s="347">
        <f>COUNT(H5:H80)</f>
        <v>12</v>
      </c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8"/>
      <c r="AB2" s="608"/>
      <c r="AC2" s="608"/>
    </row>
    <row r="3" spans="1:29" ht="23.25" customHeight="1">
      <c r="A3" s="559" t="s">
        <v>1590</v>
      </c>
      <c r="B3" s="604" t="s">
        <v>1591</v>
      </c>
      <c r="C3" s="604" t="s">
        <v>1592</v>
      </c>
      <c r="D3" s="604"/>
      <c r="E3" s="609" t="s">
        <v>1593</v>
      </c>
      <c r="F3" s="604" t="s">
        <v>1594</v>
      </c>
      <c r="G3" s="605" t="s">
        <v>1595</v>
      </c>
      <c r="H3" s="598" t="s">
        <v>1596</v>
      </c>
      <c r="I3" s="596" t="s">
        <v>1597</v>
      </c>
      <c r="J3" s="601" t="s">
        <v>1598</v>
      </c>
      <c r="K3" s="603" t="s">
        <v>1561</v>
      </c>
      <c r="L3" s="596" t="s">
        <v>1597</v>
      </c>
      <c r="M3" s="601" t="s">
        <v>1598</v>
      </c>
      <c r="N3" s="603" t="s">
        <v>1561</v>
      </c>
      <c r="O3" s="596" t="s">
        <v>1597</v>
      </c>
      <c r="P3" s="603" t="s">
        <v>1561</v>
      </c>
      <c r="Q3" s="602" t="s">
        <v>1599</v>
      </c>
      <c r="R3" s="574" t="s">
        <v>1600</v>
      </c>
      <c r="S3" s="604" t="s">
        <v>1</v>
      </c>
      <c r="T3" s="604"/>
      <c r="U3" s="598" t="s">
        <v>2</v>
      </c>
      <c r="V3" s="598" t="s">
        <v>1601</v>
      </c>
      <c r="W3" s="559" t="s">
        <v>1602</v>
      </c>
      <c r="X3" s="559"/>
      <c r="Y3" s="599" t="s">
        <v>1603</v>
      </c>
      <c r="Z3" s="600"/>
      <c r="AA3" s="601" t="s">
        <v>1598</v>
      </c>
      <c r="AB3" s="602" t="s">
        <v>1599</v>
      </c>
      <c r="AC3" s="574" t="s">
        <v>1600</v>
      </c>
    </row>
    <row r="4" spans="1:29">
      <c r="A4" s="559"/>
      <c r="B4" s="604"/>
      <c r="C4" s="604"/>
      <c r="D4" s="604"/>
      <c r="E4" s="610"/>
      <c r="F4" s="604"/>
      <c r="G4" s="606"/>
      <c r="H4" s="598"/>
      <c r="I4" s="596"/>
      <c r="J4" s="601"/>
      <c r="K4" s="603"/>
      <c r="L4" s="596"/>
      <c r="M4" s="601"/>
      <c r="N4" s="603"/>
      <c r="O4" s="596"/>
      <c r="P4" s="603"/>
      <c r="Q4" s="602"/>
      <c r="R4" s="574"/>
      <c r="S4" s="350" t="s">
        <v>3</v>
      </c>
      <c r="T4" s="350" t="s">
        <v>4</v>
      </c>
      <c r="U4" s="598"/>
      <c r="V4" s="598"/>
      <c r="W4" s="349" t="s">
        <v>1604</v>
      </c>
      <c r="X4" s="349" t="s">
        <v>1605</v>
      </c>
      <c r="Y4" s="600"/>
      <c r="Z4" s="600"/>
      <c r="AA4" s="601"/>
      <c r="AB4" s="602"/>
      <c r="AC4" s="574"/>
    </row>
    <row r="5" spans="1:29">
      <c r="A5" s="595" t="s">
        <v>1606</v>
      </c>
      <c r="B5" s="57" t="s">
        <v>6</v>
      </c>
      <c r="C5" s="597" t="s">
        <v>9</v>
      </c>
      <c r="D5" s="597"/>
      <c r="E5" s="57">
        <v>50.67</v>
      </c>
      <c r="F5" s="350">
        <v>1651</v>
      </c>
      <c r="G5" s="349">
        <f t="shared" ref="G5:G8" si="0">E5*F5</f>
        <v>83656.17</v>
      </c>
      <c r="H5" s="359" t="s">
        <v>5</v>
      </c>
      <c r="I5" s="348">
        <v>17</v>
      </c>
      <c r="J5" s="58">
        <v>2000</v>
      </c>
      <c r="K5" s="59">
        <f t="shared" ref="K5:K68" si="1">J5/I5</f>
        <v>117.64705882352941</v>
      </c>
      <c r="L5" s="348">
        <v>17</v>
      </c>
      <c r="M5" s="60">
        <f t="shared" ref="M5:M8" si="2">F5/V5*60</f>
        <v>1905.0000000000011</v>
      </c>
      <c r="N5" s="66">
        <f t="shared" ref="N5:N62" si="3">M5/L5</f>
        <v>112.05882352941182</v>
      </c>
      <c r="O5" s="61">
        <f t="shared" ref="O5:O68" si="4">L5-I5</f>
        <v>0</v>
      </c>
      <c r="P5" s="62">
        <f t="shared" ref="P5:P68" si="5">N5-K5</f>
        <v>-5.588235294117581</v>
      </c>
      <c r="Q5" s="351">
        <f t="shared" ref="Q5:Q68" si="6">N5/K5</f>
        <v>0.95250000000000057</v>
      </c>
      <c r="R5" s="566">
        <f>Q9</f>
        <v>0.95842601417399764</v>
      </c>
      <c r="S5" s="63">
        <v>0.70833333333333337</v>
      </c>
      <c r="T5" s="63">
        <v>0.74444444444444446</v>
      </c>
      <c r="U5" s="349"/>
      <c r="V5" s="354">
        <f t="shared" ref="V5:V8" si="7">(T5-S5)*24*60</f>
        <v>51.999999999999972</v>
      </c>
      <c r="W5" s="64"/>
      <c r="X5" s="65"/>
      <c r="Y5" s="559"/>
      <c r="Z5" s="559"/>
      <c r="AA5" s="61">
        <f t="shared" ref="AA5:AA68" si="8">M5-J5</f>
        <v>-94.999999999998863</v>
      </c>
      <c r="AB5" s="351">
        <f t="shared" ref="AB5:AB68" si="9">M5/J5</f>
        <v>0.95250000000000057</v>
      </c>
      <c r="AC5" s="566">
        <f>AB9</f>
        <v>0.95842601417399775</v>
      </c>
    </row>
    <row r="6" spans="1:29">
      <c r="A6" s="596" t="s">
        <v>1606</v>
      </c>
      <c r="B6" s="57" t="s">
        <v>6</v>
      </c>
      <c r="C6" s="597" t="s">
        <v>8</v>
      </c>
      <c r="D6" s="597"/>
      <c r="E6" s="57">
        <v>50.49</v>
      </c>
      <c r="F6" s="350">
        <v>2287</v>
      </c>
      <c r="G6" s="349">
        <f t="shared" si="0"/>
        <v>115470.63</v>
      </c>
      <c r="H6" s="359" t="s">
        <v>5</v>
      </c>
      <c r="I6" s="348">
        <v>15</v>
      </c>
      <c r="J6" s="58">
        <v>2000</v>
      </c>
      <c r="K6" s="59">
        <f t="shared" si="1"/>
        <v>133.33333333333334</v>
      </c>
      <c r="L6" s="348">
        <v>15</v>
      </c>
      <c r="M6" s="60">
        <f t="shared" si="2"/>
        <v>1905.8333333333319</v>
      </c>
      <c r="N6" s="66">
        <f t="shared" si="3"/>
        <v>127.05555555555546</v>
      </c>
      <c r="O6" s="61">
        <f t="shared" si="4"/>
        <v>0</v>
      </c>
      <c r="P6" s="62">
        <f t="shared" si="5"/>
        <v>-6.2777777777778851</v>
      </c>
      <c r="Q6" s="351">
        <f t="shared" si="6"/>
        <v>0.95291666666666586</v>
      </c>
      <c r="R6" s="566"/>
      <c r="S6" s="63">
        <v>0.74861111111111112</v>
      </c>
      <c r="T6" s="63">
        <v>0.79861111111111116</v>
      </c>
      <c r="U6" s="349">
        <f t="shared" ref="U6:U8" si="10">IF(S6=TIME(17,0,0),"",(S6-T5)*24*60)</f>
        <v>5.9999999999999787</v>
      </c>
      <c r="V6" s="354">
        <f t="shared" si="7"/>
        <v>72.000000000000057</v>
      </c>
      <c r="W6" s="64"/>
      <c r="X6" s="64"/>
      <c r="Y6" s="559"/>
      <c r="Z6" s="559"/>
      <c r="AA6" s="61">
        <f t="shared" si="8"/>
        <v>-94.166666666668107</v>
      </c>
      <c r="AB6" s="351">
        <f t="shared" si="9"/>
        <v>0.95291666666666597</v>
      </c>
      <c r="AC6" s="566"/>
    </row>
    <row r="7" spans="1:29">
      <c r="A7" s="596" t="s">
        <v>1606</v>
      </c>
      <c r="B7" s="57" t="s">
        <v>6</v>
      </c>
      <c r="C7" s="590" t="s">
        <v>94</v>
      </c>
      <c r="D7" s="591"/>
      <c r="E7" s="57">
        <v>57.3</v>
      </c>
      <c r="F7" s="350">
        <v>1000</v>
      </c>
      <c r="G7" s="349">
        <f t="shared" si="0"/>
        <v>57300</v>
      </c>
      <c r="H7" s="359">
        <v>2</v>
      </c>
      <c r="I7" s="348">
        <v>13</v>
      </c>
      <c r="J7" s="58">
        <v>2000</v>
      </c>
      <c r="K7" s="59">
        <f t="shared" si="1"/>
        <v>153.84615384615384</v>
      </c>
      <c r="L7" s="348">
        <v>13</v>
      </c>
      <c r="M7" s="60">
        <f t="shared" si="2"/>
        <v>1935.483870967739</v>
      </c>
      <c r="N7" s="66">
        <f t="shared" si="3"/>
        <v>148.88337468982607</v>
      </c>
      <c r="O7" s="61">
        <f t="shared" si="4"/>
        <v>0</v>
      </c>
      <c r="P7" s="62">
        <f t="shared" si="5"/>
        <v>-4.9627791563277697</v>
      </c>
      <c r="Q7" s="351">
        <f t="shared" si="6"/>
        <v>0.96774193548386944</v>
      </c>
      <c r="R7" s="566"/>
      <c r="S7" s="63">
        <v>0.80208333333333337</v>
      </c>
      <c r="T7" s="63">
        <v>0.82361111111111118</v>
      </c>
      <c r="U7" s="349">
        <f t="shared" si="10"/>
        <v>4.9999999999999822</v>
      </c>
      <c r="V7" s="354">
        <f t="shared" si="7"/>
        <v>31.00000000000005</v>
      </c>
      <c r="W7" s="64">
        <f>T7</f>
        <v>0.82361111111111118</v>
      </c>
      <c r="X7" s="64">
        <f>S8</f>
        <v>0.86388888888888893</v>
      </c>
      <c r="Y7" s="569"/>
      <c r="Z7" s="570"/>
      <c r="AA7" s="61">
        <f t="shared" si="8"/>
        <v>-64.516129032261006</v>
      </c>
      <c r="AB7" s="351">
        <f t="shared" si="9"/>
        <v>0.96774193548386944</v>
      </c>
      <c r="AC7" s="566"/>
    </row>
    <row r="8" spans="1:29">
      <c r="A8" s="596" t="s">
        <v>1607</v>
      </c>
      <c r="B8" s="57" t="s">
        <v>6</v>
      </c>
      <c r="C8" s="590" t="s">
        <v>94</v>
      </c>
      <c r="D8" s="591"/>
      <c r="E8" s="57">
        <v>57.3</v>
      </c>
      <c r="F8" s="350">
        <v>1761</v>
      </c>
      <c r="G8" s="349">
        <f t="shared" si="0"/>
        <v>100905.29999999999</v>
      </c>
      <c r="H8" s="359" t="s">
        <v>5</v>
      </c>
      <c r="I8" s="348">
        <v>13</v>
      </c>
      <c r="J8" s="58">
        <v>2000</v>
      </c>
      <c r="K8" s="59">
        <f t="shared" si="1"/>
        <v>153.84615384615384</v>
      </c>
      <c r="L8" s="348">
        <v>13</v>
      </c>
      <c r="M8" s="60">
        <f t="shared" si="2"/>
        <v>1921.0909090909101</v>
      </c>
      <c r="N8" s="66">
        <f t="shared" si="3"/>
        <v>147.77622377622384</v>
      </c>
      <c r="O8" s="61">
        <f t="shared" si="4"/>
        <v>0</v>
      </c>
      <c r="P8" s="62">
        <f t="shared" si="5"/>
        <v>-6.0699300699299954</v>
      </c>
      <c r="Q8" s="351">
        <f t="shared" si="6"/>
        <v>0.96054545454545504</v>
      </c>
      <c r="R8" s="566"/>
      <c r="S8" s="63">
        <v>0.86388888888888893</v>
      </c>
      <c r="T8" s="63">
        <v>0.90208333333333335</v>
      </c>
      <c r="U8" s="349">
        <f t="shared" si="10"/>
        <v>57.999999999999957</v>
      </c>
      <c r="V8" s="354">
        <f t="shared" si="7"/>
        <v>54.999999999999964</v>
      </c>
      <c r="W8" s="68"/>
      <c r="X8" s="68"/>
      <c r="Y8" s="569"/>
      <c r="Z8" s="570"/>
      <c r="AA8" s="61">
        <f t="shared" si="8"/>
        <v>-78.909090909089855</v>
      </c>
      <c r="AB8" s="351">
        <f t="shared" si="9"/>
        <v>0.96054545454545504</v>
      </c>
      <c r="AC8" s="566"/>
    </row>
    <row r="9" spans="1:29">
      <c r="A9" s="596" t="s">
        <v>1608</v>
      </c>
      <c r="B9" s="57" t="s">
        <v>1609</v>
      </c>
      <c r="C9" s="571"/>
      <c r="D9" s="571"/>
      <c r="E9" s="355"/>
      <c r="F9" s="66"/>
      <c r="G9" s="59"/>
      <c r="H9" s="350"/>
      <c r="I9" s="67">
        <v>14.5</v>
      </c>
      <c r="J9" s="58">
        <v>2000</v>
      </c>
      <c r="K9" s="59">
        <f t="shared" si="1"/>
        <v>137.93103448275863</v>
      </c>
      <c r="L9" s="67">
        <v>14.5</v>
      </c>
      <c r="M9" s="60">
        <f>AVERAGE(M5:M8)</f>
        <v>1916.8520283479954</v>
      </c>
      <c r="N9" s="66">
        <f t="shared" si="3"/>
        <v>132.19669161020659</v>
      </c>
      <c r="O9" s="61">
        <f t="shared" si="4"/>
        <v>0</v>
      </c>
      <c r="P9" s="62">
        <f>N9-K9</f>
        <v>-5.7343428725520482</v>
      </c>
      <c r="Q9" s="351">
        <f>N9/K9</f>
        <v>0.95842601417399764</v>
      </c>
      <c r="R9" s="566"/>
      <c r="S9" s="63"/>
      <c r="T9" s="63"/>
      <c r="U9" s="349"/>
      <c r="V9" s="354"/>
      <c r="W9" s="59"/>
      <c r="X9" s="59"/>
      <c r="Y9" s="559"/>
      <c r="Z9" s="559"/>
      <c r="AA9" s="61">
        <f t="shared" si="8"/>
        <v>-83.147971652004571</v>
      </c>
      <c r="AB9" s="351">
        <f t="shared" si="9"/>
        <v>0.95842601417399775</v>
      </c>
      <c r="AC9" s="566"/>
    </row>
    <row r="10" spans="1:29" ht="15.75" customHeight="1">
      <c r="A10" s="594" t="s">
        <v>1610</v>
      </c>
      <c r="B10" s="57" t="s">
        <v>10</v>
      </c>
      <c r="C10" s="590" t="s">
        <v>14</v>
      </c>
      <c r="D10" s="591"/>
      <c r="E10" s="57">
        <v>39.619999999999997</v>
      </c>
      <c r="F10" s="350">
        <v>3966</v>
      </c>
      <c r="G10" s="349">
        <f t="shared" ref="G10:G11" si="11">E10*F10</f>
        <v>157132.91999999998</v>
      </c>
      <c r="H10" s="359" t="s">
        <v>5</v>
      </c>
      <c r="I10" s="348">
        <v>19</v>
      </c>
      <c r="J10" s="58">
        <v>1500</v>
      </c>
      <c r="K10" s="59">
        <f t="shared" si="1"/>
        <v>78.94736842105263</v>
      </c>
      <c r="L10" s="348">
        <v>19</v>
      </c>
      <c r="M10" s="60">
        <f t="shared" ref="M10:M11" si="12">F10/V10*60</f>
        <v>1433.4939759036145</v>
      </c>
      <c r="N10" s="66">
        <f t="shared" si="3"/>
        <v>75.447051363348123</v>
      </c>
      <c r="O10" s="61">
        <f t="shared" si="4"/>
        <v>0</v>
      </c>
      <c r="P10" s="62">
        <f t="shared" si="5"/>
        <v>-3.5003170577045069</v>
      </c>
      <c r="Q10" s="351">
        <f t="shared" si="6"/>
        <v>0.95566265060240962</v>
      </c>
      <c r="R10" s="566">
        <f>Q12</f>
        <v>0.95374041621029582</v>
      </c>
      <c r="S10" s="63">
        <v>0.16666666666666666</v>
      </c>
      <c r="T10" s="63">
        <v>0.28194444444444444</v>
      </c>
      <c r="U10" s="349"/>
      <c r="V10" s="354">
        <f t="shared" ref="V10:V11" si="13">(T10-S10)*24*60</f>
        <v>166</v>
      </c>
      <c r="W10" s="64">
        <f>T10</f>
        <v>0.28194444444444444</v>
      </c>
      <c r="X10" s="64">
        <f>S11</f>
        <v>0.3</v>
      </c>
      <c r="Y10" s="559"/>
      <c r="Z10" s="559"/>
      <c r="AA10" s="61">
        <f t="shared" si="8"/>
        <v>-66.506024096385545</v>
      </c>
      <c r="AB10" s="351">
        <f t="shared" si="9"/>
        <v>0.95566265060240962</v>
      </c>
      <c r="AC10" s="566">
        <f>AB12</f>
        <v>0.95374041621029571</v>
      </c>
    </row>
    <row r="11" spans="1:29" ht="15.75" customHeight="1">
      <c r="A11" s="594" t="s">
        <v>1610</v>
      </c>
      <c r="B11" s="57" t="s">
        <v>10</v>
      </c>
      <c r="C11" s="590" t="s">
        <v>11</v>
      </c>
      <c r="D11" s="591"/>
      <c r="E11" s="57">
        <v>39.799999999999997</v>
      </c>
      <c r="F11" s="350">
        <v>6282</v>
      </c>
      <c r="G11" s="349">
        <f t="shared" si="11"/>
        <v>250023.59999999998</v>
      </c>
      <c r="H11" s="359" t="s">
        <v>5</v>
      </c>
      <c r="I11" s="348">
        <v>17</v>
      </c>
      <c r="J11" s="58">
        <v>1500</v>
      </c>
      <c r="K11" s="59">
        <f t="shared" si="1"/>
        <v>88.235294117647058</v>
      </c>
      <c r="L11" s="348">
        <v>17</v>
      </c>
      <c r="M11" s="60">
        <f t="shared" si="12"/>
        <v>1427.7272727272727</v>
      </c>
      <c r="N11" s="66">
        <f t="shared" si="3"/>
        <v>83.983957219251337</v>
      </c>
      <c r="O11" s="61">
        <f t="shared" si="4"/>
        <v>0</v>
      </c>
      <c r="P11" s="62">
        <f t="shared" si="5"/>
        <v>-4.2513368983957207</v>
      </c>
      <c r="Q11" s="351">
        <f t="shared" si="6"/>
        <v>0.95181818181818179</v>
      </c>
      <c r="R11" s="566"/>
      <c r="S11" s="63">
        <v>0.3</v>
      </c>
      <c r="T11" s="63">
        <v>0.48333333333333334</v>
      </c>
      <c r="U11" s="349">
        <f t="shared" ref="U11" si="14">IF(S11=TIME(17,0,0),"",(S11-T10)*24*60)</f>
        <v>25.999999999999986</v>
      </c>
      <c r="V11" s="354">
        <f t="shared" si="13"/>
        <v>264</v>
      </c>
      <c r="W11" s="64"/>
      <c r="X11" s="64"/>
      <c r="Y11" s="559"/>
      <c r="Z11" s="559"/>
      <c r="AA11" s="61">
        <f t="shared" si="8"/>
        <v>-72.272727272727252</v>
      </c>
      <c r="AB11" s="351">
        <f t="shared" si="9"/>
        <v>0.95181818181818179</v>
      </c>
      <c r="AC11" s="566"/>
    </row>
    <row r="12" spans="1:29" ht="16.5" customHeight="1">
      <c r="A12" s="594" t="s">
        <v>1610</v>
      </c>
      <c r="B12" s="57" t="s">
        <v>1609</v>
      </c>
      <c r="C12" s="571"/>
      <c r="D12" s="571"/>
      <c r="E12" s="355"/>
      <c r="F12" s="58"/>
      <c r="G12" s="60"/>
      <c r="H12" s="350"/>
      <c r="I12" s="67">
        <v>18</v>
      </c>
      <c r="J12" s="58">
        <v>1500</v>
      </c>
      <c r="K12" s="59">
        <f t="shared" si="1"/>
        <v>83.333333333333329</v>
      </c>
      <c r="L12" s="67">
        <v>18</v>
      </c>
      <c r="M12" s="60">
        <f>AVERAGE(M10:M11)</f>
        <v>1430.6106243154436</v>
      </c>
      <c r="N12" s="66">
        <f t="shared" si="3"/>
        <v>79.478368017524645</v>
      </c>
      <c r="O12" s="61">
        <f t="shared" si="4"/>
        <v>0</v>
      </c>
      <c r="P12" s="62">
        <f t="shared" si="5"/>
        <v>-3.8549653158086841</v>
      </c>
      <c r="Q12" s="351">
        <f t="shared" si="6"/>
        <v>0.95374041621029582</v>
      </c>
      <c r="R12" s="566"/>
      <c r="S12" s="63"/>
      <c r="T12" s="63"/>
      <c r="U12" s="59"/>
      <c r="V12" s="354"/>
      <c r="W12" s="59"/>
      <c r="X12" s="59"/>
      <c r="Y12" s="559"/>
      <c r="Z12" s="559"/>
      <c r="AA12" s="61">
        <f t="shared" si="8"/>
        <v>-69.389375684556398</v>
      </c>
      <c r="AB12" s="351">
        <f t="shared" si="9"/>
        <v>0.95374041621029571</v>
      </c>
      <c r="AC12" s="566"/>
    </row>
    <row r="13" spans="1:29" ht="16.5" customHeight="1">
      <c r="A13" s="592" t="s">
        <v>1611</v>
      </c>
      <c r="B13" s="350" t="s">
        <v>12</v>
      </c>
      <c r="C13" s="584" t="s">
        <v>13</v>
      </c>
      <c r="D13" s="584"/>
      <c r="E13" s="57">
        <v>41</v>
      </c>
      <c r="F13" s="350">
        <v>2583</v>
      </c>
      <c r="G13" s="349">
        <f t="shared" ref="G13:G16" si="15">E13*F13</f>
        <v>105903</v>
      </c>
      <c r="H13" s="359" t="s">
        <v>5</v>
      </c>
      <c r="I13" s="348">
        <v>26</v>
      </c>
      <c r="J13" s="58">
        <v>1500</v>
      </c>
      <c r="K13" s="59">
        <f t="shared" si="1"/>
        <v>57.692307692307693</v>
      </c>
      <c r="L13" s="348">
        <v>26</v>
      </c>
      <c r="M13" s="60">
        <f t="shared" ref="M13:M16" si="16">F13/V13*60</f>
        <v>1435.0000000000002</v>
      </c>
      <c r="N13" s="66">
        <f t="shared" si="3"/>
        <v>55.192307692307701</v>
      </c>
      <c r="O13" s="61">
        <f t="shared" si="4"/>
        <v>0</v>
      </c>
      <c r="P13" s="62">
        <f t="shared" si="5"/>
        <v>-2.4999999999999929</v>
      </c>
      <c r="Q13" s="351">
        <f t="shared" si="6"/>
        <v>0.95666666666666678</v>
      </c>
      <c r="R13" s="566">
        <f>Q17</f>
        <v>0.95806511270849337</v>
      </c>
      <c r="S13" s="63">
        <v>0.20833333333333334</v>
      </c>
      <c r="T13" s="63">
        <v>0.28333333333333333</v>
      </c>
      <c r="U13" s="349"/>
      <c r="V13" s="354">
        <f t="shared" ref="V13:V16" si="17">(T13-S13)*24*60</f>
        <v>107.99999999999997</v>
      </c>
      <c r="W13" s="68"/>
      <c r="X13" s="68"/>
      <c r="Y13" s="559"/>
      <c r="Z13" s="559"/>
      <c r="AA13" s="61">
        <f t="shared" si="8"/>
        <v>-64.999999999999773</v>
      </c>
      <c r="AB13" s="351">
        <f t="shared" si="9"/>
        <v>0.95666666666666678</v>
      </c>
      <c r="AC13" s="566">
        <f>AB17</f>
        <v>0.95806511270849337</v>
      </c>
    </row>
    <row r="14" spans="1:29" ht="16.5" customHeight="1">
      <c r="A14" s="593" t="s">
        <v>1611</v>
      </c>
      <c r="B14" s="350" t="s">
        <v>657</v>
      </c>
      <c r="C14" s="584" t="s">
        <v>236</v>
      </c>
      <c r="D14" s="584"/>
      <c r="E14" s="57">
        <v>72.400000000000006</v>
      </c>
      <c r="F14" s="350">
        <v>1752</v>
      </c>
      <c r="G14" s="349">
        <f t="shared" si="15"/>
        <v>126844.8</v>
      </c>
      <c r="H14" s="359" t="s">
        <v>5</v>
      </c>
      <c r="I14" s="348">
        <v>18</v>
      </c>
      <c r="J14" s="58">
        <v>1500</v>
      </c>
      <c r="K14" s="59">
        <f t="shared" si="1"/>
        <v>83.333333333333329</v>
      </c>
      <c r="L14" s="348">
        <v>18</v>
      </c>
      <c r="M14" s="60">
        <f t="shared" si="16"/>
        <v>1440.0000000000002</v>
      </c>
      <c r="N14" s="66">
        <f t="shared" si="3"/>
        <v>80.000000000000014</v>
      </c>
      <c r="O14" s="61">
        <f t="shared" si="4"/>
        <v>0</v>
      </c>
      <c r="P14" s="62">
        <f t="shared" si="5"/>
        <v>-3.3333333333333144</v>
      </c>
      <c r="Q14" s="351">
        <f t="shared" si="6"/>
        <v>0.96000000000000019</v>
      </c>
      <c r="R14" s="566"/>
      <c r="S14" s="63">
        <v>0.28680555555555554</v>
      </c>
      <c r="T14" s="63">
        <v>0.33749999999999997</v>
      </c>
      <c r="U14" s="349">
        <f t="shared" ref="U14:U16" si="18">IF(S14=TIME(17,0,0),"",(S14-T13)*24*60)</f>
        <v>4.9999999999999822</v>
      </c>
      <c r="V14" s="354">
        <f t="shared" si="17"/>
        <v>72.999999999999986</v>
      </c>
      <c r="W14" s="64"/>
      <c r="X14" s="64"/>
      <c r="Y14" s="559"/>
      <c r="Z14" s="559"/>
      <c r="AA14" s="61">
        <f t="shared" si="8"/>
        <v>-59.999999999999773</v>
      </c>
      <c r="AB14" s="351">
        <f t="shared" si="9"/>
        <v>0.96000000000000019</v>
      </c>
      <c r="AC14" s="566"/>
    </row>
    <row r="15" spans="1:29" ht="16.5" customHeight="1">
      <c r="A15" s="593" t="s">
        <v>1611</v>
      </c>
      <c r="B15" s="350" t="s">
        <v>6</v>
      </c>
      <c r="C15" s="584" t="s">
        <v>95</v>
      </c>
      <c r="D15" s="584"/>
      <c r="E15" s="57">
        <v>50.98</v>
      </c>
      <c r="F15" s="350">
        <v>2845</v>
      </c>
      <c r="G15" s="349">
        <f t="shared" si="15"/>
        <v>145038.09999999998</v>
      </c>
      <c r="H15" s="359" t="s">
        <v>5</v>
      </c>
      <c r="I15" s="348">
        <v>16</v>
      </c>
      <c r="J15" s="58">
        <v>2000</v>
      </c>
      <c r="K15" s="59">
        <f t="shared" si="1"/>
        <v>125</v>
      </c>
      <c r="L15" s="348">
        <v>16</v>
      </c>
      <c r="M15" s="60">
        <f t="shared" si="16"/>
        <v>1917.9775280898875</v>
      </c>
      <c r="N15" s="66">
        <f t="shared" si="3"/>
        <v>119.87359550561797</v>
      </c>
      <c r="O15" s="61">
        <f t="shared" si="4"/>
        <v>0</v>
      </c>
      <c r="P15" s="62">
        <f t="shared" si="5"/>
        <v>-5.1264044943820295</v>
      </c>
      <c r="Q15" s="351">
        <f t="shared" si="6"/>
        <v>0.95898876404494371</v>
      </c>
      <c r="R15" s="566"/>
      <c r="S15" s="63">
        <v>0.70833333333333337</v>
      </c>
      <c r="T15" s="63">
        <v>0.77013888888888893</v>
      </c>
      <c r="U15" s="349" t="str">
        <f t="shared" si="18"/>
        <v/>
      </c>
      <c r="V15" s="354">
        <f t="shared" si="17"/>
        <v>89</v>
      </c>
      <c r="W15" s="64"/>
      <c r="X15" s="64"/>
      <c r="Y15" s="559"/>
      <c r="Z15" s="559"/>
      <c r="AA15" s="61">
        <f t="shared" si="8"/>
        <v>-82.022471910112472</v>
      </c>
      <c r="AB15" s="351">
        <f t="shared" si="9"/>
        <v>0.95898876404494371</v>
      </c>
      <c r="AC15" s="566"/>
    </row>
    <row r="16" spans="1:29" ht="16.5" customHeight="1">
      <c r="A16" s="593" t="s">
        <v>1611</v>
      </c>
      <c r="B16" s="350" t="s">
        <v>6</v>
      </c>
      <c r="C16" s="584" t="s">
        <v>18</v>
      </c>
      <c r="D16" s="584"/>
      <c r="E16" s="57">
        <v>50.92</v>
      </c>
      <c r="F16" s="350">
        <v>2934</v>
      </c>
      <c r="G16" s="349">
        <f t="shared" si="15"/>
        <v>149399.28</v>
      </c>
      <c r="H16" s="359" t="s">
        <v>5</v>
      </c>
      <c r="I16" s="348">
        <v>15</v>
      </c>
      <c r="J16" s="58">
        <v>2000</v>
      </c>
      <c r="K16" s="59">
        <f t="shared" si="1"/>
        <v>133.33333333333334</v>
      </c>
      <c r="L16" s="348">
        <v>15</v>
      </c>
      <c r="M16" s="60">
        <f t="shared" si="16"/>
        <v>1913.4782608695652</v>
      </c>
      <c r="N16" s="66">
        <f t="shared" si="3"/>
        <v>127.56521739130434</v>
      </c>
      <c r="O16" s="61">
        <f t="shared" si="4"/>
        <v>0</v>
      </c>
      <c r="P16" s="62">
        <f t="shared" si="5"/>
        <v>-5.7681159420289987</v>
      </c>
      <c r="Q16" s="351">
        <f t="shared" si="6"/>
        <v>0.95673913043478254</v>
      </c>
      <c r="R16" s="566"/>
      <c r="S16" s="63">
        <v>0.77500000000000002</v>
      </c>
      <c r="T16" s="63">
        <v>0.83888888888888891</v>
      </c>
      <c r="U16" s="349">
        <f t="shared" si="18"/>
        <v>6.9999999999999751</v>
      </c>
      <c r="V16" s="354">
        <f t="shared" si="17"/>
        <v>92</v>
      </c>
      <c r="W16" s="64"/>
      <c r="X16" s="64"/>
      <c r="Y16" s="559"/>
      <c r="Z16" s="559"/>
      <c r="AA16" s="61">
        <f t="shared" si="8"/>
        <v>-86.521739130434753</v>
      </c>
      <c r="AB16" s="351">
        <f t="shared" si="9"/>
        <v>0.95673913043478265</v>
      </c>
      <c r="AC16" s="566"/>
    </row>
    <row r="17" spans="1:29" ht="16.5" customHeight="1">
      <c r="A17" s="593" t="s">
        <v>1611</v>
      </c>
      <c r="B17" s="57" t="s">
        <v>1609</v>
      </c>
      <c r="C17" s="571"/>
      <c r="D17" s="571"/>
      <c r="E17" s="355"/>
      <c r="F17" s="66"/>
      <c r="G17" s="59"/>
      <c r="H17" s="350"/>
      <c r="I17" s="67">
        <v>18.75</v>
      </c>
      <c r="J17" s="58">
        <v>1750</v>
      </c>
      <c r="K17" s="59">
        <f t="shared" si="1"/>
        <v>93.333333333333329</v>
      </c>
      <c r="L17" s="67">
        <v>18.75</v>
      </c>
      <c r="M17" s="60">
        <f>AVERAGE(M13:M16)</f>
        <v>1676.6139472398634</v>
      </c>
      <c r="N17" s="66">
        <f t="shared" si="3"/>
        <v>89.419410519459376</v>
      </c>
      <c r="O17" s="61">
        <f t="shared" si="4"/>
        <v>0</v>
      </c>
      <c r="P17" s="62">
        <f t="shared" si="5"/>
        <v>-3.9139228138739526</v>
      </c>
      <c r="Q17" s="351">
        <f t="shared" si="6"/>
        <v>0.95806511270849337</v>
      </c>
      <c r="R17" s="566"/>
      <c r="S17" s="63"/>
      <c r="T17" s="63"/>
      <c r="U17" s="349"/>
      <c r="V17" s="354"/>
      <c r="W17" s="59"/>
      <c r="X17" s="59"/>
      <c r="Y17" s="559"/>
      <c r="Z17" s="559"/>
      <c r="AA17" s="61">
        <f t="shared" si="8"/>
        <v>-73.386052760136636</v>
      </c>
      <c r="AB17" s="351">
        <f t="shared" si="9"/>
        <v>0.95806511270849337</v>
      </c>
      <c r="AC17" s="566"/>
    </row>
    <row r="18" spans="1:29" ht="15.75" customHeight="1">
      <c r="A18" s="588" t="s">
        <v>1612</v>
      </c>
      <c r="B18" s="57" t="s">
        <v>12</v>
      </c>
      <c r="C18" s="584" t="s">
        <v>19</v>
      </c>
      <c r="D18" s="584"/>
      <c r="E18" s="57">
        <v>43.14</v>
      </c>
      <c r="F18" s="350">
        <v>1088</v>
      </c>
      <c r="G18" s="349">
        <f t="shared" ref="G18:G25" si="19">E18*F18</f>
        <v>46936.32</v>
      </c>
      <c r="H18" s="359" t="s">
        <v>5</v>
      </c>
      <c r="I18" s="348">
        <v>17</v>
      </c>
      <c r="J18" s="58">
        <v>2000</v>
      </c>
      <c r="K18" s="59">
        <f t="shared" si="1"/>
        <v>117.64705882352941</v>
      </c>
      <c r="L18" s="348">
        <v>17</v>
      </c>
      <c r="M18" s="60">
        <f t="shared" ref="M18:M25" si="20">F18/V18*60</f>
        <v>1920</v>
      </c>
      <c r="N18" s="66">
        <f t="shared" si="3"/>
        <v>112.94117647058823</v>
      </c>
      <c r="O18" s="61">
        <f t="shared" si="4"/>
        <v>0</v>
      </c>
      <c r="P18" s="62">
        <f t="shared" si="5"/>
        <v>-4.705882352941174</v>
      </c>
      <c r="Q18" s="351">
        <f t="shared" si="6"/>
        <v>0.96</v>
      </c>
      <c r="R18" s="566">
        <f>Q26</f>
        <v>0.95857652456208309</v>
      </c>
      <c r="S18" s="63">
        <v>0.20833333333333334</v>
      </c>
      <c r="T18" s="63">
        <v>0.23194444444444445</v>
      </c>
      <c r="U18" s="349"/>
      <c r="V18" s="354">
        <f t="shared" ref="V18:V25" si="21">(T18-S18)*24*60</f>
        <v>34</v>
      </c>
      <c r="W18" s="68"/>
      <c r="X18" s="68"/>
      <c r="Y18" s="559"/>
      <c r="Z18" s="559"/>
      <c r="AA18" s="61">
        <f t="shared" si="8"/>
        <v>-80</v>
      </c>
      <c r="AB18" s="351">
        <f t="shared" si="9"/>
        <v>0.96</v>
      </c>
      <c r="AC18" s="566">
        <f>AB26</f>
        <v>0.9585765245620832</v>
      </c>
    </row>
    <row r="19" spans="1:29" ht="15.75" customHeight="1">
      <c r="A19" s="589" t="s">
        <v>1612</v>
      </c>
      <c r="B19" s="57" t="s">
        <v>65</v>
      </c>
      <c r="C19" s="584" t="s">
        <v>97</v>
      </c>
      <c r="D19" s="584"/>
      <c r="E19" s="57">
        <v>49.9</v>
      </c>
      <c r="F19" s="350">
        <v>1485</v>
      </c>
      <c r="G19" s="349">
        <f t="shared" si="19"/>
        <v>74101.5</v>
      </c>
      <c r="H19" s="359" t="s">
        <v>5</v>
      </c>
      <c r="I19" s="348">
        <v>17</v>
      </c>
      <c r="J19" s="58">
        <v>2000</v>
      </c>
      <c r="K19" s="59">
        <f t="shared" si="1"/>
        <v>117.64705882352941</v>
      </c>
      <c r="L19" s="348">
        <v>17</v>
      </c>
      <c r="M19" s="60">
        <f t="shared" si="20"/>
        <v>1936.9565217391303</v>
      </c>
      <c r="N19" s="66">
        <f t="shared" si="3"/>
        <v>113.93861892583119</v>
      </c>
      <c r="O19" s="61">
        <f t="shared" si="4"/>
        <v>0</v>
      </c>
      <c r="P19" s="62">
        <f t="shared" si="5"/>
        <v>-3.7084398976982129</v>
      </c>
      <c r="Q19" s="351">
        <f t="shared" si="6"/>
        <v>0.96847826086956523</v>
      </c>
      <c r="R19" s="566"/>
      <c r="S19" s="63">
        <v>0.23541666666666666</v>
      </c>
      <c r="T19" s="63">
        <v>0.2673611111111111</v>
      </c>
      <c r="U19" s="349">
        <f t="shared" ref="U19:U25" si="22">IF(S19=TIME(17,0,0),"",(S19-T18)*24*60)</f>
        <v>4.9999999999999822</v>
      </c>
      <c r="V19" s="354">
        <f t="shared" si="21"/>
        <v>46</v>
      </c>
      <c r="W19" s="64"/>
      <c r="X19" s="349"/>
      <c r="Y19" s="559"/>
      <c r="Z19" s="559"/>
      <c r="AA19" s="61">
        <f t="shared" si="8"/>
        <v>-63.043478260869733</v>
      </c>
      <c r="AB19" s="351">
        <f t="shared" si="9"/>
        <v>0.96847826086956512</v>
      </c>
      <c r="AC19" s="566"/>
    </row>
    <row r="20" spans="1:29" ht="15.75" customHeight="1">
      <c r="A20" s="589" t="s">
        <v>1612</v>
      </c>
      <c r="B20" s="57" t="s">
        <v>6</v>
      </c>
      <c r="C20" s="584" t="s">
        <v>20</v>
      </c>
      <c r="D20" s="584"/>
      <c r="E20" s="57">
        <v>57.73</v>
      </c>
      <c r="F20" s="350">
        <v>2801</v>
      </c>
      <c r="G20" s="349">
        <f t="shared" si="19"/>
        <v>161701.72999999998</v>
      </c>
      <c r="H20" s="359" t="s">
        <v>5</v>
      </c>
      <c r="I20" s="348">
        <v>14</v>
      </c>
      <c r="J20" s="58">
        <v>2000</v>
      </c>
      <c r="K20" s="59">
        <f t="shared" si="1"/>
        <v>142.85714285714286</v>
      </c>
      <c r="L20" s="348">
        <v>14</v>
      </c>
      <c r="M20" s="60">
        <f t="shared" si="20"/>
        <v>1909.7727272727273</v>
      </c>
      <c r="N20" s="66">
        <f t="shared" si="3"/>
        <v>136.41233766233765</v>
      </c>
      <c r="O20" s="61">
        <f t="shared" si="4"/>
        <v>0</v>
      </c>
      <c r="P20" s="62">
        <f t="shared" si="5"/>
        <v>-6.4448051948052125</v>
      </c>
      <c r="Q20" s="351">
        <f t="shared" si="6"/>
        <v>0.95488636363636348</v>
      </c>
      <c r="R20" s="566"/>
      <c r="S20" s="63">
        <v>0.27152777777777776</v>
      </c>
      <c r="T20" s="63">
        <v>0.33263888888888887</v>
      </c>
      <c r="U20" s="349">
        <f t="shared" si="22"/>
        <v>5.9999999999999787</v>
      </c>
      <c r="V20" s="354">
        <f t="shared" si="21"/>
        <v>88</v>
      </c>
      <c r="W20" s="64"/>
      <c r="X20" s="349"/>
      <c r="Y20" s="559"/>
      <c r="Z20" s="559"/>
      <c r="AA20" s="61">
        <f t="shared" si="8"/>
        <v>-90.227272727272748</v>
      </c>
      <c r="AB20" s="351">
        <f t="shared" si="9"/>
        <v>0.95488636363636359</v>
      </c>
      <c r="AC20" s="566"/>
    </row>
    <row r="21" spans="1:29" ht="15.75" customHeight="1">
      <c r="A21" s="589" t="s">
        <v>1612</v>
      </c>
      <c r="B21" s="57" t="s">
        <v>6</v>
      </c>
      <c r="C21" s="584" t="s">
        <v>21</v>
      </c>
      <c r="D21" s="584"/>
      <c r="E21" s="57">
        <v>53.68</v>
      </c>
      <c r="F21" s="350">
        <v>1694</v>
      </c>
      <c r="G21" s="349">
        <f t="shared" si="19"/>
        <v>90933.92</v>
      </c>
      <c r="H21" s="359" t="s">
        <v>5</v>
      </c>
      <c r="I21" s="348">
        <v>16</v>
      </c>
      <c r="J21" s="58">
        <v>2000</v>
      </c>
      <c r="K21" s="59">
        <f t="shared" si="1"/>
        <v>125</v>
      </c>
      <c r="L21" s="348">
        <v>16</v>
      </c>
      <c r="M21" s="60">
        <f t="shared" si="20"/>
        <v>1917.7358490566048</v>
      </c>
      <c r="N21" s="66">
        <f t="shared" si="3"/>
        <v>119.8584905660378</v>
      </c>
      <c r="O21" s="61">
        <f t="shared" si="4"/>
        <v>0</v>
      </c>
      <c r="P21" s="62">
        <f t="shared" si="5"/>
        <v>-5.1415094339621987</v>
      </c>
      <c r="Q21" s="351">
        <f t="shared" si="6"/>
        <v>0.95886792452830238</v>
      </c>
      <c r="R21" s="566"/>
      <c r="S21" s="63">
        <v>0.33819444444444441</v>
      </c>
      <c r="T21" s="63">
        <v>0.37499999999999994</v>
      </c>
      <c r="U21" s="349">
        <f t="shared" si="22"/>
        <v>7.9999999999999716</v>
      </c>
      <c r="V21" s="354">
        <f t="shared" si="21"/>
        <v>52.999999999999972</v>
      </c>
      <c r="W21" s="64"/>
      <c r="X21" s="349"/>
      <c r="Y21" s="559"/>
      <c r="Z21" s="559"/>
      <c r="AA21" s="61">
        <f t="shared" si="8"/>
        <v>-82.26415094339518</v>
      </c>
      <c r="AB21" s="351">
        <f t="shared" si="9"/>
        <v>0.95886792452830238</v>
      </c>
      <c r="AC21" s="566"/>
    </row>
    <row r="22" spans="1:29" ht="15.75" customHeight="1">
      <c r="A22" s="589" t="s">
        <v>1612</v>
      </c>
      <c r="B22" s="57" t="s">
        <v>6</v>
      </c>
      <c r="C22" s="584" t="s">
        <v>96</v>
      </c>
      <c r="D22" s="584"/>
      <c r="E22" s="57">
        <v>49.91</v>
      </c>
      <c r="F22" s="350">
        <v>1243</v>
      </c>
      <c r="G22" s="349">
        <f t="shared" si="19"/>
        <v>62038.13</v>
      </c>
      <c r="H22" s="359" t="s">
        <v>5</v>
      </c>
      <c r="I22" s="348">
        <v>17</v>
      </c>
      <c r="J22" s="58">
        <v>2000</v>
      </c>
      <c r="K22" s="59">
        <f t="shared" si="1"/>
        <v>117.64705882352941</v>
      </c>
      <c r="L22" s="348">
        <v>17</v>
      </c>
      <c r="M22" s="60">
        <f t="shared" si="20"/>
        <v>1912.3076923076912</v>
      </c>
      <c r="N22" s="66">
        <f t="shared" si="3"/>
        <v>112.48868778280537</v>
      </c>
      <c r="O22" s="61">
        <f t="shared" si="4"/>
        <v>0</v>
      </c>
      <c r="P22" s="62">
        <f t="shared" si="5"/>
        <v>-5.1583710407240346</v>
      </c>
      <c r="Q22" s="351">
        <f t="shared" si="6"/>
        <v>0.95615384615384569</v>
      </c>
      <c r="R22" s="566"/>
      <c r="S22" s="63">
        <v>0.38055555555555548</v>
      </c>
      <c r="T22" s="63">
        <v>0.40763888888888883</v>
      </c>
      <c r="U22" s="349">
        <f t="shared" si="22"/>
        <v>7.9999999999999716</v>
      </c>
      <c r="V22" s="354">
        <f t="shared" si="21"/>
        <v>39.000000000000021</v>
      </c>
      <c r="W22" s="64"/>
      <c r="X22" s="349"/>
      <c r="Y22" s="559"/>
      <c r="Z22" s="559"/>
      <c r="AA22" s="61">
        <f t="shared" si="8"/>
        <v>-87.692307692308759</v>
      </c>
      <c r="AB22" s="351">
        <f t="shared" si="9"/>
        <v>0.95615384615384558</v>
      </c>
      <c r="AC22" s="566"/>
    </row>
    <row r="23" spans="1:29" ht="15.75" customHeight="1">
      <c r="A23" s="589" t="s">
        <v>1612</v>
      </c>
      <c r="B23" s="57" t="s">
        <v>6</v>
      </c>
      <c r="C23" s="584" t="s">
        <v>22</v>
      </c>
      <c r="D23" s="584"/>
      <c r="E23" s="57">
        <v>54.09</v>
      </c>
      <c r="F23" s="350">
        <v>1786</v>
      </c>
      <c r="G23" s="349">
        <f t="shared" si="19"/>
        <v>96604.74</v>
      </c>
      <c r="H23" s="359" t="s">
        <v>5</v>
      </c>
      <c r="I23" s="348">
        <v>19</v>
      </c>
      <c r="J23" s="58">
        <v>2000</v>
      </c>
      <c r="K23" s="59">
        <f t="shared" si="1"/>
        <v>105.26315789473684</v>
      </c>
      <c r="L23" s="348">
        <v>19</v>
      </c>
      <c r="M23" s="60">
        <f t="shared" si="20"/>
        <v>1913.57142857143</v>
      </c>
      <c r="N23" s="66">
        <f t="shared" si="3"/>
        <v>100.71428571428579</v>
      </c>
      <c r="O23" s="61">
        <f t="shared" si="4"/>
        <v>0</v>
      </c>
      <c r="P23" s="62">
        <f t="shared" si="5"/>
        <v>-4.5488721804510419</v>
      </c>
      <c r="Q23" s="351">
        <f t="shared" si="6"/>
        <v>0.95678571428571513</v>
      </c>
      <c r="R23" s="566"/>
      <c r="S23" s="63">
        <v>0.70833333333333337</v>
      </c>
      <c r="T23" s="63">
        <v>0.74722222222222223</v>
      </c>
      <c r="U23" s="349" t="str">
        <f t="shared" si="22"/>
        <v/>
      </c>
      <c r="V23" s="354">
        <f t="shared" si="21"/>
        <v>55.999999999999957</v>
      </c>
      <c r="W23" s="64"/>
      <c r="X23" s="68"/>
      <c r="Y23" s="559"/>
      <c r="Z23" s="559"/>
      <c r="AA23" s="61">
        <f t="shared" si="8"/>
        <v>-86.428571428569967</v>
      </c>
      <c r="AB23" s="351">
        <f t="shared" si="9"/>
        <v>0.95678571428571502</v>
      </c>
      <c r="AC23" s="566"/>
    </row>
    <row r="24" spans="1:29" ht="15.75" customHeight="1">
      <c r="A24" s="589" t="s">
        <v>1612</v>
      </c>
      <c r="B24" s="57" t="s">
        <v>6</v>
      </c>
      <c r="C24" s="584" t="s">
        <v>69</v>
      </c>
      <c r="D24" s="584"/>
      <c r="E24" s="57">
        <v>57.73</v>
      </c>
      <c r="F24" s="350">
        <v>1619</v>
      </c>
      <c r="G24" s="349">
        <f t="shared" si="19"/>
        <v>93464.87</v>
      </c>
      <c r="H24" s="359" t="s">
        <v>5</v>
      </c>
      <c r="I24" s="348">
        <v>16</v>
      </c>
      <c r="J24" s="58">
        <v>1500</v>
      </c>
      <c r="K24" s="59">
        <f t="shared" si="1"/>
        <v>93.75</v>
      </c>
      <c r="L24" s="348">
        <v>16</v>
      </c>
      <c r="M24" s="60">
        <f t="shared" si="20"/>
        <v>1428.5294117647043</v>
      </c>
      <c r="N24" s="66">
        <f t="shared" si="3"/>
        <v>89.283088235294016</v>
      </c>
      <c r="O24" s="61">
        <f t="shared" si="4"/>
        <v>0</v>
      </c>
      <c r="P24" s="62">
        <f t="shared" si="5"/>
        <v>-4.4669117647059835</v>
      </c>
      <c r="Q24" s="351">
        <f t="shared" si="6"/>
        <v>0.95235294117646951</v>
      </c>
      <c r="R24" s="566"/>
      <c r="S24" s="63">
        <v>0.75277777777777777</v>
      </c>
      <c r="T24" s="63">
        <v>0.8</v>
      </c>
      <c r="U24" s="349">
        <f t="shared" si="22"/>
        <v>7.9999999999999716</v>
      </c>
      <c r="V24" s="354">
        <f t="shared" si="21"/>
        <v>68.000000000000085</v>
      </c>
      <c r="W24" s="64"/>
      <c r="X24" s="68"/>
      <c r="Y24" s="569"/>
      <c r="Z24" s="570"/>
      <c r="AA24" s="61">
        <f t="shared" si="8"/>
        <v>-71.470588235295736</v>
      </c>
      <c r="AB24" s="351">
        <f t="shared" si="9"/>
        <v>0.95235294117646951</v>
      </c>
      <c r="AC24" s="566"/>
    </row>
    <row r="25" spans="1:29" ht="15.75" customHeight="1">
      <c r="A25" s="589" t="s">
        <v>1612</v>
      </c>
      <c r="B25" s="57" t="s">
        <v>6</v>
      </c>
      <c r="C25" s="585" t="s">
        <v>68</v>
      </c>
      <c r="D25" s="586"/>
      <c r="E25" s="57">
        <v>50.67</v>
      </c>
      <c r="F25" s="350">
        <v>2047</v>
      </c>
      <c r="G25" s="349">
        <f t="shared" si="19"/>
        <v>103721.49</v>
      </c>
      <c r="H25" s="359" t="s">
        <v>5</v>
      </c>
      <c r="I25" s="348">
        <v>15</v>
      </c>
      <c r="J25" s="58">
        <v>2000</v>
      </c>
      <c r="K25" s="59">
        <f t="shared" si="1"/>
        <v>133.33333333333334</v>
      </c>
      <c r="L25" s="348">
        <v>15</v>
      </c>
      <c r="M25" s="60">
        <f t="shared" si="20"/>
        <v>1919.062500000002</v>
      </c>
      <c r="N25" s="66">
        <f t="shared" si="3"/>
        <v>127.93750000000014</v>
      </c>
      <c r="O25" s="61">
        <f t="shared" si="4"/>
        <v>0</v>
      </c>
      <c r="P25" s="62">
        <f t="shared" si="5"/>
        <v>-5.3958333333332007</v>
      </c>
      <c r="Q25" s="351">
        <f t="shared" si="6"/>
        <v>0.95953125000000095</v>
      </c>
      <c r="R25" s="566"/>
      <c r="S25" s="63">
        <v>0.8041666666666667</v>
      </c>
      <c r="T25" s="63">
        <v>0.84861111111111109</v>
      </c>
      <c r="U25" s="349">
        <f t="shared" si="22"/>
        <v>5.9999999999999787</v>
      </c>
      <c r="V25" s="354">
        <f t="shared" si="21"/>
        <v>63.999999999999929</v>
      </c>
      <c r="W25" s="64"/>
      <c r="X25" s="64"/>
      <c r="Y25" s="569"/>
      <c r="Z25" s="570"/>
      <c r="AA25" s="61">
        <f t="shared" si="8"/>
        <v>-80.937499999997954</v>
      </c>
      <c r="AB25" s="351">
        <f t="shared" si="9"/>
        <v>0.95953125000000106</v>
      </c>
      <c r="AC25" s="566"/>
    </row>
    <row r="26" spans="1:29" ht="15.75" customHeight="1">
      <c r="A26" s="589" t="s">
        <v>1612</v>
      </c>
      <c r="B26" s="57" t="s">
        <v>1609</v>
      </c>
      <c r="C26" s="571"/>
      <c r="D26" s="571"/>
      <c r="E26" s="355"/>
      <c r="F26" s="350"/>
      <c r="G26" s="349"/>
      <c r="H26" s="350"/>
      <c r="I26" s="67">
        <v>16.375</v>
      </c>
      <c r="J26" s="58">
        <v>1937.5</v>
      </c>
      <c r="K26" s="59">
        <f t="shared" si="1"/>
        <v>118.32061068702291</v>
      </c>
      <c r="L26" s="67">
        <v>16.375</v>
      </c>
      <c r="M26" s="60">
        <f>AVERAGE(M18:M25)</f>
        <v>1857.2420163390361</v>
      </c>
      <c r="N26" s="66">
        <f t="shared" si="3"/>
        <v>113.41935977642969</v>
      </c>
      <c r="O26" s="61">
        <f t="shared" si="4"/>
        <v>0</v>
      </c>
      <c r="P26" s="62">
        <f t="shared" si="5"/>
        <v>-4.9012509105932196</v>
      </c>
      <c r="Q26" s="351">
        <f t="shared" si="6"/>
        <v>0.95857652456208309</v>
      </c>
      <c r="R26" s="566"/>
      <c r="S26" s="63"/>
      <c r="T26" s="63"/>
      <c r="U26" s="59"/>
      <c r="V26" s="354"/>
      <c r="W26" s="59"/>
      <c r="X26" s="59"/>
      <c r="Y26" s="559"/>
      <c r="Z26" s="559"/>
      <c r="AA26" s="61">
        <f t="shared" si="8"/>
        <v>-80.257983660963873</v>
      </c>
      <c r="AB26" s="351">
        <f t="shared" si="9"/>
        <v>0.9585765245620832</v>
      </c>
      <c r="AC26" s="566"/>
    </row>
    <row r="27" spans="1:29" ht="15.75" customHeight="1">
      <c r="A27" s="587" t="s">
        <v>1613</v>
      </c>
      <c r="B27" s="57" t="s">
        <v>15</v>
      </c>
      <c r="C27" s="584" t="s">
        <v>26</v>
      </c>
      <c r="D27" s="584"/>
      <c r="E27" s="57">
        <v>31.29</v>
      </c>
      <c r="F27" s="350">
        <v>5800</v>
      </c>
      <c r="G27" s="349">
        <f t="shared" ref="G27:G34" si="23">E27*F27</f>
        <v>181482</v>
      </c>
      <c r="H27" s="359">
        <v>2</v>
      </c>
      <c r="I27" s="348">
        <v>18</v>
      </c>
      <c r="J27" s="58">
        <v>2400</v>
      </c>
      <c r="K27" s="59">
        <f t="shared" si="1"/>
        <v>133.33333333333334</v>
      </c>
      <c r="L27" s="348">
        <v>18</v>
      </c>
      <c r="M27" s="60">
        <f t="shared" ref="M27:M34" si="24">F27/V27*60</f>
        <v>2289.4736842105262</v>
      </c>
      <c r="N27" s="66">
        <f t="shared" si="3"/>
        <v>127.19298245614034</v>
      </c>
      <c r="O27" s="61">
        <f t="shared" si="4"/>
        <v>0</v>
      </c>
      <c r="P27" s="62">
        <f t="shared" si="5"/>
        <v>-6.1403508771930007</v>
      </c>
      <c r="Q27" s="351">
        <f t="shared" si="6"/>
        <v>0.95394736842105254</v>
      </c>
      <c r="R27" s="566">
        <f>Q35</f>
        <v>0.95619874435034524</v>
      </c>
      <c r="S27" s="63">
        <v>8.3333333333333329E-2</v>
      </c>
      <c r="T27" s="63">
        <v>0.18888888888888888</v>
      </c>
      <c r="U27" s="349"/>
      <c r="V27" s="354">
        <f t="shared" ref="V27:V34" si="25">(T27-S27)*24*60</f>
        <v>152</v>
      </c>
      <c r="W27" s="64">
        <f>T27</f>
        <v>0.18888888888888888</v>
      </c>
      <c r="X27" s="64">
        <f>S28</f>
        <v>0.20624999999999996</v>
      </c>
      <c r="Y27" s="559"/>
      <c r="Z27" s="559"/>
      <c r="AA27" s="61">
        <f t="shared" si="8"/>
        <v>-110.52631578947376</v>
      </c>
      <c r="AB27" s="351">
        <f t="shared" si="9"/>
        <v>0.95394736842105265</v>
      </c>
      <c r="AC27" s="566">
        <f>AB35</f>
        <v>0.95619874435034524</v>
      </c>
    </row>
    <row r="28" spans="1:29" ht="15.75" customHeight="1">
      <c r="A28" s="587" t="s">
        <v>1613</v>
      </c>
      <c r="B28" s="57" t="s">
        <v>15</v>
      </c>
      <c r="C28" s="584" t="s">
        <v>23</v>
      </c>
      <c r="D28" s="584"/>
      <c r="E28" s="57">
        <v>26.2</v>
      </c>
      <c r="F28" s="350">
        <v>3200</v>
      </c>
      <c r="G28" s="349">
        <f t="shared" si="23"/>
        <v>83840</v>
      </c>
      <c r="H28" s="359">
        <v>2</v>
      </c>
      <c r="I28" s="348">
        <v>20</v>
      </c>
      <c r="J28" s="58">
        <v>2400</v>
      </c>
      <c r="K28" s="59">
        <f t="shared" si="1"/>
        <v>120</v>
      </c>
      <c r="L28" s="348">
        <v>20</v>
      </c>
      <c r="M28" s="60">
        <f t="shared" si="24"/>
        <v>2285.7142857142862</v>
      </c>
      <c r="N28" s="66">
        <f t="shared" si="3"/>
        <v>114.28571428571431</v>
      </c>
      <c r="O28" s="61">
        <f t="shared" si="4"/>
        <v>0</v>
      </c>
      <c r="P28" s="62">
        <f t="shared" si="5"/>
        <v>-5.714285714285694</v>
      </c>
      <c r="Q28" s="351">
        <f t="shared" si="6"/>
        <v>0.95238095238095255</v>
      </c>
      <c r="R28" s="566"/>
      <c r="S28" s="63">
        <v>0.20624999999999996</v>
      </c>
      <c r="T28" s="63">
        <v>0.26458333333333328</v>
      </c>
      <c r="U28" s="349">
        <f t="shared" ref="U28:U34" si="26">(S28-T27)*24*60</f>
        <v>24.99999999999995</v>
      </c>
      <c r="V28" s="354">
        <f t="shared" si="25"/>
        <v>83.999999999999986</v>
      </c>
      <c r="W28" s="64"/>
      <c r="X28" s="64"/>
      <c r="Y28" s="559"/>
      <c r="Z28" s="559"/>
      <c r="AA28" s="61">
        <f t="shared" si="8"/>
        <v>-114.28571428571377</v>
      </c>
      <c r="AB28" s="351">
        <f t="shared" si="9"/>
        <v>0.95238095238095255</v>
      </c>
      <c r="AC28" s="566"/>
    </row>
    <row r="29" spans="1:29" ht="15.75" customHeight="1">
      <c r="A29" s="587" t="s">
        <v>1613</v>
      </c>
      <c r="B29" s="57" t="s">
        <v>15</v>
      </c>
      <c r="C29" s="584" t="s">
        <v>70</v>
      </c>
      <c r="D29" s="584"/>
      <c r="E29" s="57">
        <v>25.99</v>
      </c>
      <c r="F29" s="350">
        <v>3000</v>
      </c>
      <c r="G29" s="349">
        <f t="shared" si="23"/>
        <v>77970</v>
      </c>
      <c r="H29" s="359">
        <v>2</v>
      </c>
      <c r="I29" s="348">
        <v>14</v>
      </c>
      <c r="J29" s="58">
        <v>2400</v>
      </c>
      <c r="K29" s="59">
        <f t="shared" si="1"/>
        <v>171.42857142857142</v>
      </c>
      <c r="L29" s="348">
        <v>14</v>
      </c>
      <c r="M29" s="60">
        <f t="shared" si="24"/>
        <v>2307.6923076923063</v>
      </c>
      <c r="N29" s="66">
        <f t="shared" si="3"/>
        <v>164.83516483516473</v>
      </c>
      <c r="O29" s="61">
        <f t="shared" si="4"/>
        <v>0</v>
      </c>
      <c r="P29" s="62">
        <f t="shared" si="5"/>
        <v>-6.5934065934066837</v>
      </c>
      <c r="Q29" s="351">
        <f t="shared" si="6"/>
        <v>0.96153846153846101</v>
      </c>
      <c r="R29" s="566"/>
      <c r="S29" s="63">
        <v>0.26805555555555549</v>
      </c>
      <c r="T29" s="63">
        <v>0.32222222222222219</v>
      </c>
      <c r="U29" s="349">
        <f t="shared" si="26"/>
        <v>4.9999999999999822</v>
      </c>
      <c r="V29" s="354">
        <f t="shared" si="25"/>
        <v>78.000000000000043</v>
      </c>
      <c r="W29" s="64"/>
      <c r="X29" s="64"/>
      <c r="Y29" s="559"/>
      <c r="Z29" s="559"/>
      <c r="AA29" s="61">
        <f t="shared" si="8"/>
        <v>-92.307692307693742</v>
      </c>
      <c r="AB29" s="351">
        <f t="shared" si="9"/>
        <v>0.9615384615384609</v>
      </c>
      <c r="AC29" s="566"/>
    </row>
    <row r="30" spans="1:29" ht="15.75" customHeight="1">
      <c r="A30" s="587" t="s">
        <v>1613</v>
      </c>
      <c r="B30" s="57" t="s">
        <v>15</v>
      </c>
      <c r="C30" s="584" t="s">
        <v>45</v>
      </c>
      <c r="D30" s="584"/>
      <c r="E30" s="57">
        <v>20.52</v>
      </c>
      <c r="F30" s="350">
        <v>4847</v>
      </c>
      <c r="G30" s="349">
        <f t="shared" si="23"/>
        <v>99460.44</v>
      </c>
      <c r="H30" s="359" t="s">
        <v>5</v>
      </c>
      <c r="I30" s="348">
        <v>18</v>
      </c>
      <c r="J30" s="58">
        <v>2400</v>
      </c>
      <c r="K30" s="59">
        <f t="shared" si="1"/>
        <v>133.33333333333334</v>
      </c>
      <c r="L30" s="348">
        <v>18</v>
      </c>
      <c r="M30" s="60">
        <f t="shared" si="24"/>
        <v>2289.9212598425192</v>
      </c>
      <c r="N30" s="66">
        <f t="shared" si="3"/>
        <v>127.21784776902885</v>
      </c>
      <c r="O30" s="61">
        <f t="shared" si="4"/>
        <v>0</v>
      </c>
      <c r="P30" s="62">
        <f t="shared" si="5"/>
        <v>-6.1154855643044925</v>
      </c>
      <c r="Q30" s="351">
        <f t="shared" si="6"/>
        <v>0.95413385826771635</v>
      </c>
      <c r="R30" s="566"/>
      <c r="S30" s="63">
        <v>0.3256944444444444</v>
      </c>
      <c r="T30" s="63">
        <v>0.41388888888888886</v>
      </c>
      <c r="U30" s="349">
        <f t="shared" si="26"/>
        <v>4.9999999999999822</v>
      </c>
      <c r="V30" s="354">
        <f t="shared" si="25"/>
        <v>127.00000000000003</v>
      </c>
      <c r="W30" s="64"/>
      <c r="X30" s="64"/>
      <c r="Y30" s="559"/>
      <c r="Z30" s="559"/>
      <c r="AA30" s="61">
        <f t="shared" si="8"/>
        <v>-110.07874015748075</v>
      </c>
      <c r="AB30" s="351">
        <f t="shared" si="9"/>
        <v>0.95413385826771635</v>
      </c>
      <c r="AC30" s="566"/>
    </row>
    <row r="31" spans="1:29" ht="15.75" customHeight="1">
      <c r="A31" s="587" t="s">
        <v>1613</v>
      </c>
      <c r="B31" s="57" t="s">
        <v>15</v>
      </c>
      <c r="C31" s="584" t="s">
        <v>98</v>
      </c>
      <c r="D31" s="584"/>
      <c r="E31" s="57">
        <v>25.98</v>
      </c>
      <c r="F31" s="350">
        <v>4339</v>
      </c>
      <c r="G31" s="349">
        <f t="shared" si="23"/>
        <v>112727.22</v>
      </c>
      <c r="H31" s="359" t="s">
        <v>5</v>
      </c>
      <c r="I31" s="348">
        <v>21</v>
      </c>
      <c r="J31" s="58">
        <v>2400</v>
      </c>
      <c r="K31" s="59">
        <f t="shared" si="1"/>
        <v>114.28571428571429</v>
      </c>
      <c r="L31" s="348">
        <v>21</v>
      </c>
      <c r="M31" s="60">
        <f t="shared" si="24"/>
        <v>2283.6842105263158</v>
      </c>
      <c r="N31" s="66">
        <f t="shared" si="3"/>
        <v>108.7468671679198</v>
      </c>
      <c r="O31" s="61">
        <f t="shared" si="4"/>
        <v>0</v>
      </c>
      <c r="P31" s="62">
        <f t="shared" si="5"/>
        <v>-5.5388471177944893</v>
      </c>
      <c r="Q31" s="351">
        <f t="shared" si="6"/>
        <v>0.95153508771929818</v>
      </c>
      <c r="R31" s="566"/>
      <c r="S31" s="63">
        <v>0.41874999999999996</v>
      </c>
      <c r="T31" s="63">
        <v>0.49791666666666662</v>
      </c>
      <c r="U31" s="349">
        <f t="shared" si="26"/>
        <v>6.9999999999999751</v>
      </c>
      <c r="V31" s="354">
        <f t="shared" si="25"/>
        <v>114</v>
      </c>
      <c r="W31" s="64">
        <f>T31</f>
        <v>0.49791666666666662</v>
      </c>
      <c r="X31" s="64">
        <f>S32</f>
        <v>0.5395833333333333</v>
      </c>
      <c r="Y31" s="559"/>
      <c r="Z31" s="559"/>
      <c r="AA31" s="61">
        <f t="shared" si="8"/>
        <v>-116.31578947368416</v>
      </c>
      <c r="AB31" s="351">
        <f t="shared" si="9"/>
        <v>0.95153508771929829</v>
      </c>
      <c r="AC31" s="566"/>
    </row>
    <row r="32" spans="1:29" ht="15.75" customHeight="1">
      <c r="A32" s="587" t="s">
        <v>1613</v>
      </c>
      <c r="B32" s="57" t="s">
        <v>15</v>
      </c>
      <c r="C32" s="584" t="s">
        <v>26</v>
      </c>
      <c r="D32" s="584"/>
      <c r="E32" s="57">
        <v>31.29</v>
      </c>
      <c r="F32" s="350">
        <v>4211</v>
      </c>
      <c r="G32" s="349">
        <f t="shared" si="23"/>
        <v>131762.19</v>
      </c>
      <c r="H32" s="359" t="s">
        <v>5</v>
      </c>
      <c r="I32" s="348">
        <v>18</v>
      </c>
      <c r="J32" s="58">
        <v>2400</v>
      </c>
      <c r="K32" s="59">
        <f t="shared" si="1"/>
        <v>133.33333333333334</v>
      </c>
      <c r="L32" s="348">
        <v>18</v>
      </c>
      <c r="M32" s="60">
        <f t="shared" si="24"/>
        <v>2296.9090909090928</v>
      </c>
      <c r="N32" s="66">
        <f t="shared" si="3"/>
        <v>127.60606060606071</v>
      </c>
      <c r="O32" s="61">
        <f t="shared" si="4"/>
        <v>0</v>
      </c>
      <c r="P32" s="62">
        <f t="shared" si="5"/>
        <v>-5.7272727272726343</v>
      </c>
      <c r="Q32" s="351">
        <f t="shared" si="6"/>
        <v>0.9570454545454552</v>
      </c>
      <c r="R32" s="566"/>
      <c r="S32" s="63">
        <v>0.5395833333333333</v>
      </c>
      <c r="T32" s="63">
        <v>0.61597222222222214</v>
      </c>
      <c r="U32" s="349">
        <f t="shared" si="26"/>
        <v>60.000000000000028</v>
      </c>
      <c r="V32" s="354">
        <f t="shared" si="25"/>
        <v>109.99999999999993</v>
      </c>
      <c r="W32" s="64"/>
      <c r="X32" s="64"/>
      <c r="Y32" s="559"/>
      <c r="Z32" s="559"/>
      <c r="AA32" s="61">
        <f t="shared" si="8"/>
        <v>-103.09090909090719</v>
      </c>
      <c r="AB32" s="351">
        <f t="shared" si="9"/>
        <v>0.95704545454545531</v>
      </c>
      <c r="AC32" s="566"/>
    </row>
    <row r="33" spans="1:29" ht="15.75" customHeight="1">
      <c r="A33" s="587" t="s">
        <v>1613</v>
      </c>
      <c r="B33" s="57" t="s">
        <v>15</v>
      </c>
      <c r="C33" s="584" t="s">
        <v>23</v>
      </c>
      <c r="D33" s="584"/>
      <c r="E33" s="57">
        <v>26.2</v>
      </c>
      <c r="F33" s="350">
        <v>2174</v>
      </c>
      <c r="G33" s="349">
        <f t="shared" si="23"/>
        <v>56958.799999999996</v>
      </c>
      <c r="H33" s="359" t="s">
        <v>5</v>
      </c>
      <c r="I33" s="348">
        <v>20</v>
      </c>
      <c r="J33" s="58">
        <v>2400</v>
      </c>
      <c r="K33" s="59">
        <f t="shared" si="1"/>
        <v>120</v>
      </c>
      <c r="L33" s="348">
        <v>20</v>
      </c>
      <c r="M33" s="60">
        <f t="shared" si="24"/>
        <v>2288.4210526315806</v>
      </c>
      <c r="N33" s="66">
        <f t="shared" si="3"/>
        <v>114.42105263157903</v>
      </c>
      <c r="O33" s="61">
        <f t="shared" si="4"/>
        <v>0</v>
      </c>
      <c r="P33" s="62">
        <f t="shared" si="5"/>
        <v>-5.5789473684209696</v>
      </c>
      <c r="Q33" s="351">
        <f t="shared" si="6"/>
        <v>0.95350877192982531</v>
      </c>
      <c r="R33" s="566"/>
      <c r="S33" s="63">
        <v>0.62083333333333324</v>
      </c>
      <c r="T33" s="63">
        <v>0.66041666666666654</v>
      </c>
      <c r="U33" s="349">
        <f t="shared" si="26"/>
        <v>6.9999999999999751</v>
      </c>
      <c r="V33" s="354">
        <f t="shared" si="25"/>
        <v>56.999999999999957</v>
      </c>
      <c r="W33" s="64"/>
      <c r="X33" s="64"/>
      <c r="Y33" s="559"/>
      <c r="Z33" s="559"/>
      <c r="AA33" s="61">
        <f t="shared" si="8"/>
        <v>-111.57894736841945</v>
      </c>
      <c r="AB33" s="351">
        <f t="shared" si="9"/>
        <v>0.95350877192982519</v>
      </c>
      <c r="AC33" s="566"/>
    </row>
    <row r="34" spans="1:29" ht="15.75" customHeight="1">
      <c r="A34" s="587" t="s">
        <v>1613</v>
      </c>
      <c r="B34" s="57" t="s">
        <v>15</v>
      </c>
      <c r="C34" s="584" t="s">
        <v>70</v>
      </c>
      <c r="D34" s="584"/>
      <c r="E34" s="57">
        <v>25.99</v>
      </c>
      <c r="F34" s="350">
        <v>1931</v>
      </c>
      <c r="G34" s="349">
        <f t="shared" si="23"/>
        <v>50186.689999999995</v>
      </c>
      <c r="H34" s="359" t="s">
        <v>5</v>
      </c>
      <c r="I34" s="348">
        <v>14</v>
      </c>
      <c r="J34" s="58">
        <v>2400</v>
      </c>
      <c r="K34" s="59">
        <f t="shared" si="1"/>
        <v>171.42857142857142</v>
      </c>
      <c r="L34" s="348">
        <v>14</v>
      </c>
      <c r="M34" s="60">
        <f t="shared" si="24"/>
        <v>2317.2000000000007</v>
      </c>
      <c r="N34" s="66">
        <f t="shared" si="3"/>
        <v>165.51428571428576</v>
      </c>
      <c r="O34" s="61">
        <f t="shared" si="4"/>
        <v>0</v>
      </c>
      <c r="P34" s="62">
        <f t="shared" si="5"/>
        <v>-5.9142857142856542</v>
      </c>
      <c r="Q34" s="351">
        <f t="shared" si="6"/>
        <v>0.96550000000000036</v>
      </c>
      <c r="R34" s="566"/>
      <c r="S34" s="63">
        <v>0.66388888888888875</v>
      </c>
      <c r="T34" s="63">
        <v>0.69861111111111096</v>
      </c>
      <c r="U34" s="349">
        <f t="shared" si="26"/>
        <v>4.9999999999999822</v>
      </c>
      <c r="V34" s="354">
        <f t="shared" si="25"/>
        <v>49.999999999999986</v>
      </c>
      <c r="W34" s="64"/>
      <c r="X34" s="64"/>
      <c r="Y34" s="559"/>
      <c r="Z34" s="559"/>
      <c r="AA34" s="61">
        <f t="shared" si="8"/>
        <v>-82.799999999999272</v>
      </c>
      <c r="AB34" s="351">
        <f t="shared" si="9"/>
        <v>0.96550000000000036</v>
      </c>
      <c r="AC34" s="566"/>
    </row>
    <row r="35" spans="1:29" ht="15.75" customHeight="1">
      <c r="A35" s="587" t="s">
        <v>1613</v>
      </c>
      <c r="B35" s="57" t="s">
        <v>1609</v>
      </c>
      <c r="C35" s="571"/>
      <c r="D35" s="571"/>
      <c r="E35" s="355"/>
      <c r="F35" s="350"/>
      <c r="G35" s="349"/>
      <c r="H35" s="350"/>
      <c r="I35" s="67">
        <v>17.875</v>
      </c>
      <c r="J35" s="58">
        <v>2400</v>
      </c>
      <c r="K35" s="59">
        <f t="shared" si="1"/>
        <v>134.26573426573427</v>
      </c>
      <c r="L35" s="67">
        <v>17.875</v>
      </c>
      <c r="M35" s="60">
        <f>AVERAGE(M27:M34)</f>
        <v>2294.8769864408287</v>
      </c>
      <c r="N35" s="360">
        <f t="shared" si="3"/>
        <v>128.38472651417223</v>
      </c>
      <c r="O35" s="61">
        <f t="shared" si="4"/>
        <v>0</v>
      </c>
      <c r="P35" s="62">
        <f t="shared" si="5"/>
        <v>-5.8810077515620378</v>
      </c>
      <c r="Q35" s="351">
        <f t="shared" si="6"/>
        <v>0.95619874435034524</v>
      </c>
      <c r="R35" s="566"/>
      <c r="S35" s="63"/>
      <c r="T35" s="63"/>
      <c r="U35" s="349"/>
      <c r="V35" s="354"/>
      <c r="W35" s="349"/>
      <c r="X35" s="349"/>
      <c r="Y35" s="559"/>
      <c r="Z35" s="559"/>
      <c r="AA35" s="61">
        <f t="shared" si="8"/>
        <v>-105.12301355917134</v>
      </c>
      <c r="AB35" s="351">
        <f t="shared" si="9"/>
        <v>0.95619874435034524</v>
      </c>
      <c r="AC35" s="566"/>
    </row>
    <row r="36" spans="1:29" ht="15.75" customHeight="1">
      <c r="A36" s="582" t="s">
        <v>1614</v>
      </c>
      <c r="B36" s="57" t="s">
        <v>15</v>
      </c>
      <c r="C36" s="560" t="s">
        <v>101</v>
      </c>
      <c r="D36" s="560"/>
      <c r="E36" s="57">
        <v>22.69</v>
      </c>
      <c r="F36" s="350">
        <v>2234</v>
      </c>
      <c r="G36" s="349">
        <f t="shared" ref="G36:G46" si="27">E36*F36</f>
        <v>50689.460000000006</v>
      </c>
      <c r="H36" s="359" t="s">
        <v>5</v>
      </c>
      <c r="I36" s="348">
        <v>15</v>
      </c>
      <c r="J36" s="58">
        <v>2400</v>
      </c>
      <c r="K36" s="59">
        <f t="shared" si="1"/>
        <v>160</v>
      </c>
      <c r="L36" s="348">
        <v>15</v>
      </c>
      <c r="M36" s="60">
        <f t="shared" ref="M36:M46" si="28">F36/V36*60</f>
        <v>2311.03448275862</v>
      </c>
      <c r="N36" s="66">
        <f t="shared" si="3"/>
        <v>154.06896551724134</v>
      </c>
      <c r="O36" s="61">
        <f t="shared" si="4"/>
        <v>0</v>
      </c>
      <c r="P36" s="62">
        <f t="shared" si="5"/>
        <v>-5.9310344827586619</v>
      </c>
      <c r="Q36" s="351">
        <f t="shared" si="6"/>
        <v>0.96293103448275841</v>
      </c>
      <c r="R36" s="566">
        <f>Q47</f>
        <v>0.95933732155635376</v>
      </c>
      <c r="S36" s="63">
        <v>8.3333333333333329E-2</v>
      </c>
      <c r="T36" s="63">
        <v>0.12361111111111112</v>
      </c>
      <c r="U36" s="349"/>
      <c r="V36" s="354">
        <f t="shared" ref="V36:V46" si="29">(T36-S36)*24*60</f>
        <v>58.000000000000014</v>
      </c>
      <c r="W36" s="68">
        <f>T36</f>
        <v>0.12361111111111112</v>
      </c>
      <c r="X36" s="68">
        <f>S37</f>
        <v>0.14375000000000002</v>
      </c>
      <c r="Y36" s="559"/>
      <c r="Z36" s="559"/>
      <c r="AA36" s="61">
        <f t="shared" si="8"/>
        <v>-88.965517241379985</v>
      </c>
      <c r="AB36" s="351">
        <f t="shared" si="9"/>
        <v>0.9629310344827583</v>
      </c>
      <c r="AC36" s="566">
        <f>AB47</f>
        <v>0.95933732155635365</v>
      </c>
    </row>
    <row r="37" spans="1:29" ht="15.75" customHeight="1">
      <c r="A37" s="582" t="s">
        <v>1614</v>
      </c>
      <c r="B37" s="57" t="s">
        <v>15</v>
      </c>
      <c r="C37" s="560" t="s">
        <v>27</v>
      </c>
      <c r="D37" s="560"/>
      <c r="E37" s="57">
        <v>26.2</v>
      </c>
      <c r="F37" s="350">
        <v>4000</v>
      </c>
      <c r="G37" s="349">
        <f t="shared" si="27"/>
        <v>104800</v>
      </c>
      <c r="H37" s="359">
        <v>2</v>
      </c>
      <c r="I37" s="348">
        <v>18</v>
      </c>
      <c r="J37" s="58">
        <v>2400</v>
      </c>
      <c r="K37" s="59">
        <f t="shared" si="1"/>
        <v>133.33333333333334</v>
      </c>
      <c r="L37" s="348">
        <v>18</v>
      </c>
      <c r="M37" s="60">
        <f t="shared" si="28"/>
        <v>2285.7142857142862</v>
      </c>
      <c r="N37" s="66">
        <f t="shared" si="3"/>
        <v>126.98412698412702</v>
      </c>
      <c r="O37" s="61">
        <f t="shared" si="4"/>
        <v>0</v>
      </c>
      <c r="P37" s="62">
        <f t="shared" si="5"/>
        <v>-6.3492063492063266</v>
      </c>
      <c r="Q37" s="351">
        <f t="shared" si="6"/>
        <v>0.95238095238095255</v>
      </c>
      <c r="R37" s="566"/>
      <c r="S37" s="63">
        <v>0.14375000000000002</v>
      </c>
      <c r="T37" s="63">
        <v>0.21666666666666667</v>
      </c>
      <c r="U37" s="349">
        <f t="shared" ref="U37:U46" si="30">(S37-T36)*24*60</f>
        <v>29.000000000000018</v>
      </c>
      <c r="V37" s="354">
        <f t="shared" si="29"/>
        <v>104.99999999999999</v>
      </c>
      <c r="W37" s="349"/>
      <c r="X37" s="349"/>
      <c r="Y37" s="559"/>
      <c r="Z37" s="559"/>
      <c r="AA37" s="61">
        <f t="shared" si="8"/>
        <v>-114.28571428571377</v>
      </c>
      <c r="AB37" s="351">
        <f t="shared" si="9"/>
        <v>0.95238095238095255</v>
      </c>
      <c r="AC37" s="566"/>
    </row>
    <row r="38" spans="1:29">
      <c r="A38" s="583" t="s">
        <v>1614</v>
      </c>
      <c r="B38" s="57" t="s">
        <v>15</v>
      </c>
      <c r="C38" s="560" t="s">
        <v>25</v>
      </c>
      <c r="D38" s="560"/>
      <c r="E38" s="57">
        <v>26.18</v>
      </c>
      <c r="F38" s="350">
        <v>2659</v>
      </c>
      <c r="G38" s="349">
        <f t="shared" si="27"/>
        <v>69612.62</v>
      </c>
      <c r="H38" s="359" t="s">
        <v>5</v>
      </c>
      <c r="I38" s="348">
        <v>19</v>
      </c>
      <c r="J38" s="58">
        <v>2400</v>
      </c>
      <c r="K38" s="59">
        <f t="shared" si="1"/>
        <v>126.31578947368421</v>
      </c>
      <c r="L38" s="348">
        <v>19</v>
      </c>
      <c r="M38" s="60">
        <f t="shared" si="28"/>
        <v>2312.173913043478</v>
      </c>
      <c r="N38" s="66">
        <f t="shared" si="3"/>
        <v>121.69336384439357</v>
      </c>
      <c r="O38" s="61">
        <f t="shared" si="4"/>
        <v>0</v>
      </c>
      <c r="P38" s="62">
        <f t="shared" si="5"/>
        <v>-4.6224256292906318</v>
      </c>
      <c r="Q38" s="351">
        <f t="shared" si="6"/>
        <v>0.96340579710144914</v>
      </c>
      <c r="R38" s="566"/>
      <c r="S38" s="63">
        <v>0.22013888888888888</v>
      </c>
      <c r="T38" s="63">
        <v>0.26805555555555555</v>
      </c>
      <c r="U38" s="349">
        <f t="shared" si="30"/>
        <v>4.9999999999999822</v>
      </c>
      <c r="V38" s="354">
        <f t="shared" si="29"/>
        <v>69</v>
      </c>
      <c r="W38" s="349"/>
      <c r="X38" s="349"/>
      <c r="Y38" s="559"/>
      <c r="Z38" s="559"/>
      <c r="AA38" s="61">
        <f t="shared" si="8"/>
        <v>-87.826086956521976</v>
      </c>
      <c r="AB38" s="351">
        <f t="shared" si="9"/>
        <v>0.96340579710144914</v>
      </c>
      <c r="AC38" s="566"/>
    </row>
    <row r="39" spans="1:29">
      <c r="A39" s="583" t="s">
        <v>1614</v>
      </c>
      <c r="B39" s="57" t="s">
        <v>15</v>
      </c>
      <c r="C39" s="560" t="s">
        <v>28</v>
      </c>
      <c r="D39" s="560"/>
      <c r="E39" s="57">
        <v>26.39</v>
      </c>
      <c r="F39" s="350">
        <v>3900</v>
      </c>
      <c r="G39" s="349">
        <f t="shared" si="27"/>
        <v>102921</v>
      </c>
      <c r="H39" s="359">
        <v>2</v>
      </c>
      <c r="I39" s="348">
        <v>19</v>
      </c>
      <c r="J39" s="58">
        <v>2400</v>
      </c>
      <c r="K39" s="59">
        <f t="shared" si="1"/>
        <v>126.31578947368421</v>
      </c>
      <c r="L39" s="348">
        <v>19</v>
      </c>
      <c r="M39" s="60">
        <f t="shared" si="28"/>
        <v>2294.1176470588225</v>
      </c>
      <c r="N39" s="66">
        <f t="shared" si="3"/>
        <v>120.74303405572751</v>
      </c>
      <c r="O39" s="61">
        <f t="shared" si="4"/>
        <v>0</v>
      </c>
      <c r="P39" s="62">
        <f t="shared" si="5"/>
        <v>-5.5727554179566994</v>
      </c>
      <c r="Q39" s="351">
        <f t="shared" si="6"/>
        <v>0.95588235294117618</v>
      </c>
      <c r="R39" s="566"/>
      <c r="S39" s="63">
        <v>0.27291666666666664</v>
      </c>
      <c r="T39" s="63">
        <v>0.34375</v>
      </c>
      <c r="U39" s="349">
        <f t="shared" si="30"/>
        <v>6.9999999999999751</v>
      </c>
      <c r="V39" s="354">
        <f t="shared" si="29"/>
        <v>102.00000000000004</v>
      </c>
      <c r="W39" s="64"/>
      <c r="X39" s="64"/>
      <c r="Y39" s="559"/>
      <c r="Z39" s="559"/>
      <c r="AA39" s="61">
        <f t="shared" si="8"/>
        <v>-105.88235294117749</v>
      </c>
      <c r="AB39" s="351">
        <f t="shared" si="9"/>
        <v>0.95588235294117607</v>
      </c>
      <c r="AC39" s="566"/>
    </row>
    <row r="40" spans="1:29">
      <c r="A40" s="583" t="s">
        <v>1614</v>
      </c>
      <c r="B40" s="57" t="s">
        <v>15</v>
      </c>
      <c r="C40" s="560" t="s">
        <v>658</v>
      </c>
      <c r="D40" s="560"/>
      <c r="E40" s="57">
        <v>21.68</v>
      </c>
      <c r="F40" s="350">
        <v>2200</v>
      </c>
      <c r="G40" s="349">
        <f t="shared" si="27"/>
        <v>47696</v>
      </c>
      <c r="H40" s="359">
        <v>2</v>
      </c>
      <c r="I40" s="348">
        <v>16</v>
      </c>
      <c r="J40" s="58">
        <v>2400</v>
      </c>
      <c r="K40" s="59">
        <f t="shared" si="1"/>
        <v>150</v>
      </c>
      <c r="L40" s="348">
        <v>16</v>
      </c>
      <c r="M40" s="60">
        <f t="shared" si="28"/>
        <v>2315.7894736842122</v>
      </c>
      <c r="N40" s="66">
        <f t="shared" si="3"/>
        <v>144.73684210526326</v>
      </c>
      <c r="O40" s="61">
        <f t="shared" si="4"/>
        <v>0</v>
      </c>
      <c r="P40" s="62">
        <f t="shared" si="5"/>
        <v>-5.2631578947367359</v>
      </c>
      <c r="Q40" s="351">
        <f t="shared" si="6"/>
        <v>0.96491228070175505</v>
      </c>
      <c r="R40" s="566"/>
      <c r="S40" s="63">
        <v>0.34930555555555554</v>
      </c>
      <c r="T40" s="63">
        <v>0.38888888888888884</v>
      </c>
      <c r="U40" s="349">
        <f t="shared" si="30"/>
        <v>7.9999999999999716</v>
      </c>
      <c r="V40" s="354">
        <f t="shared" si="29"/>
        <v>56.999999999999957</v>
      </c>
      <c r="W40" s="64"/>
      <c r="X40" s="64"/>
      <c r="Y40" s="559"/>
      <c r="Z40" s="559"/>
      <c r="AA40" s="61">
        <f t="shared" si="8"/>
        <v>-84.210526315787774</v>
      </c>
      <c r="AB40" s="351">
        <f t="shared" si="9"/>
        <v>0.96491228070175505</v>
      </c>
      <c r="AC40" s="566"/>
    </row>
    <row r="41" spans="1:29">
      <c r="A41" s="583" t="s">
        <v>1614</v>
      </c>
      <c r="B41" s="57" t="s">
        <v>15</v>
      </c>
      <c r="C41" s="560" t="s">
        <v>30</v>
      </c>
      <c r="D41" s="560"/>
      <c r="E41" s="57">
        <v>24.25</v>
      </c>
      <c r="F41" s="350">
        <v>2033</v>
      </c>
      <c r="G41" s="349">
        <f t="shared" si="27"/>
        <v>49300.25</v>
      </c>
      <c r="H41" s="359" t="s">
        <v>5</v>
      </c>
      <c r="I41" s="348">
        <v>13</v>
      </c>
      <c r="J41" s="58">
        <v>2400</v>
      </c>
      <c r="K41" s="59">
        <f t="shared" si="1"/>
        <v>184.61538461538461</v>
      </c>
      <c r="L41" s="348">
        <v>13</v>
      </c>
      <c r="M41" s="60">
        <f t="shared" si="28"/>
        <v>2301.5094339622656</v>
      </c>
      <c r="N41" s="66">
        <f t="shared" si="3"/>
        <v>177.03918722786659</v>
      </c>
      <c r="O41" s="61">
        <f t="shared" si="4"/>
        <v>0</v>
      </c>
      <c r="P41" s="62">
        <f t="shared" si="5"/>
        <v>-7.5761973875180217</v>
      </c>
      <c r="Q41" s="351">
        <f t="shared" si="6"/>
        <v>0.9589622641509441</v>
      </c>
      <c r="R41" s="566"/>
      <c r="S41" s="63">
        <v>0.39305555555555549</v>
      </c>
      <c r="T41" s="63">
        <v>0.42986111111111103</v>
      </c>
      <c r="U41" s="349">
        <f t="shared" si="30"/>
        <v>5.9999999999999787</v>
      </c>
      <c r="V41" s="354">
        <f t="shared" si="29"/>
        <v>52.999999999999972</v>
      </c>
      <c r="W41" s="64"/>
      <c r="X41" s="64"/>
      <c r="Y41" s="559"/>
      <c r="Z41" s="559"/>
      <c r="AA41" s="61">
        <f t="shared" si="8"/>
        <v>-98.490566037734425</v>
      </c>
      <c r="AB41" s="351">
        <f t="shared" si="9"/>
        <v>0.95896226415094399</v>
      </c>
      <c r="AC41" s="566"/>
    </row>
    <row r="42" spans="1:29">
      <c r="A42" s="583" t="s">
        <v>1614</v>
      </c>
      <c r="B42" s="57" t="s">
        <v>15</v>
      </c>
      <c r="C42" s="560" t="s">
        <v>16</v>
      </c>
      <c r="D42" s="560"/>
      <c r="E42" s="57">
        <v>24.45</v>
      </c>
      <c r="F42" s="350">
        <v>2669</v>
      </c>
      <c r="G42" s="349">
        <f t="shared" si="27"/>
        <v>65257.049999999996</v>
      </c>
      <c r="H42" s="359" t="s">
        <v>5</v>
      </c>
      <c r="I42" s="348">
        <v>20</v>
      </c>
      <c r="J42" s="58">
        <v>2400</v>
      </c>
      <c r="K42" s="59">
        <f t="shared" si="1"/>
        <v>120</v>
      </c>
      <c r="L42" s="348">
        <v>20</v>
      </c>
      <c r="M42" s="60">
        <f t="shared" si="28"/>
        <v>2287.7142857142862</v>
      </c>
      <c r="N42" s="66">
        <f t="shared" si="3"/>
        <v>114.38571428571431</v>
      </c>
      <c r="O42" s="61">
        <f t="shared" si="4"/>
        <v>0</v>
      </c>
      <c r="P42" s="62">
        <f t="shared" si="5"/>
        <v>-5.6142857142856855</v>
      </c>
      <c r="Q42" s="351">
        <f t="shared" si="6"/>
        <v>0.9532142857142859</v>
      </c>
      <c r="R42" s="566"/>
      <c r="S42" s="63">
        <v>0.43541666666666656</v>
      </c>
      <c r="T42" s="63">
        <v>0.48402777777777767</v>
      </c>
      <c r="U42" s="349">
        <f t="shared" si="30"/>
        <v>7.9999999999999716</v>
      </c>
      <c r="V42" s="354">
        <f t="shared" si="29"/>
        <v>69.999999999999986</v>
      </c>
      <c r="W42" s="64"/>
      <c r="X42" s="64"/>
      <c r="Y42" s="569"/>
      <c r="Z42" s="570"/>
      <c r="AA42" s="61">
        <f t="shared" si="8"/>
        <v>-112.28571428571377</v>
      </c>
      <c r="AB42" s="351">
        <f t="shared" si="9"/>
        <v>0.9532142857142859</v>
      </c>
      <c r="AC42" s="566"/>
    </row>
    <row r="43" spans="1:29">
      <c r="A43" s="583" t="s">
        <v>1614</v>
      </c>
      <c r="B43" s="57" t="s">
        <v>15</v>
      </c>
      <c r="C43" s="560" t="s">
        <v>100</v>
      </c>
      <c r="D43" s="560"/>
      <c r="E43" s="57">
        <v>28.51</v>
      </c>
      <c r="F43" s="350">
        <v>1500</v>
      </c>
      <c r="G43" s="349">
        <f t="shared" si="27"/>
        <v>42765</v>
      </c>
      <c r="H43" s="359" t="s">
        <v>5</v>
      </c>
      <c r="I43" s="348">
        <v>16</v>
      </c>
      <c r="J43" s="58">
        <v>2400</v>
      </c>
      <c r="K43" s="59">
        <f t="shared" si="1"/>
        <v>150</v>
      </c>
      <c r="L43" s="348">
        <v>16</v>
      </c>
      <c r="M43" s="60">
        <f t="shared" si="28"/>
        <v>2307.6923076923108</v>
      </c>
      <c r="N43" s="66">
        <f t="shared" si="3"/>
        <v>144.23076923076943</v>
      </c>
      <c r="O43" s="61">
        <f t="shared" si="4"/>
        <v>0</v>
      </c>
      <c r="P43" s="62">
        <f t="shared" si="5"/>
        <v>-5.7692307692305747</v>
      </c>
      <c r="Q43" s="351">
        <f t="shared" si="6"/>
        <v>0.96153846153846279</v>
      </c>
      <c r="R43" s="566"/>
      <c r="S43" s="63">
        <v>0.48888888888888876</v>
      </c>
      <c r="T43" s="63">
        <v>0.51597222222222205</v>
      </c>
      <c r="U43" s="349">
        <f t="shared" si="30"/>
        <v>6.9999999999999751</v>
      </c>
      <c r="V43" s="354">
        <f t="shared" si="29"/>
        <v>38.999999999999943</v>
      </c>
      <c r="W43" s="64">
        <f>T43</f>
        <v>0.51597222222222205</v>
      </c>
      <c r="X43" s="64">
        <f>S44</f>
        <v>0.5562499999999998</v>
      </c>
      <c r="Y43" s="569"/>
      <c r="Z43" s="570"/>
      <c r="AA43" s="61">
        <f t="shared" si="8"/>
        <v>-92.307692307689194</v>
      </c>
      <c r="AB43" s="351">
        <f t="shared" si="9"/>
        <v>0.96153846153846279</v>
      </c>
      <c r="AC43" s="566"/>
    </row>
    <row r="44" spans="1:29">
      <c r="A44" s="583" t="s">
        <v>1614</v>
      </c>
      <c r="B44" s="57" t="s">
        <v>15</v>
      </c>
      <c r="C44" s="560" t="s">
        <v>27</v>
      </c>
      <c r="D44" s="560"/>
      <c r="E44" s="57">
        <v>26.2</v>
      </c>
      <c r="F44" s="350">
        <v>2886</v>
      </c>
      <c r="G44" s="349">
        <f t="shared" si="27"/>
        <v>75613.2</v>
      </c>
      <c r="H44" s="359" t="s">
        <v>5</v>
      </c>
      <c r="I44" s="348">
        <v>18</v>
      </c>
      <c r="J44" s="58">
        <v>2400</v>
      </c>
      <c r="K44" s="59">
        <f t="shared" si="1"/>
        <v>133.33333333333334</v>
      </c>
      <c r="L44" s="348">
        <v>18</v>
      </c>
      <c r="M44" s="60">
        <f t="shared" si="28"/>
        <v>2308.7999999999979</v>
      </c>
      <c r="N44" s="66">
        <f t="shared" si="3"/>
        <v>128.26666666666654</v>
      </c>
      <c r="O44" s="61">
        <f t="shared" si="4"/>
        <v>0</v>
      </c>
      <c r="P44" s="62">
        <f t="shared" si="5"/>
        <v>-5.066666666666805</v>
      </c>
      <c r="Q44" s="351">
        <f t="shared" si="6"/>
        <v>0.96199999999999897</v>
      </c>
      <c r="R44" s="566"/>
      <c r="S44" s="63">
        <v>0.5562499999999998</v>
      </c>
      <c r="T44" s="63">
        <v>0.60833333333333317</v>
      </c>
      <c r="U44" s="349">
        <f t="shared" si="30"/>
        <v>57.999999999999957</v>
      </c>
      <c r="V44" s="354">
        <f t="shared" si="29"/>
        <v>75.000000000000057</v>
      </c>
      <c r="W44" s="64"/>
      <c r="X44" s="64"/>
      <c r="Y44" s="569"/>
      <c r="Z44" s="570"/>
      <c r="AA44" s="61">
        <f t="shared" si="8"/>
        <v>-91.200000000002092</v>
      </c>
      <c r="AB44" s="351">
        <f t="shared" si="9"/>
        <v>0.96199999999999908</v>
      </c>
      <c r="AC44" s="566"/>
    </row>
    <row r="45" spans="1:29">
      <c r="A45" s="583" t="s">
        <v>1614</v>
      </c>
      <c r="B45" s="57" t="s">
        <v>15</v>
      </c>
      <c r="C45" s="560" t="s">
        <v>28</v>
      </c>
      <c r="D45" s="560"/>
      <c r="E45" s="57">
        <v>26.39</v>
      </c>
      <c r="F45" s="350">
        <v>2763</v>
      </c>
      <c r="G45" s="349">
        <f t="shared" si="27"/>
        <v>72915.570000000007</v>
      </c>
      <c r="H45" s="359" t="s">
        <v>5</v>
      </c>
      <c r="I45" s="348">
        <v>19</v>
      </c>
      <c r="J45" s="58">
        <v>2400</v>
      </c>
      <c r="K45" s="59">
        <f t="shared" si="1"/>
        <v>126.31578947368421</v>
      </c>
      <c r="L45" s="348">
        <v>19</v>
      </c>
      <c r="M45" s="60">
        <f t="shared" si="28"/>
        <v>2302.4999999999982</v>
      </c>
      <c r="N45" s="66">
        <f t="shared" si="3"/>
        <v>121.1842105263157</v>
      </c>
      <c r="O45" s="61">
        <f t="shared" si="4"/>
        <v>0</v>
      </c>
      <c r="P45" s="62">
        <f t="shared" si="5"/>
        <v>-5.1315789473685101</v>
      </c>
      <c r="Q45" s="351">
        <f t="shared" si="6"/>
        <v>0.95937499999999931</v>
      </c>
      <c r="R45" s="566"/>
      <c r="S45" s="63">
        <v>0.61249999999999982</v>
      </c>
      <c r="T45" s="63">
        <v>0.66249999999999987</v>
      </c>
      <c r="U45" s="349">
        <f t="shared" si="30"/>
        <v>5.9999999999999787</v>
      </c>
      <c r="V45" s="354">
        <f t="shared" si="29"/>
        <v>72.000000000000057</v>
      </c>
      <c r="W45" s="64"/>
      <c r="X45" s="64"/>
      <c r="Y45" s="569"/>
      <c r="Z45" s="570"/>
      <c r="AA45" s="61">
        <f t="shared" si="8"/>
        <v>-97.500000000001819</v>
      </c>
      <c r="AB45" s="351">
        <f t="shared" si="9"/>
        <v>0.9593749999999992</v>
      </c>
      <c r="AC45" s="566"/>
    </row>
    <row r="46" spans="1:29">
      <c r="A46" s="583" t="s">
        <v>1614</v>
      </c>
      <c r="B46" s="57" t="s">
        <v>15</v>
      </c>
      <c r="C46" s="560" t="s">
        <v>658</v>
      </c>
      <c r="D46" s="560"/>
      <c r="E46" s="57">
        <v>21.68</v>
      </c>
      <c r="F46" s="350">
        <v>1418</v>
      </c>
      <c r="G46" s="349">
        <f t="shared" si="27"/>
        <v>30742.239999999998</v>
      </c>
      <c r="H46" s="359" t="s">
        <v>5</v>
      </c>
      <c r="I46" s="348">
        <v>16</v>
      </c>
      <c r="J46" s="58">
        <v>2400</v>
      </c>
      <c r="K46" s="59">
        <f t="shared" si="1"/>
        <v>150</v>
      </c>
      <c r="L46" s="348">
        <v>16</v>
      </c>
      <c r="M46" s="60">
        <f t="shared" si="28"/>
        <v>2299.4594594594578</v>
      </c>
      <c r="N46" s="66">
        <f t="shared" si="3"/>
        <v>143.71621621621611</v>
      </c>
      <c r="O46" s="61">
        <f t="shared" si="4"/>
        <v>0</v>
      </c>
      <c r="P46" s="62">
        <f t="shared" si="5"/>
        <v>-6.283783783783889</v>
      </c>
      <c r="Q46" s="351">
        <f t="shared" si="6"/>
        <v>0.95810810810810743</v>
      </c>
      <c r="R46" s="566"/>
      <c r="S46" s="63">
        <v>0.66666666666666652</v>
      </c>
      <c r="T46" s="63">
        <v>0.69236111111111098</v>
      </c>
      <c r="U46" s="349">
        <f t="shared" si="30"/>
        <v>5.9999999999999787</v>
      </c>
      <c r="V46" s="354">
        <f t="shared" si="29"/>
        <v>37.000000000000028</v>
      </c>
      <c r="W46" s="64"/>
      <c r="X46" s="64"/>
      <c r="Y46" s="569"/>
      <c r="Z46" s="570"/>
      <c r="AA46" s="61">
        <f t="shared" si="8"/>
        <v>-100.54054054054222</v>
      </c>
      <c r="AB46" s="351">
        <f t="shared" si="9"/>
        <v>0.95810810810810743</v>
      </c>
      <c r="AC46" s="566"/>
    </row>
    <row r="47" spans="1:29">
      <c r="A47" s="583" t="s">
        <v>1614</v>
      </c>
      <c r="B47" s="66" t="s">
        <v>1609</v>
      </c>
      <c r="C47" s="571"/>
      <c r="D47" s="571"/>
      <c r="E47" s="355"/>
      <c r="F47" s="66"/>
      <c r="G47" s="59"/>
      <c r="H47" s="350"/>
      <c r="I47" s="67">
        <v>17.181818181818183</v>
      </c>
      <c r="J47" s="58">
        <v>2400</v>
      </c>
      <c r="K47" s="59">
        <f t="shared" si="1"/>
        <v>139.68253968253967</v>
      </c>
      <c r="L47" s="67">
        <v>17.181818181818183</v>
      </c>
      <c r="M47" s="60">
        <f>AVERAGE(M36:M46)</f>
        <v>2302.4095717352488</v>
      </c>
      <c r="N47" s="66">
        <f t="shared" si="3"/>
        <v>134.00267348723671</v>
      </c>
      <c r="O47" s="61">
        <f t="shared" si="4"/>
        <v>0</v>
      </c>
      <c r="P47" s="62">
        <f t="shared" si="5"/>
        <v>-5.6798661953029637</v>
      </c>
      <c r="Q47" s="351">
        <f t="shared" si="6"/>
        <v>0.95933732155635376</v>
      </c>
      <c r="R47" s="566"/>
      <c r="S47" s="63"/>
      <c r="T47" s="63"/>
      <c r="U47" s="59"/>
      <c r="V47" s="354"/>
      <c r="W47" s="59"/>
      <c r="X47" s="59"/>
      <c r="Y47" s="559"/>
      <c r="Z47" s="559"/>
      <c r="AA47" s="61">
        <f t="shared" si="8"/>
        <v>-97.590428264751154</v>
      </c>
      <c r="AB47" s="351">
        <f t="shared" si="9"/>
        <v>0.95933732155635365</v>
      </c>
      <c r="AC47" s="566"/>
    </row>
    <row r="48" spans="1:29" ht="15.75" customHeight="1">
      <c r="A48" s="576" t="s">
        <v>1615</v>
      </c>
      <c r="B48" s="57" t="s">
        <v>31</v>
      </c>
      <c r="C48" s="567" t="s">
        <v>32</v>
      </c>
      <c r="D48" s="568"/>
      <c r="E48" s="57">
        <v>21.13</v>
      </c>
      <c r="F48" s="350">
        <v>5664</v>
      </c>
      <c r="G48" s="349">
        <f t="shared" ref="G48:G54" si="31">E48*F48</f>
        <v>119680.31999999999</v>
      </c>
      <c r="H48" s="359" t="s">
        <v>5</v>
      </c>
      <c r="I48" s="348">
        <v>10</v>
      </c>
      <c r="J48" s="58">
        <v>3000</v>
      </c>
      <c r="K48" s="59">
        <f t="shared" si="1"/>
        <v>300</v>
      </c>
      <c r="L48" s="348">
        <v>10</v>
      </c>
      <c r="M48" s="60">
        <f t="shared" ref="M48:M54" si="32">F48/V48*60</f>
        <v>2855.7983193277314</v>
      </c>
      <c r="N48" s="58">
        <f t="shared" si="3"/>
        <v>285.57983193277312</v>
      </c>
      <c r="O48" s="61">
        <f t="shared" si="4"/>
        <v>0</v>
      </c>
      <c r="P48" s="62">
        <f t="shared" si="5"/>
        <v>-14.420168067226882</v>
      </c>
      <c r="Q48" s="351">
        <f t="shared" si="6"/>
        <v>0.95193277310924374</v>
      </c>
      <c r="R48" s="579">
        <f>Q55</f>
        <v>0.95704967020188969</v>
      </c>
      <c r="S48" s="63">
        <v>8.3333333333333329E-2</v>
      </c>
      <c r="T48" s="63">
        <v>0.16597222222222222</v>
      </c>
      <c r="U48" s="68"/>
      <c r="V48" s="354">
        <f t="shared" ref="V48:V54" si="33">(T48-S48)*24*60</f>
        <v>119</v>
      </c>
      <c r="W48" s="64">
        <f>T48</f>
        <v>0.16597222222222222</v>
      </c>
      <c r="X48" s="64">
        <f>S49</f>
        <v>0.18541666666666667</v>
      </c>
      <c r="Y48" s="569"/>
      <c r="Z48" s="570"/>
      <c r="AA48" s="61">
        <f t="shared" si="8"/>
        <v>-144.20168067226859</v>
      </c>
      <c r="AB48" s="351">
        <f t="shared" si="9"/>
        <v>0.95193277310924385</v>
      </c>
      <c r="AC48" s="579">
        <f>AB55</f>
        <v>0.9570496702018898</v>
      </c>
    </row>
    <row r="49" spans="1:29" ht="15.75" customHeight="1">
      <c r="A49" s="577" t="s">
        <v>1615</v>
      </c>
      <c r="B49" s="57" t="s">
        <v>31</v>
      </c>
      <c r="C49" s="567" t="s">
        <v>33</v>
      </c>
      <c r="D49" s="568"/>
      <c r="E49" s="57">
        <v>27.17</v>
      </c>
      <c r="F49" s="350">
        <v>4000</v>
      </c>
      <c r="G49" s="349">
        <f t="shared" si="31"/>
        <v>108680</v>
      </c>
      <c r="H49" s="359">
        <v>2</v>
      </c>
      <c r="I49" s="348">
        <v>10</v>
      </c>
      <c r="J49" s="58">
        <v>3000</v>
      </c>
      <c r="K49" s="59">
        <f t="shared" si="1"/>
        <v>300</v>
      </c>
      <c r="L49" s="348">
        <v>10</v>
      </c>
      <c r="M49" s="60">
        <f t="shared" si="32"/>
        <v>2857.1428571428578</v>
      </c>
      <c r="N49" s="58">
        <f t="shared" si="3"/>
        <v>285.71428571428578</v>
      </c>
      <c r="O49" s="61">
        <f t="shared" si="4"/>
        <v>0</v>
      </c>
      <c r="P49" s="62">
        <f t="shared" si="5"/>
        <v>-14.285714285714221</v>
      </c>
      <c r="Q49" s="351">
        <f t="shared" si="6"/>
        <v>0.95238095238095255</v>
      </c>
      <c r="R49" s="580"/>
      <c r="S49" s="63">
        <v>0.18541666666666667</v>
      </c>
      <c r="T49" s="63">
        <v>0.24374999999999999</v>
      </c>
      <c r="U49" s="349">
        <f t="shared" ref="U49:U54" si="34">(S49-T48)*24*60</f>
        <v>28.000000000000021</v>
      </c>
      <c r="V49" s="354">
        <f t="shared" si="33"/>
        <v>83.999999999999986</v>
      </c>
      <c r="W49" s="64"/>
      <c r="X49" s="64"/>
      <c r="Y49" s="569"/>
      <c r="Z49" s="570"/>
      <c r="AA49" s="61">
        <f t="shared" si="8"/>
        <v>-142.85714285714221</v>
      </c>
      <c r="AB49" s="351">
        <f t="shared" si="9"/>
        <v>0.95238095238095255</v>
      </c>
      <c r="AC49" s="580"/>
    </row>
    <row r="50" spans="1:29" ht="15.75" customHeight="1">
      <c r="A50" s="577" t="s">
        <v>1615</v>
      </c>
      <c r="B50" s="57" t="s">
        <v>31</v>
      </c>
      <c r="C50" s="567" t="s">
        <v>35</v>
      </c>
      <c r="D50" s="568"/>
      <c r="E50" s="57">
        <v>35.869999999999997</v>
      </c>
      <c r="F50" s="350">
        <v>3083</v>
      </c>
      <c r="G50" s="349">
        <f t="shared" si="31"/>
        <v>110587.20999999999</v>
      </c>
      <c r="H50" s="359" t="s">
        <v>5</v>
      </c>
      <c r="I50" s="348">
        <v>9</v>
      </c>
      <c r="J50" s="58">
        <v>3000</v>
      </c>
      <c r="K50" s="59">
        <f t="shared" si="1"/>
        <v>333.33333333333331</v>
      </c>
      <c r="L50" s="348">
        <v>9</v>
      </c>
      <c r="M50" s="60">
        <f t="shared" si="32"/>
        <v>2890.3124999999991</v>
      </c>
      <c r="N50" s="58">
        <f t="shared" si="3"/>
        <v>321.14583333333326</v>
      </c>
      <c r="O50" s="61">
        <f t="shared" si="4"/>
        <v>0</v>
      </c>
      <c r="P50" s="62">
        <f t="shared" si="5"/>
        <v>-12.187500000000057</v>
      </c>
      <c r="Q50" s="351">
        <f t="shared" si="6"/>
        <v>0.96343749999999984</v>
      </c>
      <c r="R50" s="580"/>
      <c r="S50" s="63">
        <v>0.24861111111111112</v>
      </c>
      <c r="T50" s="63">
        <v>0.29305555555555557</v>
      </c>
      <c r="U50" s="349">
        <f t="shared" si="34"/>
        <v>7.0000000000000151</v>
      </c>
      <c r="V50" s="354">
        <f t="shared" si="33"/>
        <v>64.000000000000014</v>
      </c>
      <c r="W50" s="64"/>
      <c r="X50" s="64"/>
      <c r="Y50" s="569"/>
      <c r="Z50" s="570"/>
      <c r="AA50" s="61">
        <f t="shared" si="8"/>
        <v>-109.68750000000091</v>
      </c>
      <c r="AB50" s="351">
        <f t="shared" si="9"/>
        <v>0.96343749999999972</v>
      </c>
      <c r="AC50" s="580"/>
    </row>
    <row r="51" spans="1:29" ht="15.75" customHeight="1">
      <c r="A51" s="577" t="s">
        <v>1615</v>
      </c>
      <c r="B51" s="57" t="s">
        <v>31</v>
      </c>
      <c r="C51" s="567" t="s">
        <v>34</v>
      </c>
      <c r="D51" s="568"/>
      <c r="E51" s="57">
        <v>35.119999999999997</v>
      </c>
      <c r="F51" s="350">
        <v>4646</v>
      </c>
      <c r="G51" s="349">
        <f t="shared" si="31"/>
        <v>163167.51999999999</v>
      </c>
      <c r="H51" s="359" t="s">
        <v>5</v>
      </c>
      <c r="I51" s="348">
        <v>10</v>
      </c>
      <c r="J51" s="58">
        <v>3000</v>
      </c>
      <c r="K51" s="59">
        <f t="shared" si="1"/>
        <v>300</v>
      </c>
      <c r="L51" s="348">
        <v>10</v>
      </c>
      <c r="M51" s="60">
        <f t="shared" si="32"/>
        <v>2873.8144329896918</v>
      </c>
      <c r="N51" s="58">
        <f t="shared" si="3"/>
        <v>287.3814432989692</v>
      </c>
      <c r="O51" s="61">
        <f t="shared" si="4"/>
        <v>0</v>
      </c>
      <c r="P51" s="62">
        <f t="shared" si="5"/>
        <v>-12.618556701030798</v>
      </c>
      <c r="Q51" s="351">
        <f t="shared" si="6"/>
        <v>0.95793814432989732</v>
      </c>
      <c r="R51" s="580"/>
      <c r="S51" s="63">
        <v>0.29791666666666666</v>
      </c>
      <c r="T51" s="63">
        <v>0.36527777777777776</v>
      </c>
      <c r="U51" s="349">
        <f t="shared" si="34"/>
        <v>6.9999999999999751</v>
      </c>
      <c r="V51" s="354">
        <f t="shared" si="33"/>
        <v>96.999999999999972</v>
      </c>
      <c r="W51" s="64"/>
      <c r="X51" s="64"/>
      <c r="Y51" s="569"/>
      <c r="Z51" s="570"/>
      <c r="AA51" s="61">
        <f t="shared" si="8"/>
        <v>-126.1855670103082</v>
      </c>
      <c r="AB51" s="351">
        <f t="shared" si="9"/>
        <v>0.95793814432989721</v>
      </c>
      <c r="AC51" s="580"/>
    </row>
    <row r="52" spans="1:29" ht="15.75" customHeight="1">
      <c r="A52" s="577" t="s">
        <v>1615</v>
      </c>
      <c r="B52" s="57" t="s">
        <v>31</v>
      </c>
      <c r="C52" s="567" t="s">
        <v>71</v>
      </c>
      <c r="D52" s="568"/>
      <c r="E52" s="57">
        <v>31</v>
      </c>
      <c r="F52" s="350">
        <v>2461</v>
      </c>
      <c r="G52" s="349">
        <f t="shared" si="31"/>
        <v>76291</v>
      </c>
      <c r="H52" s="359" t="s">
        <v>5</v>
      </c>
      <c r="I52" s="348">
        <v>13</v>
      </c>
      <c r="J52" s="58">
        <v>2000</v>
      </c>
      <c r="K52" s="59">
        <f t="shared" si="1"/>
        <v>153.84615384615384</v>
      </c>
      <c r="L52" s="348">
        <v>13</v>
      </c>
      <c r="M52" s="60">
        <f t="shared" si="32"/>
        <v>1917.6623376623384</v>
      </c>
      <c r="N52" s="58">
        <f t="shared" si="3"/>
        <v>147.51248751248755</v>
      </c>
      <c r="O52" s="61">
        <f t="shared" si="4"/>
        <v>0</v>
      </c>
      <c r="P52" s="62">
        <f t="shared" si="5"/>
        <v>-6.3336663336662866</v>
      </c>
      <c r="Q52" s="351">
        <f t="shared" si="6"/>
        <v>0.95883116883116914</v>
      </c>
      <c r="R52" s="580"/>
      <c r="S52" s="63">
        <v>0.36944444444444441</v>
      </c>
      <c r="T52" s="63">
        <v>0.42291666666666661</v>
      </c>
      <c r="U52" s="349">
        <f t="shared" si="34"/>
        <v>5.9999999999999787</v>
      </c>
      <c r="V52" s="354">
        <f t="shared" si="33"/>
        <v>76.999999999999972</v>
      </c>
      <c r="W52" s="64"/>
      <c r="X52" s="64"/>
      <c r="Y52" s="569"/>
      <c r="Z52" s="570"/>
      <c r="AA52" s="61">
        <f t="shared" si="8"/>
        <v>-82.337662337661641</v>
      </c>
      <c r="AB52" s="351">
        <f t="shared" si="9"/>
        <v>0.95883116883116914</v>
      </c>
      <c r="AC52" s="580"/>
    </row>
    <row r="53" spans="1:29" ht="15.75" customHeight="1">
      <c r="A53" s="577" t="s">
        <v>1615</v>
      </c>
      <c r="B53" s="57" t="s">
        <v>31</v>
      </c>
      <c r="C53" s="567" t="s">
        <v>659</v>
      </c>
      <c r="D53" s="568"/>
      <c r="E53" s="57">
        <v>37.880000000000003</v>
      </c>
      <c r="F53" s="350">
        <v>3303</v>
      </c>
      <c r="G53" s="349">
        <f t="shared" si="31"/>
        <v>125117.64000000001</v>
      </c>
      <c r="H53" s="359" t="s">
        <v>5</v>
      </c>
      <c r="I53" s="348">
        <v>16</v>
      </c>
      <c r="J53" s="58">
        <v>2000</v>
      </c>
      <c r="K53" s="59">
        <f t="shared" si="1"/>
        <v>125</v>
      </c>
      <c r="L53" s="348">
        <v>16</v>
      </c>
      <c r="M53" s="60">
        <f t="shared" si="32"/>
        <v>1905.5769230769226</v>
      </c>
      <c r="N53" s="58">
        <f t="shared" si="3"/>
        <v>119.09855769230766</v>
      </c>
      <c r="O53" s="61">
        <f t="shared" si="4"/>
        <v>0</v>
      </c>
      <c r="P53" s="62">
        <f t="shared" si="5"/>
        <v>-5.901442307692335</v>
      </c>
      <c r="Q53" s="351">
        <f t="shared" si="6"/>
        <v>0.95278846153846131</v>
      </c>
      <c r="R53" s="580"/>
      <c r="S53" s="63">
        <v>0.42638888888888882</v>
      </c>
      <c r="T53" s="63">
        <v>0.49861111111111106</v>
      </c>
      <c r="U53" s="349">
        <f t="shared" si="34"/>
        <v>4.9999999999999822</v>
      </c>
      <c r="V53" s="354">
        <f t="shared" si="33"/>
        <v>104.00000000000003</v>
      </c>
      <c r="W53" s="64">
        <f>T53</f>
        <v>0.49861111111111106</v>
      </c>
      <c r="X53" s="64">
        <f>S54</f>
        <v>0.54027777777777775</v>
      </c>
      <c r="Y53" s="569"/>
      <c r="Z53" s="570"/>
      <c r="AA53" s="61">
        <f t="shared" si="8"/>
        <v>-94.42307692307736</v>
      </c>
      <c r="AB53" s="351">
        <f t="shared" si="9"/>
        <v>0.95278846153846131</v>
      </c>
      <c r="AC53" s="580"/>
    </row>
    <row r="54" spans="1:29" ht="15.75" customHeight="1">
      <c r="A54" s="577" t="s">
        <v>1615</v>
      </c>
      <c r="B54" s="57" t="s">
        <v>31</v>
      </c>
      <c r="C54" s="567" t="s">
        <v>33</v>
      </c>
      <c r="D54" s="568"/>
      <c r="E54" s="57">
        <v>27.17</v>
      </c>
      <c r="F54" s="350">
        <v>3172</v>
      </c>
      <c r="G54" s="349">
        <f t="shared" si="31"/>
        <v>86183.24</v>
      </c>
      <c r="H54" s="359" t="s">
        <v>5</v>
      </c>
      <c r="I54" s="348">
        <v>10</v>
      </c>
      <c r="J54" s="58">
        <v>3000</v>
      </c>
      <c r="K54" s="59">
        <f t="shared" si="1"/>
        <v>300</v>
      </c>
      <c r="L54" s="348">
        <v>10</v>
      </c>
      <c r="M54" s="60">
        <f t="shared" si="32"/>
        <v>2883.6363636363667</v>
      </c>
      <c r="N54" s="58">
        <f t="shared" si="3"/>
        <v>288.36363636363666</v>
      </c>
      <c r="O54" s="61">
        <f t="shared" si="4"/>
        <v>0</v>
      </c>
      <c r="P54" s="62">
        <f t="shared" si="5"/>
        <v>-11.636363636363342</v>
      </c>
      <c r="Q54" s="351">
        <f t="shared" si="6"/>
        <v>0.96121212121212218</v>
      </c>
      <c r="R54" s="580"/>
      <c r="S54" s="63">
        <v>0.54027777777777775</v>
      </c>
      <c r="T54" s="63">
        <v>0.58611111111111103</v>
      </c>
      <c r="U54" s="349">
        <f t="shared" si="34"/>
        <v>60.000000000000028</v>
      </c>
      <c r="V54" s="354">
        <f t="shared" si="33"/>
        <v>65.999999999999929</v>
      </c>
      <c r="W54" s="64"/>
      <c r="X54" s="64"/>
      <c r="Y54" s="569"/>
      <c r="Z54" s="570"/>
      <c r="AA54" s="61">
        <f t="shared" si="8"/>
        <v>-116.3636363636333</v>
      </c>
      <c r="AB54" s="351">
        <f t="shared" si="9"/>
        <v>0.96121212121212218</v>
      </c>
      <c r="AC54" s="580"/>
    </row>
    <row r="55" spans="1:29" ht="15.75" customHeight="1">
      <c r="A55" s="578" t="s">
        <v>1615</v>
      </c>
      <c r="B55" s="57" t="s">
        <v>1609</v>
      </c>
      <c r="C55" s="561"/>
      <c r="D55" s="562"/>
      <c r="E55" s="358"/>
      <c r="F55" s="350"/>
      <c r="G55" s="349"/>
      <c r="H55" s="350"/>
      <c r="I55" s="67">
        <v>11.142857142857142</v>
      </c>
      <c r="J55" s="58">
        <v>2714.2857142857142</v>
      </c>
      <c r="K55" s="59">
        <f t="shared" si="1"/>
        <v>243.58974358974359</v>
      </c>
      <c r="L55" s="67">
        <v>11.142857142857142</v>
      </c>
      <c r="M55" s="60">
        <f>AVERAGE(M48:M54)</f>
        <v>2597.7062476908436</v>
      </c>
      <c r="N55" s="66">
        <f t="shared" si="3"/>
        <v>233.12748376712699</v>
      </c>
      <c r="O55" s="61">
        <f t="shared" si="4"/>
        <v>0</v>
      </c>
      <c r="P55" s="62">
        <f t="shared" si="5"/>
        <v>-10.462259822616602</v>
      </c>
      <c r="Q55" s="351">
        <f t="shared" si="6"/>
        <v>0.95704967020188969</v>
      </c>
      <c r="R55" s="581"/>
      <c r="S55" s="63"/>
      <c r="T55" s="63"/>
      <c r="U55" s="349"/>
      <c r="V55" s="354"/>
      <c r="W55" s="64"/>
      <c r="X55" s="64"/>
      <c r="Y55" s="569"/>
      <c r="Z55" s="570"/>
      <c r="AA55" s="61">
        <f t="shared" si="8"/>
        <v>-116.57946659487061</v>
      </c>
      <c r="AB55" s="351">
        <f t="shared" si="9"/>
        <v>0.9570496702018898</v>
      </c>
      <c r="AC55" s="581"/>
    </row>
    <row r="56" spans="1:29" ht="15.75" customHeight="1">
      <c r="A56" s="574" t="s">
        <v>1616</v>
      </c>
      <c r="B56" s="57" t="s">
        <v>10</v>
      </c>
      <c r="C56" s="560" t="s">
        <v>37</v>
      </c>
      <c r="D56" s="560"/>
      <c r="E56" s="57">
        <v>46</v>
      </c>
      <c r="F56" s="69">
        <v>2127</v>
      </c>
      <c r="G56" s="349">
        <v>97842</v>
      </c>
      <c r="H56" s="359" t="s">
        <v>5</v>
      </c>
      <c r="I56" s="348">
        <v>17</v>
      </c>
      <c r="J56" s="58">
        <v>2000</v>
      </c>
      <c r="K56" s="59">
        <f t="shared" si="1"/>
        <v>117.64705882352941</v>
      </c>
      <c r="L56" s="348">
        <v>17</v>
      </c>
      <c r="M56" s="60">
        <f t="shared" ref="M56:M63" si="35">F56/V56*60</f>
        <v>1904.7761194029863</v>
      </c>
      <c r="N56" s="58">
        <f t="shared" si="3"/>
        <v>112.0456540825286</v>
      </c>
      <c r="O56" s="61">
        <f t="shared" si="4"/>
        <v>0</v>
      </c>
      <c r="P56" s="62">
        <f t="shared" si="5"/>
        <v>-5.6014047410008061</v>
      </c>
      <c r="Q56" s="351">
        <f t="shared" si="6"/>
        <v>0.95238805970149309</v>
      </c>
      <c r="R56" s="566">
        <f>Q64</f>
        <v>0.88753176931590527</v>
      </c>
      <c r="S56" s="63">
        <v>0.20833333333333334</v>
      </c>
      <c r="T56" s="63">
        <v>0.25486111111111109</v>
      </c>
      <c r="U56" s="68"/>
      <c r="V56" s="354">
        <v>66.999999999999957</v>
      </c>
      <c r="W56" s="68"/>
      <c r="X56" s="68"/>
      <c r="Y56" s="559"/>
      <c r="Z56" s="559"/>
      <c r="AA56" s="61">
        <f t="shared" si="8"/>
        <v>-95.223880597013704</v>
      </c>
      <c r="AB56" s="351">
        <f t="shared" si="9"/>
        <v>0.95238805970149309</v>
      </c>
      <c r="AC56" s="566">
        <f>AB64</f>
        <v>0.88753176931590538</v>
      </c>
    </row>
    <row r="57" spans="1:29" ht="15.75" customHeight="1">
      <c r="A57" s="574" t="s">
        <v>1616</v>
      </c>
      <c r="B57" s="57" t="s">
        <v>10</v>
      </c>
      <c r="C57" s="560" t="s">
        <v>38</v>
      </c>
      <c r="D57" s="560"/>
      <c r="E57" s="57">
        <v>46</v>
      </c>
      <c r="F57" s="69">
        <v>2157</v>
      </c>
      <c r="G57" s="349">
        <v>99222</v>
      </c>
      <c r="H57" s="359" t="s">
        <v>5</v>
      </c>
      <c r="I57" s="348">
        <v>17</v>
      </c>
      <c r="J57" s="58">
        <v>2000</v>
      </c>
      <c r="K57" s="59">
        <f t="shared" si="1"/>
        <v>117.64705882352941</v>
      </c>
      <c r="L57" s="348">
        <v>17</v>
      </c>
      <c r="M57" s="60">
        <f t="shared" si="35"/>
        <v>1931.641791044776</v>
      </c>
      <c r="N57" s="58">
        <f t="shared" si="3"/>
        <v>113.62598770851623</v>
      </c>
      <c r="O57" s="61">
        <f t="shared" si="4"/>
        <v>0</v>
      </c>
      <c r="P57" s="62">
        <f t="shared" si="5"/>
        <v>-4.0210711150131715</v>
      </c>
      <c r="Q57" s="351">
        <f t="shared" si="6"/>
        <v>0.96582089552238803</v>
      </c>
      <c r="R57" s="566"/>
      <c r="S57" s="63">
        <v>0.26041666666666663</v>
      </c>
      <c r="T57" s="63">
        <v>0.30694444444444441</v>
      </c>
      <c r="U57" s="349">
        <v>7.9999999999999716</v>
      </c>
      <c r="V57" s="354">
        <v>67</v>
      </c>
      <c r="W57" s="64"/>
      <c r="X57" s="64"/>
      <c r="Y57" s="559"/>
      <c r="Z57" s="559"/>
      <c r="AA57" s="61">
        <f t="shared" si="8"/>
        <v>-68.358208955223972</v>
      </c>
      <c r="AB57" s="351">
        <f t="shared" si="9"/>
        <v>0.96582089552238803</v>
      </c>
      <c r="AC57" s="566"/>
    </row>
    <row r="58" spans="1:29" ht="15.75" customHeight="1">
      <c r="A58" s="574" t="s">
        <v>1616</v>
      </c>
      <c r="B58" s="57" t="s">
        <v>6</v>
      </c>
      <c r="C58" s="567" t="s">
        <v>1181</v>
      </c>
      <c r="D58" s="568"/>
      <c r="E58" s="57">
        <v>51.86</v>
      </c>
      <c r="F58" s="69">
        <v>1300</v>
      </c>
      <c r="G58" s="349">
        <v>67418</v>
      </c>
      <c r="H58" s="359" t="s">
        <v>5</v>
      </c>
      <c r="I58" s="348">
        <v>25</v>
      </c>
      <c r="J58" s="58">
        <v>2000</v>
      </c>
      <c r="K58" s="66">
        <f t="shared" si="1"/>
        <v>80</v>
      </c>
      <c r="L58" s="348">
        <v>25</v>
      </c>
      <c r="M58" s="58">
        <f t="shared" si="35"/>
        <v>1278.6885245901633</v>
      </c>
      <c r="N58" s="58">
        <f t="shared" si="3"/>
        <v>51.147540983606532</v>
      </c>
      <c r="O58" s="303">
        <f t="shared" si="4"/>
        <v>0</v>
      </c>
      <c r="P58" s="304">
        <f t="shared" si="5"/>
        <v>-28.852459016393468</v>
      </c>
      <c r="Q58" s="305">
        <f t="shared" si="6"/>
        <v>0.63934426229508168</v>
      </c>
      <c r="R58" s="566"/>
      <c r="S58" s="63">
        <v>0.31041666666666662</v>
      </c>
      <c r="T58" s="63">
        <v>0.35277777777777775</v>
      </c>
      <c r="U58" s="349">
        <v>4.9999999999999822</v>
      </c>
      <c r="V58" s="354">
        <v>61.000000000000021</v>
      </c>
      <c r="W58" s="64"/>
      <c r="X58" s="64"/>
      <c r="Y58" s="352"/>
      <c r="Z58" s="353"/>
      <c r="AA58" s="61">
        <f t="shared" si="8"/>
        <v>-721.3114754098367</v>
      </c>
      <c r="AB58" s="351">
        <f t="shared" si="9"/>
        <v>0.63934426229508168</v>
      </c>
      <c r="AC58" s="566"/>
    </row>
    <row r="59" spans="1:29" ht="15.75" customHeight="1">
      <c r="A59" s="574" t="s">
        <v>1616</v>
      </c>
      <c r="B59" s="57" t="s">
        <v>6</v>
      </c>
      <c r="C59" s="356" t="s">
        <v>1182</v>
      </c>
      <c r="D59" s="357"/>
      <c r="E59" s="57">
        <v>56.43</v>
      </c>
      <c r="F59" s="69">
        <v>2412</v>
      </c>
      <c r="G59" s="349">
        <v>136109.16</v>
      </c>
      <c r="H59" s="359" t="s">
        <v>5</v>
      </c>
      <c r="I59" s="348">
        <v>22</v>
      </c>
      <c r="J59" s="58">
        <v>2000</v>
      </c>
      <c r="K59" s="66">
        <f t="shared" si="1"/>
        <v>90.909090909090907</v>
      </c>
      <c r="L59" s="348">
        <v>22</v>
      </c>
      <c r="M59" s="58">
        <f t="shared" si="35"/>
        <v>1476.7346938775513</v>
      </c>
      <c r="N59" s="58">
        <f t="shared" si="3"/>
        <v>67.124304267161421</v>
      </c>
      <c r="O59" s="303">
        <f t="shared" si="4"/>
        <v>0</v>
      </c>
      <c r="P59" s="304">
        <f t="shared" si="5"/>
        <v>-23.784786641929486</v>
      </c>
      <c r="Q59" s="305">
        <f t="shared" si="6"/>
        <v>0.73836734693877559</v>
      </c>
      <c r="R59" s="566"/>
      <c r="S59" s="63">
        <v>0.35763888888888884</v>
      </c>
      <c r="T59" s="63">
        <v>0.42569444444444438</v>
      </c>
      <c r="U59" s="349">
        <v>6.9999999999999751</v>
      </c>
      <c r="V59" s="354">
        <v>97.999999999999972</v>
      </c>
      <c r="W59" s="64"/>
      <c r="X59" s="64"/>
      <c r="Y59" s="352"/>
      <c r="Z59" s="353"/>
      <c r="AA59" s="61">
        <f t="shared" si="8"/>
        <v>-523.26530612244869</v>
      </c>
      <c r="AB59" s="351">
        <f t="shared" si="9"/>
        <v>0.7383673469387757</v>
      </c>
      <c r="AC59" s="566"/>
    </row>
    <row r="60" spans="1:29" ht="15.75" customHeight="1">
      <c r="A60" s="574" t="s">
        <v>1616</v>
      </c>
      <c r="B60" s="57" t="s">
        <v>6</v>
      </c>
      <c r="C60" s="356" t="s">
        <v>39</v>
      </c>
      <c r="D60" s="357"/>
      <c r="E60" s="57">
        <v>55.56</v>
      </c>
      <c r="F60" s="69">
        <v>2282</v>
      </c>
      <c r="G60" s="349">
        <v>126787.92</v>
      </c>
      <c r="H60" s="359" t="s">
        <v>5</v>
      </c>
      <c r="I60" s="348">
        <v>17</v>
      </c>
      <c r="J60" s="58">
        <v>2000</v>
      </c>
      <c r="K60" s="59">
        <f t="shared" si="1"/>
        <v>117.64705882352941</v>
      </c>
      <c r="L60" s="348">
        <v>17</v>
      </c>
      <c r="M60" s="60">
        <f t="shared" si="35"/>
        <v>1928.4507042253499</v>
      </c>
      <c r="N60" s="58">
        <f t="shared" si="3"/>
        <v>113.43827671913823</v>
      </c>
      <c r="O60" s="61">
        <f t="shared" si="4"/>
        <v>0</v>
      </c>
      <c r="P60" s="62">
        <f t="shared" si="5"/>
        <v>-4.2087821043911759</v>
      </c>
      <c r="Q60" s="351">
        <f t="shared" si="6"/>
        <v>0.96422535211267502</v>
      </c>
      <c r="R60" s="566"/>
      <c r="S60" s="63">
        <v>0.70833333333333337</v>
      </c>
      <c r="T60" s="63">
        <v>0.75763888888888897</v>
      </c>
      <c r="U60" s="349" t="s">
        <v>5</v>
      </c>
      <c r="V60" s="354">
        <v>71.000000000000071</v>
      </c>
      <c r="W60" s="64"/>
      <c r="X60" s="64"/>
      <c r="Y60" s="352"/>
      <c r="Z60" s="353"/>
      <c r="AA60" s="61">
        <f t="shared" si="8"/>
        <v>-71.549295774650091</v>
      </c>
      <c r="AB60" s="351">
        <f t="shared" si="9"/>
        <v>0.9642253521126749</v>
      </c>
      <c r="AC60" s="566"/>
    </row>
    <row r="61" spans="1:29" ht="15.75" customHeight="1">
      <c r="A61" s="574" t="s">
        <v>1616</v>
      </c>
      <c r="B61" s="57" t="s">
        <v>6</v>
      </c>
      <c r="C61" s="567" t="s">
        <v>40</v>
      </c>
      <c r="D61" s="568"/>
      <c r="E61" s="57">
        <v>55.32</v>
      </c>
      <c r="F61" s="69">
        <v>1764</v>
      </c>
      <c r="G61" s="349">
        <v>97584.48</v>
      </c>
      <c r="H61" s="359" t="s">
        <v>5</v>
      </c>
      <c r="I61" s="348">
        <v>15</v>
      </c>
      <c r="J61" s="58">
        <v>2000</v>
      </c>
      <c r="K61" s="59">
        <f t="shared" si="1"/>
        <v>133.33333333333334</v>
      </c>
      <c r="L61" s="348">
        <v>15</v>
      </c>
      <c r="M61" s="60">
        <f t="shared" si="35"/>
        <v>1924.3636363636374</v>
      </c>
      <c r="N61" s="58">
        <f t="shared" si="3"/>
        <v>128.29090909090917</v>
      </c>
      <c r="O61" s="61">
        <f t="shared" si="4"/>
        <v>0</v>
      </c>
      <c r="P61" s="62">
        <f t="shared" si="5"/>
        <v>-5.0424242424241754</v>
      </c>
      <c r="Q61" s="351">
        <f t="shared" si="6"/>
        <v>0.96218181818181869</v>
      </c>
      <c r="R61" s="566"/>
      <c r="S61" s="63">
        <v>0.76180555555555562</v>
      </c>
      <c r="T61" s="63">
        <v>0.8</v>
      </c>
      <c r="U61" s="349">
        <v>5.9999999999999787</v>
      </c>
      <c r="V61" s="354">
        <v>54.999999999999964</v>
      </c>
      <c r="W61" s="64"/>
      <c r="X61" s="64"/>
      <c r="Y61" s="569"/>
      <c r="Z61" s="570"/>
      <c r="AA61" s="61">
        <f t="shared" si="8"/>
        <v>-75.636363636362603</v>
      </c>
      <c r="AB61" s="351">
        <f t="shared" si="9"/>
        <v>0.96218181818181869</v>
      </c>
      <c r="AC61" s="566"/>
    </row>
    <row r="62" spans="1:29" ht="15.75" customHeight="1">
      <c r="A62" s="574" t="s">
        <v>1616</v>
      </c>
      <c r="B62" s="57" t="s">
        <v>6</v>
      </c>
      <c r="C62" s="567" t="s">
        <v>99</v>
      </c>
      <c r="D62" s="568"/>
      <c r="E62" s="57">
        <v>53.68</v>
      </c>
      <c r="F62" s="69">
        <v>1100</v>
      </c>
      <c r="G62" s="349">
        <v>59048</v>
      </c>
      <c r="H62" s="359">
        <v>2</v>
      </c>
      <c r="I62" s="348">
        <v>16</v>
      </c>
      <c r="J62" s="58">
        <v>1500</v>
      </c>
      <c r="K62" s="59">
        <f t="shared" si="1"/>
        <v>93.75</v>
      </c>
      <c r="L62" s="348">
        <v>16</v>
      </c>
      <c r="M62" s="60">
        <f t="shared" si="35"/>
        <v>1434.7826086956522</v>
      </c>
      <c r="N62" s="58">
        <f t="shared" si="3"/>
        <v>89.673913043478265</v>
      </c>
      <c r="O62" s="61">
        <f t="shared" si="4"/>
        <v>0</v>
      </c>
      <c r="P62" s="62">
        <f t="shared" si="5"/>
        <v>-4.0760869565217348</v>
      </c>
      <c r="Q62" s="351">
        <f t="shared" si="6"/>
        <v>0.95652173913043481</v>
      </c>
      <c r="R62" s="566"/>
      <c r="S62" s="63">
        <v>0.8041666666666667</v>
      </c>
      <c r="T62" s="63">
        <v>0.83611111111111114</v>
      </c>
      <c r="U62" s="349">
        <v>5.9999999999999787</v>
      </c>
      <c r="V62" s="354">
        <v>46</v>
      </c>
      <c r="W62" s="64">
        <f>T62</f>
        <v>0.83611111111111114</v>
      </c>
      <c r="X62" s="64">
        <f>S63</f>
        <v>0.87569444444444444</v>
      </c>
      <c r="Y62" s="569"/>
      <c r="Z62" s="570"/>
      <c r="AA62" s="61">
        <f t="shared" si="8"/>
        <v>-65.217391304347757</v>
      </c>
      <c r="AB62" s="351">
        <f t="shared" si="9"/>
        <v>0.95652173913043481</v>
      </c>
      <c r="AC62" s="566"/>
    </row>
    <row r="63" spans="1:29" ht="15.75" customHeight="1">
      <c r="A63" s="574" t="s">
        <v>1616</v>
      </c>
      <c r="B63" s="57" t="s">
        <v>6</v>
      </c>
      <c r="C63" s="567" t="s">
        <v>99</v>
      </c>
      <c r="D63" s="568"/>
      <c r="E63" s="57">
        <v>53.68</v>
      </c>
      <c r="F63" s="69">
        <v>1553</v>
      </c>
      <c r="G63" s="349">
        <v>83365.039999999994</v>
      </c>
      <c r="H63" s="359" t="s">
        <v>5</v>
      </c>
      <c r="I63" s="348">
        <v>16</v>
      </c>
      <c r="J63" s="58">
        <v>1500</v>
      </c>
      <c r="K63" s="59">
        <f t="shared" si="1"/>
        <v>93.75</v>
      </c>
      <c r="L63" s="348">
        <v>16</v>
      </c>
      <c r="M63" s="60">
        <f t="shared" si="35"/>
        <v>1433.538461538463</v>
      </c>
      <c r="N63" s="58">
        <f>M63/L63</f>
        <v>89.596153846153939</v>
      </c>
      <c r="O63" s="61">
        <f t="shared" si="4"/>
        <v>0</v>
      </c>
      <c r="P63" s="62">
        <f t="shared" si="5"/>
        <v>-4.1538461538460609</v>
      </c>
      <c r="Q63" s="351">
        <f t="shared" si="6"/>
        <v>0.95569230769230873</v>
      </c>
      <c r="R63" s="566"/>
      <c r="S63" s="63">
        <v>0.87569444444444444</v>
      </c>
      <c r="T63" s="63">
        <v>0.92083333333333328</v>
      </c>
      <c r="U63" s="349">
        <v>56.999999999999957</v>
      </c>
      <c r="V63" s="354">
        <v>64.999999999999929</v>
      </c>
      <c r="W63" s="64"/>
      <c r="X63" s="64"/>
      <c r="Y63" s="569"/>
      <c r="Z63" s="570"/>
      <c r="AA63" s="61">
        <f t="shared" si="8"/>
        <v>-66.461538461536975</v>
      </c>
      <c r="AB63" s="351">
        <f t="shared" si="9"/>
        <v>0.95569230769230873</v>
      </c>
      <c r="AC63" s="566"/>
    </row>
    <row r="64" spans="1:29">
      <c r="A64" s="575" t="s">
        <v>1616</v>
      </c>
      <c r="B64" s="57" t="s">
        <v>1609</v>
      </c>
      <c r="C64" s="571"/>
      <c r="D64" s="571"/>
      <c r="E64" s="355"/>
      <c r="F64" s="66"/>
      <c r="G64" s="59"/>
      <c r="H64" s="350"/>
      <c r="I64" s="67">
        <v>18.125</v>
      </c>
      <c r="J64" s="58">
        <v>1875</v>
      </c>
      <c r="K64" s="59">
        <f t="shared" si="1"/>
        <v>103.44827586206897</v>
      </c>
      <c r="L64" s="67">
        <v>18.125</v>
      </c>
      <c r="M64" s="60">
        <f>AVERAGE(M56:M63)</f>
        <v>1664.1220674673225</v>
      </c>
      <c r="N64" s="66">
        <f t="shared" ref="N64:N80" si="36">M64/L64</f>
        <v>91.813631308541929</v>
      </c>
      <c r="O64" s="61">
        <f t="shared" si="4"/>
        <v>0</v>
      </c>
      <c r="P64" s="62">
        <f t="shared" si="5"/>
        <v>-11.634644553527039</v>
      </c>
      <c r="Q64" s="351">
        <f t="shared" si="6"/>
        <v>0.88753176931590527</v>
      </c>
      <c r="R64" s="566"/>
      <c r="S64" s="70"/>
      <c r="T64" s="63"/>
      <c r="U64" s="59"/>
      <c r="V64" s="354"/>
      <c r="W64" s="59"/>
      <c r="X64" s="59"/>
      <c r="Y64" s="559"/>
      <c r="Z64" s="559"/>
      <c r="AA64" s="61">
        <f t="shared" si="8"/>
        <v>-210.87793253267751</v>
      </c>
      <c r="AB64" s="351">
        <f t="shared" si="9"/>
        <v>0.88753176931590538</v>
      </c>
      <c r="AC64" s="566"/>
    </row>
    <row r="65" spans="1:29" ht="15.75" customHeight="1">
      <c r="A65" s="572" t="s">
        <v>1617</v>
      </c>
      <c r="B65" s="350" t="s">
        <v>10</v>
      </c>
      <c r="C65" s="560" t="s">
        <v>42</v>
      </c>
      <c r="D65" s="560"/>
      <c r="E65" s="57">
        <v>26.97</v>
      </c>
      <c r="F65" s="69">
        <v>2844</v>
      </c>
      <c r="G65" s="349">
        <f t="shared" ref="G65:G70" si="37">E65*F65</f>
        <v>76702.679999999993</v>
      </c>
      <c r="H65" s="359" t="s">
        <v>5</v>
      </c>
      <c r="I65" s="348">
        <v>8</v>
      </c>
      <c r="J65" s="58">
        <v>1500</v>
      </c>
      <c r="K65" s="59">
        <f t="shared" si="1"/>
        <v>187.5</v>
      </c>
      <c r="L65" s="348">
        <v>8</v>
      </c>
      <c r="M65" s="60">
        <f t="shared" ref="M65:M70" si="38">F65/V65*60</f>
        <v>1433.9495798319326</v>
      </c>
      <c r="N65" s="66">
        <f t="shared" si="36"/>
        <v>179.24369747899158</v>
      </c>
      <c r="O65" s="61">
        <f t="shared" si="4"/>
        <v>0</v>
      </c>
      <c r="P65" s="62">
        <f t="shared" si="5"/>
        <v>-8.256302521008422</v>
      </c>
      <c r="Q65" s="351">
        <f t="shared" si="6"/>
        <v>0.95596638655462174</v>
      </c>
      <c r="R65" s="566">
        <f>Q71</f>
        <v>0.95606880570409958</v>
      </c>
      <c r="S65" s="63">
        <v>0.20833333333333334</v>
      </c>
      <c r="T65" s="63">
        <v>0.29097222222222224</v>
      </c>
      <c r="U65" s="349"/>
      <c r="V65" s="354">
        <f t="shared" ref="V65:V70" si="39">(T65-S65)*24*60</f>
        <v>119.00000000000001</v>
      </c>
      <c r="W65" s="68"/>
      <c r="X65" s="68"/>
      <c r="Y65" s="559"/>
      <c r="Z65" s="559"/>
      <c r="AA65" s="61">
        <f t="shared" si="8"/>
        <v>-66.050420168067376</v>
      </c>
      <c r="AB65" s="351">
        <f t="shared" si="9"/>
        <v>0.95596638655462174</v>
      </c>
      <c r="AC65" s="566">
        <f>AB71</f>
        <v>0.95606880570409947</v>
      </c>
    </row>
    <row r="66" spans="1:29" ht="15.75" customHeight="1">
      <c r="A66" s="572" t="s">
        <v>1617</v>
      </c>
      <c r="B66" s="350" t="s">
        <v>31</v>
      </c>
      <c r="C66" s="560" t="s">
        <v>41</v>
      </c>
      <c r="D66" s="560"/>
      <c r="E66" s="57">
        <v>26.78</v>
      </c>
      <c r="F66" s="69">
        <v>2854</v>
      </c>
      <c r="G66" s="349">
        <f t="shared" si="37"/>
        <v>76430.12000000001</v>
      </c>
      <c r="H66" s="359" t="s">
        <v>5</v>
      </c>
      <c r="I66" s="348">
        <v>10</v>
      </c>
      <c r="J66" s="58">
        <v>3000</v>
      </c>
      <c r="K66" s="59">
        <f t="shared" si="1"/>
        <v>300</v>
      </c>
      <c r="L66" s="348">
        <v>10</v>
      </c>
      <c r="M66" s="60">
        <f t="shared" si="38"/>
        <v>2853.9999999999986</v>
      </c>
      <c r="N66" s="66">
        <f t="shared" si="36"/>
        <v>285.39999999999986</v>
      </c>
      <c r="O66" s="61">
        <f t="shared" si="4"/>
        <v>0</v>
      </c>
      <c r="P66" s="62">
        <f t="shared" si="5"/>
        <v>-14.600000000000136</v>
      </c>
      <c r="Q66" s="351">
        <f t="shared" si="6"/>
        <v>0.95133333333333292</v>
      </c>
      <c r="R66" s="566"/>
      <c r="S66" s="63">
        <v>0.29583333333333334</v>
      </c>
      <c r="T66" s="63">
        <v>0.33750000000000002</v>
      </c>
      <c r="U66" s="349">
        <f t="shared" ref="U66:U70" si="40">(S66-T65)*24*60</f>
        <v>6.9999999999999751</v>
      </c>
      <c r="V66" s="354">
        <f t="shared" si="39"/>
        <v>60.000000000000028</v>
      </c>
      <c r="W66" s="349"/>
      <c r="X66" s="349"/>
      <c r="Y66" s="559"/>
      <c r="Z66" s="559"/>
      <c r="AA66" s="61">
        <f t="shared" si="8"/>
        <v>-146.00000000000136</v>
      </c>
      <c r="AB66" s="351">
        <f t="shared" si="9"/>
        <v>0.95133333333333292</v>
      </c>
      <c r="AC66" s="566"/>
    </row>
    <row r="67" spans="1:29" ht="15.75" customHeight="1">
      <c r="A67" s="572" t="s">
        <v>1617</v>
      </c>
      <c r="B67" s="350" t="s">
        <v>31</v>
      </c>
      <c r="C67" s="560" t="s">
        <v>64</v>
      </c>
      <c r="D67" s="560"/>
      <c r="E67" s="57">
        <v>37.880000000000003</v>
      </c>
      <c r="F67" s="69">
        <v>2872</v>
      </c>
      <c r="G67" s="349">
        <f t="shared" si="37"/>
        <v>108791.36</v>
      </c>
      <c r="H67" s="359" t="s">
        <v>5</v>
      </c>
      <c r="I67" s="348">
        <v>10</v>
      </c>
      <c r="J67" s="58">
        <v>3000</v>
      </c>
      <c r="K67" s="59">
        <f t="shared" si="1"/>
        <v>300</v>
      </c>
      <c r="L67" s="348">
        <v>10</v>
      </c>
      <c r="M67" s="60">
        <f t="shared" si="38"/>
        <v>2871.9999999999986</v>
      </c>
      <c r="N67" s="66">
        <f t="shared" si="36"/>
        <v>287.19999999999987</v>
      </c>
      <c r="O67" s="61">
        <f t="shared" si="4"/>
        <v>0</v>
      </c>
      <c r="P67" s="62">
        <f t="shared" si="5"/>
        <v>-12.800000000000125</v>
      </c>
      <c r="Q67" s="351">
        <f t="shared" si="6"/>
        <v>0.95733333333333293</v>
      </c>
      <c r="R67" s="566"/>
      <c r="S67" s="63">
        <v>0.34236111111111112</v>
      </c>
      <c r="T67" s="63">
        <v>0.3840277777777778</v>
      </c>
      <c r="U67" s="349">
        <f t="shared" si="40"/>
        <v>6.9999999999999751</v>
      </c>
      <c r="V67" s="354">
        <f t="shared" si="39"/>
        <v>60.000000000000028</v>
      </c>
      <c r="W67" s="349"/>
      <c r="X67" s="349"/>
      <c r="Y67" s="559"/>
      <c r="Z67" s="559"/>
      <c r="AA67" s="61">
        <f t="shared" si="8"/>
        <v>-128.00000000000136</v>
      </c>
      <c r="AB67" s="351">
        <f t="shared" si="9"/>
        <v>0.95733333333333293</v>
      </c>
      <c r="AC67" s="566"/>
    </row>
    <row r="68" spans="1:29" ht="15.75" customHeight="1">
      <c r="A68" s="572" t="s">
        <v>1617</v>
      </c>
      <c r="B68" s="350" t="s">
        <v>31</v>
      </c>
      <c r="C68" s="560" t="s">
        <v>72</v>
      </c>
      <c r="D68" s="560"/>
      <c r="E68" s="57">
        <v>40.51</v>
      </c>
      <c r="F68" s="69">
        <v>2671</v>
      </c>
      <c r="G68" s="349">
        <f t="shared" si="37"/>
        <v>108202.20999999999</v>
      </c>
      <c r="H68" s="359" t="s">
        <v>5</v>
      </c>
      <c r="I68" s="348">
        <v>8</v>
      </c>
      <c r="J68" s="58">
        <v>3000</v>
      </c>
      <c r="K68" s="59">
        <f t="shared" si="1"/>
        <v>375</v>
      </c>
      <c r="L68" s="348">
        <v>8</v>
      </c>
      <c r="M68" s="60">
        <f t="shared" si="38"/>
        <v>2861.7857142857119</v>
      </c>
      <c r="N68" s="66">
        <f t="shared" si="36"/>
        <v>357.72321428571399</v>
      </c>
      <c r="O68" s="61">
        <f t="shared" si="4"/>
        <v>0</v>
      </c>
      <c r="P68" s="62">
        <f t="shared" si="5"/>
        <v>-17.276785714286007</v>
      </c>
      <c r="Q68" s="351">
        <f t="shared" si="6"/>
        <v>0.95392857142857068</v>
      </c>
      <c r="R68" s="566"/>
      <c r="S68" s="63">
        <v>0.38819444444444445</v>
      </c>
      <c r="T68" s="63">
        <v>0.42708333333333337</v>
      </c>
      <c r="U68" s="349">
        <f t="shared" si="40"/>
        <v>5.9999999999999787</v>
      </c>
      <c r="V68" s="354">
        <f t="shared" si="39"/>
        <v>56.000000000000043</v>
      </c>
      <c r="W68" s="349"/>
      <c r="X68" s="349"/>
      <c r="Y68" s="559"/>
      <c r="Z68" s="559"/>
      <c r="AA68" s="61">
        <f t="shared" si="8"/>
        <v>-138.21428571428805</v>
      </c>
      <c r="AB68" s="351">
        <f t="shared" si="9"/>
        <v>0.95392857142857068</v>
      </c>
      <c r="AC68" s="566"/>
    </row>
    <row r="69" spans="1:29">
      <c r="A69" s="573" t="s">
        <v>1617</v>
      </c>
      <c r="B69" s="350" t="s">
        <v>31</v>
      </c>
      <c r="C69" s="560" t="s">
        <v>36</v>
      </c>
      <c r="D69" s="560"/>
      <c r="E69" s="57">
        <v>36.14</v>
      </c>
      <c r="F69" s="69">
        <v>1191</v>
      </c>
      <c r="G69" s="349">
        <f t="shared" si="37"/>
        <v>43042.74</v>
      </c>
      <c r="H69" s="359" t="s">
        <v>5</v>
      </c>
      <c r="I69" s="348">
        <v>9</v>
      </c>
      <c r="J69" s="58">
        <v>3000</v>
      </c>
      <c r="K69" s="59">
        <f t="shared" ref="K69:K80" si="41">J69/I69</f>
        <v>333.33333333333331</v>
      </c>
      <c r="L69" s="348">
        <v>9</v>
      </c>
      <c r="M69" s="60">
        <f t="shared" si="38"/>
        <v>2858.400000000001</v>
      </c>
      <c r="N69" s="66">
        <f t="shared" si="36"/>
        <v>317.60000000000014</v>
      </c>
      <c r="O69" s="61">
        <f t="shared" ref="O69:O80" si="42">L69-I69</f>
        <v>0</v>
      </c>
      <c r="P69" s="62">
        <f t="shared" ref="P69:P80" si="43">N69-K69</f>
        <v>-15.733333333333178</v>
      </c>
      <c r="Q69" s="351">
        <f t="shared" ref="Q69:Q80" si="44">N69/K69</f>
        <v>0.95280000000000042</v>
      </c>
      <c r="R69" s="566"/>
      <c r="S69" s="63">
        <v>0.43055555555555558</v>
      </c>
      <c r="T69" s="63">
        <v>0.44791666666666669</v>
      </c>
      <c r="U69" s="349">
        <f t="shared" si="40"/>
        <v>4.9999999999999822</v>
      </c>
      <c r="V69" s="354">
        <f t="shared" si="39"/>
        <v>24.999999999999993</v>
      </c>
      <c r="W69" s="64"/>
      <c r="X69" s="64"/>
      <c r="Y69" s="559"/>
      <c r="Z69" s="559"/>
      <c r="AA69" s="61">
        <f t="shared" ref="AA69:AA80" si="45">M69-J69</f>
        <v>-141.599999999999</v>
      </c>
      <c r="AB69" s="351">
        <f t="shared" ref="AB69:AB80" si="46">M69/J69</f>
        <v>0.95280000000000031</v>
      </c>
      <c r="AC69" s="566"/>
    </row>
    <row r="70" spans="1:29" ht="15" customHeight="1">
      <c r="A70" s="573" t="s">
        <v>1617</v>
      </c>
      <c r="B70" s="350" t="s">
        <v>31</v>
      </c>
      <c r="C70" s="567" t="s">
        <v>63</v>
      </c>
      <c r="D70" s="568"/>
      <c r="E70" s="57">
        <v>34.36</v>
      </c>
      <c r="F70" s="69">
        <v>2123</v>
      </c>
      <c r="G70" s="349">
        <f t="shared" si="37"/>
        <v>72946.28</v>
      </c>
      <c r="H70" s="359" t="s">
        <v>5</v>
      </c>
      <c r="I70" s="348">
        <v>10</v>
      </c>
      <c r="J70" s="58">
        <v>3000</v>
      </c>
      <c r="K70" s="59">
        <f t="shared" si="41"/>
        <v>300</v>
      </c>
      <c r="L70" s="348">
        <v>10</v>
      </c>
      <c r="M70" s="60">
        <f t="shared" si="38"/>
        <v>2895</v>
      </c>
      <c r="N70" s="66">
        <f t="shared" si="36"/>
        <v>289.5</v>
      </c>
      <c r="O70" s="61">
        <f t="shared" si="42"/>
        <v>0</v>
      </c>
      <c r="P70" s="62">
        <f t="shared" si="43"/>
        <v>-10.5</v>
      </c>
      <c r="Q70" s="351">
        <f t="shared" si="44"/>
        <v>0.96499999999999997</v>
      </c>
      <c r="R70" s="566"/>
      <c r="S70" s="63">
        <v>0.45208333333333334</v>
      </c>
      <c r="T70" s="63">
        <v>0.4826388888888889</v>
      </c>
      <c r="U70" s="349">
        <f t="shared" si="40"/>
        <v>5.9999999999999787</v>
      </c>
      <c r="V70" s="354">
        <f t="shared" si="39"/>
        <v>44</v>
      </c>
      <c r="W70" s="349"/>
      <c r="X70" s="349"/>
      <c r="Y70" s="569"/>
      <c r="Z70" s="570"/>
      <c r="AA70" s="61">
        <f t="shared" si="45"/>
        <v>-105</v>
      </c>
      <c r="AB70" s="351">
        <f t="shared" si="46"/>
        <v>0.96499999999999997</v>
      </c>
      <c r="AC70" s="566"/>
    </row>
    <row r="71" spans="1:29">
      <c r="A71" s="573" t="s">
        <v>1617</v>
      </c>
      <c r="B71" s="57" t="s">
        <v>1609</v>
      </c>
      <c r="C71" s="571"/>
      <c r="D71" s="571"/>
      <c r="E71" s="355"/>
      <c r="F71" s="66"/>
      <c r="G71" s="59"/>
      <c r="H71" s="350"/>
      <c r="I71" s="67">
        <v>9.1666666666666661</v>
      </c>
      <c r="J71" s="58">
        <v>2750</v>
      </c>
      <c r="K71" s="59">
        <f t="shared" si="41"/>
        <v>300</v>
      </c>
      <c r="L71" s="67">
        <v>9.1666666666666661</v>
      </c>
      <c r="M71" s="60">
        <f>AVERAGE(M65:M70)</f>
        <v>2629.1892156862737</v>
      </c>
      <c r="N71" s="66">
        <f t="shared" si="36"/>
        <v>286.82064171122988</v>
      </c>
      <c r="O71" s="61">
        <f t="shared" si="42"/>
        <v>0</v>
      </c>
      <c r="P71" s="62">
        <f t="shared" si="43"/>
        <v>-13.179358288770118</v>
      </c>
      <c r="Q71" s="351">
        <f t="shared" si="44"/>
        <v>0.95606880570409958</v>
      </c>
      <c r="R71" s="566"/>
      <c r="S71" s="63"/>
      <c r="T71" s="63"/>
      <c r="U71" s="59"/>
      <c r="V71" s="354"/>
      <c r="W71" s="59"/>
      <c r="X71" s="59"/>
      <c r="Y71" s="559"/>
      <c r="Z71" s="559"/>
      <c r="AA71" s="61">
        <f t="shared" si="45"/>
        <v>-120.81078431372634</v>
      </c>
      <c r="AB71" s="351">
        <f t="shared" si="46"/>
        <v>0.95606880570409947</v>
      </c>
      <c r="AC71" s="566"/>
    </row>
    <row r="72" spans="1:29" ht="15.75" customHeight="1">
      <c r="A72" s="563" t="s">
        <v>1618</v>
      </c>
      <c r="B72" s="350" t="s">
        <v>15</v>
      </c>
      <c r="C72" s="560" t="s">
        <v>43</v>
      </c>
      <c r="D72" s="560"/>
      <c r="E72" s="57">
        <v>20.2</v>
      </c>
      <c r="F72" s="350">
        <v>2353</v>
      </c>
      <c r="G72" s="349">
        <f t="shared" ref="G72:G79" si="47">E72*F72</f>
        <v>47530.6</v>
      </c>
      <c r="H72" s="359" t="s">
        <v>5</v>
      </c>
      <c r="I72" s="348">
        <v>19</v>
      </c>
      <c r="J72" s="58">
        <v>2400</v>
      </c>
      <c r="K72" s="59">
        <f t="shared" si="41"/>
        <v>126.31578947368421</v>
      </c>
      <c r="L72" s="348">
        <v>19</v>
      </c>
      <c r="M72" s="60">
        <f t="shared" ref="M72:M79" si="48">F72/V72*60</f>
        <v>2314.4262295081967</v>
      </c>
      <c r="N72" s="66">
        <f t="shared" si="36"/>
        <v>121.81190681622088</v>
      </c>
      <c r="O72" s="61">
        <f t="shared" si="42"/>
        <v>0</v>
      </c>
      <c r="P72" s="62">
        <f t="shared" si="43"/>
        <v>-4.5038826574633219</v>
      </c>
      <c r="Q72" s="351">
        <f t="shared" si="44"/>
        <v>0.96434426229508208</v>
      </c>
      <c r="R72" s="566">
        <f>Q80</f>
        <v>0.95658527505067747</v>
      </c>
      <c r="S72" s="63">
        <v>8.3333333333333329E-2</v>
      </c>
      <c r="T72" s="63">
        <v>0.12569444444444444</v>
      </c>
      <c r="U72" s="68"/>
      <c r="V72" s="354">
        <f t="shared" ref="V72:V79" si="49">(T72-S72)*24*60</f>
        <v>61</v>
      </c>
      <c r="W72" s="64">
        <f>T72</f>
        <v>0.12569444444444444</v>
      </c>
      <c r="X72" s="64">
        <f>S73</f>
        <v>0.14583333333333334</v>
      </c>
      <c r="Y72" s="559"/>
      <c r="Z72" s="559"/>
      <c r="AA72" s="61">
        <f t="shared" si="45"/>
        <v>-85.573770491803316</v>
      </c>
      <c r="AB72" s="351">
        <f t="shared" si="46"/>
        <v>0.96434426229508197</v>
      </c>
      <c r="AC72" s="566">
        <f>AB80</f>
        <v>0.95658527505067736</v>
      </c>
    </row>
    <row r="73" spans="1:29" ht="15.75" customHeight="1">
      <c r="A73" s="564" t="s">
        <v>1618</v>
      </c>
      <c r="B73" s="350" t="s">
        <v>15</v>
      </c>
      <c r="C73" s="560" t="s">
        <v>24</v>
      </c>
      <c r="D73" s="560"/>
      <c r="E73" s="57">
        <v>20.52</v>
      </c>
      <c r="F73" s="350">
        <v>3640</v>
      </c>
      <c r="G73" s="349">
        <f t="shared" si="47"/>
        <v>74692.800000000003</v>
      </c>
      <c r="H73" s="359" t="s">
        <v>5</v>
      </c>
      <c r="I73" s="348">
        <v>18</v>
      </c>
      <c r="J73" s="58">
        <v>2400</v>
      </c>
      <c r="K73" s="59">
        <f t="shared" si="41"/>
        <v>133.33333333333334</v>
      </c>
      <c r="L73" s="348">
        <v>18</v>
      </c>
      <c r="M73" s="60">
        <f t="shared" si="48"/>
        <v>2298.947368421052</v>
      </c>
      <c r="N73" s="66">
        <f t="shared" si="36"/>
        <v>127.719298245614</v>
      </c>
      <c r="O73" s="61">
        <f t="shared" si="42"/>
        <v>0</v>
      </c>
      <c r="P73" s="62">
        <f t="shared" si="43"/>
        <v>-5.6140350877193441</v>
      </c>
      <c r="Q73" s="351">
        <f t="shared" si="44"/>
        <v>0.95789473684210491</v>
      </c>
      <c r="R73" s="566"/>
      <c r="S73" s="63">
        <v>0.14583333333333334</v>
      </c>
      <c r="T73" s="63">
        <v>0.21180555555555558</v>
      </c>
      <c r="U73" s="349">
        <f t="shared" ref="U73:U79" si="50">(S73-T72)*24*60</f>
        <v>29.000000000000018</v>
      </c>
      <c r="V73" s="354">
        <f t="shared" si="49"/>
        <v>95.000000000000028</v>
      </c>
      <c r="W73" s="64"/>
      <c r="X73" s="64"/>
      <c r="Y73" s="559"/>
      <c r="Z73" s="559"/>
      <c r="AA73" s="61">
        <f t="shared" si="45"/>
        <v>-101.05263157894797</v>
      </c>
      <c r="AB73" s="351">
        <f t="shared" si="46"/>
        <v>0.95789473684210502</v>
      </c>
      <c r="AC73" s="566"/>
    </row>
    <row r="74" spans="1:29" ht="15.75" customHeight="1">
      <c r="A74" s="564" t="s">
        <v>1618</v>
      </c>
      <c r="B74" s="350" t="s">
        <v>15</v>
      </c>
      <c r="C74" s="560" t="s">
        <v>44</v>
      </c>
      <c r="D74" s="560"/>
      <c r="E74" s="57">
        <v>19.02</v>
      </c>
      <c r="F74" s="350">
        <v>4200</v>
      </c>
      <c r="G74" s="349">
        <f t="shared" si="47"/>
        <v>79884</v>
      </c>
      <c r="H74" s="359">
        <v>2</v>
      </c>
      <c r="I74" s="348">
        <v>15</v>
      </c>
      <c r="J74" s="58">
        <v>2400</v>
      </c>
      <c r="K74" s="59">
        <f t="shared" si="41"/>
        <v>160</v>
      </c>
      <c r="L74" s="348">
        <v>15</v>
      </c>
      <c r="M74" s="60">
        <f t="shared" si="48"/>
        <v>2290.9090909090914</v>
      </c>
      <c r="N74" s="66">
        <f t="shared" si="36"/>
        <v>152.72727272727278</v>
      </c>
      <c r="O74" s="61">
        <f t="shared" si="42"/>
        <v>0</v>
      </c>
      <c r="P74" s="62">
        <f t="shared" si="43"/>
        <v>-7.2727272727272236</v>
      </c>
      <c r="Q74" s="351">
        <f t="shared" si="44"/>
        <v>0.95454545454545481</v>
      </c>
      <c r="R74" s="566"/>
      <c r="S74" s="63">
        <v>0.21736111111111114</v>
      </c>
      <c r="T74" s="63">
        <v>0.29375000000000001</v>
      </c>
      <c r="U74" s="349">
        <f t="shared" si="50"/>
        <v>8.0000000000000107</v>
      </c>
      <c r="V74" s="354">
        <f t="shared" si="49"/>
        <v>109.99999999999997</v>
      </c>
      <c r="W74" s="64"/>
      <c r="X74" s="64"/>
      <c r="Y74" s="559"/>
      <c r="Z74" s="559"/>
      <c r="AA74" s="61">
        <f t="shared" si="45"/>
        <v>-109.09090909090855</v>
      </c>
      <c r="AB74" s="351">
        <f t="shared" si="46"/>
        <v>0.95454545454545481</v>
      </c>
      <c r="AC74" s="566"/>
    </row>
    <row r="75" spans="1:29" ht="15.75" customHeight="1">
      <c r="A75" s="564" t="s">
        <v>1618</v>
      </c>
      <c r="B75" s="350" t="s">
        <v>15</v>
      </c>
      <c r="C75" s="560" t="s">
        <v>29</v>
      </c>
      <c r="D75" s="560"/>
      <c r="E75" s="57">
        <v>24.43</v>
      </c>
      <c r="F75" s="350">
        <v>4200</v>
      </c>
      <c r="G75" s="349">
        <f t="shared" si="47"/>
        <v>102606</v>
      </c>
      <c r="H75" s="359">
        <v>2</v>
      </c>
      <c r="I75" s="348">
        <v>14</v>
      </c>
      <c r="J75" s="58">
        <v>2400</v>
      </c>
      <c r="K75" s="59">
        <f t="shared" si="41"/>
        <v>171.42857142857142</v>
      </c>
      <c r="L75" s="348">
        <v>14</v>
      </c>
      <c r="M75" s="60">
        <f t="shared" si="48"/>
        <v>2290.909090909091</v>
      </c>
      <c r="N75" s="66">
        <f t="shared" si="36"/>
        <v>163.63636363636365</v>
      </c>
      <c r="O75" s="61">
        <f t="shared" si="42"/>
        <v>0</v>
      </c>
      <c r="P75" s="62">
        <f t="shared" si="43"/>
        <v>-7.7922077922077619</v>
      </c>
      <c r="Q75" s="351">
        <f t="shared" si="44"/>
        <v>0.9545454545454547</v>
      </c>
      <c r="R75" s="566"/>
      <c r="S75" s="63">
        <v>0.29791666666666666</v>
      </c>
      <c r="T75" s="63">
        <v>0.37430555555555556</v>
      </c>
      <c r="U75" s="349">
        <f t="shared" si="50"/>
        <v>5.9999999999999787</v>
      </c>
      <c r="V75" s="354">
        <f t="shared" si="49"/>
        <v>110.00000000000001</v>
      </c>
      <c r="W75" s="64"/>
      <c r="X75" s="64"/>
      <c r="Y75" s="559"/>
      <c r="Z75" s="559"/>
      <c r="AA75" s="61">
        <f t="shared" si="45"/>
        <v>-109.09090909090901</v>
      </c>
      <c r="AB75" s="351">
        <f t="shared" si="46"/>
        <v>0.95454545454545459</v>
      </c>
      <c r="AC75" s="566"/>
    </row>
    <row r="76" spans="1:29" ht="15.75" customHeight="1">
      <c r="A76" s="564" t="s">
        <v>1618</v>
      </c>
      <c r="B76" s="350" t="s">
        <v>15</v>
      </c>
      <c r="C76" s="560" t="s">
        <v>1183</v>
      </c>
      <c r="D76" s="560"/>
      <c r="E76" s="57">
        <v>19.309999999999999</v>
      </c>
      <c r="F76" s="350">
        <v>5600</v>
      </c>
      <c r="G76" s="349">
        <f t="shared" si="47"/>
        <v>108136</v>
      </c>
      <c r="H76" s="359">
        <v>2</v>
      </c>
      <c r="I76" s="348">
        <v>16</v>
      </c>
      <c r="J76" s="58">
        <v>2400</v>
      </c>
      <c r="K76" s="59">
        <f t="shared" si="41"/>
        <v>150</v>
      </c>
      <c r="L76" s="348">
        <v>16</v>
      </c>
      <c r="M76" s="60">
        <f t="shared" si="48"/>
        <v>2285.7142857142853</v>
      </c>
      <c r="N76" s="66">
        <f t="shared" si="36"/>
        <v>142.85714285714283</v>
      </c>
      <c r="O76" s="61">
        <f t="shared" si="42"/>
        <v>0</v>
      </c>
      <c r="P76" s="62">
        <f t="shared" si="43"/>
        <v>-7.1428571428571672</v>
      </c>
      <c r="Q76" s="351">
        <f t="shared" si="44"/>
        <v>0.95238095238095222</v>
      </c>
      <c r="R76" s="566"/>
      <c r="S76" s="63">
        <v>0.37916666666666665</v>
      </c>
      <c r="T76" s="63">
        <v>0.48125000000000001</v>
      </c>
      <c r="U76" s="349">
        <f t="shared" si="50"/>
        <v>6.9999999999999751</v>
      </c>
      <c r="V76" s="354">
        <f t="shared" si="49"/>
        <v>147.00000000000003</v>
      </c>
      <c r="W76" s="64">
        <f>T76</f>
        <v>0.48125000000000001</v>
      </c>
      <c r="X76" s="64">
        <f>S77</f>
        <v>0.52083333333333326</v>
      </c>
      <c r="Y76" s="559"/>
      <c r="Z76" s="559"/>
      <c r="AA76" s="61">
        <f t="shared" si="45"/>
        <v>-114.28571428571468</v>
      </c>
      <c r="AB76" s="351">
        <f t="shared" si="46"/>
        <v>0.95238095238095222</v>
      </c>
      <c r="AC76" s="566"/>
    </row>
    <row r="77" spans="1:29" ht="15.75" customHeight="1">
      <c r="A77" s="564" t="s">
        <v>1618</v>
      </c>
      <c r="B77" s="350" t="s">
        <v>15</v>
      </c>
      <c r="C77" s="560" t="s">
        <v>44</v>
      </c>
      <c r="D77" s="560"/>
      <c r="E77" s="57">
        <v>19.02</v>
      </c>
      <c r="F77" s="350">
        <v>6548</v>
      </c>
      <c r="G77" s="349">
        <f t="shared" si="47"/>
        <v>124542.95999999999</v>
      </c>
      <c r="H77" s="359" t="s">
        <v>5</v>
      </c>
      <c r="I77" s="348">
        <v>15</v>
      </c>
      <c r="J77" s="58">
        <v>2400</v>
      </c>
      <c r="K77" s="59">
        <f t="shared" si="41"/>
        <v>160</v>
      </c>
      <c r="L77" s="348">
        <v>15</v>
      </c>
      <c r="M77" s="60">
        <f t="shared" si="48"/>
        <v>2284.1860465116274</v>
      </c>
      <c r="N77" s="66">
        <f t="shared" si="36"/>
        <v>152.27906976744183</v>
      </c>
      <c r="O77" s="61">
        <f t="shared" si="42"/>
        <v>0</v>
      </c>
      <c r="P77" s="62">
        <f t="shared" si="43"/>
        <v>-7.7209302325581746</v>
      </c>
      <c r="Q77" s="351">
        <f t="shared" si="44"/>
        <v>0.95174418604651145</v>
      </c>
      <c r="R77" s="566"/>
      <c r="S77" s="63">
        <v>0.52083333333333326</v>
      </c>
      <c r="T77" s="63">
        <v>0.64027777777777772</v>
      </c>
      <c r="U77" s="349">
        <f t="shared" si="50"/>
        <v>56.999999999999879</v>
      </c>
      <c r="V77" s="354">
        <f t="shared" si="49"/>
        <v>172.00000000000003</v>
      </c>
      <c r="W77" s="64"/>
      <c r="X77" s="64"/>
      <c r="Y77" s="559"/>
      <c r="Z77" s="559"/>
      <c r="AA77" s="61">
        <f t="shared" si="45"/>
        <v>-115.81395348837259</v>
      </c>
      <c r="AB77" s="351">
        <f t="shared" si="46"/>
        <v>0.95174418604651145</v>
      </c>
      <c r="AC77" s="566"/>
    </row>
    <row r="78" spans="1:29" ht="15.75" customHeight="1">
      <c r="A78" s="564" t="s">
        <v>1618</v>
      </c>
      <c r="B78" s="350" t="s">
        <v>15</v>
      </c>
      <c r="C78" s="560" t="s">
        <v>29</v>
      </c>
      <c r="D78" s="560"/>
      <c r="E78" s="57">
        <v>24.43</v>
      </c>
      <c r="F78" s="350">
        <v>3347</v>
      </c>
      <c r="G78" s="349">
        <f t="shared" si="47"/>
        <v>81767.209999999992</v>
      </c>
      <c r="H78" s="359" t="s">
        <v>5</v>
      </c>
      <c r="I78" s="348">
        <v>14</v>
      </c>
      <c r="J78" s="58">
        <v>2400</v>
      </c>
      <c r="K78" s="59">
        <f t="shared" si="41"/>
        <v>171.42857142857142</v>
      </c>
      <c r="L78" s="348">
        <v>14</v>
      </c>
      <c r="M78" s="60">
        <f t="shared" si="48"/>
        <v>2308.2758620689651</v>
      </c>
      <c r="N78" s="66">
        <f t="shared" si="36"/>
        <v>164.87684729064037</v>
      </c>
      <c r="O78" s="61">
        <f t="shared" si="42"/>
        <v>0</v>
      </c>
      <c r="P78" s="62">
        <f t="shared" si="43"/>
        <v>-6.5517241379310462</v>
      </c>
      <c r="Q78" s="351">
        <f t="shared" si="44"/>
        <v>0.96178160919540223</v>
      </c>
      <c r="R78" s="566"/>
      <c r="S78" s="63">
        <v>0.64444444444444438</v>
      </c>
      <c r="T78" s="63">
        <v>0.70486111111111105</v>
      </c>
      <c r="U78" s="349">
        <f t="shared" si="50"/>
        <v>5.9999999999999787</v>
      </c>
      <c r="V78" s="354">
        <f t="shared" si="49"/>
        <v>87.000000000000014</v>
      </c>
      <c r="W78" s="64"/>
      <c r="X78" s="64"/>
      <c r="Y78" s="569"/>
      <c r="Z78" s="570"/>
      <c r="AA78" s="61">
        <f t="shared" si="45"/>
        <v>-91.724137931034875</v>
      </c>
      <c r="AB78" s="351">
        <f t="shared" si="46"/>
        <v>0.96178160919540212</v>
      </c>
      <c r="AC78" s="566"/>
    </row>
    <row r="79" spans="1:29" ht="15.75" customHeight="1">
      <c r="A79" s="564" t="s">
        <v>1618</v>
      </c>
      <c r="B79" s="350" t="s">
        <v>15</v>
      </c>
      <c r="C79" s="560" t="s">
        <v>1183</v>
      </c>
      <c r="D79" s="560"/>
      <c r="E79" s="57">
        <v>19.309999999999999</v>
      </c>
      <c r="F79" s="350">
        <v>3860</v>
      </c>
      <c r="G79" s="349">
        <f t="shared" si="47"/>
        <v>74536.599999999991</v>
      </c>
      <c r="H79" s="359" t="s">
        <v>5</v>
      </c>
      <c r="I79" s="348">
        <v>16</v>
      </c>
      <c r="J79" s="58">
        <v>2400</v>
      </c>
      <c r="K79" s="59">
        <f t="shared" si="41"/>
        <v>150</v>
      </c>
      <c r="L79" s="348">
        <v>16</v>
      </c>
      <c r="M79" s="60">
        <f t="shared" si="48"/>
        <v>2293.069306930694</v>
      </c>
      <c r="N79" s="66">
        <f t="shared" si="36"/>
        <v>143.31683168316837</v>
      </c>
      <c r="O79" s="61">
        <f t="shared" si="42"/>
        <v>0</v>
      </c>
      <c r="P79" s="62">
        <f t="shared" si="43"/>
        <v>-6.683168316831626</v>
      </c>
      <c r="Q79" s="351">
        <f t="shared" si="44"/>
        <v>0.95544554455445585</v>
      </c>
      <c r="R79" s="566"/>
      <c r="S79" s="63">
        <v>0.7090277777777777</v>
      </c>
      <c r="T79" s="63">
        <v>0.77916666666666656</v>
      </c>
      <c r="U79" s="349">
        <f t="shared" si="50"/>
        <v>5.9999999999999787</v>
      </c>
      <c r="V79" s="354">
        <f t="shared" si="49"/>
        <v>100.99999999999996</v>
      </c>
      <c r="W79" s="64"/>
      <c r="X79" s="64"/>
      <c r="Y79" s="569"/>
      <c r="Z79" s="570"/>
      <c r="AA79" s="61">
        <f t="shared" si="45"/>
        <v>-106.93069306930602</v>
      </c>
      <c r="AB79" s="351">
        <f t="shared" si="46"/>
        <v>0.95544554455445585</v>
      </c>
      <c r="AC79" s="566"/>
    </row>
    <row r="80" spans="1:29" ht="16.5" customHeight="1">
      <c r="A80" s="565" t="s">
        <v>1618</v>
      </c>
      <c r="B80" s="57" t="s">
        <v>1609</v>
      </c>
      <c r="C80" s="561"/>
      <c r="D80" s="562"/>
      <c r="E80" s="355"/>
      <c r="F80" s="66"/>
      <c r="G80" s="59"/>
      <c r="H80" s="350"/>
      <c r="I80" s="67">
        <v>15.875</v>
      </c>
      <c r="J80" s="58">
        <v>2400</v>
      </c>
      <c r="K80" s="59">
        <f t="shared" si="41"/>
        <v>151.18110236220471</v>
      </c>
      <c r="L80" s="67">
        <v>15.875</v>
      </c>
      <c r="M80" s="60">
        <f>AVERAGE(M72:M79)</f>
        <v>2295.8046601216256</v>
      </c>
      <c r="N80" s="66">
        <f t="shared" si="36"/>
        <v>144.61761638561421</v>
      </c>
      <c r="O80" s="61">
        <f t="shared" si="42"/>
        <v>0</v>
      </c>
      <c r="P80" s="62">
        <f t="shared" si="43"/>
        <v>-6.5634859765904991</v>
      </c>
      <c r="Q80" s="351">
        <f t="shared" si="44"/>
        <v>0.95658527505067747</v>
      </c>
      <c r="R80" s="566"/>
      <c r="S80" s="63"/>
      <c r="T80" s="63"/>
      <c r="U80" s="59"/>
      <c r="V80" s="354"/>
      <c r="W80" s="59"/>
      <c r="X80" s="59"/>
      <c r="Y80" s="559"/>
      <c r="Z80" s="559"/>
      <c r="AA80" s="61">
        <f t="shared" si="45"/>
        <v>-104.1953398783744</v>
      </c>
      <c r="AB80" s="351">
        <f t="shared" si="46"/>
        <v>0.95658527505067736</v>
      </c>
      <c r="AC80" s="566"/>
    </row>
    <row r="81" spans="4:14">
      <c r="D81" s="80"/>
      <c r="E81" s="80"/>
      <c r="N81" s="73"/>
    </row>
  </sheetData>
  <mergeCells count="208"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C8:D8"/>
    <mergeCell ref="Y8:Z8"/>
    <mergeCell ref="C9:D9"/>
    <mergeCell ref="Y9:Z9"/>
    <mergeCell ref="A10:A12"/>
    <mergeCell ref="C10:D10"/>
    <mergeCell ref="R10:R12"/>
    <mergeCell ref="Y10:Z10"/>
    <mergeCell ref="AC3:AC4"/>
    <mergeCell ref="A5:A9"/>
    <mergeCell ref="C5:D5"/>
    <mergeCell ref="R5:R9"/>
    <mergeCell ref="Y5:Z5"/>
    <mergeCell ref="AC5:AC9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AC10:AC12"/>
    <mergeCell ref="C11:D11"/>
    <mergeCell ref="Y11:Z11"/>
    <mergeCell ref="C12:D12"/>
    <mergeCell ref="Y12:Z12"/>
    <mergeCell ref="C13:D13"/>
    <mergeCell ref="R13:R17"/>
    <mergeCell ref="Y13:Z13"/>
    <mergeCell ref="AC13:AC17"/>
    <mergeCell ref="C17:D17"/>
    <mergeCell ref="Y17:Z17"/>
    <mergeCell ref="A18:A26"/>
    <mergeCell ref="C18:D18"/>
    <mergeCell ref="R18:R26"/>
    <mergeCell ref="Y18:Z18"/>
    <mergeCell ref="Y23:Z23"/>
    <mergeCell ref="C24:D24"/>
    <mergeCell ref="Y24:Z24"/>
    <mergeCell ref="C25:D25"/>
    <mergeCell ref="A13:A17"/>
    <mergeCell ref="C14:D14"/>
    <mergeCell ref="Y14:Z14"/>
    <mergeCell ref="C15:D15"/>
    <mergeCell ref="Y15:Z15"/>
    <mergeCell ref="C16:D16"/>
    <mergeCell ref="Y16:Z16"/>
    <mergeCell ref="AC18:AC26"/>
    <mergeCell ref="C19:D19"/>
    <mergeCell ref="Y19:Z19"/>
    <mergeCell ref="C20:D20"/>
    <mergeCell ref="Y20:Z20"/>
    <mergeCell ref="C21:D21"/>
    <mergeCell ref="Y21:Z21"/>
    <mergeCell ref="C22:D22"/>
    <mergeCell ref="Y22:Z22"/>
    <mergeCell ref="C23:D23"/>
    <mergeCell ref="Y25:Z25"/>
    <mergeCell ref="C26:D26"/>
    <mergeCell ref="Y26:Z26"/>
    <mergeCell ref="A27:A35"/>
    <mergeCell ref="C27:D27"/>
    <mergeCell ref="R27:R35"/>
    <mergeCell ref="Y27:Z27"/>
    <mergeCell ref="Y32:Z32"/>
    <mergeCell ref="C33:D33"/>
    <mergeCell ref="Y33:Z33"/>
    <mergeCell ref="AC27:AC35"/>
    <mergeCell ref="C28:D28"/>
    <mergeCell ref="Y28:Z28"/>
    <mergeCell ref="C29:D29"/>
    <mergeCell ref="Y29:Z29"/>
    <mergeCell ref="C30:D30"/>
    <mergeCell ref="Y30:Z30"/>
    <mergeCell ref="C31:D31"/>
    <mergeCell ref="Y31:Z31"/>
    <mergeCell ref="C32:D32"/>
    <mergeCell ref="C34:D34"/>
    <mergeCell ref="Y34:Z34"/>
    <mergeCell ref="C35:D35"/>
    <mergeCell ref="Y35:Z35"/>
    <mergeCell ref="A36:A47"/>
    <mergeCell ref="C36:D36"/>
    <mergeCell ref="R36:R47"/>
    <mergeCell ref="Y36:Z36"/>
    <mergeCell ref="Y41:Z41"/>
    <mergeCell ref="C42:D42"/>
    <mergeCell ref="Y42:Z42"/>
    <mergeCell ref="C43:D43"/>
    <mergeCell ref="Y43:Z43"/>
    <mergeCell ref="C44:D44"/>
    <mergeCell ref="Y44:Z44"/>
    <mergeCell ref="C45:D45"/>
    <mergeCell ref="Y45:Z45"/>
    <mergeCell ref="AC36:AC47"/>
    <mergeCell ref="C37:D37"/>
    <mergeCell ref="Y37:Z37"/>
    <mergeCell ref="C38:D38"/>
    <mergeCell ref="Y38:Z38"/>
    <mergeCell ref="C39:D39"/>
    <mergeCell ref="Y39:Z39"/>
    <mergeCell ref="C40:D40"/>
    <mergeCell ref="Y40:Z40"/>
    <mergeCell ref="C41:D41"/>
    <mergeCell ref="C46:D46"/>
    <mergeCell ref="Y46:Z46"/>
    <mergeCell ref="C47:D47"/>
    <mergeCell ref="Y47:Z47"/>
    <mergeCell ref="A48:A55"/>
    <mergeCell ref="C48:D48"/>
    <mergeCell ref="R48:R55"/>
    <mergeCell ref="Y48:Z48"/>
    <mergeCell ref="Y53:Z53"/>
    <mergeCell ref="C54:D54"/>
    <mergeCell ref="AC48:AC55"/>
    <mergeCell ref="C49:D49"/>
    <mergeCell ref="Y49:Z49"/>
    <mergeCell ref="C50:D50"/>
    <mergeCell ref="Y50:Z50"/>
    <mergeCell ref="C51:D51"/>
    <mergeCell ref="Y51:Z51"/>
    <mergeCell ref="C52:D52"/>
    <mergeCell ref="Y52:Z52"/>
    <mergeCell ref="C53:D53"/>
    <mergeCell ref="Y54:Z54"/>
    <mergeCell ref="C55:D55"/>
    <mergeCell ref="Y55:Z55"/>
    <mergeCell ref="A56:A64"/>
    <mergeCell ref="C56:D56"/>
    <mergeCell ref="R56:R64"/>
    <mergeCell ref="Y56:Z56"/>
    <mergeCell ref="C64:D64"/>
    <mergeCell ref="Y64:Z64"/>
    <mergeCell ref="AC65:AC71"/>
    <mergeCell ref="C66:D66"/>
    <mergeCell ref="Y66:Z66"/>
    <mergeCell ref="C67:D67"/>
    <mergeCell ref="Y67:Z67"/>
    <mergeCell ref="C68:D68"/>
    <mergeCell ref="AC56:AC64"/>
    <mergeCell ref="C57:D57"/>
    <mergeCell ref="Y57:Z57"/>
    <mergeCell ref="C58:D58"/>
    <mergeCell ref="C61:D61"/>
    <mergeCell ref="Y61:Z61"/>
    <mergeCell ref="C62:D62"/>
    <mergeCell ref="Y62:Z62"/>
    <mergeCell ref="C63:D63"/>
    <mergeCell ref="Y63:Z63"/>
    <mergeCell ref="Y68:Z68"/>
    <mergeCell ref="C69:D69"/>
    <mergeCell ref="Y69:Z69"/>
    <mergeCell ref="C70:D70"/>
    <mergeCell ref="Y70:Z70"/>
    <mergeCell ref="C71:D71"/>
    <mergeCell ref="Y71:Z71"/>
    <mergeCell ref="A65:A71"/>
    <mergeCell ref="C65:D65"/>
    <mergeCell ref="R65:R71"/>
    <mergeCell ref="Y65:Z65"/>
    <mergeCell ref="A72:A80"/>
    <mergeCell ref="C72:D72"/>
    <mergeCell ref="R72:R80"/>
    <mergeCell ref="Y72:Z72"/>
    <mergeCell ref="AC72:AC80"/>
    <mergeCell ref="C73:D73"/>
    <mergeCell ref="Y73:Z73"/>
    <mergeCell ref="C74:D74"/>
    <mergeCell ref="Y74:Z74"/>
    <mergeCell ref="C75:D75"/>
    <mergeCell ref="C79:D79"/>
    <mergeCell ref="Y79:Z79"/>
    <mergeCell ref="C80:D80"/>
    <mergeCell ref="Y80:Z80"/>
    <mergeCell ref="Y75:Z75"/>
    <mergeCell ref="C76:D76"/>
    <mergeCell ref="Y76:Z76"/>
    <mergeCell ref="C77:D77"/>
    <mergeCell ref="Y77:Z77"/>
    <mergeCell ref="C78:D78"/>
    <mergeCell ref="Y78:Z78"/>
  </mergeCells>
  <phoneticPr fontId="3" type="noConversion"/>
  <conditionalFormatting sqref="O68:O77 O64:O65 O80 O5:O10 O12:O14 O55 O17:O53">
    <cfRule type="cellIs" dxfId="1104" priority="73" operator="greaterThan">
      <formula>0</formula>
    </cfRule>
  </conditionalFormatting>
  <conditionalFormatting sqref="P5:P8 P68:P70 AA68:AA70 P72:P77 P27:P34 P65 P10 P12:P14 P18:P25 P36:P53 AA72:AA80 AA5:AA65">
    <cfRule type="cellIs" dxfId="1103" priority="77" operator="lessThan">
      <formula>0</formula>
    </cfRule>
  </conditionalFormatting>
  <conditionalFormatting sqref="AB68:AB70 Q68:Q77 Q64:Q65 Q80 Q5:Q10 Q12:Q14 Q55 Q17:Q53 AB72:AB80 AB5:AB65">
    <cfRule type="cellIs" dxfId="1102" priority="74" operator="greaterThan">
      <formula>1</formula>
    </cfRule>
    <cfRule type="cellIs" dxfId="1101" priority="75" operator="lessThan">
      <formula>0.8</formula>
    </cfRule>
  </conditionalFormatting>
  <conditionalFormatting sqref="AC13:AC14 R13:R14 AC68 R68:R77 R17:R23 AC17:AC23 R26:R43 AC26:AC43 AC64:AC65 R65 R80 AC5:AC10 R5:R10 R47:R53 AC47:AC53 AC55:AC61 R55">
    <cfRule type="cellIs" dxfId="1100" priority="79" operator="lessThan">
      <formula>0.8</formula>
    </cfRule>
  </conditionalFormatting>
  <conditionalFormatting sqref="AC48">
    <cfRule type="cellIs" dxfId="1099" priority="81" operator="lessThan">
      <formula>0.8</formula>
    </cfRule>
  </conditionalFormatting>
  <conditionalFormatting sqref="AC18:AC23">
    <cfRule type="cellIs" dxfId="1098" priority="78" operator="lessThan">
      <formula>0.8</formula>
    </cfRule>
  </conditionalFormatting>
  <conditionalFormatting sqref="AC27">
    <cfRule type="cellIs" dxfId="1097" priority="80" operator="lessThan">
      <formula>0.8</formula>
    </cfRule>
  </conditionalFormatting>
  <conditionalFormatting sqref="AC36:AC43">
    <cfRule type="cellIs" dxfId="1096" priority="76" operator="lessThan">
      <formula>0.8</formula>
    </cfRule>
  </conditionalFormatting>
  <conditionalFormatting sqref="AA71">
    <cfRule type="cellIs" dxfId="1095" priority="72" operator="lessThan">
      <formula>0</formula>
    </cfRule>
  </conditionalFormatting>
  <conditionalFormatting sqref="AB71">
    <cfRule type="cellIs" dxfId="1094" priority="70" operator="greaterThan">
      <formula>1</formula>
    </cfRule>
    <cfRule type="cellIs" dxfId="1093" priority="71" operator="lessThan">
      <formula>0.8</formula>
    </cfRule>
  </conditionalFormatting>
  <conditionalFormatting sqref="O15:O16">
    <cfRule type="cellIs" dxfId="1092" priority="65" operator="greaterThan">
      <formula>0</formula>
    </cfRule>
  </conditionalFormatting>
  <conditionalFormatting sqref="P15:P16">
    <cfRule type="cellIs" dxfId="1091" priority="68" operator="lessThan">
      <formula>0</formula>
    </cfRule>
  </conditionalFormatting>
  <conditionalFormatting sqref="Q15:Q16">
    <cfRule type="cellIs" dxfId="1090" priority="66" operator="greaterThan">
      <formula>1</formula>
    </cfRule>
    <cfRule type="cellIs" dxfId="1089" priority="67" operator="lessThan">
      <formula>0.8</formula>
    </cfRule>
  </conditionalFormatting>
  <conditionalFormatting sqref="R15:R16 AC15:AC16">
    <cfRule type="cellIs" dxfId="1088" priority="69" operator="lessThan">
      <formula>0.8</formula>
    </cfRule>
  </conditionalFormatting>
  <conditionalFormatting sqref="O11">
    <cfRule type="cellIs" dxfId="1087" priority="61" operator="greaterThan">
      <formula>0</formula>
    </cfRule>
  </conditionalFormatting>
  <conditionalFormatting sqref="P11">
    <cfRule type="cellIs" dxfId="1086" priority="64" operator="lessThan">
      <formula>0</formula>
    </cfRule>
  </conditionalFormatting>
  <conditionalFormatting sqref="Q11">
    <cfRule type="cellIs" dxfId="1085" priority="62" operator="greaterThan">
      <formula>1</formula>
    </cfRule>
    <cfRule type="cellIs" dxfId="1084" priority="63" operator="lessThan">
      <formula>0.8</formula>
    </cfRule>
  </conditionalFormatting>
  <conditionalFormatting sqref="AC62">
    <cfRule type="cellIs" dxfId="1083" priority="60" operator="lessThan">
      <formula>0.8</formula>
    </cfRule>
  </conditionalFormatting>
  <conditionalFormatting sqref="AC25 R25">
    <cfRule type="cellIs" dxfId="1082" priority="59" operator="lessThan">
      <formula>0.8</formula>
    </cfRule>
  </conditionalFormatting>
  <conditionalFormatting sqref="R44 AC44">
    <cfRule type="cellIs" dxfId="1081" priority="58" operator="lessThan">
      <formula>0.8</formula>
    </cfRule>
  </conditionalFormatting>
  <conditionalFormatting sqref="AC44">
    <cfRule type="cellIs" dxfId="1080" priority="57" operator="lessThan">
      <formula>0.8</formula>
    </cfRule>
  </conditionalFormatting>
  <conditionalFormatting sqref="O67">
    <cfRule type="cellIs" dxfId="1079" priority="52" operator="greaterThan">
      <formula>0</formula>
    </cfRule>
  </conditionalFormatting>
  <conditionalFormatting sqref="P67 AA67">
    <cfRule type="cellIs" dxfId="1078" priority="55" operator="lessThan">
      <formula>0</formula>
    </cfRule>
  </conditionalFormatting>
  <conditionalFormatting sqref="Q67 AB67">
    <cfRule type="cellIs" dxfId="1077" priority="53" operator="greaterThan">
      <formula>1</formula>
    </cfRule>
    <cfRule type="cellIs" dxfId="1076" priority="54" operator="lessThan">
      <formula>0.8</formula>
    </cfRule>
  </conditionalFormatting>
  <conditionalFormatting sqref="R67 AC67">
    <cfRule type="cellIs" dxfId="1075" priority="56" operator="lessThan">
      <formula>0.8</formula>
    </cfRule>
  </conditionalFormatting>
  <conditionalFormatting sqref="R46 AC46">
    <cfRule type="cellIs" dxfId="1074" priority="51" operator="lessThan">
      <formula>0.8</formula>
    </cfRule>
  </conditionalFormatting>
  <conditionalFormatting sqref="AC46">
    <cfRule type="cellIs" dxfId="1073" priority="50" operator="lessThan">
      <formula>0.8</formula>
    </cfRule>
  </conditionalFormatting>
  <conditionalFormatting sqref="O78">
    <cfRule type="cellIs" dxfId="1072" priority="45" operator="greaterThan">
      <formula>0</formula>
    </cfRule>
  </conditionalFormatting>
  <conditionalFormatting sqref="P78">
    <cfRule type="cellIs" dxfId="1071" priority="48" operator="lessThan">
      <formula>0</formula>
    </cfRule>
  </conditionalFormatting>
  <conditionalFormatting sqref="Q78">
    <cfRule type="cellIs" dxfId="1070" priority="46" operator="greaterThan">
      <formula>1</formula>
    </cfRule>
    <cfRule type="cellIs" dxfId="1069" priority="47" operator="lessThan">
      <formula>0.8</formula>
    </cfRule>
  </conditionalFormatting>
  <conditionalFormatting sqref="R78">
    <cfRule type="cellIs" dxfId="1068" priority="49" operator="lessThan">
      <formula>0.8</formula>
    </cfRule>
  </conditionalFormatting>
  <conditionalFormatting sqref="O54">
    <cfRule type="cellIs" dxfId="1067" priority="39" operator="greaterThan">
      <formula>0</formula>
    </cfRule>
  </conditionalFormatting>
  <conditionalFormatting sqref="P54">
    <cfRule type="cellIs" dxfId="1066" priority="43" operator="lessThan">
      <formula>0</formula>
    </cfRule>
  </conditionalFormatting>
  <conditionalFormatting sqref="Q54">
    <cfRule type="cellIs" dxfId="1065" priority="40" operator="greaterThan">
      <formula>1</formula>
    </cfRule>
    <cfRule type="cellIs" dxfId="1064" priority="41" operator="lessThan">
      <formula>0.8</formula>
    </cfRule>
  </conditionalFormatting>
  <conditionalFormatting sqref="R54 AC54">
    <cfRule type="cellIs" dxfId="1063" priority="44" operator="lessThan">
      <formula>0.8</formula>
    </cfRule>
  </conditionalFormatting>
  <conditionalFormatting sqref="AC54">
    <cfRule type="cellIs" dxfId="1062" priority="42" operator="lessThan">
      <formula>0.8</formula>
    </cfRule>
  </conditionalFormatting>
  <conditionalFormatting sqref="AC63">
    <cfRule type="cellIs" dxfId="1061" priority="38" operator="lessThan">
      <formula>0.8</formula>
    </cfRule>
  </conditionalFormatting>
  <conditionalFormatting sqref="R24 AC24">
    <cfRule type="cellIs" dxfId="1060" priority="37" operator="lessThan">
      <formula>0.8</formula>
    </cfRule>
  </conditionalFormatting>
  <conditionalFormatting sqref="AC24">
    <cfRule type="cellIs" dxfId="1059" priority="36" operator="lessThan">
      <formula>0.8</formula>
    </cfRule>
  </conditionalFormatting>
  <conditionalFormatting sqref="O66">
    <cfRule type="cellIs" dxfId="1058" priority="31" operator="greaterThan">
      <formula>0</formula>
    </cfRule>
  </conditionalFormatting>
  <conditionalFormatting sqref="P66 AA66">
    <cfRule type="cellIs" dxfId="1057" priority="34" operator="lessThan">
      <formula>0</formula>
    </cfRule>
  </conditionalFormatting>
  <conditionalFormatting sqref="Q66 AB66">
    <cfRule type="cellIs" dxfId="1056" priority="32" operator="greaterThan">
      <formula>1</formula>
    </cfRule>
    <cfRule type="cellIs" dxfId="1055" priority="33" operator="lessThan">
      <formula>0.8</formula>
    </cfRule>
  </conditionalFormatting>
  <conditionalFormatting sqref="R66 AC66">
    <cfRule type="cellIs" dxfId="1054" priority="35" operator="lessThan">
      <formula>0.8</formula>
    </cfRule>
  </conditionalFormatting>
  <conditionalFormatting sqref="P9">
    <cfRule type="cellIs" dxfId="1053" priority="30" operator="lessThan">
      <formula>0</formula>
    </cfRule>
  </conditionalFormatting>
  <conditionalFormatting sqref="P17">
    <cfRule type="cellIs" dxfId="1052" priority="29" operator="lessThan">
      <formula>0</formula>
    </cfRule>
  </conditionalFormatting>
  <conditionalFormatting sqref="P26">
    <cfRule type="cellIs" dxfId="1051" priority="28" operator="lessThan">
      <formula>0</formula>
    </cfRule>
  </conditionalFormatting>
  <conditionalFormatting sqref="P35">
    <cfRule type="cellIs" dxfId="1050" priority="27" operator="lessThan">
      <formula>0</formula>
    </cfRule>
  </conditionalFormatting>
  <conditionalFormatting sqref="P55">
    <cfRule type="cellIs" dxfId="1049" priority="26" operator="lessThan">
      <formula>0</formula>
    </cfRule>
  </conditionalFormatting>
  <conditionalFormatting sqref="P64">
    <cfRule type="cellIs" dxfId="1048" priority="25" operator="lessThan">
      <formula>0</formula>
    </cfRule>
  </conditionalFormatting>
  <conditionalFormatting sqref="P71">
    <cfRule type="cellIs" dxfId="1047" priority="24" operator="lessThan">
      <formula>0</formula>
    </cfRule>
  </conditionalFormatting>
  <conditionalFormatting sqref="P80">
    <cfRule type="cellIs" dxfId="1046" priority="23" operator="lessThan">
      <formula>0</formula>
    </cfRule>
  </conditionalFormatting>
  <conditionalFormatting sqref="R45 AC45">
    <cfRule type="cellIs" dxfId="1045" priority="22" operator="lessThan">
      <formula>0.8</formula>
    </cfRule>
  </conditionalFormatting>
  <conditionalFormatting sqref="AC45">
    <cfRule type="cellIs" dxfId="1044" priority="21" operator="lessThan">
      <formula>0.8</formula>
    </cfRule>
  </conditionalFormatting>
  <conditionalFormatting sqref="O79">
    <cfRule type="cellIs" dxfId="1043" priority="16" operator="greaterThan">
      <formula>0</formula>
    </cfRule>
  </conditionalFormatting>
  <conditionalFormatting sqref="P79">
    <cfRule type="cellIs" dxfId="1042" priority="19" operator="lessThan">
      <formula>0</formula>
    </cfRule>
  </conditionalFormatting>
  <conditionalFormatting sqref="Q79">
    <cfRule type="cellIs" dxfId="1041" priority="17" operator="greaterThan">
      <formula>1</formula>
    </cfRule>
    <cfRule type="cellIs" dxfId="1040" priority="18" operator="lessThan">
      <formula>0.8</formula>
    </cfRule>
  </conditionalFormatting>
  <conditionalFormatting sqref="R79">
    <cfRule type="cellIs" dxfId="1039" priority="20" operator="lessThan">
      <formula>0.8</formula>
    </cfRule>
  </conditionalFormatting>
  <conditionalFormatting sqref="O56:O61">
    <cfRule type="cellIs" dxfId="1038" priority="12" operator="greaterThan">
      <formula>0</formula>
    </cfRule>
  </conditionalFormatting>
  <conditionalFormatting sqref="P56:P61">
    <cfRule type="cellIs" dxfId="1037" priority="15" operator="lessThan">
      <formula>0</formula>
    </cfRule>
  </conditionalFormatting>
  <conditionalFormatting sqref="Q56:Q61">
    <cfRule type="cellIs" dxfId="1036" priority="13" operator="greaterThan">
      <formula>1</formula>
    </cfRule>
    <cfRule type="cellIs" dxfId="1035" priority="14" operator="lessThan">
      <formula>0.8</formula>
    </cfRule>
  </conditionalFormatting>
  <conditionalFormatting sqref="O62">
    <cfRule type="cellIs" dxfId="1034" priority="8" operator="greaterThan">
      <formula>0</formula>
    </cfRule>
  </conditionalFormatting>
  <conditionalFormatting sqref="P62">
    <cfRule type="cellIs" dxfId="1033" priority="11" operator="lessThan">
      <formula>0</formula>
    </cfRule>
  </conditionalFormatting>
  <conditionalFormatting sqref="Q62">
    <cfRule type="cellIs" dxfId="1032" priority="9" operator="greaterThan">
      <formula>1</formula>
    </cfRule>
    <cfRule type="cellIs" dxfId="1031" priority="10" operator="lessThan">
      <formula>0.8</formula>
    </cfRule>
  </conditionalFormatting>
  <conditionalFormatting sqref="O63">
    <cfRule type="cellIs" dxfId="1030" priority="4" operator="greaterThan">
      <formula>0</formula>
    </cfRule>
  </conditionalFormatting>
  <conditionalFormatting sqref="P63">
    <cfRule type="cellIs" dxfId="1029" priority="7" operator="lessThan">
      <formula>0</formula>
    </cfRule>
  </conditionalFormatting>
  <conditionalFormatting sqref="Q63">
    <cfRule type="cellIs" dxfId="1028" priority="5" operator="greaterThan">
      <formula>1</formula>
    </cfRule>
    <cfRule type="cellIs" dxfId="1027" priority="6" operator="lessThan">
      <formula>0.8</formula>
    </cfRule>
  </conditionalFormatting>
  <conditionalFormatting sqref="R64 R56:R61">
    <cfRule type="cellIs" dxfId="1026" priority="3" operator="lessThan">
      <formula>0.8</formula>
    </cfRule>
  </conditionalFormatting>
  <conditionalFormatting sqref="R62">
    <cfRule type="cellIs" dxfId="1025" priority="2" operator="lessThan">
      <formula>0.8</formula>
    </cfRule>
  </conditionalFormatting>
  <conditionalFormatting sqref="R63">
    <cfRule type="cellIs" dxfId="1024" priority="1" operator="lessThan">
      <formula>0.8</formula>
    </cfRule>
  </conditionalFormatting>
  <dataValidations count="1">
    <dataValidation type="list" allowBlank="1" showInputMessage="1" showErrorMessage="1" sqref="Z9 Z69:Z70 Y5:Z8 Y71:Z80 Y9:Y70 Z11:Z65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="85" zoomScaleNormal="85" workbookViewId="0">
      <selection activeCell="D10" sqref="D10:J10"/>
    </sheetView>
  </sheetViews>
  <sheetFormatPr defaultColWidth="8.75" defaultRowHeight="15.75"/>
  <cols>
    <col min="1" max="1" width="8.75" style="2"/>
    <col min="2" max="2" width="17.875" style="2" customWidth="1"/>
    <col min="3" max="3" width="9.25" style="9" customWidth="1"/>
    <col min="4" max="13" width="12.625" style="2" customWidth="1"/>
    <col min="14" max="14" width="11" style="2" bestFit="1" customWidth="1"/>
    <col min="15" max="15" width="17.75" style="2" bestFit="1" customWidth="1"/>
    <col min="16" max="16" width="12.25" style="2" bestFit="1" customWidth="1"/>
    <col min="17" max="22" width="9.25" style="2" customWidth="1"/>
    <col min="23" max="23" width="10.75" style="2" customWidth="1"/>
    <col min="24" max="24" width="11" style="2" customWidth="1"/>
    <col min="25" max="16384" width="8.75" style="2"/>
  </cols>
  <sheetData>
    <row r="1" spans="2:17" ht="27.75" customHeight="1">
      <c r="B1" s="546" t="s">
        <v>1108</v>
      </c>
      <c r="C1" s="546"/>
      <c r="D1" s="546"/>
      <c r="E1" s="546"/>
      <c r="F1" s="546"/>
      <c r="G1" s="546"/>
      <c r="H1" s="546"/>
      <c r="I1" s="546"/>
      <c r="J1" s="546"/>
      <c r="K1" s="1"/>
      <c r="L1" s="1"/>
      <c r="M1" s="1"/>
      <c r="N1" s="1"/>
      <c r="O1" s="1"/>
      <c r="P1" s="1"/>
    </row>
    <row r="2" spans="2:17" ht="27.75" customHeight="1">
      <c r="B2" s="547"/>
      <c r="C2" s="547"/>
      <c r="D2" s="547"/>
      <c r="E2" s="547"/>
      <c r="F2" s="547"/>
      <c r="G2" s="547"/>
      <c r="H2" s="547"/>
      <c r="I2" s="547"/>
      <c r="J2" s="547"/>
      <c r="K2" s="3"/>
      <c r="L2" s="3"/>
      <c r="M2" s="3"/>
      <c r="N2" s="1"/>
      <c r="O2" s="1"/>
      <c r="P2" s="1"/>
    </row>
    <row r="3" spans="2:17" ht="46.5" customHeight="1">
      <c r="B3" s="4" t="s">
        <v>1109</v>
      </c>
      <c r="C3" s="548" t="str">
        <f>TEXT('1215 4度C'!A2,"yyyy.mm.ddaaaa")</f>
        <v>2025.12.15星期一</v>
      </c>
      <c r="D3" s="549"/>
      <c r="E3" s="4" t="s">
        <v>1110</v>
      </c>
      <c r="F3" s="550">
        <f>'1215 4度C'!D1</f>
        <v>182600</v>
      </c>
      <c r="G3" s="551"/>
      <c r="H3" s="4" t="s">
        <v>1111</v>
      </c>
      <c r="I3" s="552">
        <f>'1215 4度C'!F1</f>
        <v>6137601.8800000008</v>
      </c>
      <c r="J3" s="553"/>
      <c r="K3" s="5"/>
      <c r="L3" s="6"/>
      <c r="M3" s="7"/>
      <c r="N3" s="7"/>
    </row>
    <row r="4" spans="2:17" ht="28.5" customHeight="1">
      <c r="B4" s="554" t="s">
        <v>1112</v>
      </c>
      <c r="C4" s="536" t="s">
        <v>1113</v>
      </c>
      <c r="D4" s="537"/>
      <c r="E4" s="557" t="s">
        <v>1114</v>
      </c>
      <c r="F4" s="558"/>
      <c r="G4" s="557" t="s">
        <v>1115</v>
      </c>
      <c r="H4" s="558"/>
      <c r="I4" s="557" t="s">
        <v>1116</v>
      </c>
      <c r="J4" s="558"/>
      <c r="L4" s="7"/>
      <c r="M4" s="7"/>
      <c r="N4" s="7"/>
    </row>
    <row r="5" spans="2:17" ht="28.5" customHeight="1">
      <c r="B5" s="555"/>
      <c r="C5" s="536" t="s">
        <v>1117</v>
      </c>
      <c r="D5" s="537"/>
      <c r="E5" s="536" t="s">
        <v>1118</v>
      </c>
      <c r="F5" s="537"/>
      <c r="G5" s="538" t="s">
        <v>1119</v>
      </c>
      <c r="H5" s="539"/>
      <c r="I5" s="540" t="s">
        <v>1120</v>
      </c>
      <c r="J5" s="541"/>
      <c r="K5" s="7"/>
      <c r="L5" s="7"/>
      <c r="M5" s="7"/>
      <c r="N5" s="7"/>
    </row>
    <row r="6" spans="2:17" ht="28.5" customHeight="1">
      <c r="B6" s="555"/>
      <c r="C6" s="536" t="s">
        <v>46</v>
      </c>
      <c r="D6" s="537"/>
      <c r="E6" s="542">
        <f>AVERAGE(D13:M13)</f>
        <v>150.97295585487527</v>
      </c>
      <c r="F6" s="543">
        <f>AVERAGE(D27:O27,D13:J13)</f>
        <v>155.53613619791076</v>
      </c>
      <c r="G6" s="544">
        <f>AVERAGE(D13:J13)</f>
        <v>155.53613619791076</v>
      </c>
      <c r="H6" s="545"/>
      <c r="I6" s="544">
        <f>AVERAGE(K13:M13)</f>
        <v>140.3255350544591</v>
      </c>
      <c r="J6" s="545"/>
      <c r="K6" s="7"/>
      <c r="L6" s="7"/>
      <c r="M6" s="7"/>
      <c r="N6" s="7"/>
    </row>
    <row r="7" spans="2:17" ht="28.5" customHeight="1">
      <c r="B7" s="555"/>
      <c r="C7" s="526" t="s">
        <v>47</v>
      </c>
      <c r="D7" s="527"/>
      <c r="E7" s="528">
        <f>AVERAGE(D14:M14)</f>
        <v>144.65495519063069</v>
      </c>
      <c r="F7" s="529">
        <f>AVERAGE(D28:O28,D14:J14)</f>
        <v>149.1845535214286</v>
      </c>
      <c r="G7" s="530">
        <f>AVERAGE(D14:J14)</f>
        <v>149.1845535214286</v>
      </c>
      <c r="H7" s="531"/>
      <c r="I7" s="530">
        <f>AVERAGE(K14:M14)</f>
        <v>134.08589241876882</v>
      </c>
      <c r="J7" s="531"/>
      <c r="K7" s="7"/>
      <c r="L7" s="7"/>
      <c r="M7" s="7"/>
      <c r="N7" s="7"/>
    </row>
    <row r="8" spans="2:17" ht="28.5" customHeight="1">
      <c r="B8" s="556"/>
      <c r="C8" s="526" t="s">
        <v>48</v>
      </c>
      <c r="D8" s="527"/>
      <c r="E8" s="532">
        <f>AVERAGE(D15:M15)</f>
        <v>0.95758203100660599</v>
      </c>
      <c r="F8" s="533">
        <f>AVERAGE(D15:J15,D29:O29)</f>
        <v>0.95845709073027663</v>
      </c>
      <c r="G8" s="534">
        <f>AVERAGE(D15:J15)</f>
        <v>0.95845709073027663</v>
      </c>
      <c r="H8" s="535"/>
      <c r="I8" s="534">
        <f>AVERAGE(K15:M15)</f>
        <v>0.95554022498470792</v>
      </c>
      <c r="J8" s="535"/>
      <c r="K8" s="8" t="s">
        <v>1121</v>
      </c>
      <c r="L8" s="7"/>
      <c r="M8" s="7"/>
      <c r="N8" s="7"/>
    </row>
    <row r="9" spans="2:17" ht="28.5" customHeight="1" thickBot="1">
      <c r="H9" s="10"/>
      <c r="N9" s="7"/>
      <c r="O9" s="7"/>
      <c r="P9" s="7"/>
      <c r="Q9" s="7"/>
    </row>
    <row r="10" spans="2:17" ht="30" customHeight="1">
      <c r="B10" s="509" t="s">
        <v>1122</v>
      </c>
      <c r="C10" s="510"/>
      <c r="D10" s="511" t="s">
        <v>1123</v>
      </c>
      <c r="E10" s="512"/>
      <c r="F10" s="512"/>
      <c r="G10" s="512"/>
      <c r="H10" s="512"/>
      <c r="I10" s="512"/>
      <c r="J10" s="513"/>
      <c r="K10" s="514" t="s">
        <v>1124</v>
      </c>
      <c r="L10" s="515"/>
      <c r="M10" s="516"/>
      <c r="P10" s="11"/>
      <c r="Q10" s="11"/>
    </row>
    <row r="11" spans="2:17" ht="17.25" customHeight="1">
      <c r="B11" s="517" t="s">
        <v>1125</v>
      </c>
      <c r="C11" s="518"/>
      <c r="D11" s="12">
        <v>1</v>
      </c>
      <c r="E11" s="13">
        <v>2</v>
      </c>
      <c r="F11" s="13">
        <v>3</v>
      </c>
      <c r="G11" s="13">
        <v>4</v>
      </c>
      <c r="H11" s="13">
        <v>5</v>
      </c>
      <c r="I11" s="13">
        <v>6</v>
      </c>
      <c r="J11" s="14">
        <v>7</v>
      </c>
      <c r="K11" s="12">
        <v>1</v>
      </c>
      <c r="L11" s="13">
        <v>2</v>
      </c>
      <c r="M11" s="14">
        <v>3</v>
      </c>
      <c r="P11" s="11"/>
      <c r="Q11" s="11"/>
    </row>
    <row r="12" spans="2:17" ht="34.15" customHeight="1">
      <c r="B12" s="519"/>
      <c r="C12" s="520"/>
      <c r="D12" s="15" t="s">
        <v>49</v>
      </c>
      <c r="E12" s="16" t="s">
        <v>50</v>
      </c>
      <c r="F12" s="16" t="s">
        <v>51</v>
      </c>
      <c r="G12" s="16" t="s">
        <v>52</v>
      </c>
      <c r="H12" s="16" t="s">
        <v>53</v>
      </c>
      <c r="I12" s="16" t="s">
        <v>54</v>
      </c>
      <c r="J12" s="17" t="s">
        <v>55</v>
      </c>
      <c r="K12" s="15" t="s">
        <v>56</v>
      </c>
      <c r="L12" s="16" t="s">
        <v>57</v>
      </c>
      <c r="M12" s="17" t="s">
        <v>58</v>
      </c>
    </row>
    <row r="13" spans="2:17" ht="40.15" customHeight="1">
      <c r="B13" s="521" t="s">
        <v>1126</v>
      </c>
      <c r="C13" s="18" t="s">
        <v>1127</v>
      </c>
      <c r="D13" s="19">
        <f>SUMIFS('1215 4度C'!$K:$K,'1215 4度C'!$A:$A,"新豐6線",'1215 4度C'!$B:$B,"平均")</f>
        <v>137.93103448275863</v>
      </c>
      <c r="E13" s="20">
        <f>SUMIFS('1215 4度C'!$K:$K,'1215 4度C'!$A:$A,"新豐2線",'1215 4度C'!$B:$B,"平均")</f>
        <v>83.333333333333329</v>
      </c>
      <c r="F13" s="21">
        <f>SUMIFS('1215 4度C'!$K:$K,'1215 4度C'!$A:$A,"新豐5線",'1215 4度C'!$B:$B,"平均")</f>
        <v>93.333333333333329</v>
      </c>
      <c r="G13" s="21">
        <f>SUMIFS('1215 4度C'!$K:$K,'1215 4度C'!$A:$A,"新豐7線",'1215 4度C'!$B:$B,"平均")</f>
        <v>118.32061068702291</v>
      </c>
      <c r="H13" s="21">
        <f>SUMIFS('1215 4度C'!$K:$K,'1215 4度C'!$A:$A,"新豐3線",'1215 4度C'!$B:$B,"平均")</f>
        <v>243.58974358974359</v>
      </c>
      <c r="I13" s="21">
        <f>SUMIFS('1215 4度C'!$K:$K,'1215 4度C'!$A:$A,"新豐1線",'1215 4度C'!$B:$B,"平均")</f>
        <v>112.24489795918367</v>
      </c>
      <c r="J13" s="22">
        <f>SUMIFS('1215 4度C'!$K:$K,'1215 4度C'!$A:$A,"新豐10線",'1215 4度C'!$B:$B,"平均")</f>
        <v>300</v>
      </c>
      <c r="K13" s="23">
        <f>SUMIFS('1215 4度C'!$K:$K,'1215 4度C'!$A:$A,"新豐8線",'1215 4度C'!$B:$B,"平均")</f>
        <v>134.26573426573427</v>
      </c>
      <c r="L13" s="24">
        <f>SUMIFS('1215 4度C'!$K:$K,'1215 4度C'!$A:$A,"新豐9線",'1215 4度C'!$B:$B,"平均")</f>
        <v>140.14598540145985</v>
      </c>
      <c r="M13" s="22">
        <f>SUMIFS('1215 4度C'!$K:$K,'1215 4度C'!$A:$A,"新豐4線",'1215 4度C'!$B:$B,"平均")</f>
        <v>146.56488549618319</v>
      </c>
    </row>
    <row r="14" spans="2:17" ht="39.6" customHeight="1">
      <c r="B14" s="522"/>
      <c r="C14" s="25" t="s">
        <v>1128</v>
      </c>
      <c r="D14" s="26">
        <f>SUMIFS('1215 4度C'!$N:$N,'1215 4度C'!$A:$A,"新豐6線",'1215 4度C'!$B:$B,"平均")</f>
        <v>132.69483812778878</v>
      </c>
      <c r="E14" s="27">
        <f>SUMIFS('1215 4度C'!$N:$N,'1215 4度C'!$A:$A,"新豐2線",'1215 4度C'!$B:$B,"平均")</f>
        <v>79.510155316606941</v>
      </c>
      <c r="F14" s="27">
        <f>SUMIFS('1215 4度C'!$N:$N,'1215 4度C'!$A:$A,"新豐5線",'1215 4度C'!$B:$B,"平均")</f>
        <v>89.101134750626201</v>
      </c>
      <c r="G14" s="27">
        <f>SUMIFS('1215 4度C'!$N:$N,'1215 4度C'!$A:$A,"新豐7線",'1215 4度C'!$B:$B,"平均")</f>
        <v>113.4797188566977</v>
      </c>
      <c r="H14" s="27">
        <f>SUMIFS('1215 4度C'!$N:$N,'1215 4度C'!$A:$A,"新豐3線",'1215 4度C'!$B:$B,"平均")</f>
        <v>232.9800318301873</v>
      </c>
      <c r="I14" s="27">
        <f>SUMIFS('1215 4度C'!$N:$N,'1215 4度C'!$A:$A,"新豐1線",'1215 4度C'!$B:$B,"平均")</f>
        <v>107.80613306182717</v>
      </c>
      <c r="J14" s="28">
        <f>SUMIFS('1215 4度C'!$N:$N,'1215 4度C'!$A:$A,"新豐10線",'1215 4度C'!$B:$B,"平均")</f>
        <v>288.71986270626616</v>
      </c>
      <c r="K14" s="29">
        <f>SUMIFS('1215 4度C'!$N:$N,'1215 4度C'!$A:$A,"新豐8線",'1215 4度C'!$B:$B,"平均")</f>
        <v>128.27983370623261</v>
      </c>
      <c r="L14" s="30">
        <f>SUMIFS('1215 4度C'!$N:$N,'1215 4度C'!$A:$A,"新豐9線",'1215 4度C'!$B:$B,"平均")</f>
        <v>134.00053901137375</v>
      </c>
      <c r="M14" s="28">
        <f>SUMIFS('1215 4度C'!$N:$N,'1215 4度C'!$A:$A,"新豐4線",'1215 4度C'!$B:$B,"平均")</f>
        <v>139.97730453870005</v>
      </c>
    </row>
    <row r="15" spans="2:17" ht="40.15" customHeight="1">
      <c r="B15" s="523"/>
      <c r="C15" s="31" t="s">
        <v>269</v>
      </c>
      <c r="D15" s="32">
        <f t="shared" ref="D15:M15" si="0">D14/D13</f>
        <v>0.96203757642646859</v>
      </c>
      <c r="E15" s="33">
        <f t="shared" si="0"/>
        <v>0.95412186379928332</v>
      </c>
      <c r="F15" s="33">
        <f t="shared" si="0"/>
        <v>0.95465501518528073</v>
      </c>
      <c r="G15" s="33">
        <f t="shared" si="0"/>
        <v>0.95908665614370314</v>
      </c>
      <c r="H15" s="33">
        <f t="shared" si="0"/>
        <v>0.95644434119761101</v>
      </c>
      <c r="I15" s="33">
        <f t="shared" si="0"/>
        <v>0.96045464000536929</v>
      </c>
      <c r="J15" s="34">
        <f t="shared" si="0"/>
        <v>0.96239954235422054</v>
      </c>
      <c r="K15" s="32">
        <f t="shared" si="0"/>
        <v>0.95541751145787823</v>
      </c>
      <c r="L15" s="33">
        <f t="shared" si="0"/>
        <v>0.95614967940407314</v>
      </c>
      <c r="M15" s="34">
        <f t="shared" si="0"/>
        <v>0.95505348409217228</v>
      </c>
    </row>
    <row r="16" spans="2:17" ht="17.25" customHeight="1">
      <c r="B16" s="524" t="s">
        <v>1129</v>
      </c>
      <c r="C16" s="35" t="s">
        <v>1130</v>
      </c>
      <c r="D16" s="49">
        <f>VLOOKUP("新豐6線",'1215 4度C'!$A:$T,19,0)</f>
        <v>0.70833333333333337</v>
      </c>
      <c r="E16" s="50">
        <f>VLOOKUP("新豐2線",'1215 4度C'!$A:$T,19,0)</f>
        <v>0.16666666666666666</v>
      </c>
      <c r="F16" s="50">
        <f>VLOOKUP("新豐5線",'1215 4度C'!$A:$T,19,0)</f>
        <v>0.20833333333333334</v>
      </c>
      <c r="G16" s="50">
        <f>VLOOKUP("新豐7線",'1215 4度C'!$A:$T,19,0)</f>
        <v>0.20833333333333334</v>
      </c>
      <c r="H16" s="50">
        <f>VLOOKUP("新豐3線",'1215 4度C'!$A:$T,19,0)</f>
        <v>8.3333333333333329E-2</v>
      </c>
      <c r="I16" s="50">
        <f>VLOOKUP("新豐1線",'1215 4度C'!$A:$T,19,0)</f>
        <v>0.20833333333333334</v>
      </c>
      <c r="J16" s="51">
        <f>VLOOKUP("新豐10線",'1215 4度C'!$A:$T,19,0)</f>
        <v>0.20833333333333334</v>
      </c>
      <c r="K16" s="36">
        <f>VLOOKUP("新豐8線",'1215 4度C'!$A:$T,19,0)</f>
        <v>8.3333333333333329E-2</v>
      </c>
      <c r="L16" s="37">
        <f>VLOOKUP("新豐9線",'1215 4度C'!$A:$T,19,0)</f>
        <v>8.3333333333333329E-2</v>
      </c>
      <c r="M16" s="38">
        <f>VLOOKUP("新豐4線",'1215 4度C'!$A:$T,19,0)</f>
        <v>8.3333333333333329E-2</v>
      </c>
    </row>
    <row r="17" spans="2:13" ht="17.25" customHeight="1">
      <c r="B17" s="525"/>
      <c r="C17" s="35" t="s">
        <v>1131</v>
      </c>
      <c r="D17" s="36">
        <f>LOOKUP(2,1/(('1215 4度C'!$A:$A="新豐6線")*('1215 4度C'!$T:$T&lt;&gt;"")),'1215 4度C'!$T:$T)</f>
        <v>0.90833333333333333</v>
      </c>
      <c r="E17" s="50">
        <f>LOOKUP(2,1/(('1215 4度C'!$A:$A="新豐2線")*('1215 4度C'!$T:$T&lt;&gt;"")),'1215 4度C'!$T:$T)</f>
        <v>0.50694444444444442</v>
      </c>
      <c r="F17" s="50">
        <f>LOOKUP(2,1/(('1215 4度C'!$A:$A="新豐5線")*('1215 4度C'!$T:$T&lt;&gt;"")),'1215 4度C'!$T:$T)</f>
        <v>0.84444444444444444</v>
      </c>
      <c r="G17" s="50">
        <f>LOOKUP(2,1/(('1215 4度C'!$A:$A="新豐7線")*('1215 4度C'!$T:$T&lt;&gt;"")),'1215 4度C'!$T:$T)</f>
        <v>0.84513888888888877</v>
      </c>
      <c r="H17" s="50">
        <f>LOOKUP(2,1/(('1215 4度C'!$A:$A="新豐3線")*('1215 4度C'!$T:$T&lt;&gt;"")),'1215 4度C'!$T:$T)</f>
        <v>0.58819444444444424</v>
      </c>
      <c r="I17" s="50">
        <f>LOOKUP(2,1/(('1215 4度C'!$A:$A="新豐1線")*('1215 4度C'!$T:$T&lt;&gt;"")),'1215 4度C'!$T:$T)</f>
        <v>0.93055555555555558</v>
      </c>
      <c r="J17" s="51">
        <f>LOOKUP(2,1/(('1215 4度C'!$A:$A="新豐10線")*('1215 4度C'!$T:$T&lt;&gt;"")),'1215 4度C'!$T:$T)</f>
        <v>0.4993055555555555</v>
      </c>
      <c r="K17" s="49">
        <f>LOOKUP(2,1/(('1215 4度C'!$A:$A="新豐8線")*('1215 4度C'!$T:$T&lt;&gt;"")),'1215 4度C'!$T:$T)</f>
        <v>0.71527777777777757</v>
      </c>
      <c r="L17" s="50">
        <f>LOOKUP(2,1/(('1215 4度C'!$A:$A="新豐9線")*('1215 4度C'!$T:$T&lt;&gt;"")),'1215 4度C'!$T:$T)</f>
        <v>0.65347222222222223</v>
      </c>
      <c r="M17" s="51">
        <f>LOOKUP(2,1/(('1215 4度C'!$A:$A="新豐4線")*('1215 4度C'!$T:$T&lt;&gt;"")),'1215 4度C'!$T:$T)</f>
        <v>0.69236111111111109</v>
      </c>
    </row>
    <row r="18" spans="2:13" ht="17.25" customHeight="1">
      <c r="B18" s="503" t="s">
        <v>1132</v>
      </c>
      <c r="C18" s="504"/>
      <c r="D18" s="39">
        <f>SUMIFS('1215 4度C'!$I:$I,'1215 4度C'!$A:$A,"新豐6線",'1215 4度C'!$B:$B,"平均")</f>
        <v>14.5</v>
      </c>
      <c r="E18" s="40">
        <f>SUMIFS('1215 4度C'!$I:$I,'1215 4度C'!$A:$A,"新豐2線",'1215 4度C'!$B:$B,"平均")</f>
        <v>18</v>
      </c>
      <c r="F18" s="40">
        <f>SUMIFS('1215 4度C'!$I:$I,'1215 4度C'!$A:$A,"新豐5線",'1215 4度C'!$B:$B,"平均")</f>
        <v>18.75</v>
      </c>
      <c r="G18" s="40">
        <f>SUMIFS('1215 4度C'!$I:$I,'1215 4度C'!$A:$A,"新豐7線",'1215 4度C'!$B:$B,"平均")</f>
        <v>16.375</v>
      </c>
      <c r="H18" s="40">
        <f>SUMIFS('1215 4度C'!$I:$I,'1215 4度C'!$A:$A,"新豐3線",'1215 4度C'!$B:$B,"平均")</f>
        <v>11.142857142857142</v>
      </c>
      <c r="I18" s="40">
        <f>SUMIFS('1215 4度C'!$I:$I,'1215 4度C'!$A:$A,"新豐1線",'1215 4度C'!$B:$B,"平均")</f>
        <v>16.333333333333332</v>
      </c>
      <c r="J18" s="41">
        <f>SUMIFS('1215 4度C'!$I:$I,'1215 4度C'!$A:$A,"新豐10線",'1215 4度C'!$B:$B,"平均")</f>
        <v>9.1666666666666661</v>
      </c>
      <c r="K18" s="39">
        <f>SUMIFS('1215 4度C'!$I:$I,'1215 4度C'!$A:$A,"新豐8線",'1215 4度C'!$B:$B,"平均")</f>
        <v>17.875</v>
      </c>
      <c r="L18" s="40">
        <f>SUMIFS('1215 4度C'!$I:$I,'1215 4度C'!$A:$A,"新豐9線",'1215 4度C'!$B:$B,"平均")</f>
        <v>17.125</v>
      </c>
      <c r="M18" s="41">
        <f>SUMIFS('1215 4度C'!$I:$I,'1215 4度C'!$A:$A,"新豐4線",'1215 4度C'!$B:$B,"平均")</f>
        <v>16.375</v>
      </c>
    </row>
    <row r="19" spans="2:13" ht="17.25" customHeight="1">
      <c r="B19" s="503" t="s">
        <v>1133</v>
      </c>
      <c r="C19" s="504"/>
      <c r="D19" s="42" t="s">
        <v>59</v>
      </c>
      <c r="E19" s="43" t="s">
        <v>60</v>
      </c>
      <c r="F19" s="43" t="s">
        <v>1134</v>
      </c>
      <c r="G19" s="43" t="s">
        <v>1134</v>
      </c>
      <c r="H19" s="43" t="s">
        <v>61</v>
      </c>
      <c r="I19" s="43" t="s">
        <v>59</v>
      </c>
      <c r="J19" s="44" t="s">
        <v>61</v>
      </c>
      <c r="K19" s="42" t="s">
        <v>1135</v>
      </c>
      <c r="L19" s="43" t="s">
        <v>1136</v>
      </c>
      <c r="M19" s="44" t="s">
        <v>1135</v>
      </c>
    </row>
    <row r="20" spans="2:13" ht="17.25" customHeight="1">
      <c r="B20" s="503" t="s">
        <v>1137</v>
      </c>
      <c r="C20" s="504"/>
      <c r="D20" s="42"/>
      <c r="E20" s="43"/>
      <c r="F20" s="43" t="s">
        <v>1138</v>
      </c>
      <c r="G20" s="43" t="s">
        <v>59</v>
      </c>
      <c r="H20" s="43"/>
      <c r="I20" s="43"/>
      <c r="J20" s="44"/>
      <c r="K20" s="42"/>
      <c r="L20" s="43"/>
      <c r="M20" s="44"/>
    </row>
    <row r="21" spans="2:13" ht="17.25" customHeight="1" thickBot="1">
      <c r="B21" s="505" t="s">
        <v>1139</v>
      </c>
      <c r="C21" s="506"/>
      <c r="D21" s="45"/>
      <c r="E21" s="46" t="s">
        <v>1140</v>
      </c>
      <c r="F21" s="507" t="s">
        <v>1141</v>
      </c>
      <c r="G21" s="508"/>
      <c r="H21" s="46" t="s">
        <v>1142</v>
      </c>
      <c r="I21" s="46" t="s">
        <v>1143</v>
      </c>
      <c r="J21" s="47" t="s">
        <v>1142</v>
      </c>
      <c r="K21" s="48"/>
      <c r="L21" s="46"/>
      <c r="M21" s="4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20:C20"/>
    <mergeCell ref="B21:C21"/>
    <mergeCell ref="F21:G21"/>
    <mergeCell ref="K10:M10"/>
    <mergeCell ref="B11:C12"/>
    <mergeCell ref="B13:B15"/>
    <mergeCell ref="B18:C18"/>
    <mergeCell ref="B19:C19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1023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76"/>
  <sheetViews>
    <sheetView zoomScale="80" zoomScaleNormal="80" workbookViewId="0">
      <pane ySplit="4" topLeftCell="A5" activePane="bottomLeft" state="frozen"/>
      <selection activeCell="K19" sqref="K19"/>
      <selection pane="bottomLeft" activeCell="V7" sqref="V7"/>
    </sheetView>
  </sheetViews>
  <sheetFormatPr defaultColWidth="8" defaultRowHeight="15.75"/>
  <cols>
    <col min="1" max="1" width="15.125" style="54" customWidth="1"/>
    <col min="2" max="2" width="19.375" style="54" customWidth="1"/>
    <col min="3" max="3" width="15.25" style="54" customWidth="1"/>
    <col min="4" max="4" width="17.5" style="54" customWidth="1"/>
    <col min="5" max="5" width="7.5" style="54" bestFit="1" customWidth="1"/>
    <col min="6" max="6" width="14.375" style="54" bestFit="1" customWidth="1"/>
    <col min="7" max="7" width="14.375" style="54" customWidth="1"/>
    <col min="8" max="8" width="8" style="54" customWidth="1"/>
    <col min="9" max="9" width="5.875" style="54" customWidth="1"/>
    <col min="10" max="10" width="10.625" style="54" customWidth="1"/>
    <col min="11" max="11" width="14.625" style="54" customWidth="1"/>
    <col min="12" max="12" width="7.25" style="54" bestFit="1" customWidth="1"/>
    <col min="13" max="13" width="8" style="54" customWidth="1"/>
    <col min="14" max="14" width="12" style="54" customWidth="1"/>
    <col min="15" max="15" width="6" style="54" customWidth="1"/>
    <col min="16" max="16" width="9.25" style="54" customWidth="1"/>
    <col min="17" max="17" width="11.5" style="54" customWidth="1"/>
    <col min="18" max="18" width="8.5" style="54" customWidth="1"/>
    <col min="19" max="19" width="10.125" style="54" bestFit="1" customWidth="1"/>
    <col min="20" max="20" width="7.625" style="54" bestFit="1" customWidth="1"/>
    <col min="21" max="21" width="10.25" style="54" bestFit="1" customWidth="1"/>
    <col min="22" max="22" width="8.75" style="71" customWidth="1"/>
    <col min="23" max="23" width="7.375" style="54" customWidth="1"/>
    <col min="24" max="24" width="6.875" style="54" bestFit="1" customWidth="1"/>
    <col min="25" max="25" width="12.75" style="54" customWidth="1"/>
    <col min="26" max="26" width="18.875" style="54" customWidth="1"/>
    <col min="27" max="27" width="13.125" style="54" bestFit="1" customWidth="1"/>
    <col min="28" max="28" width="10.375" style="54" customWidth="1"/>
    <col min="29" max="29" width="9.375" style="54" customWidth="1"/>
    <col min="30" max="30" width="8" style="54"/>
    <col min="31" max="31" width="24.625" style="54" bestFit="1" customWidth="1"/>
    <col min="32" max="16384" width="8" style="54"/>
  </cols>
  <sheetData>
    <row r="1" spans="1:29" ht="26.25" customHeight="1">
      <c r="A1" s="52" t="s">
        <v>285</v>
      </c>
      <c r="B1" s="52"/>
      <c r="C1" s="117" t="s">
        <v>286</v>
      </c>
      <c r="D1" s="118">
        <f>SUM(F5:F75)</f>
        <v>182600</v>
      </c>
      <c r="E1" s="267" t="s">
        <v>1144</v>
      </c>
      <c r="F1" s="52">
        <f>SUM(G5:G75)</f>
        <v>6137601.8800000008</v>
      </c>
      <c r="G1" s="52" t="s">
        <v>1145</v>
      </c>
      <c r="H1" s="53">
        <f>L9+L12+L52+L59+L17+L66+L35+L44+L26+L75</f>
        <v>155.64285714285714</v>
      </c>
      <c r="I1" s="607" t="s">
        <v>76</v>
      </c>
      <c r="J1" s="607"/>
      <c r="K1" s="607"/>
      <c r="L1" s="607" t="s">
        <v>1146</v>
      </c>
      <c r="M1" s="607"/>
      <c r="N1" s="607"/>
      <c r="O1" s="607" t="s">
        <v>1147</v>
      </c>
      <c r="P1" s="607"/>
      <c r="Q1" s="607"/>
      <c r="R1" s="607"/>
      <c r="S1" s="607" t="s">
        <v>1148</v>
      </c>
      <c r="T1" s="607"/>
      <c r="U1" s="607"/>
      <c r="V1" s="607"/>
      <c r="W1" s="607"/>
      <c r="X1" s="607"/>
      <c r="Y1" s="607" t="s">
        <v>293</v>
      </c>
      <c r="Z1" s="607"/>
      <c r="AA1" s="607" t="s">
        <v>1149</v>
      </c>
      <c r="AB1" s="608"/>
      <c r="AC1" s="608"/>
    </row>
    <row r="2" spans="1:29" ht="26.25" customHeight="1">
      <c r="A2" s="55">
        <v>46006</v>
      </c>
      <c r="B2" s="56" t="s">
        <v>150</v>
      </c>
      <c r="C2" s="117" t="s">
        <v>1150</v>
      </c>
      <c r="D2" s="119">
        <f>AVERAGE(N9,N12,N52,N59,N17,N66,N26,N35,N44,N75)</f>
        <v>144.65495519063069</v>
      </c>
      <c r="E2" s="120" t="s">
        <v>0</v>
      </c>
      <c r="F2" s="121">
        <f>F1/D1</f>
        <v>33.612277546549841</v>
      </c>
      <c r="G2" s="52" t="s">
        <v>1151</v>
      </c>
      <c r="H2" s="275">
        <f>COUNT(H5:H75)</f>
        <v>10</v>
      </c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8"/>
      <c r="AB2" s="608"/>
      <c r="AC2" s="608"/>
    </row>
    <row r="3" spans="1:29" ht="23.25" customHeight="1">
      <c r="A3" s="559" t="s">
        <v>1152</v>
      </c>
      <c r="B3" s="559" t="s">
        <v>298</v>
      </c>
      <c r="C3" s="559" t="s">
        <v>299</v>
      </c>
      <c r="D3" s="559"/>
      <c r="E3" s="605" t="s">
        <v>1153</v>
      </c>
      <c r="F3" s="559" t="s">
        <v>1154</v>
      </c>
      <c r="G3" s="605" t="s">
        <v>1155</v>
      </c>
      <c r="H3" s="598" t="s">
        <v>1156</v>
      </c>
      <c r="I3" s="596" t="s">
        <v>1157</v>
      </c>
      <c r="J3" s="601" t="s">
        <v>1158</v>
      </c>
      <c r="K3" s="603" t="s">
        <v>66</v>
      </c>
      <c r="L3" s="596" t="s">
        <v>82</v>
      </c>
      <c r="M3" s="601" t="s">
        <v>83</v>
      </c>
      <c r="N3" s="603" t="s">
        <v>66</v>
      </c>
      <c r="O3" s="596" t="s">
        <v>1157</v>
      </c>
      <c r="P3" s="603" t="s">
        <v>66</v>
      </c>
      <c r="Q3" s="602" t="s">
        <v>1159</v>
      </c>
      <c r="R3" s="574" t="s">
        <v>1160</v>
      </c>
      <c r="S3" s="559" t="s">
        <v>1</v>
      </c>
      <c r="T3" s="559"/>
      <c r="U3" s="598" t="s">
        <v>2</v>
      </c>
      <c r="V3" s="598" t="s">
        <v>1161</v>
      </c>
      <c r="W3" s="559" t="s">
        <v>1162</v>
      </c>
      <c r="X3" s="559"/>
      <c r="Y3" s="599" t="s">
        <v>1163</v>
      </c>
      <c r="Z3" s="600"/>
      <c r="AA3" s="601" t="s">
        <v>1164</v>
      </c>
      <c r="AB3" s="602" t="s">
        <v>1165</v>
      </c>
      <c r="AC3" s="574" t="s">
        <v>1166</v>
      </c>
    </row>
    <row r="4" spans="1:29">
      <c r="A4" s="559"/>
      <c r="B4" s="559"/>
      <c r="C4" s="559"/>
      <c r="D4" s="559"/>
      <c r="E4" s="606"/>
      <c r="F4" s="559"/>
      <c r="G4" s="606"/>
      <c r="H4" s="598"/>
      <c r="I4" s="596"/>
      <c r="J4" s="601"/>
      <c r="K4" s="603"/>
      <c r="L4" s="596"/>
      <c r="M4" s="601"/>
      <c r="N4" s="603"/>
      <c r="O4" s="596"/>
      <c r="P4" s="603"/>
      <c r="Q4" s="602"/>
      <c r="R4" s="574"/>
      <c r="S4" s="267" t="s">
        <v>3</v>
      </c>
      <c r="T4" s="267" t="s">
        <v>4</v>
      </c>
      <c r="U4" s="598"/>
      <c r="V4" s="598"/>
      <c r="W4" s="267" t="s">
        <v>1167</v>
      </c>
      <c r="X4" s="267" t="s">
        <v>1168</v>
      </c>
      <c r="Y4" s="600"/>
      <c r="Z4" s="600"/>
      <c r="AA4" s="601"/>
      <c r="AB4" s="602"/>
      <c r="AC4" s="574"/>
    </row>
    <row r="5" spans="1:29">
      <c r="A5" s="595" t="s">
        <v>1169</v>
      </c>
      <c r="B5" s="57" t="s">
        <v>6</v>
      </c>
      <c r="C5" s="597" t="s">
        <v>9</v>
      </c>
      <c r="D5" s="597"/>
      <c r="E5" s="57">
        <v>50.67</v>
      </c>
      <c r="F5" s="274">
        <v>1706</v>
      </c>
      <c r="G5" s="267">
        <f t="shared" ref="G5:G8" si="0">E5*F5</f>
        <v>86443.02</v>
      </c>
      <c r="H5" s="276" t="s">
        <v>5</v>
      </c>
      <c r="I5" s="272">
        <v>17</v>
      </c>
      <c r="J5" s="58">
        <v>2000</v>
      </c>
      <c r="K5" s="59">
        <f t="shared" ref="K5:K68" si="1">J5/I5</f>
        <v>117.64705882352941</v>
      </c>
      <c r="L5" s="272">
        <v>17</v>
      </c>
      <c r="M5" s="60">
        <f t="shared" ref="M5:M8" si="2">F5/V5*60</f>
        <v>1931.320754716982</v>
      </c>
      <c r="N5" s="59">
        <f t="shared" ref="N5:N68" si="3">M5/L5</f>
        <v>113.607103218646</v>
      </c>
      <c r="O5" s="61">
        <f t="shared" ref="O5:O68" si="4">L5-I5</f>
        <v>0</v>
      </c>
      <c r="P5" s="62">
        <f t="shared" ref="P5:P68" si="5">N5-K5</f>
        <v>-4.0399556048834029</v>
      </c>
      <c r="Q5" s="268">
        <f t="shared" ref="Q5:Q68" si="6">N5/K5</f>
        <v>0.96566037735849108</v>
      </c>
      <c r="R5" s="566">
        <f>Q9</f>
        <v>0.96203757642646859</v>
      </c>
      <c r="S5" s="63">
        <v>0.70833333333333337</v>
      </c>
      <c r="T5" s="63">
        <v>0.74513888888888891</v>
      </c>
      <c r="U5" s="267"/>
      <c r="V5" s="273">
        <f t="shared" ref="V5:V8" si="7">(T5-S5)*24*60</f>
        <v>52.999999999999972</v>
      </c>
      <c r="W5" s="64"/>
      <c r="X5" s="65"/>
      <c r="Y5" s="559"/>
      <c r="Z5" s="559"/>
      <c r="AA5" s="61">
        <f t="shared" ref="AA5:AA68" si="8">M5-J5</f>
        <v>-68.679245283017963</v>
      </c>
      <c r="AB5" s="268">
        <f t="shared" ref="AB5:AB68" si="9">M5/J5</f>
        <v>0.96566037735849097</v>
      </c>
      <c r="AC5" s="566">
        <f>AB9</f>
        <v>0.9620375764264687</v>
      </c>
    </row>
    <row r="6" spans="1:29">
      <c r="A6" s="596" t="s">
        <v>1170</v>
      </c>
      <c r="B6" s="57" t="s">
        <v>6</v>
      </c>
      <c r="C6" s="597" t="s">
        <v>8</v>
      </c>
      <c r="D6" s="597"/>
      <c r="E6" s="57">
        <v>50.49</v>
      </c>
      <c r="F6" s="274">
        <v>2429</v>
      </c>
      <c r="G6" s="267">
        <f t="shared" si="0"/>
        <v>122640.21</v>
      </c>
      <c r="H6" s="276" t="s">
        <v>5</v>
      </c>
      <c r="I6" s="272">
        <v>15</v>
      </c>
      <c r="J6" s="58">
        <v>2000</v>
      </c>
      <c r="K6" s="59">
        <f t="shared" si="1"/>
        <v>133.33333333333334</v>
      </c>
      <c r="L6" s="272">
        <v>15</v>
      </c>
      <c r="M6" s="60">
        <f t="shared" si="2"/>
        <v>1917.631578947367</v>
      </c>
      <c r="N6" s="59">
        <f t="shared" si="3"/>
        <v>127.84210526315779</v>
      </c>
      <c r="O6" s="61">
        <f t="shared" si="4"/>
        <v>0</v>
      </c>
      <c r="P6" s="62">
        <f t="shared" si="5"/>
        <v>-5.491228070175552</v>
      </c>
      <c r="Q6" s="268">
        <f t="shared" si="6"/>
        <v>0.9588157894736834</v>
      </c>
      <c r="R6" s="566"/>
      <c r="S6" s="63">
        <v>0.74930555555555556</v>
      </c>
      <c r="T6" s="63">
        <v>0.80208333333333337</v>
      </c>
      <c r="U6" s="267">
        <f t="shared" ref="U6:U8" si="10">IF(S6=TIME(17,0,0),"",(S6-T5)*24*60)</f>
        <v>5.9999999999999787</v>
      </c>
      <c r="V6" s="273">
        <f t="shared" si="7"/>
        <v>76.000000000000057</v>
      </c>
      <c r="W6" s="64"/>
      <c r="X6" s="64"/>
      <c r="Y6" s="559"/>
      <c r="Z6" s="559"/>
      <c r="AA6" s="61">
        <f t="shared" si="8"/>
        <v>-82.368421052633039</v>
      </c>
      <c r="AB6" s="268">
        <f t="shared" si="9"/>
        <v>0.95881578947368351</v>
      </c>
      <c r="AC6" s="566"/>
    </row>
    <row r="7" spans="1:29">
      <c r="A7" s="596" t="s">
        <v>1170</v>
      </c>
      <c r="B7" s="57" t="s">
        <v>6</v>
      </c>
      <c r="C7" s="590" t="s">
        <v>94</v>
      </c>
      <c r="D7" s="591"/>
      <c r="E7" s="57">
        <v>57.3</v>
      </c>
      <c r="F7" s="274">
        <v>1000</v>
      </c>
      <c r="G7" s="267">
        <f t="shared" si="0"/>
        <v>57300</v>
      </c>
      <c r="H7" s="276">
        <v>2</v>
      </c>
      <c r="I7" s="272">
        <v>13</v>
      </c>
      <c r="J7" s="58">
        <v>2000</v>
      </c>
      <c r="K7" s="59">
        <f t="shared" si="1"/>
        <v>153.84615384615384</v>
      </c>
      <c r="L7" s="272">
        <v>13</v>
      </c>
      <c r="M7" s="60">
        <f t="shared" si="2"/>
        <v>1935.483870967739</v>
      </c>
      <c r="N7" s="59">
        <f t="shared" si="3"/>
        <v>148.88337468982607</v>
      </c>
      <c r="O7" s="61">
        <f t="shared" si="4"/>
        <v>0</v>
      </c>
      <c r="P7" s="62">
        <f t="shared" si="5"/>
        <v>-4.9627791563277697</v>
      </c>
      <c r="Q7" s="268">
        <f t="shared" si="6"/>
        <v>0.96774193548386944</v>
      </c>
      <c r="R7" s="566"/>
      <c r="S7" s="63">
        <v>0.80555555555555558</v>
      </c>
      <c r="T7" s="63">
        <v>0.82708333333333339</v>
      </c>
      <c r="U7" s="267">
        <f t="shared" si="10"/>
        <v>4.9999999999999822</v>
      </c>
      <c r="V7" s="273">
        <f t="shared" si="7"/>
        <v>31.00000000000005</v>
      </c>
      <c r="W7" s="64">
        <f>T7</f>
        <v>0.82708333333333339</v>
      </c>
      <c r="X7" s="64">
        <f>S8</f>
        <v>0.86736111111111114</v>
      </c>
      <c r="Y7" s="569"/>
      <c r="Z7" s="570"/>
      <c r="AA7" s="61">
        <f t="shared" si="8"/>
        <v>-64.516129032261006</v>
      </c>
      <c r="AB7" s="268">
        <f t="shared" si="9"/>
        <v>0.96774193548386944</v>
      </c>
      <c r="AC7" s="566"/>
    </row>
    <row r="8" spans="1:29">
      <c r="A8" s="596" t="s">
        <v>1170</v>
      </c>
      <c r="B8" s="57" t="s">
        <v>6</v>
      </c>
      <c r="C8" s="590" t="s">
        <v>94</v>
      </c>
      <c r="D8" s="591"/>
      <c r="E8" s="57">
        <v>57.3</v>
      </c>
      <c r="F8" s="274">
        <v>1880</v>
      </c>
      <c r="G8" s="267">
        <f t="shared" si="0"/>
        <v>107724</v>
      </c>
      <c r="H8" s="276" t="s">
        <v>5</v>
      </c>
      <c r="I8" s="272">
        <v>13</v>
      </c>
      <c r="J8" s="58">
        <v>2000</v>
      </c>
      <c r="K8" s="59">
        <f t="shared" si="1"/>
        <v>153.84615384615384</v>
      </c>
      <c r="L8" s="272">
        <v>13</v>
      </c>
      <c r="M8" s="60">
        <f t="shared" si="2"/>
        <v>1911.8644067796624</v>
      </c>
      <c r="N8" s="59">
        <f t="shared" si="3"/>
        <v>147.0664928292048</v>
      </c>
      <c r="O8" s="61">
        <f t="shared" si="4"/>
        <v>0</v>
      </c>
      <c r="P8" s="62">
        <f t="shared" si="5"/>
        <v>-6.779661016949035</v>
      </c>
      <c r="Q8" s="268">
        <f t="shared" si="6"/>
        <v>0.95593220338983131</v>
      </c>
      <c r="R8" s="566"/>
      <c r="S8" s="63">
        <v>0.86736111111111114</v>
      </c>
      <c r="T8" s="63">
        <v>0.90833333333333333</v>
      </c>
      <c r="U8" s="267">
        <f t="shared" si="10"/>
        <v>57.999999999999957</v>
      </c>
      <c r="V8" s="273">
        <f t="shared" si="7"/>
        <v>58.99999999999995</v>
      </c>
      <c r="W8" s="68"/>
      <c r="X8" s="68"/>
      <c r="Y8" s="569"/>
      <c r="Z8" s="570"/>
      <c r="AA8" s="61">
        <f t="shared" si="8"/>
        <v>-88.135593220337569</v>
      </c>
      <c r="AB8" s="268">
        <f t="shared" si="9"/>
        <v>0.9559322033898312</v>
      </c>
      <c r="AC8" s="566"/>
    </row>
    <row r="9" spans="1:29">
      <c r="A9" s="596" t="s">
        <v>1170</v>
      </c>
      <c r="B9" s="57" t="s">
        <v>1171</v>
      </c>
      <c r="C9" s="571"/>
      <c r="D9" s="571"/>
      <c r="E9" s="271"/>
      <c r="F9" s="66"/>
      <c r="G9" s="59"/>
      <c r="H9" s="274"/>
      <c r="I9" s="67">
        <v>14.5</v>
      </c>
      <c r="J9" s="58">
        <v>2000</v>
      </c>
      <c r="K9" s="59">
        <f t="shared" si="1"/>
        <v>137.93103448275863</v>
      </c>
      <c r="L9" s="67">
        <v>14.5</v>
      </c>
      <c r="M9" s="60">
        <f>AVERAGE(M5:M8)</f>
        <v>1924.0751528529374</v>
      </c>
      <c r="N9" s="59">
        <f t="shared" si="3"/>
        <v>132.69483812778878</v>
      </c>
      <c r="O9" s="61">
        <f t="shared" si="4"/>
        <v>0</v>
      </c>
      <c r="P9" s="62">
        <f t="shared" si="5"/>
        <v>-5.2361963549698487</v>
      </c>
      <c r="Q9" s="268">
        <f t="shared" si="6"/>
        <v>0.96203757642646859</v>
      </c>
      <c r="R9" s="566"/>
      <c r="S9" s="63"/>
      <c r="T9" s="63"/>
      <c r="U9" s="267"/>
      <c r="V9" s="273"/>
      <c r="W9" s="59"/>
      <c r="X9" s="59"/>
      <c r="Y9" s="559"/>
      <c r="Z9" s="559"/>
      <c r="AA9" s="61">
        <f t="shared" si="8"/>
        <v>-75.924847147062565</v>
      </c>
      <c r="AB9" s="268">
        <f t="shared" si="9"/>
        <v>0.9620375764264687</v>
      </c>
      <c r="AC9" s="566"/>
    </row>
    <row r="10" spans="1:29" ht="15.75" customHeight="1">
      <c r="A10" s="594" t="s">
        <v>1172</v>
      </c>
      <c r="B10" s="57" t="s">
        <v>10</v>
      </c>
      <c r="C10" s="590" t="s">
        <v>14</v>
      </c>
      <c r="D10" s="591"/>
      <c r="E10" s="57">
        <v>39.619999999999997</v>
      </c>
      <c r="F10" s="274">
        <v>4300</v>
      </c>
      <c r="G10" s="267">
        <f t="shared" ref="G10:G11" si="11">E10*F10</f>
        <v>170366</v>
      </c>
      <c r="H10" s="276" t="s">
        <v>5</v>
      </c>
      <c r="I10" s="272">
        <v>19</v>
      </c>
      <c r="J10" s="58">
        <v>1500</v>
      </c>
      <c r="K10" s="59">
        <f t="shared" si="1"/>
        <v>78.94736842105263</v>
      </c>
      <c r="L10" s="272">
        <v>19</v>
      </c>
      <c r="M10" s="60">
        <f t="shared" ref="M10:M11" si="12">F10/V10*60</f>
        <v>1433.3333333333337</v>
      </c>
      <c r="N10" s="59">
        <f t="shared" si="3"/>
        <v>75.438596491228097</v>
      </c>
      <c r="O10" s="61">
        <f t="shared" si="4"/>
        <v>0</v>
      </c>
      <c r="P10" s="62">
        <f t="shared" si="5"/>
        <v>-3.5087719298245332</v>
      </c>
      <c r="Q10" s="268">
        <f t="shared" si="6"/>
        <v>0.95555555555555594</v>
      </c>
      <c r="R10" s="566">
        <f>Q12</f>
        <v>0.95412186379928332</v>
      </c>
      <c r="S10" s="63">
        <v>0.16666666666666666</v>
      </c>
      <c r="T10" s="63">
        <v>0.29166666666666663</v>
      </c>
      <c r="U10" s="267"/>
      <c r="V10" s="273">
        <f t="shared" ref="V10:V11" si="13">(T10-S10)*24*60</f>
        <v>179.99999999999994</v>
      </c>
      <c r="W10" s="64">
        <f>T10</f>
        <v>0.29166666666666663</v>
      </c>
      <c r="X10" s="64">
        <f>S11</f>
        <v>0.31319444444444439</v>
      </c>
      <c r="Y10" s="559"/>
      <c r="Z10" s="559"/>
      <c r="AA10" s="61">
        <f t="shared" si="8"/>
        <v>-66.666666666666288</v>
      </c>
      <c r="AB10" s="268">
        <f t="shared" si="9"/>
        <v>0.95555555555555582</v>
      </c>
      <c r="AC10" s="566">
        <f>AB12</f>
        <v>0.95412186379928332</v>
      </c>
    </row>
    <row r="11" spans="1:29" ht="15.75" customHeight="1">
      <c r="A11" s="594" t="s">
        <v>1172</v>
      </c>
      <c r="B11" s="57" t="s">
        <v>10</v>
      </c>
      <c r="C11" s="590" t="s">
        <v>11</v>
      </c>
      <c r="D11" s="591"/>
      <c r="E11" s="57">
        <v>39.799999999999997</v>
      </c>
      <c r="F11" s="274">
        <v>6645</v>
      </c>
      <c r="G11" s="267">
        <f t="shared" si="11"/>
        <v>264471</v>
      </c>
      <c r="H11" s="276" t="s">
        <v>5</v>
      </c>
      <c r="I11" s="272">
        <v>17</v>
      </c>
      <c r="J11" s="58">
        <v>1500</v>
      </c>
      <c r="K11" s="59">
        <f t="shared" si="1"/>
        <v>88.235294117647058</v>
      </c>
      <c r="L11" s="272">
        <v>17</v>
      </c>
      <c r="M11" s="60">
        <f t="shared" si="12"/>
        <v>1429.0322580645161</v>
      </c>
      <c r="N11" s="59">
        <f t="shared" si="3"/>
        <v>84.060721062618597</v>
      </c>
      <c r="O11" s="61">
        <f t="shared" si="4"/>
        <v>0</v>
      </c>
      <c r="P11" s="62">
        <f t="shared" si="5"/>
        <v>-4.1745730550284605</v>
      </c>
      <c r="Q11" s="268">
        <f t="shared" si="6"/>
        <v>0.95268817204301082</v>
      </c>
      <c r="R11" s="566"/>
      <c r="S11" s="63">
        <v>0.31319444444444439</v>
      </c>
      <c r="T11" s="63">
        <v>0.50694444444444442</v>
      </c>
      <c r="U11" s="267">
        <f t="shared" ref="U11" si="14">IF(S11=TIME(17,0,0),"",(S11-T10)*24*60)</f>
        <v>30.999999999999972</v>
      </c>
      <c r="V11" s="273">
        <f t="shared" si="13"/>
        <v>279</v>
      </c>
      <c r="W11" s="64"/>
      <c r="X11" s="64"/>
      <c r="Y11" s="559"/>
      <c r="Z11" s="559"/>
      <c r="AA11" s="61">
        <f t="shared" si="8"/>
        <v>-70.9677419354839</v>
      </c>
      <c r="AB11" s="268">
        <f t="shared" si="9"/>
        <v>0.95268817204301071</v>
      </c>
      <c r="AC11" s="566"/>
    </row>
    <row r="12" spans="1:29" ht="16.5" customHeight="1">
      <c r="A12" s="594" t="s">
        <v>1172</v>
      </c>
      <c r="B12" s="57" t="s">
        <v>1171</v>
      </c>
      <c r="C12" s="571"/>
      <c r="D12" s="571"/>
      <c r="E12" s="271"/>
      <c r="F12" s="58"/>
      <c r="G12" s="60"/>
      <c r="H12" s="274"/>
      <c r="I12" s="67">
        <v>18</v>
      </c>
      <c r="J12" s="58">
        <v>1500</v>
      </c>
      <c r="K12" s="59">
        <f t="shared" si="1"/>
        <v>83.333333333333329</v>
      </c>
      <c r="L12" s="67">
        <v>18</v>
      </c>
      <c r="M12" s="60">
        <f>AVERAGE(M10:M11)</f>
        <v>1431.182795698925</v>
      </c>
      <c r="N12" s="59">
        <f t="shared" si="3"/>
        <v>79.510155316606941</v>
      </c>
      <c r="O12" s="61">
        <f t="shared" si="4"/>
        <v>0</v>
      </c>
      <c r="P12" s="62">
        <f t="shared" si="5"/>
        <v>-3.8231780167263878</v>
      </c>
      <c r="Q12" s="268">
        <f t="shared" si="6"/>
        <v>0.95412186379928332</v>
      </c>
      <c r="R12" s="566"/>
      <c r="S12" s="63"/>
      <c r="T12" s="63"/>
      <c r="U12" s="59"/>
      <c r="V12" s="273"/>
      <c r="W12" s="59"/>
      <c r="X12" s="59"/>
      <c r="Y12" s="559"/>
      <c r="Z12" s="559"/>
      <c r="AA12" s="61">
        <f t="shared" si="8"/>
        <v>-68.81720430107498</v>
      </c>
      <c r="AB12" s="268">
        <f t="shared" si="9"/>
        <v>0.95412186379928332</v>
      </c>
      <c r="AC12" s="566"/>
    </row>
    <row r="13" spans="1:29" ht="16.5" customHeight="1">
      <c r="A13" s="592" t="s">
        <v>1173</v>
      </c>
      <c r="B13" s="274" t="s">
        <v>12</v>
      </c>
      <c r="C13" s="584" t="s">
        <v>13</v>
      </c>
      <c r="D13" s="584"/>
      <c r="E13" s="57">
        <v>41</v>
      </c>
      <c r="F13" s="274">
        <v>2590</v>
      </c>
      <c r="G13" s="267">
        <f t="shared" ref="G13:G16" si="15">E13*F13</f>
        <v>106190</v>
      </c>
      <c r="H13" s="276" t="s">
        <v>5</v>
      </c>
      <c r="I13" s="272">
        <v>26</v>
      </c>
      <c r="J13" s="58">
        <v>1500</v>
      </c>
      <c r="K13" s="59">
        <f t="shared" si="1"/>
        <v>57.692307692307693</v>
      </c>
      <c r="L13" s="272">
        <v>26</v>
      </c>
      <c r="M13" s="60">
        <f t="shared" ref="M13:M16" si="16">F13/V13*60</f>
        <v>1425.6880733944959</v>
      </c>
      <c r="N13" s="59">
        <f t="shared" si="3"/>
        <v>54.834156669019073</v>
      </c>
      <c r="O13" s="61">
        <f t="shared" si="4"/>
        <v>0</v>
      </c>
      <c r="P13" s="62">
        <f t="shared" si="5"/>
        <v>-2.8581510232886203</v>
      </c>
      <c r="Q13" s="268">
        <f t="shared" si="6"/>
        <v>0.95045871559633055</v>
      </c>
      <c r="R13" s="566">
        <f>Q17</f>
        <v>0.95465501518528073</v>
      </c>
      <c r="S13" s="63">
        <v>0.20833333333333334</v>
      </c>
      <c r="T13" s="63">
        <v>0.28402777777777777</v>
      </c>
      <c r="U13" s="267"/>
      <c r="V13" s="273">
        <f t="shared" ref="V13:V16" si="17">(T13-S13)*24*60</f>
        <v>108.99999999999997</v>
      </c>
      <c r="W13" s="68"/>
      <c r="X13" s="68"/>
      <c r="Y13" s="559"/>
      <c r="Z13" s="559"/>
      <c r="AA13" s="61">
        <f t="shared" si="8"/>
        <v>-74.311926605504141</v>
      </c>
      <c r="AB13" s="268">
        <f t="shared" si="9"/>
        <v>0.95045871559633055</v>
      </c>
      <c r="AC13" s="566">
        <f>AB17</f>
        <v>0.95465501518528073</v>
      </c>
    </row>
    <row r="14" spans="1:29" ht="16.5" customHeight="1">
      <c r="A14" s="593" t="s">
        <v>1173</v>
      </c>
      <c r="B14" s="274" t="s">
        <v>657</v>
      </c>
      <c r="C14" s="584" t="s">
        <v>236</v>
      </c>
      <c r="D14" s="584"/>
      <c r="E14" s="57">
        <v>72.400000000000006</v>
      </c>
      <c r="F14" s="274">
        <v>1771</v>
      </c>
      <c r="G14" s="267">
        <f t="shared" si="15"/>
        <v>128220.40000000001</v>
      </c>
      <c r="H14" s="276" t="s">
        <v>5</v>
      </c>
      <c r="I14" s="272">
        <v>18</v>
      </c>
      <c r="J14" s="58">
        <v>1500</v>
      </c>
      <c r="K14" s="59">
        <f t="shared" si="1"/>
        <v>83.333333333333329</v>
      </c>
      <c r="L14" s="272">
        <v>18</v>
      </c>
      <c r="M14" s="60">
        <f t="shared" si="16"/>
        <v>1435.9459459459465</v>
      </c>
      <c r="N14" s="59">
        <f t="shared" si="3"/>
        <v>79.774774774774812</v>
      </c>
      <c r="O14" s="61">
        <f t="shared" si="4"/>
        <v>0</v>
      </c>
      <c r="P14" s="62">
        <f t="shared" si="5"/>
        <v>-3.5585585585585164</v>
      </c>
      <c r="Q14" s="268">
        <f t="shared" si="6"/>
        <v>0.95729729729729784</v>
      </c>
      <c r="R14" s="566"/>
      <c r="S14" s="63">
        <v>0.28888888888888886</v>
      </c>
      <c r="T14" s="63">
        <v>0.34027777777777773</v>
      </c>
      <c r="U14" s="267">
        <f t="shared" ref="U14:U16" si="18">IF(S14=TIME(17,0,0),"",(S14-T13)*24*60)</f>
        <v>6.9999999999999751</v>
      </c>
      <c r="V14" s="273">
        <f t="shared" si="17"/>
        <v>73.999999999999972</v>
      </c>
      <c r="W14" s="64"/>
      <c r="X14" s="64"/>
      <c r="Y14" s="559"/>
      <c r="Z14" s="559"/>
      <c r="AA14" s="61">
        <f t="shared" si="8"/>
        <v>-64.054054054053495</v>
      </c>
      <c r="AB14" s="268">
        <f t="shared" si="9"/>
        <v>0.95729729729729762</v>
      </c>
      <c r="AC14" s="566"/>
    </row>
    <row r="15" spans="1:29" ht="16.5" customHeight="1">
      <c r="A15" s="593" t="s">
        <v>1173</v>
      </c>
      <c r="B15" s="274" t="s">
        <v>6</v>
      </c>
      <c r="C15" s="584" t="s">
        <v>95</v>
      </c>
      <c r="D15" s="584"/>
      <c r="E15" s="57">
        <v>50.98</v>
      </c>
      <c r="F15" s="274">
        <v>2933</v>
      </c>
      <c r="G15" s="267">
        <f t="shared" si="15"/>
        <v>149524.34</v>
      </c>
      <c r="H15" s="276" t="s">
        <v>5</v>
      </c>
      <c r="I15" s="272">
        <v>16</v>
      </c>
      <c r="J15" s="58">
        <v>2000</v>
      </c>
      <c r="K15" s="59">
        <f t="shared" si="1"/>
        <v>125</v>
      </c>
      <c r="L15" s="272">
        <v>16</v>
      </c>
      <c r="M15" s="60">
        <f t="shared" si="16"/>
        <v>1912.8260869565217</v>
      </c>
      <c r="N15" s="59">
        <f t="shared" si="3"/>
        <v>119.55163043478261</v>
      </c>
      <c r="O15" s="61">
        <f t="shared" si="4"/>
        <v>0</v>
      </c>
      <c r="P15" s="62">
        <f t="shared" si="5"/>
        <v>-5.4483695652173907</v>
      </c>
      <c r="Q15" s="268">
        <f t="shared" si="6"/>
        <v>0.95641304347826084</v>
      </c>
      <c r="R15" s="566"/>
      <c r="S15" s="63">
        <v>0.70833333333333337</v>
      </c>
      <c r="T15" s="63">
        <v>0.77222222222222225</v>
      </c>
      <c r="U15" s="267" t="str">
        <f t="shared" si="18"/>
        <v/>
      </c>
      <c r="V15" s="273">
        <f t="shared" si="17"/>
        <v>92</v>
      </c>
      <c r="W15" s="64"/>
      <c r="X15" s="64"/>
      <c r="Y15" s="559"/>
      <c r="Z15" s="559"/>
      <c r="AA15" s="61">
        <f t="shared" si="8"/>
        <v>-87.173913043478251</v>
      </c>
      <c r="AB15" s="268">
        <f t="shared" si="9"/>
        <v>0.95641304347826084</v>
      </c>
      <c r="AC15" s="566"/>
    </row>
    <row r="16" spans="1:29" ht="16.5" customHeight="1">
      <c r="A16" s="593" t="s">
        <v>1173</v>
      </c>
      <c r="B16" s="274" t="s">
        <v>6</v>
      </c>
      <c r="C16" s="584" t="s">
        <v>18</v>
      </c>
      <c r="D16" s="584"/>
      <c r="E16" s="57">
        <v>50.92</v>
      </c>
      <c r="F16" s="274">
        <v>3053</v>
      </c>
      <c r="G16" s="267">
        <f t="shared" si="15"/>
        <v>155458.76</v>
      </c>
      <c r="H16" s="276" t="s">
        <v>5</v>
      </c>
      <c r="I16" s="272">
        <v>15</v>
      </c>
      <c r="J16" s="58">
        <v>2000</v>
      </c>
      <c r="K16" s="59">
        <f t="shared" si="1"/>
        <v>133.33333333333334</v>
      </c>
      <c r="L16" s="272">
        <v>15</v>
      </c>
      <c r="M16" s="60">
        <f t="shared" si="16"/>
        <v>1908.1250000000005</v>
      </c>
      <c r="N16" s="59">
        <f t="shared" si="3"/>
        <v>127.20833333333336</v>
      </c>
      <c r="O16" s="61">
        <f t="shared" si="4"/>
        <v>0</v>
      </c>
      <c r="P16" s="62">
        <f t="shared" si="5"/>
        <v>-6.1249999999999858</v>
      </c>
      <c r="Q16" s="268">
        <f t="shared" si="6"/>
        <v>0.95406250000000015</v>
      </c>
      <c r="R16" s="566"/>
      <c r="S16" s="63">
        <v>0.77777777777777779</v>
      </c>
      <c r="T16" s="63">
        <v>0.84444444444444444</v>
      </c>
      <c r="U16" s="267">
        <f t="shared" si="18"/>
        <v>7.9999999999999716</v>
      </c>
      <c r="V16" s="273">
        <f t="shared" si="17"/>
        <v>95.999999999999972</v>
      </c>
      <c r="W16" s="64"/>
      <c r="X16" s="64"/>
      <c r="Y16" s="559"/>
      <c r="Z16" s="559"/>
      <c r="AA16" s="61">
        <f t="shared" si="8"/>
        <v>-91.874999999999545</v>
      </c>
      <c r="AB16" s="268">
        <f t="shared" si="9"/>
        <v>0.95406250000000026</v>
      </c>
      <c r="AC16" s="566"/>
    </row>
    <row r="17" spans="1:29" ht="16.5" customHeight="1">
      <c r="A17" s="593" t="s">
        <v>1173</v>
      </c>
      <c r="B17" s="57" t="s">
        <v>1171</v>
      </c>
      <c r="C17" s="571"/>
      <c r="D17" s="571"/>
      <c r="E17" s="271"/>
      <c r="F17" s="66"/>
      <c r="G17" s="59"/>
      <c r="H17" s="274"/>
      <c r="I17" s="67">
        <v>18.75</v>
      </c>
      <c r="J17" s="58">
        <v>1750</v>
      </c>
      <c r="K17" s="59">
        <f t="shared" si="1"/>
        <v>93.333333333333329</v>
      </c>
      <c r="L17" s="67">
        <v>18.75</v>
      </c>
      <c r="M17" s="60">
        <f>AVERAGE(M13:M16)</f>
        <v>1670.6462765742413</v>
      </c>
      <c r="N17" s="59">
        <f t="shared" si="3"/>
        <v>89.101134750626201</v>
      </c>
      <c r="O17" s="61">
        <f t="shared" si="4"/>
        <v>0</v>
      </c>
      <c r="P17" s="62">
        <f t="shared" si="5"/>
        <v>-4.2321985827071273</v>
      </c>
      <c r="Q17" s="268">
        <f t="shared" si="6"/>
        <v>0.95465501518528073</v>
      </c>
      <c r="R17" s="566"/>
      <c r="S17" s="63"/>
      <c r="T17" s="63"/>
      <c r="U17" s="267"/>
      <c r="V17" s="273"/>
      <c r="W17" s="59"/>
      <c r="X17" s="59"/>
      <c r="Y17" s="559"/>
      <c r="Z17" s="559"/>
      <c r="AA17" s="61">
        <f t="shared" si="8"/>
        <v>-79.353723425758744</v>
      </c>
      <c r="AB17" s="268">
        <f t="shared" si="9"/>
        <v>0.95465501518528073</v>
      </c>
      <c r="AC17" s="566"/>
    </row>
    <row r="18" spans="1:29" ht="15.75" customHeight="1">
      <c r="A18" s="588" t="s">
        <v>1174</v>
      </c>
      <c r="B18" s="57" t="s">
        <v>12</v>
      </c>
      <c r="C18" s="584" t="s">
        <v>19</v>
      </c>
      <c r="D18" s="584"/>
      <c r="E18" s="57">
        <v>43.14</v>
      </c>
      <c r="F18" s="274">
        <v>1189</v>
      </c>
      <c r="G18" s="267">
        <f t="shared" ref="G18:G25" si="19">E18*F18</f>
        <v>51293.46</v>
      </c>
      <c r="H18" s="276" t="s">
        <v>5</v>
      </c>
      <c r="I18" s="272">
        <v>17</v>
      </c>
      <c r="J18" s="58">
        <v>2000</v>
      </c>
      <c r="K18" s="59">
        <f t="shared" si="1"/>
        <v>117.64705882352941</v>
      </c>
      <c r="L18" s="272">
        <v>17</v>
      </c>
      <c r="M18" s="60">
        <f t="shared" ref="M18:M25" si="20">F18/V18*60</f>
        <v>1928.1081081081086</v>
      </c>
      <c r="N18" s="59">
        <f t="shared" si="3"/>
        <v>113.41812400635933</v>
      </c>
      <c r="O18" s="61">
        <f t="shared" si="4"/>
        <v>0</v>
      </c>
      <c r="P18" s="62">
        <f t="shared" si="5"/>
        <v>-4.2289348171700709</v>
      </c>
      <c r="Q18" s="268">
        <f t="shared" si="6"/>
        <v>0.96405405405405442</v>
      </c>
      <c r="R18" s="566">
        <f>Q26</f>
        <v>0.95908665614370314</v>
      </c>
      <c r="S18" s="63">
        <v>0.20833333333333334</v>
      </c>
      <c r="T18" s="63">
        <v>0.23402777777777778</v>
      </c>
      <c r="U18" s="267"/>
      <c r="V18" s="273">
        <f t="shared" ref="V18:V25" si="21">(T18-S18)*24*60</f>
        <v>36.999999999999986</v>
      </c>
      <c r="W18" s="68"/>
      <c r="X18" s="68"/>
      <c r="Y18" s="559"/>
      <c r="Z18" s="559"/>
      <c r="AA18" s="61">
        <f t="shared" si="8"/>
        <v>-71.891891891891419</v>
      </c>
      <c r="AB18" s="268">
        <f t="shared" si="9"/>
        <v>0.96405405405405431</v>
      </c>
      <c r="AC18" s="566">
        <f>AB26</f>
        <v>0.95908665614370314</v>
      </c>
    </row>
    <row r="19" spans="1:29" ht="15.75" customHeight="1">
      <c r="A19" s="589" t="s">
        <v>1174</v>
      </c>
      <c r="B19" s="57" t="s">
        <v>65</v>
      </c>
      <c r="C19" s="584" t="s">
        <v>97</v>
      </c>
      <c r="D19" s="584"/>
      <c r="E19" s="57">
        <v>49.9</v>
      </c>
      <c r="F19" s="274">
        <v>1558</v>
      </c>
      <c r="G19" s="267">
        <f t="shared" si="19"/>
        <v>77744.2</v>
      </c>
      <c r="H19" s="276" t="s">
        <v>5</v>
      </c>
      <c r="I19" s="272">
        <v>17</v>
      </c>
      <c r="J19" s="58">
        <v>2000</v>
      </c>
      <c r="K19" s="59">
        <f t="shared" si="1"/>
        <v>117.64705882352941</v>
      </c>
      <c r="L19" s="272">
        <v>17</v>
      </c>
      <c r="M19" s="60">
        <f t="shared" si="20"/>
        <v>1907.7551020408171</v>
      </c>
      <c r="N19" s="59">
        <f t="shared" si="3"/>
        <v>112.22088835534218</v>
      </c>
      <c r="O19" s="61">
        <f t="shared" si="4"/>
        <v>0</v>
      </c>
      <c r="P19" s="62">
        <f t="shared" si="5"/>
        <v>-5.4261704681872232</v>
      </c>
      <c r="Q19" s="268">
        <f t="shared" si="6"/>
        <v>0.95387755102040861</v>
      </c>
      <c r="R19" s="566"/>
      <c r="S19" s="63">
        <v>0.23749999999999999</v>
      </c>
      <c r="T19" s="63">
        <v>0.27152777777777776</v>
      </c>
      <c r="U19" s="267">
        <f t="shared" ref="U19:U25" si="22">IF(S19=TIME(17,0,0),"",(S19-T18)*24*60)</f>
        <v>4.9999999999999822</v>
      </c>
      <c r="V19" s="273">
        <f t="shared" si="21"/>
        <v>48.999999999999986</v>
      </c>
      <c r="W19" s="64"/>
      <c r="X19" s="267"/>
      <c r="Y19" s="559"/>
      <c r="Z19" s="559"/>
      <c r="AA19" s="61">
        <f t="shared" si="8"/>
        <v>-92.244897959182936</v>
      </c>
      <c r="AB19" s="268">
        <f t="shared" si="9"/>
        <v>0.9538775510204085</v>
      </c>
      <c r="AC19" s="566"/>
    </row>
    <row r="20" spans="1:29" ht="15.75" customHeight="1">
      <c r="A20" s="589" t="s">
        <v>1174</v>
      </c>
      <c r="B20" s="57" t="s">
        <v>6</v>
      </c>
      <c r="C20" s="584" t="s">
        <v>20</v>
      </c>
      <c r="D20" s="584"/>
      <c r="E20" s="57">
        <v>57.73</v>
      </c>
      <c r="F20" s="274">
        <v>2905</v>
      </c>
      <c r="G20" s="267">
        <f t="shared" si="19"/>
        <v>167705.65</v>
      </c>
      <c r="H20" s="276" t="s">
        <v>5</v>
      </c>
      <c r="I20" s="272">
        <v>14</v>
      </c>
      <c r="J20" s="58">
        <v>2000</v>
      </c>
      <c r="K20" s="59">
        <f t="shared" si="1"/>
        <v>142.85714285714286</v>
      </c>
      <c r="L20" s="272">
        <v>14</v>
      </c>
      <c r="M20" s="60">
        <f t="shared" si="20"/>
        <v>1915.3846153846155</v>
      </c>
      <c r="N20" s="59">
        <f t="shared" si="3"/>
        <v>136.81318681318683</v>
      </c>
      <c r="O20" s="61">
        <f t="shared" si="4"/>
        <v>0</v>
      </c>
      <c r="P20" s="62">
        <f t="shared" si="5"/>
        <v>-6.0439560439560296</v>
      </c>
      <c r="Q20" s="268">
        <f t="shared" si="6"/>
        <v>0.95769230769230784</v>
      </c>
      <c r="R20" s="566"/>
      <c r="S20" s="63">
        <v>0.27708333333333329</v>
      </c>
      <c r="T20" s="63">
        <v>0.34027777777777773</v>
      </c>
      <c r="U20" s="267">
        <f t="shared" si="22"/>
        <v>7.9999999999999716</v>
      </c>
      <c r="V20" s="273">
        <f t="shared" si="21"/>
        <v>91</v>
      </c>
      <c r="W20" s="64"/>
      <c r="X20" s="267"/>
      <c r="Y20" s="559"/>
      <c r="Z20" s="559"/>
      <c r="AA20" s="61">
        <f t="shared" si="8"/>
        <v>-84.615384615384528</v>
      </c>
      <c r="AB20" s="268">
        <f t="shared" si="9"/>
        <v>0.95769230769230773</v>
      </c>
      <c r="AC20" s="566"/>
    </row>
    <row r="21" spans="1:29" ht="15.75" customHeight="1">
      <c r="A21" s="589" t="s">
        <v>1174</v>
      </c>
      <c r="B21" s="57" t="s">
        <v>6</v>
      </c>
      <c r="C21" s="584" t="s">
        <v>21</v>
      </c>
      <c r="D21" s="584"/>
      <c r="E21" s="57">
        <v>53.68</v>
      </c>
      <c r="F21" s="274">
        <v>1814</v>
      </c>
      <c r="G21" s="267">
        <f t="shared" si="19"/>
        <v>97375.52</v>
      </c>
      <c r="H21" s="276" t="s">
        <v>5</v>
      </c>
      <c r="I21" s="272">
        <v>16</v>
      </c>
      <c r="J21" s="58">
        <v>2000</v>
      </c>
      <c r="K21" s="59">
        <f t="shared" si="1"/>
        <v>125</v>
      </c>
      <c r="L21" s="272">
        <v>16</v>
      </c>
      <c r="M21" s="60">
        <f t="shared" si="20"/>
        <v>1909.4736842105251</v>
      </c>
      <c r="N21" s="59">
        <f t="shared" si="3"/>
        <v>119.34210526315782</v>
      </c>
      <c r="O21" s="61">
        <f t="shared" si="4"/>
        <v>0</v>
      </c>
      <c r="P21" s="62">
        <f t="shared" si="5"/>
        <v>-5.6578947368421808</v>
      </c>
      <c r="Q21" s="268">
        <f t="shared" si="6"/>
        <v>0.95473684210526255</v>
      </c>
      <c r="R21" s="566"/>
      <c r="S21" s="63">
        <v>0.34444444444444439</v>
      </c>
      <c r="T21" s="63">
        <v>0.38402777777777775</v>
      </c>
      <c r="U21" s="267">
        <f t="shared" si="22"/>
        <v>5.9999999999999787</v>
      </c>
      <c r="V21" s="273">
        <f t="shared" si="21"/>
        <v>57.000000000000036</v>
      </c>
      <c r="W21" s="64"/>
      <c r="X21" s="267"/>
      <c r="Y21" s="559"/>
      <c r="Z21" s="559"/>
      <c r="AA21" s="61">
        <f t="shared" si="8"/>
        <v>-90.526315789474893</v>
      </c>
      <c r="AB21" s="268">
        <f t="shared" si="9"/>
        <v>0.95473684210526255</v>
      </c>
      <c r="AC21" s="566"/>
    </row>
    <row r="22" spans="1:29" ht="15.75" customHeight="1">
      <c r="A22" s="589" t="s">
        <v>1174</v>
      </c>
      <c r="B22" s="57" t="s">
        <v>6</v>
      </c>
      <c r="C22" s="584" t="s">
        <v>96</v>
      </c>
      <c r="D22" s="584"/>
      <c r="E22" s="57">
        <v>49.91</v>
      </c>
      <c r="F22" s="274">
        <v>1368</v>
      </c>
      <c r="G22" s="267">
        <f t="shared" si="19"/>
        <v>68276.87999999999</v>
      </c>
      <c r="H22" s="276" t="s">
        <v>5</v>
      </c>
      <c r="I22" s="272">
        <v>17</v>
      </c>
      <c r="J22" s="58">
        <v>2000</v>
      </c>
      <c r="K22" s="59">
        <f t="shared" si="1"/>
        <v>117.64705882352941</v>
      </c>
      <c r="L22" s="272">
        <v>17</v>
      </c>
      <c r="M22" s="60">
        <f t="shared" si="20"/>
        <v>1908.8372093023254</v>
      </c>
      <c r="N22" s="59">
        <f t="shared" si="3"/>
        <v>112.28454172366619</v>
      </c>
      <c r="O22" s="61">
        <f t="shared" si="4"/>
        <v>0</v>
      </c>
      <c r="P22" s="62">
        <f t="shared" si="5"/>
        <v>-5.3625170998632115</v>
      </c>
      <c r="Q22" s="268">
        <f t="shared" si="6"/>
        <v>0.95441860465116268</v>
      </c>
      <c r="R22" s="566"/>
      <c r="S22" s="63">
        <v>0.3881944444444444</v>
      </c>
      <c r="T22" s="63">
        <v>0.41805555555555551</v>
      </c>
      <c r="U22" s="267">
        <f t="shared" si="22"/>
        <v>5.9999999999999787</v>
      </c>
      <c r="V22" s="273">
        <f t="shared" si="21"/>
        <v>43.000000000000007</v>
      </c>
      <c r="W22" s="64"/>
      <c r="X22" s="267"/>
      <c r="Y22" s="559"/>
      <c r="Z22" s="559"/>
      <c r="AA22" s="61">
        <f t="shared" si="8"/>
        <v>-91.162790697674609</v>
      </c>
      <c r="AB22" s="268">
        <f t="shared" si="9"/>
        <v>0.95441860465116268</v>
      </c>
      <c r="AC22" s="566"/>
    </row>
    <row r="23" spans="1:29" ht="15.75" customHeight="1">
      <c r="A23" s="589" t="s">
        <v>1174</v>
      </c>
      <c r="B23" s="57" t="s">
        <v>6</v>
      </c>
      <c r="C23" s="584" t="s">
        <v>22</v>
      </c>
      <c r="D23" s="584"/>
      <c r="E23" s="57">
        <v>54.09</v>
      </c>
      <c r="F23" s="274">
        <v>1860</v>
      </c>
      <c r="G23" s="267">
        <f t="shared" si="19"/>
        <v>100607.40000000001</v>
      </c>
      <c r="H23" s="276" t="s">
        <v>5</v>
      </c>
      <c r="I23" s="272">
        <v>19</v>
      </c>
      <c r="J23" s="58">
        <v>2000</v>
      </c>
      <c r="K23" s="59">
        <f t="shared" si="1"/>
        <v>105.26315789473684</v>
      </c>
      <c r="L23" s="272">
        <v>19</v>
      </c>
      <c r="M23" s="60">
        <f t="shared" si="20"/>
        <v>1924.1379310344842</v>
      </c>
      <c r="N23" s="59">
        <f t="shared" si="3"/>
        <v>101.27041742286758</v>
      </c>
      <c r="O23" s="61">
        <f t="shared" si="4"/>
        <v>0</v>
      </c>
      <c r="P23" s="62">
        <f t="shared" si="5"/>
        <v>-3.9927404718692543</v>
      </c>
      <c r="Q23" s="268">
        <f t="shared" si="6"/>
        <v>0.96206896551724208</v>
      </c>
      <c r="R23" s="566"/>
      <c r="S23" s="63">
        <v>0.70833333333333337</v>
      </c>
      <c r="T23" s="63">
        <v>0.74861111111111112</v>
      </c>
      <c r="U23" s="267" t="str">
        <f t="shared" si="22"/>
        <v/>
      </c>
      <c r="V23" s="273">
        <f t="shared" si="21"/>
        <v>57.999999999999957</v>
      </c>
      <c r="W23" s="64"/>
      <c r="X23" s="68"/>
      <c r="Y23" s="559"/>
      <c r="Z23" s="559"/>
      <c r="AA23" s="61">
        <f t="shared" si="8"/>
        <v>-75.862068965515846</v>
      </c>
      <c r="AB23" s="268">
        <f t="shared" si="9"/>
        <v>0.96206896551724208</v>
      </c>
      <c r="AC23" s="566"/>
    </row>
    <row r="24" spans="1:29" ht="15.75" customHeight="1">
      <c r="A24" s="589" t="s">
        <v>1174</v>
      </c>
      <c r="B24" s="57" t="s">
        <v>6</v>
      </c>
      <c r="C24" s="584" t="s">
        <v>69</v>
      </c>
      <c r="D24" s="584"/>
      <c r="E24" s="57">
        <v>57.73</v>
      </c>
      <c r="F24" s="274">
        <v>1568</v>
      </c>
      <c r="G24" s="267">
        <f t="shared" si="19"/>
        <v>90520.639999999999</v>
      </c>
      <c r="H24" s="276" t="s">
        <v>5</v>
      </c>
      <c r="I24" s="272">
        <v>16</v>
      </c>
      <c r="J24" s="58">
        <v>1500</v>
      </c>
      <c r="K24" s="59">
        <f t="shared" si="1"/>
        <v>93.75</v>
      </c>
      <c r="L24" s="272">
        <v>16</v>
      </c>
      <c r="M24" s="60">
        <f t="shared" si="20"/>
        <v>1447.3846153846171</v>
      </c>
      <c r="N24" s="59">
        <f t="shared" si="3"/>
        <v>90.461538461538566</v>
      </c>
      <c r="O24" s="61">
        <f t="shared" si="4"/>
        <v>0</v>
      </c>
      <c r="P24" s="62">
        <f t="shared" si="5"/>
        <v>-3.2884615384614335</v>
      </c>
      <c r="Q24" s="268">
        <f t="shared" si="6"/>
        <v>0.96492307692307799</v>
      </c>
      <c r="R24" s="566"/>
      <c r="S24" s="63">
        <v>0.75277777777777777</v>
      </c>
      <c r="T24" s="63">
        <v>0.79791666666666661</v>
      </c>
      <c r="U24" s="267">
        <f t="shared" si="22"/>
        <v>5.9999999999999787</v>
      </c>
      <c r="V24" s="273">
        <f t="shared" si="21"/>
        <v>64.999999999999929</v>
      </c>
      <c r="W24" s="64"/>
      <c r="X24" s="68"/>
      <c r="Y24" s="569"/>
      <c r="Z24" s="570"/>
      <c r="AA24" s="61">
        <f t="shared" si="8"/>
        <v>-52.615384615382936</v>
      </c>
      <c r="AB24" s="268">
        <f t="shared" si="9"/>
        <v>0.96492307692307799</v>
      </c>
      <c r="AC24" s="566"/>
    </row>
    <row r="25" spans="1:29" ht="15.75" customHeight="1">
      <c r="A25" s="589" t="s">
        <v>1174</v>
      </c>
      <c r="B25" s="57" t="s">
        <v>6</v>
      </c>
      <c r="C25" s="585" t="s">
        <v>68</v>
      </c>
      <c r="D25" s="586"/>
      <c r="E25" s="57">
        <v>50.67</v>
      </c>
      <c r="F25" s="274">
        <v>2021</v>
      </c>
      <c r="G25" s="267">
        <f t="shared" si="19"/>
        <v>102404.07</v>
      </c>
      <c r="H25" s="276" t="s">
        <v>5</v>
      </c>
      <c r="I25" s="272">
        <v>15</v>
      </c>
      <c r="J25" s="58">
        <v>2000</v>
      </c>
      <c r="K25" s="59">
        <f t="shared" si="1"/>
        <v>133.33333333333334</v>
      </c>
      <c r="L25" s="272">
        <v>15</v>
      </c>
      <c r="M25" s="60">
        <f t="shared" si="20"/>
        <v>1924.7619047619066</v>
      </c>
      <c r="N25" s="59">
        <f t="shared" si="3"/>
        <v>128.31746031746044</v>
      </c>
      <c r="O25" s="61">
        <f t="shared" si="4"/>
        <v>0</v>
      </c>
      <c r="P25" s="62">
        <f t="shared" si="5"/>
        <v>-5.0158730158728986</v>
      </c>
      <c r="Q25" s="268">
        <f t="shared" si="6"/>
        <v>0.96238095238095323</v>
      </c>
      <c r="R25" s="566"/>
      <c r="S25" s="63">
        <v>0.80138888888888882</v>
      </c>
      <c r="T25" s="63">
        <v>0.84513888888888877</v>
      </c>
      <c r="U25" s="267">
        <f t="shared" si="22"/>
        <v>4.9999999999999822</v>
      </c>
      <c r="V25" s="273">
        <f t="shared" si="21"/>
        <v>62.999999999999936</v>
      </c>
      <c r="W25" s="64"/>
      <c r="X25" s="64"/>
      <c r="Y25" s="569"/>
      <c r="Z25" s="570"/>
      <c r="AA25" s="61">
        <f t="shared" si="8"/>
        <v>-75.238095238093365</v>
      </c>
      <c r="AB25" s="268">
        <f t="shared" si="9"/>
        <v>0.96238095238095334</v>
      </c>
      <c r="AC25" s="566"/>
    </row>
    <row r="26" spans="1:29" ht="15.75" customHeight="1">
      <c r="A26" s="589" t="s">
        <v>1174</v>
      </c>
      <c r="B26" s="57" t="s">
        <v>1171</v>
      </c>
      <c r="C26" s="571"/>
      <c r="D26" s="571"/>
      <c r="E26" s="271"/>
      <c r="F26" s="274"/>
      <c r="G26" s="267"/>
      <c r="H26" s="274"/>
      <c r="I26" s="67">
        <v>16.375</v>
      </c>
      <c r="J26" s="58">
        <v>1937.5</v>
      </c>
      <c r="K26" s="59">
        <f t="shared" si="1"/>
        <v>118.32061068702291</v>
      </c>
      <c r="L26" s="67">
        <v>16.375</v>
      </c>
      <c r="M26" s="60">
        <f>AVERAGE(M18:M25)</f>
        <v>1858.2303962784249</v>
      </c>
      <c r="N26" s="59">
        <f t="shared" si="3"/>
        <v>113.4797188566977</v>
      </c>
      <c r="O26" s="61">
        <f t="shared" si="4"/>
        <v>0</v>
      </c>
      <c r="P26" s="62">
        <f t="shared" si="5"/>
        <v>-4.8408918303252051</v>
      </c>
      <c r="Q26" s="268">
        <f t="shared" si="6"/>
        <v>0.95908665614370314</v>
      </c>
      <c r="R26" s="566"/>
      <c r="S26" s="63"/>
      <c r="T26" s="63"/>
      <c r="U26" s="59"/>
      <c r="V26" s="273"/>
      <c r="W26" s="59"/>
      <c r="X26" s="59"/>
      <c r="Y26" s="559"/>
      <c r="Z26" s="559"/>
      <c r="AA26" s="61">
        <f t="shared" si="8"/>
        <v>-79.269603721575095</v>
      </c>
      <c r="AB26" s="268">
        <f t="shared" si="9"/>
        <v>0.95908665614370314</v>
      </c>
      <c r="AC26" s="566"/>
    </row>
    <row r="27" spans="1:29" ht="15.75" customHeight="1">
      <c r="A27" s="587" t="s">
        <v>1175</v>
      </c>
      <c r="B27" s="57" t="s">
        <v>15</v>
      </c>
      <c r="C27" s="584" t="s">
        <v>26</v>
      </c>
      <c r="D27" s="584"/>
      <c r="E27" s="57">
        <v>31.29</v>
      </c>
      <c r="F27" s="274">
        <v>5800</v>
      </c>
      <c r="G27" s="267">
        <f t="shared" ref="G27:G34" si="23">E27*F27</f>
        <v>181482</v>
      </c>
      <c r="H27" s="276">
        <v>2</v>
      </c>
      <c r="I27" s="272">
        <v>18</v>
      </c>
      <c r="J27" s="58">
        <v>2400</v>
      </c>
      <c r="K27" s="59">
        <f t="shared" si="1"/>
        <v>133.33333333333334</v>
      </c>
      <c r="L27" s="272">
        <v>18</v>
      </c>
      <c r="M27" s="60">
        <f t="shared" ref="M27:M34" si="24">F27/V27*60</f>
        <v>2289.4736842105262</v>
      </c>
      <c r="N27" s="59">
        <f t="shared" si="3"/>
        <v>127.19298245614034</v>
      </c>
      <c r="O27" s="61">
        <f t="shared" si="4"/>
        <v>0</v>
      </c>
      <c r="P27" s="62">
        <f t="shared" si="5"/>
        <v>-6.1403508771930007</v>
      </c>
      <c r="Q27" s="268">
        <f t="shared" si="6"/>
        <v>0.95394736842105254</v>
      </c>
      <c r="R27" s="566">
        <f>Q35</f>
        <v>0.95541751145787823</v>
      </c>
      <c r="S27" s="63">
        <v>8.3333333333333329E-2</v>
      </c>
      <c r="T27" s="63">
        <v>0.18888888888888888</v>
      </c>
      <c r="U27" s="267"/>
      <c r="V27" s="273">
        <f t="shared" ref="V27:V34" si="25">(T27-S27)*24*60</f>
        <v>152</v>
      </c>
      <c r="W27" s="64">
        <f>T27</f>
        <v>0.18888888888888888</v>
      </c>
      <c r="X27" s="64">
        <f>S28</f>
        <v>0.20763888888888887</v>
      </c>
      <c r="Y27" s="559"/>
      <c r="Z27" s="559"/>
      <c r="AA27" s="61">
        <f t="shared" si="8"/>
        <v>-110.52631578947376</v>
      </c>
      <c r="AB27" s="268">
        <f t="shared" si="9"/>
        <v>0.95394736842105265</v>
      </c>
      <c r="AC27" s="566">
        <f>AB35</f>
        <v>0.95541751145787823</v>
      </c>
    </row>
    <row r="28" spans="1:29" ht="15.75" customHeight="1">
      <c r="A28" s="587" t="s">
        <v>1175</v>
      </c>
      <c r="B28" s="57" t="s">
        <v>15</v>
      </c>
      <c r="C28" s="584" t="s">
        <v>23</v>
      </c>
      <c r="D28" s="584"/>
      <c r="E28" s="57">
        <v>26.2</v>
      </c>
      <c r="F28" s="274">
        <v>3200</v>
      </c>
      <c r="G28" s="267">
        <f t="shared" si="23"/>
        <v>83840</v>
      </c>
      <c r="H28" s="276">
        <v>2</v>
      </c>
      <c r="I28" s="272">
        <v>20</v>
      </c>
      <c r="J28" s="58">
        <v>2400</v>
      </c>
      <c r="K28" s="59">
        <f t="shared" si="1"/>
        <v>120</v>
      </c>
      <c r="L28" s="272">
        <v>20</v>
      </c>
      <c r="M28" s="60">
        <f t="shared" si="24"/>
        <v>2285.7142857142849</v>
      </c>
      <c r="N28" s="59">
        <f t="shared" si="3"/>
        <v>114.28571428571425</v>
      </c>
      <c r="O28" s="61">
        <f t="shared" si="4"/>
        <v>0</v>
      </c>
      <c r="P28" s="62">
        <f t="shared" si="5"/>
        <v>-5.7142857142857508</v>
      </c>
      <c r="Q28" s="268">
        <f t="shared" si="6"/>
        <v>0.95238095238095211</v>
      </c>
      <c r="R28" s="566"/>
      <c r="S28" s="63">
        <v>0.20763888888888887</v>
      </c>
      <c r="T28" s="63">
        <v>0.26597222222222222</v>
      </c>
      <c r="U28" s="267">
        <f t="shared" ref="U28:U34" si="26">(S28-T27)*24*60</f>
        <v>26.999999999999986</v>
      </c>
      <c r="V28" s="273">
        <f t="shared" si="25"/>
        <v>84.000000000000028</v>
      </c>
      <c r="W28" s="64"/>
      <c r="X28" s="64"/>
      <c r="Y28" s="559"/>
      <c r="Z28" s="559"/>
      <c r="AA28" s="61">
        <f t="shared" si="8"/>
        <v>-114.28571428571513</v>
      </c>
      <c r="AB28" s="268">
        <f t="shared" si="9"/>
        <v>0.952380952380952</v>
      </c>
      <c r="AC28" s="566"/>
    </row>
    <row r="29" spans="1:29" ht="15.75" customHeight="1">
      <c r="A29" s="587" t="s">
        <v>1175</v>
      </c>
      <c r="B29" s="57" t="s">
        <v>15</v>
      </c>
      <c r="C29" s="584" t="s">
        <v>70</v>
      </c>
      <c r="D29" s="584"/>
      <c r="E29" s="57">
        <v>25.99</v>
      </c>
      <c r="F29" s="274">
        <v>3000</v>
      </c>
      <c r="G29" s="267">
        <f t="shared" si="23"/>
        <v>77970</v>
      </c>
      <c r="H29" s="276">
        <v>2</v>
      </c>
      <c r="I29" s="272">
        <v>14</v>
      </c>
      <c r="J29" s="58">
        <v>2400</v>
      </c>
      <c r="K29" s="59">
        <f t="shared" si="1"/>
        <v>171.42857142857142</v>
      </c>
      <c r="L29" s="272">
        <v>14</v>
      </c>
      <c r="M29" s="60">
        <f t="shared" si="24"/>
        <v>2307.692307692309</v>
      </c>
      <c r="N29" s="59">
        <f t="shared" si="3"/>
        <v>164.83516483516493</v>
      </c>
      <c r="O29" s="61">
        <f t="shared" si="4"/>
        <v>0</v>
      </c>
      <c r="P29" s="62">
        <f t="shared" si="5"/>
        <v>-6.5934065934064847</v>
      </c>
      <c r="Q29" s="268">
        <f t="shared" si="6"/>
        <v>0.96153846153846212</v>
      </c>
      <c r="R29" s="566"/>
      <c r="S29" s="63">
        <v>0.27083333333333331</v>
      </c>
      <c r="T29" s="63">
        <v>0.32499999999999996</v>
      </c>
      <c r="U29" s="267">
        <f t="shared" si="26"/>
        <v>6.9999999999999751</v>
      </c>
      <c r="V29" s="273">
        <f t="shared" si="25"/>
        <v>77.999999999999957</v>
      </c>
      <c r="W29" s="64"/>
      <c r="X29" s="64"/>
      <c r="Y29" s="559"/>
      <c r="Z29" s="559"/>
      <c r="AA29" s="61">
        <f t="shared" si="8"/>
        <v>-92.307692307691013</v>
      </c>
      <c r="AB29" s="268">
        <f t="shared" si="9"/>
        <v>0.96153846153846212</v>
      </c>
      <c r="AC29" s="566"/>
    </row>
    <row r="30" spans="1:29" ht="15.75" customHeight="1">
      <c r="A30" s="587" t="s">
        <v>1175</v>
      </c>
      <c r="B30" s="57" t="s">
        <v>15</v>
      </c>
      <c r="C30" s="584" t="s">
        <v>45</v>
      </c>
      <c r="D30" s="584"/>
      <c r="E30" s="57">
        <v>20.52</v>
      </c>
      <c r="F30" s="274">
        <v>4982</v>
      </c>
      <c r="G30" s="267">
        <f t="shared" si="23"/>
        <v>102230.64</v>
      </c>
      <c r="H30" s="276" t="s">
        <v>5</v>
      </c>
      <c r="I30" s="272">
        <v>18</v>
      </c>
      <c r="J30" s="58">
        <v>2400</v>
      </c>
      <c r="K30" s="59">
        <f t="shared" si="1"/>
        <v>133.33333333333334</v>
      </c>
      <c r="L30" s="272">
        <v>18</v>
      </c>
      <c r="M30" s="60">
        <f t="shared" si="24"/>
        <v>2281.8320610687024</v>
      </c>
      <c r="N30" s="59">
        <f t="shared" si="3"/>
        <v>126.76844783715013</v>
      </c>
      <c r="O30" s="61">
        <f t="shared" si="4"/>
        <v>0</v>
      </c>
      <c r="P30" s="62">
        <f t="shared" si="5"/>
        <v>-6.5648854961832086</v>
      </c>
      <c r="Q30" s="268">
        <f t="shared" si="6"/>
        <v>0.95076335877862594</v>
      </c>
      <c r="R30" s="566"/>
      <c r="S30" s="63">
        <v>0.33055555555555549</v>
      </c>
      <c r="T30" s="63">
        <v>0.42152777777777772</v>
      </c>
      <c r="U30" s="267">
        <f t="shared" si="26"/>
        <v>7.9999999999999716</v>
      </c>
      <c r="V30" s="273">
        <f t="shared" si="25"/>
        <v>131</v>
      </c>
      <c r="W30" s="64"/>
      <c r="X30" s="64"/>
      <c r="Y30" s="559"/>
      <c r="Z30" s="559"/>
      <c r="AA30" s="61">
        <f t="shared" si="8"/>
        <v>-118.16793893129761</v>
      </c>
      <c r="AB30" s="268">
        <f t="shared" si="9"/>
        <v>0.95076335877862594</v>
      </c>
      <c r="AC30" s="566"/>
    </row>
    <row r="31" spans="1:29" ht="15.75" customHeight="1">
      <c r="A31" s="587" t="s">
        <v>1175</v>
      </c>
      <c r="B31" s="57" t="s">
        <v>15</v>
      </c>
      <c r="C31" s="584" t="s">
        <v>98</v>
      </c>
      <c r="D31" s="584"/>
      <c r="E31" s="57">
        <v>25.98</v>
      </c>
      <c r="F31" s="274">
        <v>4571</v>
      </c>
      <c r="G31" s="267">
        <f t="shared" si="23"/>
        <v>118754.58</v>
      </c>
      <c r="H31" s="276" t="s">
        <v>5</v>
      </c>
      <c r="I31" s="272">
        <v>21</v>
      </c>
      <c r="J31" s="58">
        <v>2400</v>
      </c>
      <c r="K31" s="59">
        <f t="shared" si="1"/>
        <v>114.28571428571429</v>
      </c>
      <c r="L31" s="272">
        <v>21</v>
      </c>
      <c r="M31" s="60">
        <f t="shared" si="24"/>
        <v>2285.4999999999986</v>
      </c>
      <c r="N31" s="59">
        <f t="shared" si="3"/>
        <v>108.83333333333327</v>
      </c>
      <c r="O31" s="61">
        <f t="shared" si="4"/>
        <v>0</v>
      </c>
      <c r="P31" s="62">
        <f t="shared" si="5"/>
        <v>-5.4523809523810201</v>
      </c>
      <c r="Q31" s="268">
        <f t="shared" si="6"/>
        <v>0.95229166666666609</v>
      </c>
      <c r="R31" s="566"/>
      <c r="S31" s="63">
        <v>0.42638888888888882</v>
      </c>
      <c r="T31" s="63">
        <v>0.50972222222222219</v>
      </c>
      <c r="U31" s="267">
        <f t="shared" si="26"/>
        <v>6.9999999999999751</v>
      </c>
      <c r="V31" s="273">
        <f t="shared" si="25"/>
        <v>120.00000000000006</v>
      </c>
      <c r="W31" s="64">
        <f>T31</f>
        <v>0.50972222222222219</v>
      </c>
      <c r="X31" s="64">
        <f>S32</f>
        <v>0.55138888888888882</v>
      </c>
      <c r="Y31" s="559"/>
      <c r="Z31" s="559"/>
      <c r="AA31" s="61">
        <f t="shared" si="8"/>
        <v>-114.50000000000136</v>
      </c>
      <c r="AB31" s="268">
        <f t="shared" si="9"/>
        <v>0.95229166666666609</v>
      </c>
      <c r="AC31" s="566"/>
    </row>
    <row r="32" spans="1:29" ht="15.75" customHeight="1">
      <c r="A32" s="587" t="s">
        <v>1175</v>
      </c>
      <c r="B32" s="57" t="s">
        <v>15</v>
      </c>
      <c r="C32" s="584" t="s">
        <v>26</v>
      </c>
      <c r="D32" s="584"/>
      <c r="E32" s="57">
        <v>31.29</v>
      </c>
      <c r="F32" s="274">
        <v>4051</v>
      </c>
      <c r="G32" s="267">
        <f t="shared" si="23"/>
        <v>126755.79</v>
      </c>
      <c r="H32" s="276" t="s">
        <v>5</v>
      </c>
      <c r="I32" s="272">
        <v>18</v>
      </c>
      <c r="J32" s="58">
        <v>2400</v>
      </c>
      <c r="K32" s="59">
        <f t="shared" si="1"/>
        <v>133.33333333333334</v>
      </c>
      <c r="L32" s="272">
        <v>18</v>
      </c>
      <c r="M32" s="60">
        <f t="shared" si="24"/>
        <v>2293.0188679245293</v>
      </c>
      <c r="N32" s="59">
        <f t="shared" si="3"/>
        <v>127.3899371069183</v>
      </c>
      <c r="O32" s="61">
        <f t="shared" si="4"/>
        <v>0</v>
      </c>
      <c r="P32" s="62">
        <f t="shared" si="5"/>
        <v>-5.9433962264150466</v>
      </c>
      <c r="Q32" s="268">
        <f t="shared" si="6"/>
        <v>0.95542452830188718</v>
      </c>
      <c r="R32" s="566"/>
      <c r="S32" s="63">
        <v>0.55138888888888882</v>
      </c>
      <c r="T32" s="63">
        <v>0.62499999999999989</v>
      </c>
      <c r="U32" s="267">
        <f t="shared" si="26"/>
        <v>59.999999999999943</v>
      </c>
      <c r="V32" s="273">
        <f t="shared" si="25"/>
        <v>105.99999999999994</v>
      </c>
      <c r="W32" s="64"/>
      <c r="X32" s="64"/>
      <c r="Y32" s="559"/>
      <c r="Z32" s="559"/>
      <c r="AA32" s="61">
        <f t="shared" si="8"/>
        <v>-106.98113207547067</v>
      </c>
      <c r="AB32" s="268">
        <f t="shared" si="9"/>
        <v>0.95542452830188718</v>
      </c>
      <c r="AC32" s="566"/>
    </row>
    <row r="33" spans="1:29" ht="15.75" customHeight="1">
      <c r="A33" s="587" t="s">
        <v>1175</v>
      </c>
      <c r="B33" s="57" t="s">
        <v>15</v>
      </c>
      <c r="C33" s="584" t="s">
        <v>23</v>
      </c>
      <c r="D33" s="584"/>
      <c r="E33" s="57">
        <v>26.2</v>
      </c>
      <c r="F33" s="274">
        <v>2279</v>
      </c>
      <c r="G33" s="267">
        <f t="shared" si="23"/>
        <v>59709.799999999996</v>
      </c>
      <c r="H33" s="276" t="s">
        <v>5</v>
      </c>
      <c r="I33" s="272">
        <v>20</v>
      </c>
      <c r="J33" s="58">
        <v>2400</v>
      </c>
      <c r="K33" s="59">
        <f t="shared" si="1"/>
        <v>120</v>
      </c>
      <c r="L33" s="272">
        <v>20</v>
      </c>
      <c r="M33" s="60">
        <f t="shared" si="24"/>
        <v>2317.6271186440695</v>
      </c>
      <c r="N33" s="59">
        <f t="shared" si="3"/>
        <v>115.88135593220348</v>
      </c>
      <c r="O33" s="61">
        <f t="shared" si="4"/>
        <v>0</v>
      </c>
      <c r="P33" s="62">
        <f t="shared" si="5"/>
        <v>-4.1186440677965237</v>
      </c>
      <c r="Q33" s="268">
        <f t="shared" si="6"/>
        <v>0.96567796610169565</v>
      </c>
      <c r="R33" s="566"/>
      <c r="S33" s="63">
        <v>0.62986111111111098</v>
      </c>
      <c r="T33" s="63">
        <v>0.67083333333333317</v>
      </c>
      <c r="U33" s="267">
        <f t="shared" si="26"/>
        <v>6.9999999999999751</v>
      </c>
      <c r="V33" s="273">
        <f t="shared" si="25"/>
        <v>58.99999999999995</v>
      </c>
      <c r="W33" s="64"/>
      <c r="X33" s="64"/>
      <c r="Y33" s="559"/>
      <c r="Z33" s="559"/>
      <c r="AA33" s="61">
        <f t="shared" si="8"/>
        <v>-82.372881355930531</v>
      </c>
      <c r="AB33" s="268">
        <f t="shared" si="9"/>
        <v>0.96567796610169565</v>
      </c>
      <c r="AC33" s="566"/>
    </row>
    <row r="34" spans="1:29" ht="15.75" customHeight="1">
      <c r="A34" s="587" t="s">
        <v>1175</v>
      </c>
      <c r="B34" s="57" t="s">
        <v>15</v>
      </c>
      <c r="C34" s="584" t="s">
        <v>70</v>
      </c>
      <c r="D34" s="584"/>
      <c r="E34" s="57">
        <v>25.99</v>
      </c>
      <c r="F34" s="274">
        <v>2169</v>
      </c>
      <c r="G34" s="267">
        <f t="shared" si="23"/>
        <v>56372.31</v>
      </c>
      <c r="H34" s="276" t="s">
        <v>5</v>
      </c>
      <c r="I34" s="272">
        <v>14</v>
      </c>
      <c r="J34" s="58">
        <v>2400</v>
      </c>
      <c r="K34" s="59">
        <f t="shared" si="1"/>
        <v>171.42857142857142</v>
      </c>
      <c r="L34" s="272">
        <v>14</v>
      </c>
      <c r="M34" s="60">
        <f t="shared" si="24"/>
        <v>2283.1578947368439</v>
      </c>
      <c r="N34" s="59">
        <f t="shared" si="3"/>
        <v>163.08270676691743</v>
      </c>
      <c r="O34" s="61">
        <f t="shared" si="4"/>
        <v>0</v>
      </c>
      <c r="P34" s="62">
        <f t="shared" si="5"/>
        <v>-8.3458646616539909</v>
      </c>
      <c r="Q34" s="268">
        <f t="shared" si="6"/>
        <v>0.951315789473685</v>
      </c>
      <c r="R34" s="566"/>
      <c r="S34" s="63">
        <v>0.67569444444444426</v>
      </c>
      <c r="T34" s="63">
        <v>0.71527777777777757</v>
      </c>
      <c r="U34" s="267">
        <f t="shared" si="26"/>
        <v>6.9999999999999751</v>
      </c>
      <c r="V34" s="273">
        <f t="shared" si="25"/>
        <v>56.999999999999957</v>
      </c>
      <c r="W34" s="64"/>
      <c r="X34" s="64"/>
      <c r="Y34" s="559"/>
      <c r="Z34" s="559"/>
      <c r="AA34" s="61">
        <f t="shared" si="8"/>
        <v>-116.8421052631561</v>
      </c>
      <c r="AB34" s="268">
        <f t="shared" si="9"/>
        <v>0.951315789473685</v>
      </c>
      <c r="AC34" s="566"/>
    </row>
    <row r="35" spans="1:29" ht="15.75" customHeight="1">
      <c r="A35" s="587" t="s">
        <v>1175</v>
      </c>
      <c r="B35" s="57" t="s">
        <v>1171</v>
      </c>
      <c r="C35" s="571"/>
      <c r="D35" s="571"/>
      <c r="E35" s="271"/>
      <c r="F35" s="274"/>
      <c r="G35" s="267"/>
      <c r="H35" s="274"/>
      <c r="I35" s="67">
        <v>17.875</v>
      </c>
      <c r="J35" s="58">
        <v>2400</v>
      </c>
      <c r="K35" s="59">
        <f t="shared" si="1"/>
        <v>134.26573426573427</v>
      </c>
      <c r="L35" s="67">
        <v>17.875</v>
      </c>
      <c r="M35" s="60">
        <f>AVERAGE(M27:M34)</f>
        <v>2293.0020274989079</v>
      </c>
      <c r="N35" s="59">
        <f t="shared" si="3"/>
        <v>128.27983370623261</v>
      </c>
      <c r="O35" s="61">
        <f t="shared" si="4"/>
        <v>0</v>
      </c>
      <c r="P35" s="62">
        <f t="shared" si="5"/>
        <v>-5.9859005595016583</v>
      </c>
      <c r="Q35" s="268">
        <f t="shared" si="6"/>
        <v>0.95541751145787823</v>
      </c>
      <c r="R35" s="566"/>
      <c r="S35" s="63"/>
      <c r="T35" s="63"/>
      <c r="U35" s="267"/>
      <c r="V35" s="273"/>
      <c r="W35" s="267"/>
      <c r="X35" s="267"/>
      <c r="Y35" s="559"/>
      <c r="Z35" s="559"/>
      <c r="AA35" s="61">
        <f t="shared" si="8"/>
        <v>-106.99797250109214</v>
      </c>
      <c r="AB35" s="268">
        <f t="shared" si="9"/>
        <v>0.95541751145787823</v>
      </c>
      <c r="AC35" s="566"/>
    </row>
    <row r="36" spans="1:29" ht="15.75" customHeight="1">
      <c r="A36" s="582" t="s">
        <v>1176</v>
      </c>
      <c r="B36" s="57" t="s">
        <v>15</v>
      </c>
      <c r="C36" s="560" t="s">
        <v>101</v>
      </c>
      <c r="D36" s="560"/>
      <c r="E36" s="57">
        <v>22.69</v>
      </c>
      <c r="F36" s="274">
        <v>2592</v>
      </c>
      <c r="G36" s="267">
        <f t="shared" ref="G36:G43" si="27">E36*F36</f>
        <v>58812.480000000003</v>
      </c>
      <c r="H36" s="276" t="s">
        <v>5</v>
      </c>
      <c r="I36" s="272">
        <v>15</v>
      </c>
      <c r="J36" s="58">
        <v>2400</v>
      </c>
      <c r="K36" s="59">
        <f t="shared" si="1"/>
        <v>160</v>
      </c>
      <c r="L36" s="272">
        <v>15</v>
      </c>
      <c r="M36" s="60">
        <f t="shared" ref="M36:M43" si="28">F36/V36*60</f>
        <v>2287.0588235294126</v>
      </c>
      <c r="N36" s="59">
        <f t="shared" si="3"/>
        <v>152.47058823529417</v>
      </c>
      <c r="O36" s="61">
        <f t="shared" si="4"/>
        <v>0</v>
      </c>
      <c r="P36" s="62">
        <f t="shared" si="5"/>
        <v>-7.5294117647058272</v>
      </c>
      <c r="Q36" s="268">
        <f t="shared" si="6"/>
        <v>0.95294117647058862</v>
      </c>
      <c r="R36" s="566">
        <f>Q44</f>
        <v>0.95614967940407314</v>
      </c>
      <c r="S36" s="63">
        <v>8.3333333333333329E-2</v>
      </c>
      <c r="T36" s="63">
        <v>0.13055555555555554</v>
      </c>
      <c r="U36" s="267"/>
      <c r="V36" s="273">
        <f t="shared" ref="V36:V43" si="29">(T36-S36)*24*60</f>
        <v>67.999999999999972</v>
      </c>
      <c r="W36" s="68">
        <f>T36</f>
        <v>0.13055555555555554</v>
      </c>
      <c r="X36" s="68">
        <f>S37</f>
        <v>0.14930555555555555</v>
      </c>
      <c r="Y36" s="559"/>
      <c r="Z36" s="559"/>
      <c r="AA36" s="61">
        <f t="shared" si="8"/>
        <v>-112.94117647058738</v>
      </c>
      <c r="AB36" s="268">
        <f t="shared" si="9"/>
        <v>0.95294117647058862</v>
      </c>
      <c r="AC36" s="566">
        <f>AB44</f>
        <v>0.95614967940407303</v>
      </c>
    </row>
    <row r="37" spans="1:29" ht="15.75" customHeight="1">
      <c r="A37" s="582" t="s">
        <v>1176</v>
      </c>
      <c r="B37" s="57" t="s">
        <v>15</v>
      </c>
      <c r="C37" s="560" t="s">
        <v>27</v>
      </c>
      <c r="D37" s="560"/>
      <c r="E37" s="57">
        <v>26.2</v>
      </c>
      <c r="F37" s="274">
        <v>4000</v>
      </c>
      <c r="G37" s="267">
        <f t="shared" si="27"/>
        <v>104800</v>
      </c>
      <c r="H37" s="276">
        <v>2</v>
      </c>
      <c r="I37" s="272">
        <v>18</v>
      </c>
      <c r="J37" s="58">
        <v>2400</v>
      </c>
      <c r="K37" s="59">
        <f t="shared" si="1"/>
        <v>133.33333333333334</v>
      </c>
      <c r="L37" s="272">
        <v>18</v>
      </c>
      <c r="M37" s="60">
        <f t="shared" si="28"/>
        <v>2285.7142857142862</v>
      </c>
      <c r="N37" s="59">
        <f t="shared" si="3"/>
        <v>126.98412698412702</v>
      </c>
      <c r="O37" s="61">
        <f t="shared" si="4"/>
        <v>0</v>
      </c>
      <c r="P37" s="62">
        <f t="shared" si="5"/>
        <v>-6.3492063492063266</v>
      </c>
      <c r="Q37" s="268">
        <f t="shared" si="6"/>
        <v>0.95238095238095255</v>
      </c>
      <c r="R37" s="566"/>
      <c r="S37" s="63">
        <v>0.14930555555555555</v>
      </c>
      <c r="T37" s="63">
        <v>0.22222222222222221</v>
      </c>
      <c r="U37" s="267">
        <f t="shared" ref="U37:U43" si="30">(S37-T36)*24*60</f>
        <v>27.000000000000025</v>
      </c>
      <c r="V37" s="273">
        <f t="shared" si="29"/>
        <v>104.99999999999999</v>
      </c>
      <c r="W37" s="267"/>
      <c r="X37" s="267"/>
      <c r="Y37" s="559"/>
      <c r="Z37" s="559"/>
      <c r="AA37" s="61">
        <f t="shared" si="8"/>
        <v>-114.28571428571377</v>
      </c>
      <c r="AB37" s="268">
        <f t="shared" si="9"/>
        <v>0.95238095238095255</v>
      </c>
      <c r="AC37" s="566"/>
    </row>
    <row r="38" spans="1:29">
      <c r="A38" s="583" t="s">
        <v>1176</v>
      </c>
      <c r="B38" s="57" t="s">
        <v>15</v>
      </c>
      <c r="C38" s="560" t="s">
        <v>25</v>
      </c>
      <c r="D38" s="560"/>
      <c r="E38" s="57">
        <v>26.18</v>
      </c>
      <c r="F38" s="274">
        <v>2792</v>
      </c>
      <c r="G38" s="267">
        <f t="shared" si="27"/>
        <v>73094.559999999998</v>
      </c>
      <c r="H38" s="276" t="s">
        <v>5</v>
      </c>
      <c r="I38" s="272">
        <v>19</v>
      </c>
      <c r="J38" s="58">
        <v>2400</v>
      </c>
      <c r="K38" s="59">
        <f t="shared" si="1"/>
        <v>126.31578947368421</v>
      </c>
      <c r="L38" s="272">
        <v>19</v>
      </c>
      <c r="M38" s="60">
        <f t="shared" si="28"/>
        <v>2294.7945205479446</v>
      </c>
      <c r="N38" s="59">
        <f t="shared" si="3"/>
        <v>120.77865897620761</v>
      </c>
      <c r="O38" s="61">
        <f t="shared" si="4"/>
        <v>0</v>
      </c>
      <c r="P38" s="62">
        <f t="shared" si="5"/>
        <v>-5.5371304974765962</v>
      </c>
      <c r="Q38" s="268">
        <f t="shared" si="6"/>
        <v>0.95616438356164357</v>
      </c>
      <c r="R38" s="566"/>
      <c r="S38" s="63">
        <v>0.22708333333333333</v>
      </c>
      <c r="T38" s="63">
        <v>0.27777777777777779</v>
      </c>
      <c r="U38" s="267">
        <f t="shared" si="30"/>
        <v>7.0000000000000151</v>
      </c>
      <c r="V38" s="273">
        <f t="shared" si="29"/>
        <v>73.000000000000014</v>
      </c>
      <c r="W38" s="267"/>
      <c r="X38" s="267"/>
      <c r="Y38" s="559"/>
      <c r="Z38" s="559"/>
      <c r="AA38" s="61">
        <f t="shared" si="8"/>
        <v>-105.20547945205544</v>
      </c>
      <c r="AB38" s="268">
        <f t="shared" si="9"/>
        <v>0.95616438356164357</v>
      </c>
      <c r="AC38" s="566"/>
    </row>
    <row r="39" spans="1:29">
      <c r="A39" s="583" t="s">
        <v>1176</v>
      </c>
      <c r="B39" s="57" t="s">
        <v>15</v>
      </c>
      <c r="C39" s="560" t="s">
        <v>28</v>
      </c>
      <c r="D39" s="560"/>
      <c r="E39" s="57">
        <v>26.39</v>
      </c>
      <c r="F39" s="274">
        <v>4200</v>
      </c>
      <c r="G39" s="267">
        <f t="shared" si="27"/>
        <v>110838</v>
      </c>
      <c r="H39" s="276">
        <v>2</v>
      </c>
      <c r="I39" s="272">
        <v>19</v>
      </c>
      <c r="J39" s="58">
        <v>2400</v>
      </c>
      <c r="K39" s="59">
        <f t="shared" si="1"/>
        <v>126.31578947368421</v>
      </c>
      <c r="L39" s="272">
        <v>19</v>
      </c>
      <c r="M39" s="60">
        <f t="shared" si="28"/>
        <v>2290.909090909091</v>
      </c>
      <c r="N39" s="59">
        <f t="shared" si="3"/>
        <v>120.57416267942584</v>
      </c>
      <c r="O39" s="61">
        <f t="shared" si="4"/>
        <v>0</v>
      </c>
      <c r="P39" s="62">
        <f t="shared" si="5"/>
        <v>-5.7416267942583659</v>
      </c>
      <c r="Q39" s="268">
        <f t="shared" si="6"/>
        <v>0.95454545454545459</v>
      </c>
      <c r="R39" s="566"/>
      <c r="S39" s="63">
        <v>0.28125</v>
      </c>
      <c r="T39" s="63">
        <v>0.3576388888888889</v>
      </c>
      <c r="U39" s="267">
        <f t="shared" si="30"/>
        <v>4.9999999999999822</v>
      </c>
      <c r="V39" s="273">
        <f t="shared" si="29"/>
        <v>110.00000000000001</v>
      </c>
      <c r="W39" s="64"/>
      <c r="X39" s="64"/>
      <c r="Y39" s="559"/>
      <c r="Z39" s="559"/>
      <c r="AA39" s="61">
        <f t="shared" si="8"/>
        <v>-109.09090909090901</v>
      </c>
      <c r="AB39" s="268">
        <f t="shared" si="9"/>
        <v>0.95454545454545459</v>
      </c>
      <c r="AC39" s="566"/>
    </row>
    <row r="40" spans="1:29">
      <c r="A40" s="583" t="s">
        <v>1176</v>
      </c>
      <c r="B40" s="57" t="s">
        <v>15</v>
      </c>
      <c r="C40" s="560" t="s">
        <v>658</v>
      </c>
      <c r="D40" s="560"/>
      <c r="E40" s="57">
        <v>21.68</v>
      </c>
      <c r="F40" s="274">
        <v>5113</v>
      </c>
      <c r="G40" s="267">
        <f t="shared" si="27"/>
        <v>110849.84</v>
      </c>
      <c r="H40" s="276" t="s">
        <v>5</v>
      </c>
      <c r="I40" s="272">
        <v>16</v>
      </c>
      <c r="J40" s="58">
        <v>2400</v>
      </c>
      <c r="K40" s="59">
        <f t="shared" si="1"/>
        <v>150</v>
      </c>
      <c r="L40" s="272">
        <v>16</v>
      </c>
      <c r="M40" s="60">
        <f t="shared" si="28"/>
        <v>2289.4029850746265</v>
      </c>
      <c r="N40" s="59">
        <f t="shared" si="3"/>
        <v>143.08768656716416</v>
      </c>
      <c r="O40" s="61">
        <f t="shared" si="4"/>
        <v>0</v>
      </c>
      <c r="P40" s="62">
        <f t="shared" si="5"/>
        <v>-6.9123134328358447</v>
      </c>
      <c r="Q40" s="268">
        <f t="shared" si="6"/>
        <v>0.95391791044776109</v>
      </c>
      <c r="R40" s="566"/>
      <c r="S40" s="63">
        <v>0.36249999999999999</v>
      </c>
      <c r="T40" s="63">
        <v>0.45555555555555555</v>
      </c>
      <c r="U40" s="267">
        <f t="shared" si="30"/>
        <v>6.9999999999999751</v>
      </c>
      <c r="V40" s="273">
        <f t="shared" si="29"/>
        <v>134</v>
      </c>
      <c r="W40" s="64"/>
      <c r="X40" s="64"/>
      <c r="Y40" s="559"/>
      <c r="Z40" s="559"/>
      <c r="AA40" s="61">
        <f t="shared" si="8"/>
        <v>-110.59701492537351</v>
      </c>
      <c r="AB40" s="268">
        <f t="shared" si="9"/>
        <v>0.95391791044776109</v>
      </c>
      <c r="AC40" s="566"/>
    </row>
    <row r="41" spans="1:29">
      <c r="A41" s="583" t="s">
        <v>1176</v>
      </c>
      <c r="B41" s="57" t="s">
        <v>15</v>
      </c>
      <c r="C41" s="560" t="s">
        <v>30</v>
      </c>
      <c r="D41" s="560"/>
      <c r="E41" s="57">
        <v>24.25</v>
      </c>
      <c r="F41" s="274">
        <v>2340</v>
      </c>
      <c r="G41" s="267">
        <f t="shared" si="27"/>
        <v>56745</v>
      </c>
      <c r="H41" s="276" t="s">
        <v>5</v>
      </c>
      <c r="I41" s="272">
        <v>13</v>
      </c>
      <c r="J41" s="58">
        <v>2400</v>
      </c>
      <c r="K41" s="59">
        <f t="shared" si="1"/>
        <v>184.61538461538461</v>
      </c>
      <c r="L41" s="272">
        <v>13</v>
      </c>
      <c r="M41" s="60">
        <f t="shared" si="28"/>
        <v>2301.6393442622943</v>
      </c>
      <c r="N41" s="59">
        <f t="shared" si="3"/>
        <v>177.04918032786878</v>
      </c>
      <c r="O41" s="61">
        <f t="shared" si="4"/>
        <v>0</v>
      </c>
      <c r="P41" s="62">
        <f t="shared" si="5"/>
        <v>-7.5662042875158306</v>
      </c>
      <c r="Q41" s="268">
        <f t="shared" si="6"/>
        <v>0.95901639344262257</v>
      </c>
      <c r="R41" s="566"/>
      <c r="S41" s="63">
        <v>0.46041666666666664</v>
      </c>
      <c r="T41" s="63">
        <v>0.50277777777777777</v>
      </c>
      <c r="U41" s="267">
        <f t="shared" si="30"/>
        <v>6.9999999999999751</v>
      </c>
      <c r="V41" s="273">
        <f t="shared" si="29"/>
        <v>61.000000000000021</v>
      </c>
      <c r="W41" s="64">
        <f>T41</f>
        <v>0.50277777777777777</v>
      </c>
      <c r="X41" s="64">
        <f>S42</f>
        <v>0.54166666666666663</v>
      </c>
      <c r="Y41" s="559"/>
      <c r="Z41" s="559"/>
      <c r="AA41" s="61">
        <f t="shared" si="8"/>
        <v>-98.360655737705656</v>
      </c>
      <c r="AB41" s="268">
        <f t="shared" si="9"/>
        <v>0.95901639344262268</v>
      </c>
      <c r="AC41" s="566"/>
    </row>
    <row r="42" spans="1:29">
      <c r="A42" s="583" t="s">
        <v>1176</v>
      </c>
      <c r="B42" s="57" t="s">
        <v>15</v>
      </c>
      <c r="C42" s="560" t="s">
        <v>27</v>
      </c>
      <c r="D42" s="560"/>
      <c r="E42" s="57">
        <v>26.2</v>
      </c>
      <c r="F42" s="274">
        <v>3062</v>
      </c>
      <c r="G42" s="267">
        <f t="shared" si="27"/>
        <v>80224.399999999994</v>
      </c>
      <c r="H42" s="276" t="s">
        <v>5</v>
      </c>
      <c r="I42" s="272">
        <v>18</v>
      </c>
      <c r="J42" s="58">
        <v>2400</v>
      </c>
      <c r="K42" s="59">
        <f t="shared" si="1"/>
        <v>133.33333333333334</v>
      </c>
      <c r="L42" s="272">
        <v>18</v>
      </c>
      <c r="M42" s="60">
        <f t="shared" si="28"/>
        <v>2296.4999999999991</v>
      </c>
      <c r="N42" s="59">
        <f t="shared" si="3"/>
        <v>127.58333333333329</v>
      </c>
      <c r="O42" s="61">
        <f t="shared" si="4"/>
        <v>0</v>
      </c>
      <c r="P42" s="62">
        <f t="shared" si="5"/>
        <v>-5.7500000000000568</v>
      </c>
      <c r="Q42" s="268">
        <f t="shared" si="6"/>
        <v>0.95687499999999959</v>
      </c>
      <c r="R42" s="566"/>
      <c r="S42" s="63">
        <v>0.54166666666666663</v>
      </c>
      <c r="T42" s="63">
        <v>0.59722222222222221</v>
      </c>
      <c r="U42" s="267">
        <f t="shared" si="30"/>
        <v>55.999999999999957</v>
      </c>
      <c r="V42" s="273">
        <f t="shared" si="29"/>
        <v>80.000000000000028</v>
      </c>
      <c r="W42" s="64"/>
      <c r="X42" s="64"/>
      <c r="Y42" s="569"/>
      <c r="Z42" s="570"/>
      <c r="AA42" s="61">
        <f t="shared" si="8"/>
        <v>-103.50000000000091</v>
      </c>
      <c r="AB42" s="268">
        <f t="shared" si="9"/>
        <v>0.95687499999999959</v>
      </c>
      <c r="AC42" s="566"/>
    </row>
    <row r="43" spans="1:29">
      <c r="A43" s="583" t="s">
        <v>1176</v>
      </c>
      <c r="B43" s="57" t="s">
        <v>15</v>
      </c>
      <c r="C43" s="560" t="s">
        <v>28</v>
      </c>
      <c r="D43" s="560"/>
      <c r="E43" s="57">
        <v>26.39</v>
      </c>
      <c r="F43" s="274">
        <v>2813</v>
      </c>
      <c r="G43" s="267">
        <f t="shared" si="27"/>
        <v>74235.070000000007</v>
      </c>
      <c r="H43" s="276" t="s">
        <v>5</v>
      </c>
      <c r="I43" s="272">
        <v>19</v>
      </c>
      <c r="J43" s="58">
        <v>2400</v>
      </c>
      <c r="K43" s="59">
        <f t="shared" si="1"/>
        <v>126.31578947368421</v>
      </c>
      <c r="L43" s="272">
        <v>19</v>
      </c>
      <c r="M43" s="60">
        <f t="shared" si="28"/>
        <v>2312.0547945205462</v>
      </c>
      <c r="N43" s="59">
        <f t="shared" si="3"/>
        <v>121.6870944484498</v>
      </c>
      <c r="O43" s="61">
        <f t="shared" si="4"/>
        <v>0</v>
      </c>
      <c r="P43" s="62">
        <f t="shared" si="5"/>
        <v>-4.628695025234407</v>
      </c>
      <c r="Q43" s="268">
        <f t="shared" si="6"/>
        <v>0.96335616438356098</v>
      </c>
      <c r="R43" s="566"/>
      <c r="S43" s="63">
        <v>0.60277777777777775</v>
      </c>
      <c r="T43" s="63">
        <v>0.65347222222222223</v>
      </c>
      <c r="U43" s="267">
        <f t="shared" si="30"/>
        <v>7.9999999999999716</v>
      </c>
      <c r="V43" s="273">
        <f t="shared" si="29"/>
        <v>73.000000000000057</v>
      </c>
      <c r="W43" s="64"/>
      <c r="X43" s="64"/>
      <c r="Y43" s="569"/>
      <c r="Z43" s="570"/>
      <c r="AA43" s="61">
        <f t="shared" si="8"/>
        <v>-87.945205479453762</v>
      </c>
      <c r="AB43" s="268">
        <f t="shared" si="9"/>
        <v>0.96335616438356098</v>
      </c>
      <c r="AC43" s="566"/>
    </row>
    <row r="44" spans="1:29">
      <c r="A44" s="583" t="s">
        <v>1176</v>
      </c>
      <c r="B44" s="66" t="s">
        <v>1171</v>
      </c>
      <c r="C44" s="571"/>
      <c r="D44" s="571"/>
      <c r="E44" s="271"/>
      <c r="F44" s="66"/>
      <c r="G44" s="59"/>
      <c r="H44" s="274"/>
      <c r="I44" s="67">
        <v>17.125</v>
      </c>
      <c r="J44" s="58">
        <v>2400</v>
      </c>
      <c r="K44" s="59">
        <f t="shared" si="1"/>
        <v>140.14598540145985</v>
      </c>
      <c r="L44" s="67">
        <v>17.125</v>
      </c>
      <c r="M44" s="60">
        <f>AVERAGE(M36:M43)</f>
        <v>2294.7592305697754</v>
      </c>
      <c r="N44" s="59">
        <f t="shared" si="3"/>
        <v>134.00053901137375</v>
      </c>
      <c r="O44" s="61">
        <f t="shared" si="4"/>
        <v>0</v>
      </c>
      <c r="P44" s="62">
        <f t="shared" si="5"/>
        <v>-6.1454463900861072</v>
      </c>
      <c r="Q44" s="268">
        <f t="shared" si="6"/>
        <v>0.95614967940407314</v>
      </c>
      <c r="R44" s="566"/>
      <c r="S44" s="63"/>
      <c r="T44" s="63"/>
      <c r="U44" s="59"/>
      <c r="V44" s="273"/>
      <c r="W44" s="59"/>
      <c r="X44" s="59"/>
      <c r="Y44" s="559"/>
      <c r="Z44" s="559"/>
      <c r="AA44" s="61">
        <f t="shared" si="8"/>
        <v>-105.24076943022465</v>
      </c>
      <c r="AB44" s="268">
        <f t="shared" si="9"/>
        <v>0.95614967940407303</v>
      </c>
      <c r="AC44" s="566"/>
    </row>
    <row r="45" spans="1:29" ht="15.75" customHeight="1">
      <c r="A45" s="576" t="s">
        <v>1177</v>
      </c>
      <c r="B45" s="57" t="s">
        <v>31</v>
      </c>
      <c r="C45" s="567" t="s">
        <v>32</v>
      </c>
      <c r="D45" s="568"/>
      <c r="E45" s="57">
        <v>21.13</v>
      </c>
      <c r="F45" s="274">
        <v>5697</v>
      </c>
      <c r="G45" s="267">
        <f t="shared" ref="G45:G51" si="31">E45*F45</f>
        <v>120377.61</v>
      </c>
      <c r="H45" s="276" t="s">
        <v>5</v>
      </c>
      <c r="I45" s="272">
        <v>10</v>
      </c>
      <c r="J45" s="58">
        <v>3000</v>
      </c>
      <c r="K45" s="59">
        <f t="shared" si="1"/>
        <v>300</v>
      </c>
      <c r="L45" s="272">
        <v>10</v>
      </c>
      <c r="M45" s="60">
        <f t="shared" ref="M45:M51" si="32">F45/V45*60</f>
        <v>2872.4369747899159</v>
      </c>
      <c r="N45" s="60">
        <f t="shared" si="3"/>
        <v>287.24369747899158</v>
      </c>
      <c r="O45" s="61">
        <f t="shared" si="4"/>
        <v>0</v>
      </c>
      <c r="P45" s="62">
        <f t="shared" si="5"/>
        <v>-12.756302521008422</v>
      </c>
      <c r="Q45" s="268">
        <f t="shared" si="6"/>
        <v>0.95747899159663863</v>
      </c>
      <c r="R45" s="579">
        <f>Q52</f>
        <v>0.95644434119761101</v>
      </c>
      <c r="S45" s="63">
        <v>8.3333333333333329E-2</v>
      </c>
      <c r="T45" s="63">
        <v>0.16597222222222222</v>
      </c>
      <c r="U45" s="68"/>
      <c r="V45" s="273">
        <f t="shared" ref="V45:V51" si="33">(T45-S45)*24*60</f>
        <v>119</v>
      </c>
      <c r="W45" s="64">
        <f>T45</f>
        <v>0.16597222222222222</v>
      </c>
      <c r="X45" s="64">
        <f>S46</f>
        <v>0.18333333333333329</v>
      </c>
      <c r="Y45" s="569"/>
      <c r="Z45" s="570"/>
      <c r="AA45" s="61">
        <f t="shared" si="8"/>
        <v>-127.56302521008411</v>
      </c>
      <c r="AB45" s="268">
        <f t="shared" si="9"/>
        <v>0.95747899159663863</v>
      </c>
      <c r="AC45" s="579">
        <f>AB52</f>
        <v>0.95644434119761101</v>
      </c>
    </row>
    <row r="46" spans="1:29" ht="15.75" customHeight="1">
      <c r="A46" s="577" t="s">
        <v>1177</v>
      </c>
      <c r="B46" s="57" t="s">
        <v>31</v>
      </c>
      <c r="C46" s="567" t="s">
        <v>33</v>
      </c>
      <c r="D46" s="568"/>
      <c r="E46" s="57">
        <v>27.17</v>
      </c>
      <c r="F46" s="274">
        <v>4500</v>
      </c>
      <c r="G46" s="267">
        <f t="shared" si="31"/>
        <v>122265.00000000001</v>
      </c>
      <c r="H46" s="276">
        <v>2</v>
      </c>
      <c r="I46" s="272">
        <v>10</v>
      </c>
      <c r="J46" s="58">
        <v>3000</v>
      </c>
      <c r="K46" s="59">
        <f t="shared" si="1"/>
        <v>300</v>
      </c>
      <c r="L46" s="272">
        <v>10</v>
      </c>
      <c r="M46" s="60">
        <f t="shared" si="32"/>
        <v>2872.3404255319156</v>
      </c>
      <c r="N46" s="60">
        <f t="shared" si="3"/>
        <v>287.23404255319156</v>
      </c>
      <c r="O46" s="61">
        <f t="shared" si="4"/>
        <v>0</v>
      </c>
      <c r="P46" s="62">
        <f t="shared" si="5"/>
        <v>-12.765957446808443</v>
      </c>
      <c r="Q46" s="268">
        <f t="shared" si="6"/>
        <v>0.95744680851063857</v>
      </c>
      <c r="R46" s="580"/>
      <c r="S46" s="63">
        <v>0.18333333333333329</v>
      </c>
      <c r="T46" s="63">
        <v>0.24861111111111106</v>
      </c>
      <c r="U46" s="267">
        <f t="shared" ref="U46:U51" si="34">(S46-T45)*24*60</f>
        <v>24.99999999999995</v>
      </c>
      <c r="V46" s="273">
        <f t="shared" si="33"/>
        <v>93.999999999999986</v>
      </c>
      <c r="W46" s="64"/>
      <c r="X46" s="64"/>
      <c r="Y46" s="569"/>
      <c r="Z46" s="570"/>
      <c r="AA46" s="61">
        <f t="shared" si="8"/>
        <v>-127.65957446808443</v>
      </c>
      <c r="AB46" s="268">
        <f t="shared" si="9"/>
        <v>0.95744680851063857</v>
      </c>
      <c r="AC46" s="580"/>
    </row>
    <row r="47" spans="1:29" ht="15.75" customHeight="1">
      <c r="A47" s="577" t="s">
        <v>1177</v>
      </c>
      <c r="B47" s="57" t="s">
        <v>31</v>
      </c>
      <c r="C47" s="567" t="s">
        <v>35</v>
      </c>
      <c r="D47" s="568"/>
      <c r="E47" s="57">
        <v>35.869999999999997</v>
      </c>
      <c r="F47" s="274">
        <v>3239</v>
      </c>
      <c r="G47" s="267">
        <f t="shared" si="31"/>
        <v>116182.93</v>
      </c>
      <c r="H47" s="276" t="s">
        <v>5</v>
      </c>
      <c r="I47" s="272">
        <v>9</v>
      </c>
      <c r="J47" s="58">
        <v>3000</v>
      </c>
      <c r="K47" s="59">
        <f t="shared" si="1"/>
        <v>333.33333333333331</v>
      </c>
      <c r="L47" s="272">
        <v>9</v>
      </c>
      <c r="M47" s="60">
        <f t="shared" si="32"/>
        <v>2857.9411764705883</v>
      </c>
      <c r="N47" s="60">
        <f t="shared" si="3"/>
        <v>317.54901960784315</v>
      </c>
      <c r="O47" s="61">
        <f t="shared" si="4"/>
        <v>0</v>
      </c>
      <c r="P47" s="62">
        <f t="shared" si="5"/>
        <v>-15.784313725490165</v>
      </c>
      <c r="Q47" s="268">
        <f t="shared" si="6"/>
        <v>0.95264705882352951</v>
      </c>
      <c r="R47" s="580"/>
      <c r="S47" s="63">
        <v>0.25347222222222215</v>
      </c>
      <c r="T47" s="63">
        <v>0.30069444444444438</v>
      </c>
      <c r="U47" s="267">
        <f t="shared" si="34"/>
        <v>6.9999999999999751</v>
      </c>
      <c r="V47" s="273">
        <f t="shared" si="33"/>
        <v>68</v>
      </c>
      <c r="W47" s="64"/>
      <c r="X47" s="64"/>
      <c r="Y47" s="569"/>
      <c r="Z47" s="570"/>
      <c r="AA47" s="61">
        <f t="shared" si="8"/>
        <v>-142.05882352941171</v>
      </c>
      <c r="AB47" s="268">
        <f t="shared" si="9"/>
        <v>0.9526470588235294</v>
      </c>
      <c r="AC47" s="580"/>
    </row>
    <row r="48" spans="1:29" ht="15.75" customHeight="1">
      <c r="A48" s="577" t="s">
        <v>1177</v>
      </c>
      <c r="B48" s="57" t="s">
        <v>31</v>
      </c>
      <c r="C48" s="567" t="s">
        <v>34</v>
      </c>
      <c r="D48" s="568"/>
      <c r="E48" s="57">
        <v>35.119999999999997</v>
      </c>
      <c r="F48" s="274">
        <v>4938</v>
      </c>
      <c r="G48" s="267">
        <f t="shared" si="31"/>
        <v>173422.56</v>
      </c>
      <c r="H48" s="276" t="s">
        <v>5</v>
      </c>
      <c r="I48" s="272">
        <v>10</v>
      </c>
      <c r="J48" s="58">
        <v>3000</v>
      </c>
      <c r="K48" s="59">
        <f t="shared" si="1"/>
        <v>300</v>
      </c>
      <c r="L48" s="272">
        <v>10</v>
      </c>
      <c r="M48" s="60">
        <f t="shared" si="32"/>
        <v>2876.5048543689331</v>
      </c>
      <c r="N48" s="60">
        <f t="shared" si="3"/>
        <v>287.65048543689329</v>
      </c>
      <c r="O48" s="61">
        <f t="shared" si="4"/>
        <v>0</v>
      </c>
      <c r="P48" s="62">
        <f t="shared" si="5"/>
        <v>-12.349514563106709</v>
      </c>
      <c r="Q48" s="268">
        <f t="shared" si="6"/>
        <v>0.95883495145631092</v>
      </c>
      <c r="R48" s="580"/>
      <c r="S48" s="63">
        <v>0.30416666666666659</v>
      </c>
      <c r="T48" s="63">
        <v>0.37569444444444433</v>
      </c>
      <c r="U48" s="267">
        <f t="shared" si="34"/>
        <v>4.9999999999999822</v>
      </c>
      <c r="V48" s="273">
        <f t="shared" si="33"/>
        <v>102.99999999999996</v>
      </c>
      <c r="W48" s="64"/>
      <c r="X48" s="64"/>
      <c r="Y48" s="569"/>
      <c r="Z48" s="570"/>
      <c r="AA48" s="61">
        <f t="shared" si="8"/>
        <v>-123.49514563106686</v>
      </c>
      <c r="AB48" s="268">
        <f t="shared" si="9"/>
        <v>0.95883495145631104</v>
      </c>
      <c r="AC48" s="580"/>
    </row>
    <row r="49" spans="1:29" ht="15.75" customHeight="1">
      <c r="A49" s="577" t="s">
        <v>1177</v>
      </c>
      <c r="B49" s="57" t="s">
        <v>31</v>
      </c>
      <c r="C49" s="567" t="s">
        <v>71</v>
      </c>
      <c r="D49" s="568"/>
      <c r="E49" s="57">
        <v>31</v>
      </c>
      <c r="F49" s="274">
        <v>2649</v>
      </c>
      <c r="G49" s="267">
        <f t="shared" si="31"/>
        <v>82119</v>
      </c>
      <c r="H49" s="276" t="s">
        <v>5</v>
      </c>
      <c r="I49" s="272">
        <v>13</v>
      </c>
      <c r="J49" s="58">
        <v>2000</v>
      </c>
      <c r="K49" s="59">
        <f t="shared" si="1"/>
        <v>153.84615384615384</v>
      </c>
      <c r="L49" s="272">
        <v>13</v>
      </c>
      <c r="M49" s="60">
        <f t="shared" si="32"/>
        <v>1914.9397590361441</v>
      </c>
      <c r="N49" s="60">
        <f t="shared" si="3"/>
        <v>147.30305838739571</v>
      </c>
      <c r="O49" s="61">
        <f t="shared" si="4"/>
        <v>0</v>
      </c>
      <c r="P49" s="62">
        <f t="shared" si="5"/>
        <v>-6.5430954587581311</v>
      </c>
      <c r="Q49" s="268">
        <f t="shared" si="6"/>
        <v>0.95746987951807216</v>
      </c>
      <c r="R49" s="580"/>
      <c r="S49" s="63">
        <v>0.37986111111111098</v>
      </c>
      <c r="T49" s="63">
        <v>0.43749999999999989</v>
      </c>
      <c r="U49" s="267">
        <f t="shared" si="34"/>
        <v>5.9999999999999787</v>
      </c>
      <c r="V49" s="273">
        <f t="shared" si="33"/>
        <v>83.000000000000028</v>
      </c>
      <c r="W49" s="64"/>
      <c r="X49" s="64"/>
      <c r="Y49" s="569"/>
      <c r="Z49" s="570"/>
      <c r="AA49" s="61">
        <f t="shared" si="8"/>
        <v>-85.060240963855904</v>
      </c>
      <c r="AB49" s="268">
        <f t="shared" si="9"/>
        <v>0.95746987951807205</v>
      </c>
      <c r="AC49" s="580"/>
    </row>
    <row r="50" spans="1:29" ht="15.75" customHeight="1">
      <c r="A50" s="577" t="s">
        <v>1177</v>
      </c>
      <c r="B50" s="57" t="s">
        <v>31</v>
      </c>
      <c r="C50" s="567" t="s">
        <v>659</v>
      </c>
      <c r="D50" s="568"/>
      <c r="E50" s="57">
        <v>37.880000000000003</v>
      </c>
      <c r="F50" s="274">
        <v>2945</v>
      </c>
      <c r="G50" s="267">
        <f t="shared" si="31"/>
        <v>111556.6</v>
      </c>
      <c r="H50" s="276" t="s">
        <v>5</v>
      </c>
      <c r="I50" s="272">
        <v>16</v>
      </c>
      <c r="J50" s="58">
        <v>2000</v>
      </c>
      <c r="K50" s="59">
        <f t="shared" si="1"/>
        <v>125</v>
      </c>
      <c r="L50" s="272">
        <v>16</v>
      </c>
      <c r="M50" s="60">
        <f t="shared" si="32"/>
        <v>1920.6521739130435</v>
      </c>
      <c r="N50" s="60">
        <f t="shared" si="3"/>
        <v>120.04076086956522</v>
      </c>
      <c r="O50" s="61">
        <f t="shared" si="4"/>
        <v>0</v>
      </c>
      <c r="P50" s="62">
        <f t="shared" si="5"/>
        <v>-4.9592391304347814</v>
      </c>
      <c r="Q50" s="268">
        <f t="shared" si="6"/>
        <v>0.96032608695652177</v>
      </c>
      <c r="R50" s="580"/>
      <c r="S50" s="63">
        <v>0.44236111111111098</v>
      </c>
      <c r="T50" s="63">
        <v>0.50624999999999987</v>
      </c>
      <c r="U50" s="267">
        <f t="shared" si="34"/>
        <v>6.9999999999999751</v>
      </c>
      <c r="V50" s="273">
        <f t="shared" si="33"/>
        <v>92</v>
      </c>
      <c r="W50" s="64">
        <f>T50</f>
        <v>0.50624999999999987</v>
      </c>
      <c r="X50" s="64">
        <f>S51</f>
        <v>0.54722222222222205</v>
      </c>
      <c r="Y50" s="569"/>
      <c r="Z50" s="570"/>
      <c r="AA50" s="61">
        <f t="shared" si="8"/>
        <v>-79.347826086956502</v>
      </c>
      <c r="AB50" s="268">
        <f t="shared" si="9"/>
        <v>0.96032608695652177</v>
      </c>
      <c r="AC50" s="580"/>
    </row>
    <row r="51" spans="1:29" ht="15.75" customHeight="1">
      <c r="A51" s="577" t="s">
        <v>1177</v>
      </c>
      <c r="B51" s="57" t="s">
        <v>31</v>
      </c>
      <c r="C51" s="567" t="s">
        <v>33</v>
      </c>
      <c r="D51" s="568"/>
      <c r="E51" s="57">
        <v>27.17</v>
      </c>
      <c r="F51" s="274">
        <v>2810</v>
      </c>
      <c r="G51" s="267">
        <f t="shared" si="31"/>
        <v>76347.700000000012</v>
      </c>
      <c r="H51" s="276" t="s">
        <v>5</v>
      </c>
      <c r="I51" s="272">
        <v>10</v>
      </c>
      <c r="J51" s="58">
        <v>3000</v>
      </c>
      <c r="K51" s="59">
        <f t="shared" si="1"/>
        <v>300</v>
      </c>
      <c r="L51" s="272">
        <v>10</v>
      </c>
      <c r="M51" s="60">
        <f t="shared" si="32"/>
        <v>2857.6271186440699</v>
      </c>
      <c r="N51" s="60">
        <f t="shared" si="3"/>
        <v>285.76271186440698</v>
      </c>
      <c r="O51" s="61">
        <f t="shared" si="4"/>
        <v>0</v>
      </c>
      <c r="P51" s="62">
        <f t="shared" si="5"/>
        <v>-14.237288135593019</v>
      </c>
      <c r="Q51" s="268">
        <f t="shared" si="6"/>
        <v>0.95254237288135657</v>
      </c>
      <c r="R51" s="580"/>
      <c r="S51" s="63">
        <v>0.54722222222222205</v>
      </c>
      <c r="T51" s="63">
        <v>0.58819444444444424</v>
      </c>
      <c r="U51" s="267">
        <f t="shared" si="34"/>
        <v>58.99999999999995</v>
      </c>
      <c r="V51" s="273">
        <f t="shared" si="33"/>
        <v>58.99999999999995</v>
      </c>
      <c r="W51" s="64"/>
      <c r="X51" s="64"/>
      <c r="Y51" s="569"/>
      <c r="Z51" s="570"/>
      <c r="AA51" s="61">
        <f t="shared" si="8"/>
        <v>-142.37288135593008</v>
      </c>
      <c r="AB51" s="268">
        <f t="shared" si="9"/>
        <v>0.95254237288135668</v>
      </c>
      <c r="AC51" s="580"/>
    </row>
    <row r="52" spans="1:29" ht="15.75" customHeight="1">
      <c r="A52" s="578" t="s">
        <v>1177</v>
      </c>
      <c r="B52" s="57" t="s">
        <v>1171</v>
      </c>
      <c r="C52" s="561"/>
      <c r="D52" s="562"/>
      <c r="E52" s="266"/>
      <c r="F52" s="274"/>
      <c r="G52" s="267"/>
      <c r="H52" s="274"/>
      <c r="I52" s="67">
        <v>11.142857142857142</v>
      </c>
      <c r="J52" s="58">
        <v>2714.2857142857142</v>
      </c>
      <c r="K52" s="59">
        <f t="shared" si="1"/>
        <v>243.58974358974359</v>
      </c>
      <c r="L52" s="67">
        <v>11.142857142857142</v>
      </c>
      <c r="M52" s="60">
        <f>AVERAGE(M45:M51)</f>
        <v>2596.0632118220869</v>
      </c>
      <c r="N52" s="59">
        <f t="shared" si="3"/>
        <v>232.9800318301873</v>
      </c>
      <c r="O52" s="61">
        <f t="shared" si="4"/>
        <v>0</v>
      </c>
      <c r="P52" s="62">
        <f t="shared" si="5"/>
        <v>-10.609711759556291</v>
      </c>
      <c r="Q52" s="268">
        <f t="shared" si="6"/>
        <v>0.95644434119761101</v>
      </c>
      <c r="R52" s="581"/>
      <c r="S52" s="63"/>
      <c r="T52" s="63"/>
      <c r="U52" s="267"/>
      <c r="V52" s="273"/>
      <c r="W52" s="64"/>
      <c r="X52" s="64"/>
      <c r="Y52" s="569"/>
      <c r="Z52" s="570"/>
      <c r="AA52" s="61">
        <f t="shared" si="8"/>
        <v>-118.22250246362728</v>
      </c>
      <c r="AB52" s="268">
        <f t="shared" si="9"/>
        <v>0.95644434119761101</v>
      </c>
      <c r="AC52" s="581"/>
    </row>
    <row r="53" spans="1:29" ht="15.75" customHeight="1">
      <c r="A53" s="574" t="s">
        <v>1178</v>
      </c>
      <c r="B53" s="57" t="s">
        <v>10</v>
      </c>
      <c r="C53" s="560" t="s">
        <v>37</v>
      </c>
      <c r="D53" s="560"/>
      <c r="E53" s="57">
        <v>46</v>
      </c>
      <c r="F53" s="69">
        <v>2373</v>
      </c>
      <c r="G53" s="267">
        <f t="shared" ref="G53:G58" si="35">E53*F53</f>
        <v>109158</v>
      </c>
      <c r="H53" s="276" t="s">
        <v>5</v>
      </c>
      <c r="I53" s="272">
        <v>17</v>
      </c>
      <c r="J53" s="58">
        <v>2000</v>
      </c>
      <c r="K53" s="59">
        <f t="shared" si="1"/>
        <v>117.64705882352941</v>
      </c>
      <c r="L53" s="272">
        <v>17</v>
      </c>
      <c r="M53" s="60">
        <f t="shared" ref="M53:M58" si="36">F53/V53*60</f>
        <v>1924.0540540540539</v>
      </c>
      <c r="N53" s="60">
        <f t="shared" si="3"/>
        <v>113.17965023847376</v>
      </c>
      <c r="O53" s="61">
        <f t="shared" si="4"/>
        <v>0</v>
      </c>
      <c r="P53" s="62">
        <f t="shared" si="5"/>
        <v>-4.4674085850556509</v>
      </c>
      <c r="Q53" s="268">
        <f t="shared" si="6"/>
        <v>0.96202702702702692</v>
      </c>
      <c r="R53" s="566">
        <f>Q59</f>
        <v>0.96045464000536929</v>
      </c>
      <c r="S53" s="63">
        <v>0.20833333333333334</v>
      </c>
      <c r="T53" s="63">
        <v>0.25972222222222224</v>
      </c>
      <c r="U53" s="68"/>
      <c r="V53" s="273">
        <f t="shared" ref="V53:V58" si="37">(T53-S53)*24*60</f>
        <v>74.000000000000014</v>
      </c>
      <c r="W53" s="68"/>
      <c r="X53" s="68"/>
      <c r="Y53" s="559"/>
      <c r="Z53" s="559"/>
      <c r="AA53" s="61">
        <f t="shared" si="8"/>
        <v>-75.94594594594605</v>
      </c>
      <c r="AB53" s="268">
        <f t="shared" si="9"/>
        <v>0.96202702702702703</v>
      </c>
      <c r="AC53" s="566">
        <f>AB59</f>
        <v>0.96045464000536929</v>
      </c>
    </row>
    <row r="54" spans="1:29" ht="15.75" customHeight="1">
      <c r="A54" s="574" t="s">
        <v>1178</v>
      </c>
      <c r="B54" s="57" t="s">
        <v>10</v>
      </c>
      <c r="C54" s="560" t="s">
        <v>38</v>
      </c>
      <c r="D54" s="560"/>
      <c r="E54" s="57">
        <v>46</v>
      </c>
      <c r="F54" s="69">
        <v>2481</v>
      </c>
      <c r="G54" s="267">
        <f t="shared" si="35"/>
        <v>114126</v>
      </c>
      <c r="H54" s="276" t="s">
        <v>5</v>
      </c>
      <c r="I54" s="272">
        <v>17</v>
      </c>
      <c r="J54" s="58">
        <v>2000</v>
      </c>
      <c r="K54" s="59">
        <f t="shared" si="1"/>
        <v>117.64705882352941</v>
      </c>
      <c r="L54" s="272">
        <v>17</v>
      </c>
      <c r="M54" s="60">
        <f t="shared" si="36"/>
        <v>1908.4615384615395</v>
      </c>
      <c r="N54" s="60">
        <f t="shared" si="3"/>
        <v>112.26244343891409</v>
      </c>
      <c r="O54" s="61">
        <f t="shared" si="4"/>
        <v>0</v>
      </c>
      <c r="P54" s="62">
        <f t="shared" si="5"/>
        <v>-5.3846153846153157</v>
      </c>
      <c r="Q54" s="268">
        <f t="shared" si="6"/>
        <v>0.95423076923076977</v>
      </c>
      <c r="R54" s="566"/>
      <c r="S54" s="63">
        <v>0.26458333333333334</v>
      </c>
      <c r="T54" s="63">
        <v>0.31874999999999998</v>
      </c>
      <c r="U54" s="267">
        <f t="shared" ref="U54:U58" si="38">IF(S54=TIME(17,0,0),"",(S54-T53)*24*60)</f>
        <v>6.9999999999999751</v>
      </c>
      <c r="V54" s="273">
        <f t="shared" si="37"/>
        <v>77.999999999999957</v>
      </c>
      <c r="W54" s="64"/>
      <c r="X54" s="64"/>
      <c r="Y54" s="559"/>
      <c r="Z54" s="559"/>
      <c r="AA54" s="61">
        <f t="shared" si="8"/>
        <v>-91.538461538460524</v>
      </c>
      <c r="AB54" s="268">
        <f t="shared" si="9"/>
        <v>0.95423076923076977</v>
      </c>
      <c r="AC54" s="566"/>
    </row>
    <row r="55" spans="1:29" ht="15.75" customHeight="1">
      <c r="A55" s="574" t="s">
        <v>1178</v>
      </c>
      <c r="B55" s="57" t="s">
        <v>6</v>
      </c>
      <c r="C55" s="567" t="s">
        <v>39</v>
      </c>
      <c r="D55" s="568"/>
      <c r="E55" s="57">
        <v>55.56</v>
      </c>
      <c r="F55" s="69">
        <v>2379</v>
      </c>
      <c r="G55" s="267">
        <f t="shared" si="35"/>
        <v>132177.24000000002</v>
      </c>
      <c r="H55" s="276" t="s">
        <v>5</v>
      </c>
      <c r="I55" s="272">
        <v>17</v>
      </c>
      <c r="J55" s="58">
        <v>2000</v>
      </c>
      <c r="K55" s="59">
        <f t="shared" si="1"/>
        <v>117.64705882352941</v>
      </c>
      <c r="L55" s="272">
        <v>17</v>
      </c>
      <c r="M55" s="60">
        <f t="shared" si="36"/>
        <v>1903.1999999999987</v>
      </c>
      <c r="N55" s="60">
        <f t="shared" si="3"/>
        <v>111.95294117647052</v>
      </c>
      <c r="O55" s="61">
        <f t="shared" si="4"/>
        <v>0</v>
      </c>
      <c r="P55" s="62">
        <f t="shared" si="5"/>
        <v>-5.6941176470588886</v>
      </c>
      <c r="Q55" s="268">
        <f t="shared" si="6"/>
        <v>0.95159999999999945</v>
      </c>
      <c r="R55" s="566"/>
      <c r="S55" s="63">
        <v>0.70833333333333337</v>
      </c>
      <c r="T55" s="63">
        <v>0.76041666666666674</v>
      </c>
      <c r="U55" s="267" t="str">
        <f t="shared" si="38"/>
        <v/>
      </c>
      <c r="V55" s="273">
        <f t="shared" si="37"/>
        <v>75.000000000000057</v>
      </c>
      <c r="W55" s="64"/>
      <c r="X55" s="64"/>
      <c r="Y55" s="264"/>
      <c r="Z55" s="265"/>
      <c r="AA55" s="61">
        <f t="shared" si="8"/>
        <v>-96.800000000001319</v>
      </c>
      <c r="AB55" s="268">
        <f t="shared" si="9"/>
        <v>0.95159999999999934</v>
      </c>
      <c r="AC55" s="566"/>
    </row>
    <row r="56" spans="1:29" ht="15.75" customHeight="1">
      <c r="A56" s="574" t="s">
        <v>1178</v>
      </c>
      <c r="B56" s="57" t="s">
        <v>6</v>
      </c>
      <c r="C56" s="269" t="s">
        <v>40</v>
      </c>
      <c r="D56" s="270"/>
      <c r="E56" s="57">
        <v>55.32</v>
      </c>
      <c r="F56" s="69">
        <v>1769</v>
      </c>
      <c r="G56" s="267">
        <f t="shared" si="35"/>
        <v>97861.08</v>
      </c>
      <c r="H56" s="276" t="s">
        <v>5</v>
      </c>
      <c r="I56" s="272">
        <v>15</v>
      </c>
      <c r="J56" s="58">
        <v>2000</v>
      </c>
      <c r="K56" s="59">
        <f t="shared" si="1"/>
        <v>133.33333333333334</v>
      </c>
      <c r="L56" s="272">
        <v>15</v>
      </c>
      <c r="M56" s="60">
        <f t="shared" si="36"/>
        <v>1929.8181818181831</v>
      </c>
      <c r="N56" s="60">
        <f t="shared" si="3"/>
        <v>128.65454545454554</v>
      </c>
      <c r="O56" s="61">
        <f t="shared" si="4"/>
        <v>0</v>
      </c>
      <c r="P56" s="62">
        <f t="shared" si="5"/>
        <v>-4.6787878787878014</v>
      </c>
      <c r="Q56" s="268">
        <f t="shared" si="6"/>
        <v>0.96490909090909149</v>
      </c>
      <c r="R56" s="566"/>
      <c r="S56" s="63">
        <v>0.76527777777777783</v>
      </c>
      <c r="T56" s="63">
        <v>0.80347222222222225</v>
      </c>
      <c r="U56" s="267">
        <f t="shared" si="38"/>
        <v>6.9999999999999751</v>
      </c>
      <c r="V56" s="273">
        <f t="shared" si="37"/>
        <v>54.999999999999964</v>
      </c>
      <c r="W56" s="64"/>
      <c r="X56" s="64"/>
      <c r="Y56" s="264"/>
      <c r="Z56" s="265"/>
      <c r="AA56" s="61">
        <f t="shared" si="8"/>
        <v>-70.18181818181688</v>
      </c>
      <c r="AB56" s="268">
        <f t="shared" si="9"/>
        <v>0.9649090909090916</v>
      </c>
      <c r="AC56" s="566"/>
    </row>
    <row r="57" spans="1:29" ht="15.75" customHeight="1">
      <c r="A57" s="574" t="s">
        <v>1178</v>
      </c>
      <c r="B57" s="57" t="s">
        <v>6</v>
      </c>
      <c r="C57" s="269" t="s">
        <v>99</v>
      </c>
      <c r="D57" s="270"/>
      <c r="E57" s="57">
        <v>53.68</v>
      </c>
      <c r="F57" s="69">
        <v>1000</v>
      </c>
      <c r="G57" s="267">
        <f t="shared" si="35"/>
        <v>53680</v>
      </c>
      <c r="H57" s="276">
        <v>2</v>
      </c>
      <c r="I57" s="272">
        <v>16</v>
      </c>
      <c r="J57" s="58">
        <v>1500</v>
      </c>
      <c r="K57" s="59">
        <f t="shared" si="1"/>
        <v>93.75</v>
      </c>
      <c r="L57" s="272">
        <v>16</v>
      </c>
      <c r="M57" s="60">
        <f t="shared" si="36"/>
        <v>1463.4146341463411</v>
      </c>
      <c r="N57" s="60">
        <f t="shared" si="3"/>
        <v>91.463414634146318</v>
      </c>
      <c r="O57" s="61">
        <f t="shared" si="4"/>
        <v>0</v>
      </c>
      <c r="P57" s="62">
        <f t="shared" si="5"/>
        <v>-2.2865853658536821</v>
      </c>
      <c r="Q57" s="268">
        <f t="shared" si="6"/>
        <v>0.97560975609756073</v>
      </c>
      <c r="R57" s="566"/>
      <c r="S57" s="63">
        <v>0.80902777777777779</v>
      </c>
      <c r="T57" s="63">
        <v>0.83750000000000002</v>
      </c>
      <c r="U57" s="267">
        <f t="shared" si="38"/>
        <v>7.9999999999999716</v>
      </c>
      <c r="V57" s="273">
        <f t="shared" si="37"/>
        <v>41.000000000000014</v>
      </c>
      <c r="W57" s="64">
        <f>T57</f>
        <v>0.83750000000000002</v>
      </c>
      <c r="X57" s="64">
        <f>S58</f>
        <v>0.87777777777777777</v>
      </c>
      <c r="Y57" s="264"/>
      <c r="Z57" s="265"/>
      <c r="AA57" s="61">
        <f t="shared" si="8"/>
        <v>-36.585365853658914</v>
      </c>
      <c r="AB57" s="268">
        <f t="shared" si="9"/>
        <v>0.97560975609756073</v>
      </c>
      <c r="AC57" s="566"/>
    </row>
    <row r="58" spans="1:29" ht="15.75" customHeight="1">
      <c r="A58" s="574" t="s">
        <v>1178</v>
      </c>
      <c r="B58" s="57" t="s">
        <v>6</v>
      </c>
      <c r="C58" s="567" t="s">
        <v>99</v>
      </c>
      <c r="D58" s="568"/>
      <c r="E58" s="57">
        <v>53.68</v>
      </c>
      <c r="F58" s="69">
        <v>1819</v>
      </c>
      <c r="G58" s="267">
        <f t="shared" si="35"/>
        <v>97643.92</v>
      </c>
      <c r="H58" s="276" t="s">
        <v>5</v>
      </c>
      <c r="I58" s="272">
        <v>16</v>
      </c>
      <c r="J58" s="58">
        <v>1500</v>
      </c>
      <c r="K58" s="59">
        <f t="shared" si="1"/>
        <v>93.75</v>
      </c>
      <c r="L58" s="272">
        <v>16</v>
      </c>
      <c r="M58" s="60">
        <f t="shared" si="36"/>
        <v>1436.0526315789461</v>
      </c>
      <c r="N58" s="60">
        <f t="shared" si="3"/>
        <v>89.753289473684134</v>
      </c>
      <c r="O58" s="61">
        <f t="shared" si="4"/>
        <v>0</v>
      </c>
      <c r="P58" s="62">
        <f t="shared" si="5"/>
        <v>-3.9967105263158658</v>
      </c>
      <c r="Q58" s="268">
        <f t="shared" si="6"/>
        <v>0.95736842105263076</v>
      </c>
      <c r="R58" s="566"/>
      <c r="S58" s="63">
        <v>0.87777777777777777</v>
      </c>
      <c r="T58" s="63">
        <v>0.93055555555555558</v>
      </c>
      <c r="U58" s="267">
        <f t="shared" si="38"/>
        <v>57.999999999999957</v>
      </c>
      <c r="V58" s="273">
        <f t="shared" si="37"/>
        <v>76.000000000000057</v>
      </c>
      <c r="W58" s="64"/>
      <c r="X58" s="64"/>
      <c r="Y58" s="569"/>
      <c r="Z58" s="570"/>
      <c r="AA58" s="61">
        <f t="shared" si="8"/>
        <v>-63.947368421053852</v>
      </c>
      <c r="AB58" s="268">
        <f t="shared" si="9"/>
        <v>0.95736842105263076</v>
      </c>
      <c r="AC58" s="566"/>
    </row>
    <row r="59" spans="1:29">
      <c r="A59" s="575" t="s">
        <v>1178</v>
      </c>
      <c r="B59" s="57" t="s">
        <v>1171</v>
      </c>
      <c r="C59" s="571"/>
      <c r="D59" s="571"/>
      <c r="E59" s="271"/>
      <c r="F59" s="66"/>
      <c r="G59" s="59"/>
      <c r="H59" s="274"/>
      <c r="I59" s="67">
        <v>16.333333333333332</v>
      </c>
      <c r="J59" s="58">
        <v>1833.3333333333333</v>
      </c>
      <c r="K59" s="59">
        <f t="shared" si="1"/>
        <v>112.24489795918367</v>
      </c>
      <c r="L59" s="67">
        <v>16.333333333333332</v>
      </c>
      <c r="M59" s="60">
        <f>AVERAGE(M53:M58)</f>
        <v>1760.8335066765103</v>
      </c>
      <c r="N59" s="59">
        <f t="shared" si="3"/>
        <v>107.80613306182717</v>
      </c>
      <c r="O59" s="61">
        <f t="shared" si="4"/>
        <v>0</v>
      </c>
      <c r="P59" s="62">
        <f t="shared" si="5"/>
        <v>-4.4387648973565064</v>
      </c>
      <c r="Q59" s="268">
        <f t="shared" si="6"/>
        <v>0.96045464000536929</v>
      </c>
      <c r="R59" s="566"/>
      <c r="S59" s="70"/>
      <c r="T59" s="63"/>
      <c r="U59" s="59"/>
      <c r="V59" s="273"/>
      <c r="W59" s="59"/>
      <c r="X59" s="59"/>
      <c r="Y59" s="559"/>
      <c r="Z59" s="559"/>
      <c r="AA59" s="61">
        <f t="shared" si="8"/>
        <v>-72.499826656822961</v>
      </c>
      <c r="AB59" s="268">
        <f t="shared" si="9"/>
        <v>0.96045464000536929</v>
      </c>
      <c r="AC59" s="566"/>
    </row>
    <row r="60" spans="1:29" ht="15.75" customHeight="1">
      <c r="A60" s="572" t="s">
        <v>1179</v>
      </c>
      <c r="B60" s="274" t="s">
        <v>10</v>
      </c>
      <c r="C60" s="560" t="s">
        <v>42</v>
      </c>
      <c r="D60" s="560"/>
      <c r="E60" s="57">
        <v>26.97</v>
      </c>
      <c r="F60" s="69">
        <v>3127</v>
      </c>
      <c r="G60" s="267">
        <f t="shared" ref="G60:G65" si="39">E60*F60</f>
        <v>84335.19</v>
      </c>
      <c r="H60" s="276" t="s">
        <v>5</v>
      </c>
      <c r="I60" s="272">
        <v>8</v>
      </c>
      <c r="J60" s="58">
        <v>1500</v>
      </c>
      <c r="K60" s="59">
        <f t="shared" si="1"/>
        <v>187.5</v>
      </c>
      <c r="L60" s="272">
        <v>8</v>
      </c>
      <c r="M60" s="60">
        <f t="shared" ref="M60:M65" si="40">F60/V60*60</f>
        <v>1432.2137404580155</v>
      </c>
      <c r="N60" s="59">
        <f t="shared" si="3"/>
        <v>179.02671755725194</v>
      </c>
      <c r="O60" s="61">
        <f t="shared" si="4"/>
        <v>0</v>
      </c>
      <c r="P60" s="62">
        <f t="shared" si="5"/>
        <v>-8.473282442748058</v>
      </c>
      <c r="Q60" s="268">
        <f t="shared" si="6"/>
        <v>0.95480916030534368</v>
      </c>
      <c r="R60" s="566">
        <f>Q66</f>
        <v>0.96239954235422054</v>
      </c>
      <c r="S60" s="63">
        <v>0.20833333333333334</v>
      </c>
      <c r="T60" s="63">
        <v>0.29930555555555555</v>
      </c>
      <c r="U60" s="267"/>
      <c r="V60" s="273">
        <f t="shared" ref="V60:V65" si="41">(T60-S60)*24*60</f>
        <v>130.99999999999997</v>
      </c>
      <c r="W60" s="68"/>
      <c r="X60" s="68"/>
      <c r="Y60" s="559"/>
      <c r="Z60" s="559"/>
      <c r="AA60" s="61">
        <f t="shared" si="8"/>
        <v>-67.786259541984464</v>
      </c>
      <c r="AB60" s="268">
        <f t="shared" si="9"/>
        <v>0.95480916030534368</v>
      </c>
      <c r="AC60" s="566">
        <f>AB66</f>
        <v>0.96239954235422043</v>
      </c>
    </row>
    <row r="61" spans="1:29" ht="15.75" customHeight="1">
      <c r="A61" s="572" t="s">
        <v>1179</v>
      </c>
      <c r="B61" s="274" t="s">
        <v>31</v>
      </c>
      <c r="C61" s="560" t="s">
        <v>41</v>
      </c>
      <c r="D61" s="560"/>
      <c r="E61" s="57">
        <v>26.78</v>
      </c>
      <c r="F61" s="69">
        <v>2930</v>
      </c>
      <c r="G61" s="267">
        <f t="shared" si="39"/>
        <v>78465.400000000009</v>
      </c>
      <c r="H61" s="276" t="s">
        <v>5</v>
      </c>
      <c r="I61" s="272">
        <v>10</v>
      </c>
      <c r="J61" s="58">
        <v>3000</v>
      </c>
      <c r="K61" s="59">
        <f t="shared" si="1"/>
        <v>300</v>
      </c>
      <c r="L61" s="272">
        <v>10</v>
      </c>
      <c r="M61" s="60">
        <f t="shared" si="40"/>
        <v>2881.9672131147531</v>
      </c>
      <c r="N61" s="59">
        <f t="shared" si="3"/>
        <v>288.1967213114753</v>
      </c>
      <c r="O61" s="61">
        <f t="shared" si="4"/>
        <v>0</v>
      </c>
      <c r="P61" s="62">
        <f t="shared" si="5"/>
        <v>-11.803278688524699</v>
      </c>
      <c r="Q61" s="268">
        <f t="shared" si="6"/>
        <v>0.96065573770491763</v>
      </c>
      <c r="R61" s="566"/>
      <c r="S61" s="63">
        <v>0.3034722222222222</v>
      </c>
      <c r="T61" s="63">
        <v>0.34583333333333333</v>
      </c>
      <c r="U61" s="267">
        <f t="shared" ref="U61:U65" si="42">(S61-T60)*24*60</f>
        <v>5.9999999999999787</v>
      </c>
      <c r="V61" s="273">
        <f t="shared" si="41"/>
        <v>61.000000000000021</v>
      </c>
      <c r="W61" s="267"/>
      <c r="X61" s="267"/>
      <c r="Y61" s="559"/>
      <c r="Z61" s="559"/>
      <c r="AA61" s="61">
        <f t="shared" si="8"/>
        <v>-118.03278688524688</v>
      </c>
      <c r="AB61" s="268">
        <f t="shared" si="9"/>
        <v>0.96065573770491774</v>
      </c>
      <c r="AC61" s="566"/>
    </row>
    <row r="62" spans="1:29" ht="15.75" customHeight="1">
      <c r="A62" s="572" t="s">
        <v>1179</v>
      </c>
      <c r="B62" s="274" t="s">
        <v>31</v>
      </c>
      <c r="C62" s="560" t="s">
        <v>64</v>
      </c>
      <c r="D62" s="560"/>
      <c r="E62" s="57">
        <v>37.880000000000003</v>
      </c>
      <c r="F62" s="69">
        <v>3081</v>
      </c>
      <c r="G62" s="267">
        <f t="shared" si="39"/>
        <v>116708.28000000001</v>
      </c>
      <c r="H62" s="276" t="s">
        <v>5</v>
      </c>
      <c r="I62" s="272">
        <v>10</v>
      </c>
      <c r="J62" s="58">
        <v>3000</v>
      </c>
      <c r="K62" s="59">
        <f t="shared" si="1"/>
        <v>300</v>
      </c>
      <c r="L62" s="272">
        <v>10</v>
      </c>
      <c r="M62" s="60">
        <f t="shared" si="40"/>
        <v>2888.4374999999991</v>
      </c>
      <c r="N62" s="59">
        <f t="shared" si="3"/>
        <v>288.84374999999989</v>
      </c>
      <c r="O62" s="61">
        <f t="shared" si="4"/>
        <v>0</v>
      </c>
      <c r="P62" s="62">
        <f t="shared" si="5"/>
        <v>-11.156250000000114</v>
      </c>
      <c r="Q62" s="268">
        <f t="shared" si="6"/>
        <v>0.96281249999999963</v>
      </c>
      <c r="R62" s="566"/>
      <c r="S62" s="63">
        <v>0.34930555555555554</v>
      </c>
      <c r="T62" s="63">
        <v>0.39374999999999999</v>
      </c>
      <c r="U62" s="267">
        <f t="shared" si="42"/>
        <v>4.9999999999999822</v>
      </c>
      <c r="V62" s="273">
        <f t="shared" si="41"/>
        <v>64.000000000000014</v>
      </c>
      <c r="W62" s="267"/>
      <c r="X62" s="267"/>
      <c r="Y62" s="559"/>
      <c r="Z62" s="559"/>
      <c r="AA62" s="61">
        <f t="shared" si="8"/>
        <v>-111.56250000000091</v>
      </c>
      <c r="AB62" s="268">
        <f t="shared" si="9"/>
        <v>0.96281249999999974</v>
      </c>
      <c r="AC62" s="566"/>
    </row>
    <row r="63" spans="1:29" ht="15.75" customHeight="1">
      <c r="A63" s="572" t="s">
        <v>1179</v>
      </c>
      <c r="B63" s="274" t="s">
        <v>31</v>
      </c>
      <c r="C63" s="560" t="s">
        <v>72</v>
      </c>
      <c r="D63" s="560"/>
      <c r="E63" s="57">
        <v>40.51</v>
      </c>
      <c r="F63" s="69">
        <v>2755</v>
      </c>
      <c r="G63" s="267">
        <f t="shared" si="39"/>
        <v>111605.04999999999</v>
      </c>
      <c r="H63" s="276" t="s">
        <v>5</v>
      </c>
      <c r="I63" s="272">
        <v>8</v>
      </c>
      <c r="J63" s="58">
        <v>3000</v>
      </c>
      <c r="K63" s="59">
        <f t="shared" si="1"/>
        <v>375</v>
      </c>
      <c r="L63" s="272">
        <v>8</v>
      </c>
      <c r="M63" s="60">
        <f t="shared" si="40"/>
        <v>2899.9999999999982</v>
      </c>
      <c r="N63" s="59">
        <f t="shared" si="3"/>
        <v>362.49999999999977</v>
      </c>
      <c r="O63" s="61">
        <f t="shared" si="4"/>
        <v>0</v>
      </c>
      <c r="P63" s="62">
        <f t="shared" si="5"/>
        <v>-12.500000000000227</v>
      </c>
      <c r="Q63" s="268">
        <f t="shared" si="6"/>
        <v>0.96666666666666601</v>
      </c>
      <c r="R63" s="566"/>
      <c r="S63" s="63">
        <v>0.3972222222222222</v>
      </c>
      <c r="T63" s="63">
        <v>0.43680555555555556</v>
      </c>
      <c r="U63" s="267">
        <f t="shared" si="42"/>
        <v>4.9999999999999822</v>
      </c>
      <c r="V63" s="273">
        <f t="shared" si="41"/>
        <v>57.000000000000036</v>
      </c>
      <c r="W63" s="267"/>
      <c r="X63" s="267"/>
      <c r="Y63" s="559"/>
      <c r="Z63" s="559"/>
      <c r="AA63" s="61">
        <f t="shared" si="8"/>
        <v>-100.00000000000182</v>
      </c>
      <c r="AB63" s="268">
        <f t="shared" si="9"/>
        <v>0.96666666666666601</v>
      </c>
      <c r="AC63" s="566"/>
    </row>
    <row r="64" spans="1:29">
      <c r="A64" s="573" t="s">
        <v>1179</v>
      </c>
      <c r="B64" s="274" t="s">
        <v>31</v>
      </c>
      <c r="C64" s="560" t="s">
        <v>36</v>
      </c>
      <c r="D64" s="560"/>
      <c r="E64" s="57">
        <v>36.14</v>
      </c>
      <c r="F64" s="69">
        <v>1291</v>
      </c>
      <c r="G64" s="267">
        <f t="shared" si="39"/>
        <v>46656.74</v>
      </c>
      <c r="H64" s="276" t="s">
        <v>5</v>
      </c>
      <c r="I64" s="272">
        <v>9</v>
      </c>
      <c r="J64" s="58">
        <v>3000</v>
      </c>
      <c r="K64" s="59">
        <f t="shared" si="1"/>
        <v>333.33333333333331</v>
      </c>
      <c r="L64" s="272">
        <v>9</v>
      </c>
      <c r="M64" s="60">
        <f t="shared" si="40"/>
        <v>2868.8888888888905</v>
      </c>
      <c r="N64" s="59">
        <f t="shared" si="3"/>
        <v>318.76543209876559</v>
      </c>
      <c r="O64" s="61">
        <f t="shared" si="4"/>
        <v>0</v>
      </c>
      <c r="P64" s="62">
        <f t="shared" si="5"/>
        <v>-14.567901234567728</v>
      </c>
      <c r="Q64" s="268">
        <f t="shared" si="6"/>
        <v>0.95629629629629687</v>
      </c>
      <c r="R64" s="566"/>
      <c r="S64" s="63">
        <v>0.44236111111111109</v>
      </c>
      <c r="T64" s="63">
        <v>0.46111111111111108</v>
      </c>
      <c r="U64" s="267">
        <f t="shared" si="42"/>
        <v>7.9999999999999716</v>
      </c>
      <c r="V64" s="273">
        <f t="shared" si="41"/>
        <v>26.999999999999986</v>
      </c>
      <c r="W64" s="64"/>
      <c r="X64" s="64"/>
      <c r="Y64" s="559"/>
      <c r="Z64" s="559"/>
      <c r="AA64" s="61">
        <f t="shared" si="8"/>
        <v>-131.11111111110949</v>
      </c>
      <c r="AB64" s="268">
        <f t="shared" si="9"/>
        <v>0.95629629629629687</v>
      </c>
      <c r="AC64" s="566"/>
    </row>
    <row r="65" spans="1:29" ht="15" customHeight="1">
      <c r="A65" s="573" t="s">
        <v>1179</v>
      </c>
      <c r="B65" s="274" t="s">
        <v>31</v>
      </c>
      <c r="C65" s="567" t="s">
        <v>63</v>
      </c>
      <c r="D65" s="568"/>
      <c r="E65" s="57">
        <v>34.36</v>
      </c>
      <c r="F65" s="69">
        <v>2278</v>
      </c>
      <c r="G65" s="267">
        <f t="shared" si="39"/>
        <v>78272.08</v>
      </c>
      <c r="H65" s="276" t="s">
        <v>5</v>
      </c>
      <c r="I65" s="272">
        <v>10</v>
      </c>
      <c r="J65" s="58">
        <v>3000</v>
      </c>
      <c r="K65" s="59">
        <f t="shared" si="1"/>
        <v>300</v>
      </c>
      <c r="L65" s="272">
        <v>10</v>
      </c>
      <c r="M65" s="60">
        <f t="shared" si="40"/>
        <v>2908.0851063829791</v>
      </c>
      <c r="N65" s="59">
        <f t="shared" si="3"/>
        <v>290.80851063829789</v>
      </c>
      <c r="O65" s="61">
        <f t="shared" si="4"/>
        <v>0</v>
      </c>
      <c r="P65" s="62">
        <f t="shared" si="5"/>
        <v>-9.1914893617021107</v>
      </c>
      <c r="Q65" s="268">
        <f t="shared" si="6"/>
        <v>0.9693617021276596</v>
      </c>
      <c r="R65" s="566"/>
      <c r="S65" s="63">
        <v>0.46666666666666662</v>
      </c>
      <c r="T65" s="63">
        <v>0.4993055555555555</v>
      </c>
      <c r="U65" s="267">
        <f t="shared" si="42"/>
        <v>7.9999999999999716</v>
      </c>
      <c r="V65" s="273">
        <f t="shared" si="41"/>
        <v>46.999999999999993</v>
      </c>
      <c r="W65" s="267"/>
      <c r="X65" s="267"/>
      <c r="Y65" s="569"/>
      <c r="Z65" s="570"/>
      <c r="AA65" s="61">
        <f t="shared" si="8"/>
        <v>-91.91489361702088</v>
      </c>
      <c r="AB65" s="268">
        <f t="shared" si="9"/>
        <v>0.96936170212765971</v>
      </c>
      <c r="AC65" s="566"/>
    </row>
    <row r="66" spans="1:29">
      <c r="A66" s="573" t="s">
        <v>1179</v>
      </c>
      <c r="B66" s="57" t="s">
        <v>1171</v>
      </c>
      <c r="C66" s="571"/>
      <c r="D66" s="571"/>
      <c r="E66" s="271"/>
      <c r="F66" s="66"/>
      <c r="G66" s="59"/>
      <c r="H66" s="274"/>
      <c r="I66" s="67">
        <v>9.1666666666666661</v>
      </c>
      <c r="J66" s="58">
        <v>2750</v>
      </c>
      <c r="K66" s="59">
        <f t="shared" si="1"/>
        <v>300</v>
      </c>
      <c r="L66" s="67">
        <v>9.1666666666666661</v>
      </c>
      <c r="M66" s="60">
        <f>AVERAGE(M60:M65)</f>
        <v>2646.5987414741062</v>
      </c>
      <c r="N66" s="59">
        <f t="shared" si="3"/>
        <v>288.71986270626616</v>
      </c>
      <c r="O66" s="61">
        <f t="shared" si="4"/>
        <v>0</v>
      </c>
      <c r="P66" s="62">
        <f t="shared" si="5"/>
        <v>-11.280137293733844</v>
      </c>
      <c r="Q66" s="268">
        <f t="shared" si="6"/>
        <v>0.96239954235422054</v>
      </c>
      <c r="R66" s="566"/>
      <c r="S66" s="63"/>
      <c r="T66" s="63"/>
      <c r="U66" s="59"/>
      <c r="V66" s="273"/>
      <c r="W66" s="59"/>
      <c r="X66" s="59"/>
      <c r="Y66" s="559"/>
      <c r="Z66" s="559"/>
      <c r="AA66" s="61">
        <f t="shared" si="8"/>
        <v>-103.40125852589381</v>
      </c>
      <c r="AB66" s="268">
        <f t="shared" si="9"/>
        <v>0.96239954235422043</v>
      </c>
      <c r="AC66" s="566"/>
    </row>
    <row r="67" spans="1:29" ht="15.75" customHeight="1">
      <c r="A67" s="563" t="s">
        <v>1180</v>
      </c>
      <c r="B67" s="274" t="s">
        <v>15</v>
      </c>
      <c r="C67" s="560" t="s">
        <v>43</v>
      </c>
      <c r="D67" s="560"/>
      <c r="E67" s="57">
        <v>20.2</v>
      </c>
      <c r="F67" s="274">
        <v>2437</v>
      </c>
      <c r="G67" s="267">
        <f t="shared" ref="G67:G74" si="43">E67*F67</f>
        <v>49227.4</v>
      </c>
      <c r="H67" s="276" t="s">
        <v>5</v>
      </c>
      <c r="I67" s="272">
        <v>19</v>
      </c>
      <c r="J67" s="58">
        <v>2400</v>
      </c>
      <c r="K67" s="59">
        <f t="shared" si="1"/>
        <v>126.31578947368421</v>
      </c>
      <c r="L67" s="272">
        <v>19</v>
      </c>
      <c r="M67" s="60">
        <f t="shared" ref="M67:M74" si="44">F67/V67*60</f>
        <v>2284.6875000000005</v>
      </c>
      <c r="N67" s="59">
        <f t="shared" si="3"/>
        <v>120.24671052631581</v>
      </c>
      <c r="O67" s="61">
        <f t="shared" si="4"/>
        <v>0</v>
      </c>
      <c r="P67" s="62">
        <f t="shared" si="5"/>
        <v>-6.0690789473683964</v>
      </c>
      <c r="Q67" s="268">
        <f t="shared" si="6"/>
        <v>0.95195312500000018</v>
      </c>
      <c r="R67" s="566">
        <f>Q75</f>
        <v>0.95505348409217228</v>
      </c>
      <c r="S67" s="63">
        <v>8.3333333333333329E-2</v>
      </c>
      <c r="T67" s="63">
        <v>0.12777777777777777</v>
      </c>
      <c r="U67" s="68"/>
      <c r="V67" s="273">
        <f t="shared" ref="V67:V74" si="45">(T67-S67)*24*60</f>
        <v>63.999999999999986</v>
      </c>
      <c r="W67" s="64">
        <f>T67</f>
        <v>0.12777777777777777</v>
      </c>
      <c r="X67" s="64">
        <f>S68</f>
        <v>0.14930555555555555</v>
      </c>
      <c r="Y67" s="559"/>
      <c r="Z67" s="559"/>
      <c r="AA67" s="61">
        <f t="shared" si="8"/>
        <v>-115.31249999999955</v>
      </c>
      <c r="AB67" s="268">
        <f t="shared" si="9"/>
        <v>0.95195312500000018</v>
      </c>
      <c r="AC67" s="566">
        <f>AB75</f>
        <v>0.95505348409217217</v>
      </c>
    </row>
    <row r="68" spans="1:29" ht="15.75" customHeight="1">
      <c r="A68" s="564" t="s">
        <v>1180</v>
      </c>
      <c r="B68" s="274" t="s">
        <v>15</v>
      </c>
      <c r="C68" s="560" t="s">
        <v>16</v>
      </c>
      <c r="D68" s="560"/>
      <c r="E68" s="57">
        <v>24.45</v>
      </c>
      <c r="F68" s="274">
        <v>2812</v>
      </c>
      <c r="G68" s="267">
        <f t="shared" si="43"/>
        <v>68753.399999999994</v>
      </c>
      <c r="H68" s="276" t="s">
        <v>5</v>
      </c>
      <c r="I68" s="272">
        <v>20</v>
      </c>
      <c r="J68" s="58">
        <v>2400</v>
      </c>
      <c r="K68" s="59">
        <f t="shared" si="1"/>
        <v>120</v>
      </c>
      <c r="L68" s="272">
        <v>20</v>
      </c>
      <c r="M68" s="60">
        <f t="shared" si="44"/>
        <v>2311.232876712329</v>
      </c>
      <c r="N68" s="59">
        <f t="shared" si="3"/>
        <v>115.56164383561645</v>
      </c>
      <c r="O68" s="61">
        <f t="shared" si="4"/>
        <v>0</v>
      </c>
      <c r="P68" s="62">
        <f t="shared" si="5"/>
        <v>-4.4383561643835492</v>
      </c>
      <c r="Q68" s="268">
        <f t="shared" si="6"/>
        <v>0.96301369863013708</v>
      </c>
      <c r="R68" s="566"/>
      <c r="S68" s="63">
        <v>0.14930555555555555</v>
      </c>
      <c r="T68" s="63">
        <v>0.19999999999999998</v>
      </c>
      <c r="U68" s="267">
        <f t="shared" ref="U68:U74" si="46">(S68-T67)*24*60</f>
        <v>31.000000000000011</v>
      </c>
      <c r="V68" s="273">
        <f t="shared" si="45"/>
        <v>72.999999999999986</v>
      </c>
      <c r="W68" s="64"/>
      <c r="X68" s="64"/>
      <c r="Y68" s="559"/>
      <c r="Z68" s="559"/>
      <c r="AA68" s="61">
        <f t="shared" si="8"/>
        <v>-88.767123287670984</v>
      </c>
      <c r="AB68" s="268">
        <f t="shared" si="9"/>
        <v>0.96301369863013708</v>
      </c>
      <c r="AC68" s="566"/>
    </row>
    <row r="69" spans="1:29" ht="15.75" customHeight="1">
      <c r="A69" s="564" t="s">
        <v>1180</v>
      </c>
      <c r="B69" s="274" t="s">
        <v>15</v>
      </c>
      <c r="C69" s="560" t="s">
        <v>100</v>
      </c>
      <c r="D69" s="560"/>
      <c r="E69" s="57">
        <v>28.51</v>
      </c>
      <c r="F69" s="274">
        <v>1685</v>
      </c>
      <c r="G69" s="267">
        <f t="shared" si="43"/>
        <v>48039.350000000006</v>
      </c>
      <c r="H69" s="276" t="s">
        <v>5</v>
      </c>
      <c r="I69" s="272">
        <v>16</v>
      </c>
      <c r="J69" s="58">
        <v>2400</v>
      </c>
      <c r="K69" s="59">
        <f t="shared" ref="K69:K75" si="47">J69/I69</f>
        <v>150</v>
      </c>
      <c r="L69" s="272">
        <v>16</v>
      </c>
      <c r="M69" s="60">
        <f t="shared" si="44"/>
        <v>2297.727272727273</v>
      </c>
      <c r="N69" s="59">
        <f t="shared" ref="N69:N75" si="48">M69/L69</f>
        <v>143.60795454545456</v>
      </c>
      <c r="O69" s="61">
        <f t="shared" ref="O69:O75" si="49">L69-I69</f>
        <v>0</v>
      </c>
      <c r="P69" s="62">
        <f t="shared" ref="P69:P75" si="50">N69-K69</f>
        <v>-6.392045454545439</v>
      </c>
      <c r="Q69" s="268">
        <f t="shared" ref="Q69:Q75" si="51">N69/K69</f>
        <v>0.95738636363636376</v>
      </c>
      <c r="R69" s="566"/>
      <c r="S69" s="63">
        <v>0.20347222222222219</v>
      </c>
      <c r="T69" s="63">
        <v>0.23402777777777775</v>
      </c>
      <c r="U69" s="267">
        <f t="shared" si="46"/>
        <v>4.9999999999999822</v>
      </c>
      <c r="V69" s="273">
        <f t="shared" si="45"/>
        <v>44</v>
      </c>
      <c r="W69" s="64"/>
      <c r="X69" s="64"/>
      <c r="Y69" s="559"/>
      <c r="Z69" s="559"/>
      <c r="AA69" s="61">
        <f t="shared" ref="AA69:AA75" si="52">M69-J69</f>
        <v>-102.27272727272702</v>
      </c>
      <c r="AB69" s="268">
        <f t="shared" ref="AB69:AB75" si="53">M69/J69</f>
        <v>0.95738636363636376</v>
      </c>
      <c r="AC69" s="566"/>
    </row>
    <row r="70" spans="1:29" ht="15.75" customHeight="1">
      <c r="A70" s="564" t="s">
        <v>1180</v>
      </c>
      <c r="B70" s="274" t="s">
        <v>15</v>
      </c>
      <c r="C70" s="560" t="s">
        <v>24</v>
      </c>
      <c r="D70" s="560"/>
      <c r="E70" s="57">
        <v>20.52</v>
      </c>
      <c r="F70" s="274">
        <v>3694</v>
      </c>
      <c r="G70" s="267">
        <f t="shared" si="43"/>
        <v>75800.88</v>
      </c>
      <c r="H70" s="276" t="s">
        <v>5</v>
      </c>
      <c r="I70" s="272">
        <v>18</v>
      </c>
      <c r="J70" s="58">
        <v>2400</v>
      </c>
      <c r="K70" s="59">
        <f t="shared" si="47"/>
        <v>133.33333333333334</v>
      </c>
      <c r="L70" s="272">
        <v>18</v>
      </c>
      <c r="M70" s="60">
        <f t="shared" si="44"/>
        <v>2284.9484536082468</v>
      </c>
      <c r="N70" s="59">
        <f t="shared" si="48"/>
        <v>126.94158075601371</v>
      </c>
      <c r="O70" s="61">
        <f t="shared" si="49"/>
        <v>0</v>
      </c>
      <c r="P70" s="62">
        <f t="shared" si="50"/>
        <v>-6.391752577319636</v>
      </c>
      <c r="Q70" s="268">
        <f t="shared" si="51"/>
        <v>0.95206185567010271</v>
      </c>
      <c r="R70" s="566"/>
      <c r="S70" s="63">
        <v>0.23749999999999996</v>
      </c>
      <c r="T70" s="63">
        <v>0.30486111111111108</v>
      </c>
      <c r="U70" s="267">
        <f t="shared" si="46"/>
        <v>4.9999999999999822</v>
      </c>
      <c r="V70" s="273">
        <f t="shared" si="45"/>
        <v>97.000000000000014</v>
      </c>
      <c r="W70" s="64"/>
      <c r="X70" s="64"/>
      <c r="Y70" s="559"/>
      <c r="Z70" s="559"/>
      <c r="AA70" s="61">
        <f t="shared" si="52"/>
        <v>-115.05154639175316</v>
      </c>
      <c r="AB70" s="268">
        <f t="shared" si="53"/>
        <v>0.95206185567010282</v>
      </c>
      <c r="AC70" s="566"/>
    </row>
    <row r="71" spans="1:29" ht="15.75" customHeight="1">
      <c r="A71" s="564" t="s">
        <v>1180</v>
      </c>
      <c r="B71" s="274" t="s">
        <v>15</v>
      </c>
      <c r="C71" s="560" t="s">
        <v>44</v>
      </c>
      <c r="D71" s="560"/>
      <c r="E71" s="57">
        <v>19.02</v>
      </c>
      <c r="F71" s="274">
        <v>5800</v>
      </c>
      <c r="G71" s="267">
        <f t="shared" si="43"/>
        <v>110316</v>
      </c>
      <c r="H71" s="276">
        <v>2</v>
      </c>
      <c r="I71" s="272">
        <v>15</v>
      </c>
      <c r="J71" s="58">
        <v>2400</v>
      </c>
      <c r="K71" s="59">
        <f t="shared" si="47"/>
        <v>160</v>
      </c>
      <c r="L71" s="272">
        <v>15</v>
      </c>
      <c r="M71" s="60">
        <f t="shared" si="44"/>
        <v>2289.4736842105258</v>
      </c>
      <c r="N71" s="59">
        <f t="shared" si="48"/>
        <v>152.63157894736838</v>
      </c>
      <c r="O71" s="61">
        <f t="shared" si="49"/>
        <v>0</v>
      </c>
      <c r="P71" s="62">
        <f t="shared" si="50"/>
        <v>-7.3684210526316178</v>
      </c>
      <c r="Q71" s="268">
        <f t="shared" si="51"/>
        <v>0.95394736842105243</v>
      </c>
      <c r="R71" s="566"/>
      <c r="S71" s="63">
        <v>0.30902777777777773</v>
      </c>
      <c r="T71" s="63">
        <v>0.4145833333333333</v>
      </c>
      <c r="U71" s="267">
        <f t="shared" si="46"/>
        <v>5.9999999999999787</v>
      </c>
      <c r="V71" s="273">
        <f t="shared" si="45"/>
        <v>152.00000000000003</v>
      </c>
      <c r="W71" s="64"/>
      <c r="X71" s="64"/>
      <c r="Y71" s="559"/>
      <c r="Z71" s="559"/>
      <c r="AA71" s="61">
        <f t="shared" si="52"/>
        <v>-110.52631578947421</v>
      </c>
      <c r="AB71" s="268">
        <f t="shared" si="53"/>
        <v>0.95394736842105243</v>
      </c>
      <c r="AC71" s="566"/>
    </row>
    <row r="72" spans="1:29" ht="15.75" customHeight="1">
      <c r="A72" s="564" t="s">
        <v>1180</v>
      </c>
      <c r="B72" s="274" t="s">
        <v>15</v>
      </c>
      <c r="C72" s="560" t="s">
        <v>29</v>
      </c>
      <c r="D72" s="560"/>
      <c r="E72" s="57">
        <v>24.43</v>
      </c>
      <c r="F72" s="274">
        <v>4500</v>
      </c>
      <c r="G72" s="267">
        <f t="shared" si="43"/>
        <v>109935</v>
      </c>
      <c r="H72" s="276">
        <v>2</v>
      </c>
      <c r="I72" s="272">
        <v>14</v>
      </c>
      <c r="J72" s="58">
        <v>2400</v>
      </c>
      <c r="K72" s="59">
        <f t="shared" si="47"/>
        <v>171.42857142857142</v>
      </c>
      <c r="L72" s="272">
        <v>14</v>
      </c>
      <c r="M72" s="60">
        <f t="shared" si="44"/>
        <v>2288.1355932203396</v>
      </c>
      <c r="N72" s="59">
        <f t="shared" si="48"/>
        <v>163.43825665859569</v>
      </c>
      <c r="O72" s="61">
        <f t="shared" si="49"/>
        <v>0</v>
      </c>
      <c r="P72" s="62">
        <f t="shared" si="50"/>
        <v>-7.9903147699757255</v>
      </c>
      <c r="Q72" s="268">
        <f t="shared" si="51"/>
        <v>0.95338983050847492</v>
      </c>
      <c r="R72" s="566"/>
      <c r="S72" s="63">
        <v>0.41805555555555551</v>
      </c>
      <c r="T72" s="63">
        <v>0.49999999999999994</v>
      </c>
      <c r="U72" s="267">
        <f t="shared" si="46"/>
        <v>4.9999999999999822</v>
      </c>
      <c r="V72" s="273">
        <f t="shared" si="45"/>
        <v>117.99999999999999</v>
      </c>
      <c r="W72" s="64">
        <f>T72</f>
        <v>0.49999999999999994</v>
      </c>
      <c r="X72" s="64">
        <f>S73</f>
        <v>0.54027777777777775</v>
      </c>
      <c r="Y72" s="559"/>
      <c r="Z72" s="559"/>
      <c r="AA72" s="61">
        <f t="shared" si="52"/>
        <v>-111.86440677966038</v>
      </c>
      <c r="AB72" s="268">
        <f t="shared" si="53"/>
        <v>0.95338983050847481</v>
      </c>
      <c r="AC72" s="566"/>
    </row>
    <row r="73" spans="1:29" ht="15.75" customHeight="1">
      <c r="A73" s="564" t="s">
        <v>90</v>
      </c>
      <c r="B73" s="274" t="s">
        <v>15</v>
      </c>
      <c r="C73" s="560" t="s">
        <v>44</v>
      </c>
      <c r="D73" s="560"/>
      <c r="E73" s="57">
        <v>19.02</v>
      </c>
      <c r="F73" s="274">
        <v>4666</v>
      </c>
      <c r="G73" s="267">
        <f t="shared" si="43"/>
        <v>88747.319999999992</v>
      </c>
      <c r="H73" s="276" t="s">
        <v>5</v>
      </c>
      <c r="I73" s="272">
        <v>15</v>
      </c>
      <c r="J73" s="58">
        <v>2400</v>
      </c>
      <c r="K73" s="59">
        <f t="shared" si="47"/>
        <v>160</v>
      </c>
      <c r="L73" s="272">
        <v>15</v>
      </c>
      <c r="M73" s="60">
        <f t="shared" si="44"/>
        <v>2294.754098360655</v>
      </c>
      <c r="N73" s="59">
        <f t="shared" si="48"/>
        <v>152.98360655737699</v>
      </c>
      <c r="O73" s="61">
        <f t="shared" si="49"/>
        <v>0</v>
      </c>
      <c r="P73" s="62">
        <f t="shared" si="50"/>
        <v>-7.0163934426230128</v>
      </c>
      <c r="Q73" s="268">
        <f t="shared" si="51"/>
        <v>0.95614754098360621</v>
      </c>
      <c r="R73" s="566"/>
      <c r="S73" s="63">
        <v>0.54027777777777775</v>
      </c>
      <c r="T73" s="63">
        <v>0.625</v>
      </c>
      <c r="U73" s="267">
        <f t="shared" si="46"/>
        <v>58.000000000000036</v>
      </c>
      <c r="V73" s="273">
        <f t="shared" si="45"/>
        <v>122.00000000000004</v>
      </c>
      <c r="W73" s="64"/>
      <c r="X73" s="64"/>
      <c r="Y73" s="569"/>
      <c r="Z73" s="570"/>
      <c r="AA73" s="61">
        <f t="shared" si="52"/>
        <v>-105.24590163934499</v>
      </c>
      <c r="AB73" s="268">
        <f t="shared" si="53"/>
        <v>0.95614754098360621</v>
      </c>
      <c r="AC73" s="566"/>
    </row>
    <row r="74" spans="1:29" ht="15.75" customHeight="1">
      <c r="A74" s="564" t="s">
        <v>1180</v>
      </c>
      <c r="B74" s="274" t="s">
        <v>15</v>
      </c>
      <c r="C74" s="560" t="s">
        <v>29</v>
      </c>
      <c r="D74" s="560"/>
      <c r="E74" s="57">
        <v>24.43</v>
      </c>
      <c r="F74" s="274">
        <v>3391</v>
      </c>
      <c r="G74" s="267">
        <f t="shared" si="43"/>
        <v>82842.13</v>
      </c>
      <c r="H74" s="276" t="s">
        <v>5</v>
      </c>
      <c r="I74" s="272">
        <v>14</v>
      </c>
      <c r="J74" s="58">
        <v>2400</v>
      </c>
      <c r="K74" s="59">
        <f t="shared" si="47"/>
        <v>171.42857142857142</v>
      </c>
      <c r="L74" s="272">
        <v>14</v>
      </c>
      <c r="M74" s="60">
        <f t="shared" si="44"/>
        <v>2286.067415730337</v>
      </c>
      <c r="N74" s="59">
        <f t="shared" si="48"/>
        <v>163.29052969502408</v>
      </c>
      <c r="O74" s="61">
        <f t="shared" si="49"/>
        <v>0</v>
      </c>
      <c r="P74" s="62">
        <f t="shared" si="50"/>
        <v>-8.1380417335473396</v>
      </c>
      <c r="Q74" s="268">
        <f t="shared" si="51"/>
        <v>0.95252808988764048</v>
      </c>
      <c r="R74" s="566"/>
      <c r="S74" s="63">
        <v>0.63055555555555554</v>
      </c>
      <c r="T74" s="63">
        <v>0.69236111111111109</v>
      </c>
      <c r="U74" s="267">
        <f t="shared" si="46"/>
        <v>7.9999999999999716</v>
      </c>
      <c r="V74" s="273">
        <f t="shared" si="45"/>
        <v>89</v>
      </c>
      <c r="W74" s="64"/>
      <c r="X74" s="64"/>
      <c r="Y74" s="569"/>
      <c r="Z74" s="570"/>
      <c r="AA74" s="61">
        <f t="shared" si="52"/>
        <v>-113.93258426966304</v>
      </c>
      <c r="AB74" s="268">
        <f t="shared" si="53"/>
        <v>0.95252808988764037</v>
      </c>
      <c r="AC74" s="566"/>
    </row>
    <row r="75" spans="1:29" ht="16.5" customHeight="1">
      <c r="A75" s="565" t="s">
        <v>1180</v>
      </c>
      <c r="B75" s="57" t="s">
        <v>1171</v>
      </c>
      <c r="C75" s="561"/>
      <c r="D75" s="562"/>
      <c r="E75" s="271"/>
      <c r="F75" s="66"/>
      <c r="G75" s="59"/>
      <c r="H75" s="274"/>
      <c r="I75" s="67">
        <v>16.375</v>
      </c>
      <c r="J75" s="58">
        <v>2400</v>
      </c>
      <c r="K75" s="59">
        <f t="shared" si="47"/>
        <v>146.56488549618319</v>
      </c>
      <c r="L75" s="67">
        <v>16.375</v>
      </c>
      <c r="M75" s="60">
        <f>AVERAGE(M67:M74)</f>
        <v>2292.1283618212133</v>
      </c>
      <c r="N75" s="59">
        <f t="shared" si="48"/>
        <v>139.97730453870005</v>
      </c>
      <c r="O75" s="61">
        <f t="shared" si="49"/>
        <v>0</v>
      </c>
      <c r="P75" s="62">
        <f t="shared" si="50"/>
        <v>-6.5875809574831408</v>
      </c>
      <c r="Q75" s="268">
        <f t="shared" si="51"/>
        <v>0.95505348409217228</v>
      </c>
      <c r="R75" s="566"/>
      <c r="S75" s="63"/>
      <c r="T75" s="63"/>
      <c r="U75" s="59"/>
      <c r="V75" s="273"/>
      <c r="W75" s="59"/>
      <c r="X75" s="59"/>
      <c r="Y75" s="559"/>
      <c r="Z75" s="559"/>
      <c r="AA75" s="61">
        <f t="shared" si="52"/>
        <v>-107.87163817878672</v>
      </c>
      <c r="AB75" s="268">
        <f t="shared" si="53"/>
        <v>0.95505348409217217</v>
      </c>
      <c r="AC75" s="566"/>
    </row>
    <row r="76" spans="1:29">
      <c r="D76" s="122"/>
      <c r="E76" s="122"/>
    </row>
  </sheetData>
  <mergeCells count="198">
    <mergeCell ref="A60:A66"/>
    <mergeCell ref="C60:D60"/>
    <mergeCell ref="R60:R66"/>
    <mergeCell ref="Y60:Z60"/>
    <mergeCell ref="A67:A75"/>
    <mergeCell ref="C67:D67"/>
    <mergeCell ref="R67:R75"/>
    <mergeCell ref="Y67:Z67"/>
    <mergeCell ref="AC67:AC75"/>
    <mergeCell ref="C68:D68"/>
    <mergeCell ref="Y68:Z68"/>
    <mergeCell ref="C69:D69"/>
    <mergeCell ref="Y69:Z69"/>
    <mergeCell ref="C70:D70"/>
    <mergeCell ref="C74:D74"/>
    <mergeCell ref="Y74:Z74"/>
    <mergeCell ref="C75:D75"/>
    <mergeCell ref="Y75:Z75"/>
    <mergeCell ref="Y70:Z70"/>
    <mergeCell ref="C71:D71"/>
    <mergeCell ref="Y71:Z71"/>
    <mergeCell ref="C72:D72"/>
    <mergeCell ref="Y72:Z72"/>
    <mergeCell ref="C73:D73"/>
    <mergeCell ref="Y73:Z73"/>
    <mergeCell ref="AC60:AC66"/>
    <mergeCell ref="C61:D61"/>
    <mergeCell ref="Y61:Z61"/>
    <mergeCell ref="C62:D62"/>
    <mergeCell ref="Y62:Z62"/>
    <mergeCell ref="C63:D63"/>
    <mergeCell ref="AC53:AC59"/>
    <mergeCell ref="C54:D54"/>
    <mergeCell ref="Y54:Z54"/>
    <mergeCell ref="C55:D55"/>
    <mergeCell ref="C58:D58"/>
    <mergeCell ref="Y58:Z58"/>
    <mergeCell ref="C59:D59"/>
    <mergeCell ref="Y59:Z59"/>
    <mergeCell ref="Y63:Z63"/>
    <mergeCell ref="C64:D64"/>
    <mergeCell ref="Y64:Z64"/>
    <mergeCell ref="C65:D65"/>
    <mergeCell ref="Y65:Z65"/>
    <mergeCell ref="C66:D66"/>
    <mergeCell ref="Y66:Z66"/>
    <mergeCell ref="A53:A59"/>
    <mergeCell ref="C53:D53"/>
    <mergeCell ref="R53:R59"/>
    <mergeCell ref="Y53:Z53"/>
    <mergeCell ref="AC45:AC52"/>
    <mergeCell ref="C46:D46"/>
    <mergeCell ref="Y46:Z46"/>
    <mergeCell ref="C47:D47"/>
    <mergeCell ref="Y47:Z47"/>
    <mergeCell ref="C48:D48"/>
    <mergeCell ref="Y48:Z48"/>
    <mergeCell ref="C49:D49"/>
    <mergeCell ref="Y49:Z49"/>
    <mergeCell ref="C50:D50"/>
    <mergeCell ref="A45:A52"/>
    <mergeCell ref="C45:D45"/>
    <mergeCell ref="R45:R52"/>
    <mergeCell ref="Y45:Z45"/>
    <mergeCell ref="Y50:Z50"/>
    <mergeCell ref="C51:D51"/>
    <mergeCell ref="Y51:Z51"/>
    <mergeCell ref="C52:D52"/>
    <mergeCell ref="Y52:Z52"/>
    <mergeCell ref="A36:A44"/>
    <mergeCell ref="C36:D36"/>
    <mergeCell ref="R36:R44"/>
    <mergeCell ref="Y36:Z36"/>
    <mergeCell ref="Y41:Z41"/>
    <mergeCell ref="C42:D42"/>
    <mergeCell ref="AC36:AC44"/>
    <mergeCell ref="C37:D37"/>
    <mergeCell ref="Y37:Z37"/>
    <mergeCell ref="C38:D38"/>
    <mergeCell ref="Y38:Z38"/>
    <mergeCell ref="C39:D39"/>
    <mergeCell ref="Y39:Z39"/>
    <mergeCell ref="C40:D40"/>
    <mergeCell ref="Y40:Z40"/>
    <mergeCell ref="C41:D41"/>
    <mergeCell ref="Y42:Z42"/>
    <mergeCell ref="C43:D43"/>
    <mergeCell ref="Y43:Z43"/>
    <mergeCell ref="C44:D44"/>
    <mergeCell ref="Y44:Z44"/>
    <mergeCell ref="A27:A35"/>
    <mergeCell ref="C27:D27"/>
    <mergeCell ref="R27:R35"/>
    <mergeCell ref="Y27:Z27"/>
    <mergeCell ref="Y32:Z32"/>
    <mergeCell ref="C33:D33"/>
    <mergeCell ref="Y33:Z33"/>
    <mergeCell ref="AC27:AC35"/>
    <mergeCell ref="C28:D28"/>
    <mergeCell ref="Y28:Z28"/>
    <mergeCell ref="C29:D29"/>
    <mergeCell ref="Y29:Z29"/>
    <mergeCell ref="C30:D30"/>
    <mergeCell ref="Y30:Z30"/>
    <mergeCell ref="C31:D31"/>
    <mergeCell ref="Y31:Z31"/>
    <mergeCell ref="C32:D32"/>
    <mergeCell ref="C34:D34"/>
    <mergeCell ref="Y34:Z34"/>
    <mergeCell ref="C35:D35"/>
    <mergeCell ref="Y35:Z35"/>
    <mergeCell ref="AC18:AC26"/>
    <mergeCell ref="C19:D19"/>
    <mergeCell ref="Y19:Z19"/>
    <mergeCell ref="C20:D20"/>
    <mergeCell ref="Y20:Z20"/>
    <mergeCell ref="C21:D21"/>
    <mergeCell ref="Y21:Z21"/>
    <mergeCell ref="C22:D22"/>
    <mergeCell ref="Y22:Z22"/>
    <mergeCell ref="C23:D23"/>
    <mergeCell ref="Y25:Z25"/>
    <mergeCell ref="C26:D26"/>
    <mergeCell ref="Y26:Z26"/>
    <mergeCell ref="A18:A26"/>
    <mergeCell ref="C18:D18"/>
    <mergeCell ref="R18:R26"/>
    <mergeCell ref="Y18:Z18"/>
    <mergeCell ref="Y23:Z23"/>
    <mergeCell ref="C24:D24"/>
    <mergeCell ref="Y24:Z24"/>
    <mergeCell ref="C25:D25"/>
    <mergeCell ref="A13:A17"/>
    <mergeCell ref="C14:D14"/>
    <mergeCell ref="Y14:Z14"/>
    <mergeCell ref="C15:D15"/>
    <mergeCell ref="Y15:Z15"/>
    <mergeCell ref="C16:D16"/>
    <mergeCell ref="Y16:Z16"/>
    <mergeCell ref="AC10:AC12"/>
    <mergeCell ref="C11:D11"/>
    <mergeCell ref="Y11:Z11"/>
    <mergeCell ref="C12:D12"/>
    <mergeCell ref="Y12:Z12"/>
    <mergeCell ref="C13:D13"/>
    <mergeCell ref="R13:R17"/>
    <mergeCell ref="Y13:Z13"/>
    <mergeCell ref="AC13:AC17"/>
    <mergeCell ref="C17:D17"/>
    <mergeCell ref="Y17:Z17"/>
    <mergeCell ref="C8:D8"/>
    <mergeCell ref="Y8:Z8"/>
    <mergeCell ref="C9:D9"/>
    <mergeCell ref="Y9:Z9"/>
    <mergeCell ref="A10:A12"/>
    <mergeCell ref="C10:D10"/>
    <mergeCell ref="R10:R12"/>
    <mergeCell ref="Y10:Z10"/>
    <mergeCell ref="AC3:AC4"/>
    <mergeCell ref="A5:A9"/>
    <mergeCell ref="C5:D5"/>
    <mergeCell ref="R5:R9"/>
    <mergeCell ref="Y5:Z5"/>
    <mergeCell ref="AC5:AC9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</mergeCells>
  <phoneticPr fontId="3" type="noConversion"/>
  <conditionalFormatting sqref="O63:O72 O75 O5:O10 O12:O14 O52:O60 O17:O50">
    <cfRule type="cellIs" dxfId="1022" priority="50" operator="greaterThan">
      <formula>0</formula>
    </cfRule>
  </conditionalFormatting>
  <conditionalFormatting sqref="P5:P8 P63:P65 AA63:AA65 P67:P72 P27:P34 P60 P10 P12:P14 P18:P25 P53:P58 P36:P50 AA5:AA60 AA67:AA75">
    <cfRule type="cellIs" dxfId="1021" priority="54" operator="lessThan">
      <formula>0</formula>
    </cfRule>
  </conditionalFormatting>
  <conditionalFormatting sqref="AB63:AB65 Q63:Q72 Q75 Q5:Q10 Q12:Q14 Q52:Q60 Q17:Q50 AB5:AB60 AB67:AB75">
    <cfRule type="cellIs" dxfId="1020" priority="51" operator="greaterThan">
      <formula>1</formula>
    </cfRule>
    <cfRule type="cellIs" dxfId="1019" priority="52" operator="lessThan">
      <formula>0.8</formula>
    </cfRule>
  </conditionalFormatting>
  <conditionalFormatting sqref="AC13:AC14 R13:R14 AC63 R63:R72 R17:R23 AC17:AC23 R75 AC5:AC10 R5:R10 R26:R50 AC26:AC50 AC52:AC60 R52:R60">
    <cfRule type="cellIs" dxfId="1018" priority="56" operator="lessThan">
      <formula>0.8</formula>
    </cfRule>
  </conditionalFormatting>
  <conditionalFormatting sqref="AC45">
    <cfRule type="cellIs" dxfId="1017" priority="58" operator="lessThan">
      <formula>0.8</formula>
    </cfRule>
  </conditionalFormatting>
  <conditionalFormatting sqref="AC18:AC23">
    <cfRule type="cellIs" dxfId="1016" priority="55" operator="lessThan">
      <formula>0.8</formula>
    </cfRule>
  </conditionalFormatting>
  <conditionalFormatting sqref="AC27">
    <cfRule type="cellIs" dxfId="1015" priority="57" operator="lessThan">
      <formula>0.8</formula>
    </cfRule>
  </conditionalFormatting>
  <conditionalFormatting sqref="AC36:AC43">
    <cfRule type="cellIs" dxfId="1014" priority="53" operator="lessThan">
      <formula>0.8</formula>
    </cfRule>
  </conditionalFormatting>
  <conditionalFormatting sqref="AA66">
    <cfRule type="cellIs" dxfId="1013" priority="49" operator="lessThan">
      <formula>0</formula>
    </cfRule>
  </conditionalFormatting>
  <conditionalFormatting sqref="AB66">
    <cfRule type="cellIs" dxfId="1012" priority="47" operator="greaterThan">
      <formula>1</formula>
    </cfRule>
    <cfRule type="cellIs" dxfId="1011" priority="48" operator="lessThan">
      <formula>0.8</formula>
    </cfRule>
  </conditionalFormatting>
  <conditionalFormatting sqref="O15:O16">
    <cfRule type="cellIs" dxfId="1010" priority="42" operator="greaterThan">
      <formula>0</formula>
    </cfRule>
  </conditionalFormatting>
  <conditionalFormatting sqref="P15:P16">
    <cfRule type="cellIs" dxfId="1009" priority="45" operator="lessThan">
      <formula>0</formula>
    </cfRule>
  </conditionalFormatting>
  <conditionalFormatting sqref="Q15:Q16">
    <cfRule type="cellIs" dxfId="1008" priority="43" operator="greaterThan">
      <formula>1</formula>
    </cfRule>
    <cfRule type="cellIs" dxfId="1007" priority="44" operator="lessThan">
      <formula>0.8</formula>
    </cfRule>
  </conditionalFormatting>
  <conditionalFormatting sqref="R15:R16 AC15:AC16">
    <cfRule type="cellIs" dxfId="1006" priority="46" operator="lessThan">
      <formula>0.8</formula>
    </cfRule>
  </conditionalFormatting>
  <conditionalFormatting sqref="O11">
    <cfRule type="cellIs" dxfId="1005" priority="38" operator="greaterThan">
      <formula>0</formula>
    </cfRule>
  </conditionalFormatting>
  <conditionalFormatting sqref="P11">
    <cfRule type="cellIs" dxfId="1004" priority="41" operator="lessThan">
      <formula>0</formula>
    </cfRule>
  </conditionalFormatting>
  <conditionalFormatting sqref="Q11">
    <cfRule type="cellIs" dxfId="1003" priority="39" operator="greaterThan">
      <formula>1</formula>
    </cfRule>
    <cfRule type="cellIs" dxfId="1002" priority="40" operator="lessThan">
      <formula>0.8</formula>
    </cfRule>
  </conditionalFormatting>
  <conditionalFormatting sqref="AC25 R25">
    <cfRule type="cellIs" dxfId="1001" priority="37" operator="lessThan">
      <formula>0.8</formula>
    </cfRule>
  </conditionalFormatting>
  <conditionalFormatting sqref="O62">
    <cfRule type="cellIs" dxfId="1000" priority="32" operator="greaterThan">
      <formula>0</formula>
    </cfRule>
  </conditionalFormatting>
  <conditionalFormatting sqref="P62 AA62">
    <cfRule type="cellIs" dxfId="999" priority="35" operator="lessThan">
      <formula>0</formula>
    </cfRule>
  </conditionalFormatting>
  <conditionalFormatting sqref="Q62 AB62">
    <cfRule type="cellIs" dxfId="998" priority="33" operator="greaterThan">
      <formula>1</formula>
    </cfRule>
    <cfRule type="cellIs" dxfId="997" priority="34" operator="lessThan">
      <formula>0.8</formula>
    </cfRule>
  </conditionalFormatting>
  <conditionalFormatting sqref="R62 AC62">
    <cfRule type="cellIs" dxfId="996" priority="36" operator="lessThan">
      <formula>0.8</formula>
    </cfRule>
  </conditionalFormatting>
  <conditionalFormatting sqref="O73">
    <cfRule type="cellIs" dxfId="995" priority="27" operator="greaterThan">
      <formula>0</formula>
    </cfRule>
  </conditionalFormatting>
  <conditionalFormatting sqref="P73">
    <cfRule type="cellIs" dxfId="994" priority="30" operator="lessThan">
      <formula>0</formula>
    </cfRule>
  </conditionalFormatting>
  <conditionalFormatting sqref="Q73">
    <cfRule type="cellIs" dxfId="993" priority="28" operator="greaterThan">
      <formula>1</formula>
    </cfRule>
    <cfRule type="cellIs" dxfId="992" priority="29" operator="lessThan">
      <formula>0.8</formula>
    </cfRule>
  </conditionalFormatting>
  <conditionalFormatting sqref="R73">
    <cfRule type="cellIs" dxfId="991" priority="31" operator="lessThan">
      <formula>0.8</formula>
    </cfRule>
  </conditionalFormatting>
  <conditionalFormatting sqref="O51">
    <cfRule type="cellIs" dxfId="990" priority="21" operator="greaterThan">
      <formula>0</formula>
    </cfRule>
  </conditionalFormatting>
  <conditionalFormatting sqref="P51">
    <cfRule type="cellIs" dxfId="989" priority="25" operator="lessThan">
      <formula>0</formula>
    </cfRule>
  </conditionalFormatting>
  <conditionalFormatting sqref="Q51">
    <cfRule type="cellIs" dxfId="988" priority="22" operator="greaterThan">
      <formula>1</formula>
    </cfRule>
    <cfRule type="cellIs" dxfId="987" priority="23" operator="lessThan">
      <formula>0.8</formula>
    </cfRule>
  </conditionalFormatting>
  <conditionalFormatting sqref="R51 AC51">
    <cfRule type="cellIs" dxfId="986" priority="26" operator="lessThan">
      <formula>0.8</formula>
    </cfRule>
  </conditionalFormatting>
  <conditionalFormatting sqref="AC51">
    <cfRule type="cellIs" dxfId="985" priority="24" operator="lessThan">
      <formula>0.8</formula>
    </cfRule>
  </conditionalFormatting>
  <conditionalFormatting sqref="R24 AC24">
    <cfRule type="cellIs" dxfId="984" priority="20" operator="lessThan">
      <formula>0.8</formula>
    </cfRule>
  </conditionalFormatting>
  <conditionalFormatting sqref="AC24">
    <cfRule type="cellIs" dxfId="983" priority="19" operator="lessThan">
      <formula>0.8</formula>
    </cfRule>
  </conditionalFormatting>
  <conditionalFormatting sqref="O61">
    <cfRule type="cellIs" dxfId="982" priority="14" operator="greaterThan">
      <formula>0</formula>
    </cfRule>
  </conditionalFormatting>
  <conditionalFormatting sqref="P61 AA61">
    <cfRule type="cellIs" dxfId="981" priority="17" operator="lessThan">
      <formula>0</formula>
    </cfRule>
  </conditionalFormatting>
  <conditionalFormatting sqref="Q61 AB61">
    <cfRule type="cellIs" dxfId="980" priority="15" operator="greaterThan">
      <formula>1</formula>
    </cfRule>
    <cfRule type="cellIs" dxfId="979" priority="16" operator="lessThan">
      <formula>0.8</formula>
    </cfRule>
  </conditionalFormatting>
  <conditionalFormatting sqref="R61 AC61">
    <cfRule type="cellIs" dxfId="978" priority="18" operator="lessThan">
      <formula>0.8</formula>
    </cfRule>
  </conditionalFormatting>
  <conditionalFormatting sqref="P9">
    <cfRule type="cellIs" dxfId="977" priority="13" operator="lessThan">
      <formula>0</formula>
    </cfRule>
  </conditionalFormatting>
  <conditionalFormatting sqref="P17">
    <cfRule type="cellIs" dxfId="976" priority="12" operator="lessThan">
      <formula>0</formula>
    </cfRule>
  </conditionalFormatting>
  <conditionalFormatting sqref="P26">
    <cfRule type="cellIs" dxfId="975" priority="11" operator="lessThan">
      <formula>0</formula>
    </cfRule>
  </conditionalFormatting>
  <conditionalFormatting sqref="P35">
    <cfRule type="cellIs" dxfId="974" priority="10" operator="lessThan">
      <formula>0</formula>
    </cfRule>
  </conditionalFormatting>
  <conditionalFormatting sqref="P52">
    <cfRule type="cellIs" dxfId="973" priority="9" operator="lessThan">
      <formula>0</formula>
    </cfRule>
  </conditionalFormatting>
  <conditionalFormatting sqref="P59">
    <cfRule type="cellIs" dxfId="972" priority="8" operator="lessThan">
      <formula>0</formula>
    </cfRule>
  </conditionalFormatting>
  <conditionalFormatting sqref="P66">
    <cfRule type="cellIs" dxfId="971" priority="7" operator="lessThan">
      <formula>0</formula>
    </cfRule>
  </conditionalFormatting>
  <conditionalFormatting sqref="P75">
    <cfRule type="cellIs" dxfId="970" priority="6" operator="lessThan">
      <formula>0</formula>
    </cfRule>
  </conditionalFormatting>
  <conditionalFormatting sqref="O74">
    <cfRule type="cellIs" dxfId="969" priority="1" operator="greaterThan">
      <formula>0</formula>
    </cfRule>
  </conditionalFormatting>
  <conditionalFormatting sqref="P74">
    <cfRule type="cellIs" dxfId="968" priority="4" operator="lessThan">
      <formula>0</formula>
    </cfRule>
  </conditionalFormatting>
  <conditionalFormatting sqref="Q74">
    <cfRule type="cellIs" dxfId="967" priority="2" operator="greaterThan">
      <formula>1</formula>
    </cfRule>
    <cfRule type="cellIs" dxfId="966" priority="3" operator="lessThan">
      <formula>0.8</formula>
    </cfRule>
  </conditionalFormatting>
  <conditionalFormatting sqref="R74">
    <cfRule type="cellIs" dxfId="965" priority="5" operator="lessThan">
      <formula>0.8</formula>
    </cfRule>
  </conditionalFormatting>
  <dataValidations count="1">
    <dataValidation type="list" allowBlank="1" showInputMessage="1" showErrorMessage="1" sqref="Z9 Z64:Z65 Y5:Z8 Y9:Y65 Z11:Z60 Y66:Z75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="85" zoomScaleNormal="85" workbookViewId="0">
      <selection activeCell="P7" sqref="P7"/>
    </sheetView>
  </sheetViews>
  <sheetFormatPr defaultColWidth="8.75" defaultRowHeight="15.75"/>
  <cols>
    <col min="1" max="1" width="8.75" style="2"/>
    <col min="2" max="2" width="17.875" style="2" customWidth="1"/>
    <col min="3" max="3" width="9.25" style="9" customWidth="1"/>
    <col min="4" max="13" width="12.625" style="2" customWidth="1"/>
    <col min="14" max="14" width="11" style="2" bestFit="1" customWidth="1"/>
    <col min="15" max="15" width="17.75" style="2" bestFit="1" customWidth="1"/>
    <col min="16" max="16" width="12.25" style="2" bestFit="1" customWidth="1"/>
    <col min="17" max="22" width="9.25" style="2" customWidth="1"/>
    <col min="23" max="23" width="10.75" style="2" customWidth="1"/>
    <col min="24" max="24" width="11" style="2" customWidth="1"/>
    <col min="25" max="16384" width="8.75" style="2"/>
  </cols>
  <sheetData>
    <row r="1" spans="2:17" ht="27.75" customHeight="1">
      <c r="B1" s="546" t="s">
        <v>1017</v>
      </c>
      <c r="C1" s="546"/>
      <c r="D1" s="546"/>
      <c r="E1" s="546"/>
      <c r="F1" s="546"/>
      <c r="G1" s="546"/>
      <c r="H1" s="546"/>
      <c r="I1" s="546"/>
      <c r="J1" s="546"/>
      <c r="K1" s="1"/>
      <c r="L1" s="1"/>
      <c r="M1" s="1"/>
      <c r="N1" s="1"/>
      <c r="O1" s="1"/>
      <c r="P1" s="1"/>
    </row>
    <row r="2" spans="2:17" ht="27.75" customHeight="1">
      <c r="B2" s="547"/>
      <c r="C2" s="547"/>
      <c r="D2" s="547"/>
      <c r="E2" s="547"/>
      <c r="F2" s="547"/>
      <c r="G2" s="547"/>
      <c r="H2" s="547"/>
      <c r="I2" s="547"/>
      <c r="J2" s="547"/>
      <c r="K2" s="3"/>
      <c r="L2" s="3"/>
      <c r="M2" s="3"/>
      <c r="N2" s="1"/>
      <c r="O2" s="1"/>
      <c r="P2" s="1"/>
    </row>
    <row r="3" spans="2:17" ht="46.5" customHeight="1">
      <c r="B3" s="4" t="s">
        <v>1018</v>
      </c>
      <c r="C3" s="548" t="str">
        <f>TEXT('1214 4度C'!A2,"yyyy.mm.ddaaaa")</f>
        <v>2025.12.14星期日</v>
      </c>
      <c r="D3" s="549"/>
      <c r="E3" s="4" t="s">
        <v>1019</v>
      </c>
      <c r="F3" s="550">
        <f>'1214 4度C'!D1</f>
        <v>196878</v>
      </c>
      <c r="G3" s="551"/>
      <c r="H3" s="4" t="s">
        <v>1020</v>
      </c>
      <c r="I3" s="552">
        <f>'1214 4度C'!F1</f>
        <v>6534270.0099999998</v>
      </c>
      <c r="J3" s="553"/>
      <c r="K3" s="5"/>
      <c r="L3" s="6"/>
      <c r="M3" s="7"/>
      <c r="N3" s="7"/>
    </row>
    <row r="4" spans="2:17" ht="28.5" customHeight="1">
      <c r="B4" s="554" t="s">
        <v>1021</v>
      </c>
      <c r="C4" s="536" t="s">
        <v>1022</v>
      </c>
      <c r="D4" s="537"/>
      <c r="E4" s="557" t="s">
        <v>1023</v>
      </c>
      <c r="F4" s="558"/>
      <c r="G4" s="557" t="s">
        <v>1024</v>
      </c>
      <c r="H4" s="558"/>
      <c r="I4" s="557" t="s">
        <v>1025</v>
      </c>
      <c r="J4" s="558"/>
      <c r="L4" s="7"/>
      <c r="M4" s="7"/>
      <c r="N4" s="7"/>
    </row>
    <row r="5" spans="2:17" ht="28.5" customHeight="1">
      <c r="B5" s="555"/>
      <c r="C5" s="536" t="s">
        <v>1026</v>
      </c>
      <c r="D5" s="537"/>
      <c r="E5" s="536" t="s">
        <v>1027</v>
      </c>
      <c r="F5" s="537"/>
      <c r="G5" s="538" t="s">
        <v>1028</v>
      </c>
      <c r="H5" s="539"/>
      <c r="I5" s="540" t="s">
        <v>1029</v>
      </c>
      <c r="J5" s="541"/>
      <c r="K5" s="7"/>
      <c r="L5" s="7"/>
      <c r="M5" s="7"/>
      <c r="N5" s="7"/>
    </row>
    <row r="6" spans="2:17" ht="28.5" customHeight="1">
      <c r="B6" s="555"/>
      <c r="C6" s="536" t="s">
        <v>46</v>
      </c>
      <c r="D6" s="537"/>
      <c r="E6" s="542">
        <f>AVERAGE(D13:M13)</f>
        <v>151.71703001457848</v>
      </c>
      <c r="F6" s="543">
        <f>AVERAGE(D27:O27,D13:J13)</f>
        <v>156.45188711366171</v>
      </c>
      <c r="G6" s="544">
        <f>AVERAGE(D13:J13)</f>
        <v>156.45188711366171</v>
      </c>
      <c r="H6" s="545"/>
      <c r="I6" s="544">
        <f>AVERAGE(K13:M13)</f>
        <v>140.66903011671758</v>
      </c>
      <c r="J6" s="545"/>
      <c r="K6" s="7"/>
      <c r="L6" s="7"/>
      <c r="M6" s="7"/>
      <c r="N6" s="7"/>
    </row>
    <row r="7" spans="2:17" ht="28.5" customHeight="1">
      <c r="B7" s="555"/>
      <c r="C7" s="526" t="s">
        <v>47</v>
      </c>
      <c r="D7" s="527"/>
      <c r="E7" s="528">
        <f>AVERAGE(D14:M14)</f>
        <v>145.46868526129066</v>
      </c>
      <c r="F7" s="529">
        <f>AVERAGE(D28:O28,D14:J14)</f>
        <v>150.07914680788903</v>
      </c>
      <c r="G7" s="530">
        <f>AVERAGE(D14:J14)</f>
        <v>150.07914680788903</v>
      </c>
      <c r="H7" s="531"/>
      <c r="I7" s="530">
        <f>AVERAGE(K14:M14)</f>
        <v>134.7109416525611</v>
      </c>
      <c r="J7" s="531"/>
      <c r="K7" s="7"/>
      <c r="L7" s="7"/>
      <c r="M7" s="7"/>
      <c r="N7" s="7"/>
    </row>
    <row r="8" spans="2:17" ht="28.5" customHeight="1">
      <c r="B8" s="556"/>
      <c r="C8" s="526" t="s">
        <v>48</v>
      </c>
      <c r="D8" s="527"/>
      <c r="E8" s="532">
        <f>AVERAGE(D15:M15)</f>
        <v>0.95833926351406762</v>
      </c>
      <c r="F8" s="533">
        <f>AVERAGE(D15:J15,D29:O29)</f>
        <v>0.95864359512781283</v>
      </c>
      <c r="G8" s="534">
        <f>AVERAGE(D15:J15)</f>
        <v>0.95864359512781283</v>
      </c>
      <c r="H8" s="535"/>
      <c r="I8" s="534">
        <f>AVERAGE(K15:M15)</f>
        <v>0.95762915641532909</v>
      </c>
      <c r="J8" s="535"/>
      <c r="K8" s="8" t="s">
        <v>1030</v>
      </c>
      <c r="L8" s="7"/>
      <c r="M8" s="7"/>
      <c r="N8" s="7"/>
    </row>
    <row r="9" spans="2:17" ht="28.5" customHeight="1" thickBot="1">
      <c r="H9" s="10"/>
      <c r="N9" s="7"/>
      <c r="O9" s="7"/>
      <c r="P9" s="7"/>
      <c r="Q9" s="7"/>
    </row>
    <row r="10" spans="2:17" ht="30" customHeight="1">
      <c r="B10" s="509" t="s">
        <v>1031</v>
      </c>
      <c r="C10" s="510"/>
      <c r="D10" s="511" t="s">
        <v>1032</v>
      </c>
      <c r="E10" s="512"/>
      <c r="F10" s="512"/>
      <c r="G10" s="512"/>
      <c r="H10" s="512"/>
      <c r="I10" s="512"/>
      <c r="J10" s="513"/>
      <c r="K10" s="514" t="s">
        <v>1033</v>
      </c>
      <c r="L10" s="515"/>
      <c r="M10" s="516"/>
      <c r="P10" s="11"/>
      <c r="Q10" s="11"/>
    </row>
    <row r="11" spans="2:17" ht="17.25" customHeight="1">
      <c r="B11" s="517" t="s">
        <v>1034</v>
      </c>
      <c r="C11" s="518"/>
      <c r="D11" s="12">
        <v>1</v>
      </c>
      <c r="E11" s="13">
        <v>2</v>
      </c>
      <c r="F11" s="13">
        <v>3</v>
      </c>
      <c r="G11" s="13">
        <v>4</v>
      </c>
      <c r="H11" s="13">
        <v>5</v>
      </c>
      <c r="I11" s="13">
        <v>6</v>
      </c>
      <c r="J11" s="14">
        <v>7</v>
      </c>
      <c r="K11" s="12">
        <v>1</v>
      </c>
      <c r="L11" s="13">
        <v>2</v>
      </c>
      <c r="M11" s="14">
        <v>3</v>
      </c>
      <c r="P11" s="11"/>
      <c r="Q11" s="11"/>
    </row>
    <row r="12" spans="2:17" ht="34.15" customHeight="1">
      <c r="B12" s="519"/>
      <c r="C12" s="520"/>
      <c r="D12" s="15" t="s">
        <v>49</v>
      </c>
      <c r="E12" s="16" t="s">
        <v>50</v>
      </c>
      <c r="F12" s="16" t="s">
        <v>51</v>
      </c>
      <c r="G12" s="16" t="s">
        <v>52</v>
      </c>
      <c r="H12" s="16" t="s">
        <v>53</v>
      </c>
      <c r="I12" s="16" t="s">
        <v>54</v>
      </c>
      <c r="J12" s="17" t="s">
        <v>55</v>
      </c>
      <c r="K12" s="15" t="s">
        <v>56</v>
      </c>
      <c r="L12" s="16" t="s">
        <v>57</v>
      </c>
      <c r="M12" s="17" t="s">
        <v>58</v>
      </c>
    </row>
    <row r="13" spans="2:17" ht="40.15" customHeight="1">
      <c r="B13" s="521" t="s">
        <v>1035</v>
      </c>
      <c r="C13" s="18" t="s">
        <v>1036</v>
      </c>
      <c r="D13" s="19">
        <f>SUMIFS('1214 4度C'!$K:$K,'1214 4度C'!$A:$A,"新豐6線",'1214 4度C'!$B:$B,"平均")</f>
        <v>137.93103448275863</v>
      </c>
      <c r="E13" s="20">
        <f>SUMIFS('1214 4度C'!$K:$K,'1214 4度C'!$A:$A,"新豐2線",'1214 4度C'!$B:$B,"平均")</f>
        <v>83.333333333333329</v>
      </c>
      <c r="F13" s="21">
        <f>SUMIFS('1214 4度C'!$K:$K,'1214 4度C'!$A:$A,"新豐5線",'1214 4度C'!$B:$B,"平均")</f>
        <v>93.333333333333329</v>
      </c>
      <c r="G13" s="21">
        <f>SUMIFS('1214 4度C'!$K:$K,'1214 4度C'!$A:$A,"新豐7線",'1214 4度C'!$B:$B,"平均")</f>
        <v>118.32061068702291</v>
      </c>
      <c r="H13" s="21">
        <f>SUMIFS('1214 4度C'!$K:$K,'1214 4度C'!$A:$A,"新豐3線",'1214 4度C'!$B:$B,"平均")</f>
        <v>250</v>
      </c>
      <c r="I13" s="21">
        <f>SUMIFS('1214 4度C'!$K:$K,'1214 4度C'!$A:$A,"新豐1線",'1214 4度C'!$B:$B,"平均")</f>
        <v>112.24489795918367</v>
      </c>
      <c r="J13" s="22">
        <f>SUMIFS('1214 4度C'!$K:$K,'1214 4度C'!$A:$A,"新豐10線",'1214 4度C'!$B:$B,"平均")</f>
        <v>300</v>
      </c>
      <c r="K13" s="23">
        <f>SUMIFS('1214 4度C'!$K:$K,'1214 4度C'!$A:$A,"新豐8線",'1214 4度C'!$B:$B,"平均")</f>
        <v>134.26573426573427</v>
      </c>
      <c r="L13" s="24">
        <f>SUMIFS('1214 4度C'!$K:$K,'1214 4度C'!$A:$A,"新豐9線",'1214 4度C'!$B:$B,"平均")</f>
        <v>141.1764705882353</v>
      </c>
      <c r="M13" s="22">
        <f>SUMIFS('1214 4度C'!$K:$K,'1214 4度C'!$A:$A,"新豐4線",'1214 4度C'!$B:$B,"平均")</f>
        <v>146.56488549618319</v>
      </c>
    </row>
    <row r="14" spans="2:17" ht="39.6" customHeight="1">
      <c r="B14" s="522"/>
      <c r="C14" s="25" t="s">
        <v>1037</v>
      </c>
      <c r="D14" s="26">
        <f>SUMIFS('1214 4度C'!$N:$N,'1214 4度C'!$A:$A,"新豐6線",'1214 4度C'!$B:$B,"平均")</f>
        <v>132.75573185045982</v>
      </c>
      <c r="E14" s="27">
        <f>SUMIFS('1214 4度C'!$N:$N,'1214 4度C'!$A:$A,"新豐2線",'1214 4度C'!$B:$B,"平均")</f>
        <v>79.629694379694385</v>
      </c>
      <c r="F14" s="27">
        <f>SUMIFS('1214 4度C'!$N:$N,'1214 4度C'!$A:$A,"新豐5線",'1214 4度C'!$B:$B,"平均")</f>
        <v>89.192002354961957</v>
      </c>
      <c r="G14" s="27">
        <f>SUMIFS('1214 4度C'!$N:$N,'1214 4度C'!$A:$A,"新豐7線",'1214 4度C'!$B:$B,"平均")</f>
        <v>113.63069392557375</v>
      </c>
      <c r="H14" s="27">
        <f>SUMIFS('1214 4度C'!$N:$N,'1214 4度C'!$A:$A,"新豐3線",'1214 4度C'!$B:$B,"平均")</f>
        <v>239.54334208009487</v>
      </c>
      <c r="I14" s="27">
        <f>SUMIFS('1214 4度C'!$N:$N,'1214 4度C'!$A:$A,"新豐1線",'1214 4度C'!$B:$B,"平均")</f>
        <v>107.42276514687104</v>
      </c>
      <c r="J14" s="28">
        <f>SUMIFS('1214 4度C'!$N:$N,'1214 4度C'!$A:$A,"新豐10線",'1214 4度C'!$B:$B,"平均")</f>
        <v>288.37979791756754</v>
      </c>
      <c r="K14" s="29">
        <f>SUMIFS('1214 4度C'!$N:$N,'1214 4度C'!$A:$A,"新豐8線",'1214 4度C'!$B:$B,"平均")</f>
        <v>128.44694747443742</v>
      </c>
      <c r="L14" s="30">
        <f>SUMIFS('1214 4度C'!$N:$N,'1214 4度C'!$A:$A,"新豐9線",'1214 4度C'!$B:$B,"平均")</f>
        <v>135.33519407463879</v>
      </c>
      <c r="M14" s="28">
        <f>SUMIFS('1214 4度C'!$N:$N,'1214 4度C'!$A:$A,"新豐4線",'1214 4度C'!$B:$B,"平均")</f>
        <v>140.3506834086071</v>
      </c>
    </row>
    <row r="15" spans="2:17" ht="40.15" customHeight="1">
      <c r="B15" s="523"/>
      <c r="C15" s="31" t="s">
        <v>1038</v>
      </c>
      <c r="D15" s="32">
        <f t="shared" ref="D15:M15" si="0">D14/D13</f>
        <v>0.9624790559158336</v>
      </c>
      <c r="E15" s="33">
        <f t="shared" si="0"/>
        <v>0.95555633255633265</v>
      </c>
      <c r="F15" s="33">
        <f t="shared" si="0"/>
        <v>0.95562859666030675</v>
      </c>
      <c r="G15" s="33">
        <f t="shared" si="0"/>
        <v>0.9603626389838813</v>
      </c>
      <c r="H15" s="33">
        <f t="shared" si="0"/>
        <v>0.95817336832037947</v>
      </c>
      <c r="I15" s="33">
        <f t="shared" si="0"/>
        <v>0.95703918039939651</v>
      </c>
      <c r="J15" s="34">
        <f t="shared" si="0"/>
        <v>0.96126599305855853</v>
      </c>
      <c r="K15" s="32">
        <f t="shared" si="0"/>
        <v>0.95666216087732037</v>
      </c>
      <c r="L15" s="33">
        <f t="shared" si="0"/>
        <v>0.95862429136202476</v>
      </c>
      <c r="M15" s="34">
        <f t="shared" si="0"/>
        <v>0.95760101700664224</v>
      </c>
    </row>
    <row r="16" spans="2:17" ht="17.25" customHeight="1">
      <c r="B16" s="524" t="s">
        <v>1039</v>
      </c>
      <c r="C16" s="35" t="s">
        <v>192</v>
      </c>
      <c r="D16" s="49">
        <f>VLOOKUP("新豐6線",'1214 4度C'!$A:$T,19,0)</f>
        <v>0.70833333333333337</v>
      </c>
      <c r="E16" s="50">
        <f>VLOOKUP("新豐2線",'1214 4度C'!$A:$T,19,0)</f>
        <v>0.16666666666666666</v>
      </c>
      <c r="F16" s="50">
        <f>VLOOKUP("新豐5線",'1214 4度C'!$A:$T,19,0)</f>
        <v>0.20833333333333334</v>
      </c>
      <c r="G16" s="50">
        <f>VLOOKUP("新豐7線",'1214 4度C'!$A:$T,19,0)</f>
        <v>0.20833333333333334</v>
      </c>
      <c r="H16" s="50">
        <f>VLOOKUP("新豐3線",'1214 4度C'!$A:$T,19,0)</f>
        <v>8.3333333333333329E-2</v>
      </c>
      <c r="I16" s="50">
        <f>VLOOKUP("新豐1線",'1214 4度C'!$A:$T,19,0)</f>
        <v>0.20833333333333334</v>
      </c>
      <c r="J16" s="51">
        <f>VLOOKUP("新豐10線",'1214 4度C'!$A:$T,19,0)</f>
        <v>0.20833333333333334</v>
      </c>
      <c r="K16" s="36">
        <f>VLOOKUP("新豐8線",'1214 4度C'!$A:$T,19,0)</f>
        <v>8.3333333333333329E-2</v>
      </c>
      <c r="L16" s="37">
        <f>VLOOKUP("新豐9線",'1214 4度C'!$A:$T,19,0)</f>
        <v>8.3333333333333329E-2</v>
      </c>
      <c r="M16" s="38">
        <f>VLOOKUP("新豐4線",'1214 4度C'!$A:$T,19,0)</f>
        <v>8.3333333333333329E-2</v>
      </c>
    </row>
    <row r="17" spans="2:13" ht="17.25" customHeight="1">
      <c r="B17" s="525"/>
      <c r="C17" s="35" t="s">
        <v>73</v>
      </c>
      <c r="D17" s="36">
        <f>LOOKUP(2,1/(('1214 4度C'!$A:$A="新豐6線")*('1214 4度C'!$T:$T&lt;&gt;"")),'1214 4度C'!$T:$T)</f>
        <v>0.9145833333333333</v>
      </c>
      <c r="E17" s="50">
        <f>LOOKUP(2,1/(('1214 4度C'!$A:$A="新豐2線")*('1214 4度C'!$T:$T&lt;&gt;"")),'1214 4度C'!$T:$T)</f>
        <v>0.50902777777777775</v>
      </c>
      <c r="F17" s="50">
        <f>LOOKUP(2,1/(('1214 4度C'!$A:$A="新豐5線")*('1214 4度C'!$T:$T&lt;&gt;"")),'1214 4度C'!$T:$T)</f>
        <v>0.84097222222222223</v>
      </c>
      <c r="G17" s="50">
        <f>LOOKUP(2,1/(('1214 4度C'!$A:$A="新豐7線")*('1214 4度C'!$T:$T&lt;&gt;"")),'1214 4度C'!$T:$T)</f>
        <v>0.85486111111111107</v>
      </c>
      <c r="H17" s="50">
        <f>LOOKUP(2,1/(('1214 4度C'!$A:$A="新豐3線")*('1214 4度C'!$T:$T&lt;&gt;"")),'1214 4度C'!$T:$T)</f>
        <v>0.66250000000000009</v>
      </c>
      <c r="I17" s="50">
        <f>LOOKUP(2,1/(('1214 4度C'!$A:$A="新豐1線")*('1214 4度C'!$T:$T&lt;&gt;"")),'1214 4度C'!$T:$T)</f>
        <v>0.9375</v>
      </c>
      <c r="J17" s="51">
        <f>LOOKUP(2,1/(('1214 4度C'!$A:$A="新豐10線")*('1214 4度C'!$T:$T&lt;&gt;"")),'1214 4度C'!$T:$T)</f>
        <v>0.49236111111111103</v>
      </c>
      <c r="K17" s="49">
        <f>LOOKUP(2,1/(('1214 4度C'!$A:$A="新豐8線")*('1214 4度C'!$T:$T&lt;&gt;"")),'1214 4度C'!$T:$T)</f>
        <v>0.7666666666666665</v>
      </c>
      <c r="L17" s="50">
        <f>LOOKUP(2,1/(('1214 4度C'!$A:$A="新豐9線")*('1214 4度C'!$T:$T&lt;&gt;"")),'1214 4度C'!$T:$T)</f>
        <v>0.73819444444444426</v>
      </c>
      <c r="M17" s="51">
        <f>LOOKUP(2,1/(('1214 4度C'!$A:$A="新豐4線")*('1214 4度C'!$T:$T&lt;&gt;"")),'1214 4度C'!$T:$T)</f>
        <v>0.75069444444444433</v>
      </c>
    </row>
    <row r="18" spans="2:13" ht="17.25" customHeight="1">
      <c r="B18" s="503" t="s">
        <v>1040</v>
      </c>
      <c r="C18" s="504"/>
      <c r="D18" s="39">
        <f>SUMIFS('1214 4度C'!$I:$I,'1214 4度C'!$A:$A,"新豐6線",'1214 4度C'!$B:$B,"平均")</f>
        <v>14.5</v>
      </c>
      <c r="E18" s="40">
        <f>SUMIFS('1214 4度C'!$I:$I,'1214 4度C'!$A:$A,"新豐2線",'1214 4度C'!$B:$B,"平均")</f>
        <v>18</v>
      </c>
      <c r="F18" s="40">
        <f>SUMIFS('1214 4度C'!$I:$I,'1214 4度C'!$A:$A,"新豐5線",'1214 4度C'!$B:$B,"平均")</f>
        <v>18.75</v>
      </c>
      <c r="G18" s="40">
        <f>SUMIFS('1214 4度C'!$I:$I,'1214 4度C'!$A:$A,"新豐7線",'1214 4度C'!$B:$B,"平均")</f>
        <v>16.375</v>
      </c>
      <c r="H18" s="40">
        <f>SUMIFS('1214 4度C'!$I:$I,'1214 4度C'!$A:$A,"新豐3線",'1214 4度C'!$B:$B,"平均")</f>
        <v>11</v>
      </c>
      <c r="I18" s="40">
        <f>SUMIFS('1214 4度C'!$I:$I,'1214 4度C'!$A:$A,"新豐1線",'1214 4度C'!$B:$B,"平均")</f>
        <v>16.333333333333332</v>
      </c>
      <c r="J18" s="41">
        <f>SUMIFS('1214 4度C'!$I:$I,'1214 4度C'!$A:$A,"新豐10線",'1214 4度C'!$B:$B,"平均")</f>
        <v>9.1666666666666661</v>
      </c>
      <c r="K18" s="39">
        <f>SUMIFS('1214 4度C'!$I:$I,'1214 4度C'!$A:$A,"新豐8線",'1214 4度C'!$B:$B,"平均")</f>
        <v>17.875</v>
      </c>
      <c r="L18" s="40">
        <f>SUMIFS('1214 4度C'!$I:$I,'1214 4度C'!$A:$A,"新豐9線",'1214 4度C'!$B:$B,"平均")</f>
        <v>17</v>
      </c>
      <c r="M18" s="41">
        <f>SUMIFS('1214 4度C'!$I:$I,'1214 4度C'!$A:$A,"新豐4線",'1214 4度C'!$B:$B,"平均")</f>
        <v>16.375</v>
      </c>
    </row>
    <row r="19" spans="2:13" ht="17.25" customHeight="1">
      <c r="B19" s="503" t="s">
        <v>1041</v>
      </c>
      <c r="C19" s="504"/>
      <c r="D19" s="42" t="s">
        <v>59</v>
      </c>
      <c r="E19" s="43" t="s">
        <v>60</v>
      </c>
      <c r="F19" s="43" t="s">
        <v>1042</v>
      </c>
      <c r="G19" s="43" t="s">
        <v>1042</v>
      </c>
      <c r="H19" s="43" t="s">
        <v>61</v>
      </c>
      <c r="I19" s="43" t="s">
        <v>59</v>
      </c>
      <c r="J19" s="44" t="s">
        <v>61</v>
      </c>
      <c r="K19" s="42" t="s">
        <v>1043</v>
      </c>
      <c r="L19" s="43" t="s">
        <v>1043</v>
      </c>
      <c r="M19" s="44" t="s">
        <v>1043</v>
      </c>
    </row>
    <row r="20" spans="2:13" ht="17.25" customHeight="1">
      <c r="B20" s="503" t="s">
        <v>1044</v>
      </c>
      <c r="C20" s="504"/>
      <c r="D20" s="42"/>
      <c r="E20" s="43"/>
      <c r="F20" s="43" t="s">
        <v>1045</v>
      </c>
      <c r="G20" s="43" t="s">
        <v>59</v>
      </c>
      <c r="H20" s="43"/>
      <c r="I20" s="43"/>
      <c r="J20" s="44"/>
      <c r="K20" s="42"/>
      <c r="L20" s="43"/>
      <c r="M20" s="44"/>
    </row>
    <row r="21" spans="2:13" ht="17.25" customHeight="1" thickBot="1">
      <c r="B21" s="505" t="s">
        <v>1046</v>
      </c>
      <c r="C21" s="506"/>
      <c r="D21" s="45"/>
      <c r="E21" s="46" t="s">
        <v>1047</v>
      </c>
      <c r="F21" s="507" t="s">
        <v>1048</v>
      </c>
      <c r="G21" s="508"/>
      <c r="H21" s="46" t="s">
        <v>283</v>
      </c>
      <c r="I21" s="46" t="s">
        <v>1049</v>
      </c>
      <c r="J21" s="47" t="s">
        <v>283</v>
      </c>
      <c r="K21" s="48"/>
      <c r="L21" s="46"/>
      <c r="M21" s="4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20:C20"/>
    <mergeCell ref="B21:C21"/>
    <mergeCell ref="F21:G21"/>
    <mergeCell ref="K10:M10"/>
    <mergeCell ref="B11:C12"/>
    <mergeCell ref="B13:B15"/>
    <mergeCell ref="B18:C18"/>
    <mergeCell ref="B19:C19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964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C78"/>
  <sheetViews>
    <sheetView zoomScale="80" zoomScaleNormal="80" workbookViewId="0">
      <pane ySplit="4" topLeftCell="A47" activePane="bottomLeft" state="frozen"/>
      <selection activeCell="L3" sqref="L3:L4"/>
      <selection pane="bottomLeft" activeCell="L3" sqref="L3:L4"/>
    </sheetView>
  </sheetViews>
  <sheetFormatPr defaultColWidth="8" defaultRowHeight="15.75"/>
  <cols>
    <col min="1" max="1" width="15.125" style="54" customWidth="1"/>
    <col min="2" max="2" width="19.375" style="54" customWidth="1"/>
    <col min="3" max="3" width="15.25" style="54" customWidth="1"/>
    <col min="4" max="4" width="17.5" style="54" customWidth="1"/>
    <col min="5" max="5" width="7.5" style="54" bestFit="1" customWidth="1"/>
    <col min="6" max="6" width="14.375" style="54" bestFit="1" customWidth="1"/>
    <col min="7" max="7" width="14.375" style="54" customWidth="1"/>
    <col min="8" max="8" width="8" style="54" customWidth="1"/>
    <col min="9" max="9" width="5.875" style="54" customWidth="1"/>
    <col min="10" max="10" width="10.625" style="54" customWidth="1"/>
    <col min="11" max="11" width="14.625" style="54" customWidth="1"/>
    <col min="12" max="12" width="7.25" style="54" bestFit="1" customWidth="1"/>
    <col min="13" max="13" width="8" style="54" customWidth="1"/>
    <col min="14" max="14" width="12" style="54" customWidth="1"/>
    <col min="15" max="15" width="6" style="54" customWidth="1"/>
    <col min="16" max="16" width="9.25" style="54" customWidth="1"/>
    <col min="17" max="17" width="11.5" style="54" customWidth="1"/>
    <col min="18" max="18" width="8.5" style="54" customWidth="1"/>
    <col min="19" max="19" width="10.125" style="73" bestFit="1" customWidth="1"/>
    <col min="20" max="20" width="7.625" style="73" bestFit="1" customWidth="1"/>
    <col min="21" max="21" width="10.25" style="54" bestFit="1" customWidth="1"/>
    <col min="22" max="22" width="8.75" style="71" customWidth="1"/>
    <col min="23" max="23" width="7.375" style="54" customWidth="1"/>
    <col min="24" max="24" width="6.875" style="54" bestFit="1" customWidth="1"/>
    <col min="25" max="25" width="12.75" style="54" customWidth="1"/>
    <col min="26" max="26" width="18.875" style="54" customWidth="1"/>
    <col min="27" max="27" width="13.125" style="54" bestFit="1" customWidth="1"/>
    <col min="28" max="28" width="10.375" style="54" customWidth="1"/>
    <col min="29" max="29" width="9.375" style="54" customWidth="1"/>
    <col min="30" max="30" width="8" style="54"/>
    <col min="31" max="31" width="24.625" style="54" bestFit="1" customWidth="1"/>
    <col min="32" max="16384" width="8" style="54"/>
  </cols>
  <sheetData>
    <row r="1" spans="1:29" ht="26.25" customHeight="1">
      <c r="A1" s="52" t="s">
        <v>146</v>
      </c>
      <c r="B1" s="52"/>
      <c r="C1" s="117" t="s">
        <v>1050</v>
      </c>
      <c r="D1" s="118">
        <f>SUM(F5:F77)</f>
        <v>196878</v>
      </c>
      <c r="E1" s="251" t="s">
        <v>1051</v>
      </c>
      <c r="F1" s="52">
        <f>SUM(G5:G77)</f>
        <v>6534270.0099999998</v>
      </c>
      <c r="G1" s="52" t="s">
        <v>1052</v>
      </c>
      <c r="H1" s="53">
        <f>L9+L12+L54+L61+L17+L68+L35+L45+L26+L77</f>
        <v>155.375</v>
      </c>
      <c r="I1" s="607" t="s">
        <v>1053</v>
      </c>
      <c r="J1" s="607"/>
      <c r="K1" s="607"/>
      <c r="L1" s="607" t="s">
        <v>1054</v>
      </c>
      <c r="M1" s="607"/>
      <c r="N1" s="607"/>
      <c r="O1" s="607" t="s">
        <v>1055</v>
      </c>
      <c r="P1" s="607"/>
      <c r="Q1" s="607"/>
      <c r="R1" s="607"/>
      <c r="S1" s="607" t="s">
        <v>1056</v>
      </c>
      <c r="T1" s="607"/>
      <c r="U1" s="607"/>
      <c r="V1" s="607"/>
      <c r="W1" s="607"/>
      <c r="X1" s="607"/>
      <c r="Y1" s="607" t="s">
        <v>1057</v>
      </c>
      <c r="Z1" s="607"/>
      <c r="AA1" s="607" t="s">
        <v>211</v>
      </c>
      <c r="AB1" s="608"/>
      <c r="AC1" s="608"/>
    </row>
    <row r="2" spans="1:29" ht="26.25" customHeight="1">
      <c r="A2" s="55">
        <v>46005</v>
      </c>
      <c r="B2" s="56" t="s">
        <v>574</v>
      </c>
      <c r="C2" s="117" t="s">
        <v>1058</v>
      </c>
      <c r="D2" s="119">
        <f>AVERAGE(N9,N12,N54,N61,N17,N68,N26,N35,N45,N77)</f>
        <v>145.46868526129066</v>
      </c>
      <c r="E2" s="120" t="s">
        <v>0</v>
      </c>
      <c r="F2" s="121">
        <f>F1/D1</f>
        <v>33.189437164132102</v>
      </c>
      <c r="G2" s="52" t="s">
        <v>1059</v>
      </c>
      <c r="H2" s="262">
        <f>COUNT(H5:H77)</f>
        <v>12</v>
      </c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8"/>
      <c r="AB2" s="608"/>
      <c r="AC2" s="608"/>
    </row>
    <row r="3" spans="1:29" ht="23.25" customHeight="1">
      <c r="A3" s="559" t="s">
        <v>1060</v>
      </c>
      <c r="B3" s="559" t="s">
        <v>1061</v>
      </c>
      <c r="C3" s="559" t="s">
        <v>1062</v>
      </c>
      <c r="D3" s="559"/>
      <c r="E3" s="605" t="s">
        <v>1063</v>
      </c>
      <c r="F3" s="559" t="s">
        <v>1064</v>
      </c>
      <c r="G3" s="605" t="s">
        <v>1065</v>
      </c>
      <c r="H3" s="598" t="s">
        <v>1066</v>
      </c>
      <c r="I3" s="596" t="s">
        <v>1067</v>
      </c>
      <c r="J3" s="601" t="s">
        <v>1068</v>
      </c>
      <c r="K3" s="603" t="s">
        <v>130</v>
      </c>
      <c r="L3" s="596" t="s">
        <v>1069</v>
      </c>
      <c r="M3" s="601" t="s">
        <v>1068</v>
      </c>
      <c r="N3" s="603" t="s">
        <v>1058</v>
      </c>
      <c r="O3" s="596" t="s">
        <v>1067</v>
      </c>
      <c r="P3" s="603" t="s">
        <v>130</v>
      </c>
      <c r="Q3" s="602" t="s">
        <v>1070</v>
      </c>
      <c r="R3" s="574" t="s">
        <v>1071</v>
      </c>
      <c r="S3" s="604" t="s">
        <v>1</v>
      </c>
      <c r="T3" s="604"/>
      <c r="U3" s="598" t="s">
        <v>2</v>
      </c>
      <c r="V3" s="598" t="s">
        <v>153</v>
      </c>
      <c r="W3" s="559" t="s">
        <v>1072</v>
      </c>
      <c r="X3" s="559"/>
      <c r="Y3" s="599" t="s">
        <v>113</v>
      </c>
      <c r="Z3" s="600"/>
      <c r="AA3" s="601" t="s">
        <v>1073</v>
      </c>
      <c r="AB3" s="602" t="s">
        <v>84</v>
      </c>
      <c r="AC3" s="574" t="s">
        <v>1074</v>
      </c>
    </row>
    <row r="4" spans="1:29">
      <c r="A4" s="559"/>
      <c r="B4" s="559"/>
      <c r="C4" s="559"/>
      <c r="D4" s="559"/>
      <c r="E4" s="606"/>
      <c r="F4" s="559"/>
      <c r="G4" s="606"/>
      <c r="H4" s="598"/>
      <c r="I4" s="596"/>
      <c r="J4" s="601"/>
      <c r="K4" s="603"/>
      <c r="L4" s="596"/>
      <c r="M4" s="601"/>
      <c r="N4" s="603"/>
      <c r="O4" s="596"/>
      <c r="P4" s="603"/>
      <c r="Q4" s="602"/>
      <c r="R4" s="574"/>
      <c r="S4" s="261" t="s">
        <v>3</v>
      </c>
      <c r="T4" s="261" t="s">
        <v>4</v>
      </c>
      <c r="U4" s="598"/>
      <c r="V4" s="598"/>
      <c r="W4" s="251" t="s">
        <v>1075</v>
      </c>
      <c r="X4" s="251" t="s">
        <v>1076</v>
      </c>
      <c r="Y4" s="600"/>
      <c r="Z4" s="600"/>
      <c r="AA4" s="601"/>
      <c r="AB4" s="602"/>
      <c r="AC4" s="574"/>
    </row>
    <row r="5" spans="1:29">
      <c r="A5" s="595" t="s">
        <v>1077</v>
      </c>
      <c r="B5" s="57" t="s">
        <v>6</v>
      </c>
      <c r="C5" s="597" t="s">
        <v>9</v>
      </c>
      <c r="D5" s="597"/>
      <c r="E5" s="57">
        <v>50.67</v>
      </c>
      <c r="F5" s="261">
        <v>1836</v>
      </c>
      <c r="G5" s="251">
        <f t="shared" ref="G5:G8" si="0">E5*F5</f>
        <v>93030.12000000001</v>
      </c>
      <c r="H5" s="263" t="s">
        <v>5</v>
      </c>
      <c r="I5" s="259">
        <v>17</v>
      </c>
      <c r="J5" s="58">
        <v>2000</v>
      </c>
      <c r="K5" s="59">
        <f t="shared" ref="K5:K68" si="1">J5/I5</f>
        <v>117.64705882352941</v>
      </c>
      <c r="L5" s="259">
        <v>17</v>
      </c>
      <c r="M5" s="60">
        <f t="shared" ref="M5:M8" si="2">F5/V5*60</f>
        <v>1932.6315789473701</v>
      </c>
      <c r="N5" s="59">
        <f t="shared" ref="N5:N68" si="3">M5/L5</f>
        <v>113.68421052631589</v>
      </c>
      <c r="O5" s="61">
        <f t="shared" ref="O5:O68" si="4">L5-I5</f>
        <v>0</v>
      </c>
      <c r="P5" s="62">
        <f t="shared" ref="P5:P68" si="5">N5-K5</f>
        <v>-3.9628482972135117</v>
      </c>
      <c r="Q5" s="253">
        <f t="shared" ref="Q5:Q68" si="6">N5/K5</f>
        <v>0.96631578947368513</v>
      </c>
      <c r="R5" s="566">
        <f>Q9</f>
        <v>0.9624790559158336</v>
      </c>
      <c r="S5" s="63">
        <v>0.70833333333333337</v>
      </c>
      <c r="T5" s="63">
        <v>0.74791666666666667</v>
      </c>
      <c r="U5" s="251"/>
      <c r="V5" s="260">
        <f t="shared" ref="V5:V8" si="7">(T5-S5)*24*60</f>
        <v>56.999999999999957</v>
      </c>
      <c r="W5" s="64"/>
      <c r="X5" s="65"/>
      <c r="Y5" s="559"/>
      <c r="Z5" s="559"/>
      <c r="AA5" s="61">
        <f t="shared" ref="AA5:AA68" si="8">M5-J5</f>
        <v>-67.368421052629856</v>
      </c>
      <c r="AB5" s="253">
        <f t="shared" ref="AB5:AB68" si="9">M5/J5</f>
        <v>0.96631578947368513</v>
      </c>
      <c r="AC5" s="566">
        <f>AB9</f>
        <v>0.96247905591583383</v>
      </c>
    </row>
    <row r="6" spans="1:29">
      <c r="A6" s="596" t="s">
        <v>157</v>
      </c>
      <c r="B6" s="57" t="s">
        <v>6</v>
      </c>
      <c r="C6" s="597" t="s">
        <v>8</v>
      </c>
      <c r="D6" s="597"/>
      <c r="E6" s="57">
        <v>50.49</v>
      </c>
      <c r="F6" s="261">
        <v>2424</v>
      </c>
      <c r="G6" s="251">
        <f t="shared" si="0"/>
        <v>122387.76000000001</v>
      </c>
      <c r="H6" s="263" t="s">
        <v>5</v>
      </c>
      <c r="I6" s="259">
        <v>15</v>
      </c>
      <c r="J6" s="58">
        <v>2000</v>
      </c>
      <c r="K6" s="59">
        <f t="shared" si="1"/>
        <v>133.33333333333334</v>
      </c>
      <c r="L6" s="259">
        <v>15</v>
      </c>
      <c r="M6" s="60">
        <f t="shared" si="2"/>
        <v>1913.6842105263142</v>
      </c>
      <c r="N6" s="59">
        <f t="shared" si="3"/>
        <v>127.57894736842096</v>
      </c>
      <c r="O6" s="61">
        <f t="shared" si="4"/>
        <v>0</v>
      </c>
      <c r="P6" s="62">
        <f t="shared" si="5"/>
        <v>-5.7543859649123874</v>
      </c>
      <c r="Q6" s="253">
        <f t="shared" si="6"/>
        <v>0.95684210526315705</v>
      </c>
      <c r="R6" s="566"/>
      <c r="S6" s="63">
        <v>0.75208333333333333</v>
      </c>
      <c r="T6" s="63">
        <v>0.80486111111111114</v>
      </c>
      <c r="U6" s="251">
        <f t="shared" ref="U6:U8" si="10">IF(S6=TIME(17,0,0),"",(S6-T5)*24*60)</f>
        <v>5.9999999999999787</v>
      </c>
      <c r="V6" s="260">
        <f t="shared" si="7"/>
        <v>76.000000000000057</v>
      </c>
      <c r="W6" s="64"/>
      <c r="X6" s="64"/>
      <c r="Y6" s="559"/>
      <c r="Z6" s="559"/>
      <c r="AA6" s="61">
        <f t="shared" si="8"/>
        <v>-86.315789473685754</v>
      </c>
      <c r="AB6" s="253">
        <f t="shared" si="9"/>
        <v>0.95684210526315716</v>
      </c>
      <c r="AC6" s="566"/>
    </row>
    <row r="7" spans="1:29">
      <c r="A7" s="596" t="s">
        <v>1077</v>
      </c>
      <c r="B7" s="57" t="s">
        <v>6</v>
      </c>
      <c r="C7" s="590" t="s">
        <v>94</v>
      </c>
      <c r="D7" s="591"/>
      <c r="E7" s="57">
        <v>57.3</v>
      </c>
      <c r="F7" s="261">
        <v>1000</v>
      </c>
      <c r="G7" s="251">
        <f t="shared" si="0"/>
        <v>57300</v>
      </c>
      <c r="H7" s="263">
        <v>2</v>
      </c>
      <c r="I7" s="259">
        <v>13</v>
      </c>
      <c r="J7" s="58">
        <v>2000</v>
      </c>
      <c r="K7" s="59">
        <f t="shared" si="1"/>
        <v>153.84615384615384</v>
      </c>
      <c r="L7" s="259">
        <v>13</v>
      </c>
      <c r="M7" s="60">
        <f t="shared" si="2"/>
        <v>1935.483870967739</v>
      </c>
      <c r="N7" s="59">
        <f t="shared" si="3"/>
        <v>148.88337468982607</v>
      </c>
      <c r="O7" s="61">
        <f t="shared" si="4"/>
        <v>0</v>
      </c>
      <c r="P7" s="62">
        <f t="shared" si="5"/>
        <v>-4.9627791563277697</v>
      </c>
      <c r="Q7" s="253">
        <f t="shared" si="6"/>
        <v>0.96774193548386944</v>
      </c>
      <c r="R7" s="566"/>
      <c r="S7" s="63">
        <v>0.81041666666666667</v>
      </c>
      <c r="T7" s="63">
        <v>0.83194444444444449</v>
      </c>
      <c r="U7" s="251">
        <f t="shared" si="10"/>
        <v>7.9999999999999716</v>
      </c>
      <c r="V7" s="260">
        <f t="shared" si="7"/>
        <v>31.00000000000005</v>
      </c>
      <c r="W7" s="64">
        <f>T7</f>
        <v>0.83194444444444449</v>
      </c>
      <c r="X7" s="64">
        <f>S8</f>
        <v>0.87222222222222223</v>
      </c>
      <c r="Y7" s="569"/>
      <c r="Z7" s="570"/>
      <c r="AA7" s="61">
        <f t="shared" si="8"/>
        <v>-64.516129032261006</v>
      </c>
      <c r="AB7" s="253">
        <f t="shared" si="9"/>
        <v>0.96774193548386944</v>
      </c>
      <c r="AC7" s="566"/>
    </row>
    <row r="8" spans="1:29">
      <c r="A8" s="596" t="s">
        <v>1077</v>
      </c>
      <c r="B8" s="57" t="s">
        <v>6</v>
      </c>
      <c r="C8" s="590" t="s">
        <v>94</v>
      </c>
      <c r="D8" s="591"/>
      <c r="E8" s="57">
        <v>57.3</v>
      </c>
      <c r="F8" s="261">
        <v>1950</v>
      </c>
      <c r="G8" s="251">
        <f t="shared" si="0"/>
        <v>111735</v>
      </c>
      <c r="H8" s="263" t="s">
        <v>5</v>
      </c>
      <c r="I8" s="259">
        <v>13</v>
      </c>
      <c r="J8" s="58">
        <v>2000</v>
      </c>
      <c r="K8" s="59">
        <f t="shared" si="1"/>
        <v>153.84615384615384</v>
      </c>
      <c r="L8" s="259">
        <v>13</v>
      </c>
      <c r="M8" s="60">
        <f t="shared" si="2"/>
        <v>1918.0327868852476</v>
      </c>
      <c r="N8" s="59">
        <f t="shared" si="3"/>
        <v>147.54098360655752</v>
      </c>
      <c r="O8" s="61">
        <f t="shared" si="4"/>
        <v>0</v>
      </c>
      <c r="P8" s="62">
        <f t="shared" si="5"/>
        <v>-6.3051702395963218</v>
      </c>
      <c r="Q8" s="253">
        <f t="shared" si="6"/>
        <v>0.9590163934426239</v>
      </c>
      <c r="R8" s="566"/>
      <c r="S8" s="63">
        <v>0.87222222222222223</v>
      </c>
      <c r="T8" s="63">
        <v>0.9145833333333333</v>
      </c>
      <c r="U8" s="251">
        <f t="shared" si="10"/>
        <v>57.999999999999957</v>
      </c>
      <c r="V8" s="260">
        <f t="shared" si="7"/>
        <v>60.999999999999943</v>
      </c>
      <c r="W8" s="68"/>
      <c r="X8" s="68"/>
      <c r="Y8" s="569"/>
      <c r="Z8" s="570"/>
      <c r="AA8" s="61">
        <f t="shared" si="8"/>
        <v>-81.96721311475244</v>
      </c>
      <c r="AB8" s="253">
        <f t="shared" si="9"/>
        <v>0.95901639344262379</v>
      </c>
      <c r="AC8" s="566"/>
    </row>
    <row r="9" spans="1:29">
      <c r="A9" s="596" t="s">
        <v>1078</v>
      </c>
      <c r="B9" s="57" t="s">
        <v>1079</v>
      </c>
      <c r="C9" s="571"/>
      <c r="D9" s="571"/>
      <c r="E9" s="258"/>
      <c r="F9" s="66"/>
      <c r="G9" s="59"/>
      <c r="H9" s="261"/>
      <c r="I9" s="67">
        <v>14.5</v>
      </c>
      <c r="J9" s="58">
        <v>2000</v>
      </c>
      <c r="K9" s="59">
        <f t="shared" si="1"/>
        <v>137.93103448275863</v>
      </c>
      <c r="L9" s="67">
        <v>14.5</v>
      </c>
      <c r="M9" s="60">
        <f>AVERAGE(M5:M8)</f>
        <v>1924.9581118316676</v>
      </c>
      <c r="N9" s="59">
        <f t="shared" si="3"/>
        <v>132.75573185045982</v>
      </c>
      <c r="O9" s="61">
        <f t="shared" si="4"/>
        <v>0</v>
      </c>
      <c r="P9" s="62">
        <f t="shared" si="5"/>
        <v>-5.1753026322988092</v>
      </c>
      <c r="Q9" s="253">
        <f t="shared" si="6"/>
        <v>0.9624790559158336</v>
      </c>
      <c r="R9" s="566"/>
      <c r="S9" s="63"/>
      <c r="T9" s="63"/>
      <c r="U9" s="251"/>
      <c r="V9" s="260"/>
      <c r="W9" s="59"/>
      <c r="X9" s="59"/>
      <c r="Y9" s="559"/>
      <c r="Z9" s="559"/>
      <c r="AA9" s="61">
        <f t="shared" si="8"/>
        <v>-75.041888168332434</v>
      </c>
      <c r="AB9" s="253">
        <f t="shared" si="9"/>
        <v>0.96247905591583383</v>
      </c>
      <c r="AC9" s="566"/>
    </row>
    <row r="10" spans="1:29" ht="15.75" customHeight="1">
      <c r="A10" s="594" t="s">
        <v>234</v>
      </c>
      <c r="B10" s="57" t="s">
        <v>10</v>
      </c>
      <c r="C10" s="590" t="s">
        <v>14</v>
      </c>
      <c r="D10" s="591"/>
      <c r="E10" s="57">
        <v>39.619999999999997</v>
      </c>
      <c r="F10" s="261">
        <v>4297</v>
      </c>
      <c r="G10" s="251">
        <f t="shared" ref="G10:G11" si="11">E10*F10</f>
        <v>170247.13999999998</v>
      </c>
      <c r="H10" s="263" t="s">
        <v>5</v>
      </c>
      <c r="I10" s="259">
        <v>19</v>
      </c>
      <c r="J10" s="58">
        <v>1500</v>
      </c>
      <c r="K10" s="59">
        <f t="shared" si="1"/>
        <v>78.94736842105263</v>
      </c>
      <c r="L10" s="259">
        <v>19</v>
      </c>
      <c r="M10" s="60">
        <f t="shared" ref="M10:M11" si="12">F10/V10*60</f>
        <v>1432.3333333333339</v>
      </c>
      <c r="N10" s="59">
        <f t="shared" si="3"/>
        <v>75.385964912280727</v>
      </c>
      <c r="O10" s="61">
        <f t="shared" si="4"/>
        <v>0</v>
      </c>
      <c r="P10" s="62">
        <f t="shared" si="5"/>
        <v>-3.5614035087719031</v>
      </c>
      <c r="Q10" s="253">
        <f t="shared" si="6"/>
        <v>0.95488888888888923</v>
      </c>
      <c r="R10" s="566">
        <f>Q12</f>
        <v>0.95555633255633265</v>
      </c>
      <c r="S10" s="63">
        <v>0.16666666666666666</v>
      </c>
      <c r="T10" s="63">
        <v>0.29166666666666663</v>
      </c>
      <c r="U10" s="251"/>
      <c r="V10" s="260">
        <f t="shared" ref="V10:V11" si="13">(T10-S10)*24*60</f>
        <v>179.99999999999994</v>
      </c>
      <c r="W10" s="64">
        <f>T10</f>
        <v>0.29166666666666663</v>
      </c>
      <c r="X10" s="64">
        <f>S11</f>
        <v>0.31041666666666662</v>
      </c>
      <c r="Y10" s="559"/>
      <c r="Z10" s="559"/>
      <c r="AA10" s="61">
        <f t="shared" si="8"/>
        <v>-67.66666666666606</v>
      </c>
      <c r="AB10" s="253">
        <f t="shared" si="9"/>
        <v>0.95488888888888934</v>
      </c>
      <c r="AC10" s="566">
        <f>AB12</f>
        <v>0.95555633255633254</v>
      </c>
    </row>
    <row r="11" spans="1:29" ht="15.75" customHeight="1">
      <c r="A11" s="594" t="s">
        <v>1080</v>
      </c>
      <c r="B11" s="57" t="s">
        <v>10</v>
      </c>
      <c r="C11" s="590" t="s">
        <v>11</v>
      </c>
      <c r="D11" s="591"/>
      <c r="E11" s="57">
        <v>39.799999999999997</v>
      </c>
      <c r="F11" s="261">
        <v>6837</v>
      </c>
      <c r="G11" s="251">
        <f t="shared" si="11"/>
        <v>272112.59999999998</v>
      </c>
      <c r="H11" s="263" t="s">
        <v>5</v>
      </c>
      <c r="I11" s="259">
        <v>17</v>
      </c>
      <c r="J11" s="58">
        <v>1500</v>
      </c>
      <c r="K11" s="59">
        <f t="shared" si="1"/>
        <v>88.235294117647058</v>
      </c>
      <c r="L11" s="259">
        <v>17</v>
      </c>
      <c r="M11" s="60">
        <f t="shared" si="12"/>
        <v>1434.335664335664</v>
      </c>
      <c r="N11" s="59">
        <f t="shared" si="3"/>
        <v>84.372686137391995</v>
      </c>
      <c r="O11" s="61">
        <f t="shared" si="4"/>
        <v>0</v>
      </c>
      <c r="P11" s="62">
        <f t="shared" si="5"/>
        <v>-3.8626079802550635</v>
      </c>
      <c r="Q11" s="253">
        <f t="shared" si="6"/>
        <v>0.95622377622377597</v>
      </c>
      <c r="R11" s="566"/>
      <c r="S11" s="63">
        <v>0.31041666666666662</v>
      </c>
      <c r="T11" s="63">
        <v>0.50902777777777775</v>
      </c>
      <c r="U11" s="251">
        <f t="shared" ref="U11" si="14">IF(S11=TIME(17,0,0),"",(S11-T10)*24*60)</f>
        <v>26.999999999999986</v>
      </c>
      <c r="V11" s="260">
        <f t="shared" si="13"/>
        <v>286.00000000000006</v>
      </c>
      <c r="W11" s="64"/>
      <c r="X11" s="64"/>
      <c r="Y11" s="559"/>
      <c r="Z11" s="559"/>
      <c r="AA11" s="61">
        <f t="shared" si="8"/>
        <v>-65.664335664336022</v>
      </c>
      <c r="AB11" s="253">
        <f t="shared" si="9"/>
        <v>0.95622377622377597</v>
      </c>
      <c r="AC11" s="566"/>
    </row>
    <row r="12" spans="1:29" ht="16.5" customHeight="1">
      <c r="A12" s="594" t="s">
        <v>234</v>
      </c>
      <c r="B12" s="57" t="s">
        <v>1081</v>
      </c>
      <c r="C12" s="571"/>
      <c r="D12" s="571"/>
      <c r="E12" s="258"/>
      <c r="F12" s="58"/>
      <c r="G12" s="60"/>
      <c r="H12" s="261"/>
      <c r="I12" s="67">
        <v>18</v>
      </c>
      <c r="J12" s="58">
        <v>1500</v>
      </c>
      <c r="K12" s="59">
        <f t="shared" si="1"/>
        <v>83.333333333333329</v>
      </c>
      <c r="L12" s="67">
        <v>18</v>
      </c>
      <c r="M12" s="60">
        <f>AVERAGE(M10:M11)</f>
        <v>1433.3344988344988</v>
      </c>
      <c r="N12" s="59">
        <f t="shared" si="3"/>
        <v>79.629694379694385</v>
      </c>
      <c r="O12" s="61">
        <f t="shared" si="4"/>
        <v>0</v>
      </c>
      <c r="P12" s="62">
        <f t="shared" si="5"/>
        <v>-3.7036389536389436</v>
      </c>
      <c r="Q12" s="253">
        <f t="shared" si="6"/>
        <v>0.95555633255633265</v>
      </c>
      <c r="R12" s="566"/>
      <c r="S12" s="63"/>
      <c r="T12" s="63"/>
      <c r="U12" s="59"/>
      <c r="V12" s="260"/>
      <c r="W12" s="59"/>
      <c r="X12" s="59"/>
      <c r="Y12" s="559"/>
      <c r="Z12" s="559"/>
      <c r="AA12" s="61">
        <f t="shared" si="8"/>
        <v>-66.665501165501155</v>
      </c>
      <c r="AB12" s="253">
        <f t="shared" si="9"/>
        <v>0.95555633255633254</v>
      </c>
      <c r="AC12" s="566"/>
    </row>
    <row r="13" spans="1:29" ht="16.5" customHeight="1">
      <c r="A13" s="592" t="s">
        <v>1082</v>
      </c>
      <c r="B13" s="261" t="s">
        <v>12</v>
      </c>
      <c r="C13" s="584" t="s">
        <v>13</v>
      </c>
      <c r="D13" s="584"/>
      <c r="E13" s="57">
        <v>41</v>
      </c>
      <c r="F13" s="261">
        <v>2262</v>
      </c>
      <c r="G13" s="251">
        <f t="shared" ref="G13:G16" si="15">E13*F13</f>
        <v>92742</v>
      </c>
      <c r="H13" s="263" t="s">
        <v>5</v>
      </c>
      <c r="I13" s="259">
        <v>26</v>
      </c>
      <c r="J13" s="58">
        <v>1500</v>
      </c>
      <c r="K13" s="59">
        <f t="shared" si="1"/>
        <v>57.692307692307693</v>
      </c>
      <c r="L13" s="259">
        <v>26</v>
      </c>
      <c r="M13" s="60">
        <f t="shared" ref="M13:M16" si="16">F13/V13*60</f>
        <v>1443.829787234042</v>
      </c>
      <c r="N13" s="59">
        <f t="shared" si="3"/>
        <v>55.531914893617</v>
      </c>
      <c r="O13" s="61">
        <f t="shared" si="4"/>
        <v>0</v>
      </c>
      <c r="P13" s="62">
        <f t="shared" si="5"/>
        <v>-2.1603927986906939</v>
      </c>
      <c r="Q13" s="253">
        <f t="shared" si="6"/>
        <v>0.96255319148936136</v>
      </c>
      <c r="R13" s="566">
        <f>Q17</f>
        <v>0.95562859666030675</v>
      </c>
      <c r="S13" s="63">
        <v>0.20833333333333334</v>
      </c>
      <c r="T13" s="63">
        <v>0.27361111111111114</v>
      </c>
      <c r="U13" s="251"/>
      <c r="V13" s="260">
        <f t="shared" ref="V13:V16" si="17">(T13-S13)*24*60</f>
        <v>94.000000000000028</v>
      </c>
      <c r="W13" s="68"/>
      <c r="X13" s="68"/>
      <c r="Y13" s="559"/>
      <c r="Z13" s="559"/>
      <c r="AA13" s="61">
        <f t="shared" si="8"/>
        <v>-56.170212765958013</v>
      </c>
      <c r="AB13" s="253">
        <f t="shared" si="9"/>
        <v>0.96255319148936136</v>
      </c>
      <c r="AC13" s="566">
        <f>AB17</f>
        <v>0.95562859666030664</v>
      </c>
    </row>
    <row r="14" spans="1:29" ht="16.5" customHeight="1">
      <c r="A14" s="593" t="s">
        <v>1083</v>
      </c>
      <c r="B14" s="261" t="s">
        <v>657</v>
      </c>
      <c r="C14" s="584" t="s">
        <v>236</v>
      </c>
      <c r="D14" s="584"/>
      <c r="E14" s="57">
        <v>72.400000000000006</v>
      </c>
      <c r="F14" s="261">
        <v>1956</v>
      </c>
      <c r="G14" s="251">
        <f t="shared" si="15"/>
        <v>141614.40000000002</v>
      </c>
      <c r="H14" s="263" t="s">
        <v>5</v>
      </c>
      <c r="I14" s="259">
        <v>18</v>
      </c>
      <c r="J14" s="58">
        <v>1500</v>
      </c>
      <c r="K14" s="59">
        <f t="shared" si="1"/>
        <v>83.333333333333329</v>
      </c>
      <c r="L14" s="259">
        <v>18</v>
      </c>
      <c r="M14" s="60">
        <f t="shared" si="16"/>
        <v>1431.2195121951213</v>
      </c>
      <c r="N14" s="59">
        <f t="shared" si="3"/>
        <v>79.51219512195118</v>
      </c>
      <c r="O14" s="61">
        <f t="shared" si="4"/>
        <v>0</v>
      </c>
      <c r="P14" s="62">
        <f t="shared" si="5"/>
        <v>-3.8211382113821486</v>
      </c>
      <c r="Q14" s="253">
        <f t="shared" si="6"/>
        <v>0.95414634146341426</v>
      </c>
      <c r="R14" s="566"/>
      <c r="S14" s="63">
        <v>0.27847222222222223</v>
      </c>
      <c r="T14" s="63">
        <v>0.3354166666666667</v>
      </c>
      <c r="U14" s="251">
        <f t="shared" ref="U14:U16" si="18">IF(S14=TIME(17,0,0),"",(S14-T13)*24*60)</f>
        <v>6.9999999999999751</v>
      </c>
      <c r="V14" s="260">
        <f t="shared" si="17"/>
        <v>82.000000000000028</v>
      </c>
      <c r="W14" s="64"/>
      <c r="X14" s="64"/>
      <c r="Y14" s="559"/>
      <c r="Z14" s="559"/>
      <c r="AA14" s="61">
        <f t="shared" si="8"/>
        <v>-68.780487804878703</v>
      </c>
      <c r="AB14" s="253">
        <f t="shared" si="9"/>
        <v>0.95414634146341415</v>
      </c>
      <c r="AC14" s="566"/>
    </row>
    <row r="15" spans="1:29" ht="16.5" customHeight="1">
      <c r="A15" s="593" t="s">
        <v>1084</v>
      </c>
      <c r="B15" s="261" t="s">
        <v>6</v>
      </c>
      <c r="C15" s="584" t="s">
        <v>95</v>
      </c>
      <c r="D15" s="584"/>
      <c r="E15" s="57">
        <v>50.98</v>
      </c>
      <c r="F15" s="261">
        <v>3011</v>
      </c>
      <c r="G15" s="251">
        <f t="shared" si="15"/>
        <v>153500.78</v>
      </c>
      <c r="H15" s="263" t="s">
        <v>5</v>
      </c>
      <c r="I15" s="259">
        <v>16</v>
      </c>
      <c r="J15" s="58">
        <v>2000</v>
      </c>
      <c r="K15" s="59">
        <f t="shared" si="1"/>
        <v>125</v>
      </c>
      <c r="L15" s="259">
        <v>16</v>
      </c>
      <c r="M15" s="60">
        <f t="shared" si="16"/>
        <v>1901.6842105263161</v>
      </c>
      <c r="N15" s="59">
        <f t="shared" si="3"/>
        <v>118.85526315789475</v>
      </c>
      <c r="O15" s="61">
        <f t="shared" si="4"/>
        <v>0</v>
      </c>
      <c r="P15" s="62">
        <f t="shared" si="5"/>
        <v>-6.144736842105246</v>
      </c>
      <c r="Q15" s="253">
        <f t="shared" si="6"/>
        <v>0.95084210526315804</v>
      </c>
      <c r="R15" s="566"/>
      <c r="S15" s="63">
        <v>0.70833333333333337</v>
      </c>
      <c r="T15" s="63">
        <v>0.77430555555555558</v>
      </c>
      <c r="U15" s="251" t="str">
        <f t="shared" si="18"/>
        <v/>
      </c>
      <c r="V15" s="260">
        <f t="shared" si="17"/>
        <v>94.999999999999986</v>
      </c>
      <c r="W15" s="64"/>
      <c r="X15" s="64"/>
      <c r="Y15" s="559"/>
      <c r="Z15" s="559"/>
      <c r="AA15" s="61">
        <f t="shared" si="8"/>
        <v>-98.315789473683935</v>
      </c>
      <c r="AB15" s="253">
        <f t="shared" si="9"/>
        <v>0.95084210526315804</v>
      </c>
      <c r="AC15" s="566"/>
    </row>
    <row r="16" spans="1:29" ht="16.5" customHeight="1">
      <c r="A16" s="593" t="s">
        <v>1083</v>
      </c>
      <c r="B16" s="261" t="s">
        <v>6</v>
      </c>
      <c r="C16" s="584" t="s">
        <v>18</v>
      </c>
      <c r="D16" s="584"/>
      <c r="E16" s="57">
        <v>50.92</v>
      </c>
      <c r="F16" s="261">
        <v>2869</v>
      </c>
      <c r="G16" s="251">
        <f t="shared" si="15"/>
        <v>146089.48000000001</v>
      </c>
      <c r="H16" s="263" t="s">
        <v>5</v>
      </c>
      <c r="I16" s="259">
        <v>15</v>
      </c>
      <c r="J16" s="58">
        <v>2000</v>
      </c>
      <c r="K16" s="59">
        <f t="shared" si="1"/>
        <v>133.33333333333334</v>
      </c>
      <c r="L16" s="259">
        <v>15</v>
      </c>
      <c r="M16" s="60">
        <f t="shared" si="16"/>
        <v>1912.6666666666665</v>
      </c>
      <c r="N16" s="59">
        <f t="shared" si="3"/>
        <v>127.51111111111111</v>
      </c>
      <c r="O16" s="61">
        <f t="shared" si="4"/>
        <v>0</v>
      </c>
      <c r="P16" s="62">
        <f t="shared" si="5"/>
        <v>-5.8222222222222371</v>
      </c>
      <c r="Q16" s="253">
        <f t="shared" si="6"/>
        <v>0.95633333333333326</v>
      </c>
      <c r="R16" s="566"/>
      <c r="S16" s="63">
        <v>0.77847222222222223</v>
      </c>
      <c r="T16" s="63">
        <v>0.84097222222222223</v>
      </c>
      <c r="U16" s="251">
        <f t="shared" si="18"/>
        <v>5.9999999999999787</v>
      </c>
      <c r="V16" s="260">
        <f t="shared" si="17"/>
        <v>90</v>
      </c>
      <c r="W16" s="64"/>
      <c r="X16" s="64"/>
      <c r="Y16" s="559"/>
      <c r="Z16" s="559"/>
      <c r="AA16" s="61">
        <f t="shared" si="8"/>
        <v>-87.333333333333485</v>
      </c>
      <c r="AB16" s="253">
        <f t="shared" si="9"/>
        <v>0.95633333333333326</v>
      </c>
      <c r="AC16" s="566"/>
    </row>
    <row r="17" spans="1:29" ht="16.5" customHeight="1">
      <c r="A17" s="593" t="s">
        <v>1085</v>
      </c>
      <c r="B17" s="57" t="s">
        <v>1081</v>
      </c>
      <c r="C17" s="571"/>
      <c r="D17" s="571"/>
      <c r="E17" s="258"/>
      <c r="F17" s="66"/>
      <c r="G17" s="59"/>
      <c r="H17" s="261"/>
      <c r="I17" s="67">
        <v>18.75</v>
      </c>
      <c r="J17" s="58">
        <v>1750</v>
      </c>
      <c r="K17" s="59">
        <f t="shared" si="1"/>
        <v>93.333333333333329</v>
      </c>
      <c r="L17" s="67">
        <v>18.75</v>
      </c>
      <c r="M17" s="60">
        <f>AVERAGE(M13:M16)</f>
        <v>1672.3500441555366</v>
      </c>
      <c r="N17" s="59">
        <f t="shared" si="3"/>
        <v>89.192002354961957</v>
      </c>
      <c r="O17" s="61">
        <f t="shared" si="4"/>
        <v>0</v>
      </c>
      <c r="P17" s="62">
        <f t="shared" si="5"/>
        <v>-4.1413309783713714</v>
      </c>
      <c r="Q17" s="253">
        <f t="shared" si="6"/>
        <v>0.95562859666030675</v>
      </c>
      <c r="R17" s="566"/>
      <c r="S17" s="63"/>
      <c r="T17" s="63"/>
      <c r="U17" s="251"/>
      <c r="V17" s="260"/>
      <c r="W17" s="59"/>
      <c r="X17" s="59"/>
      <c r="Y17" s="559"/>
      <c r="Z17" s="559"/>
      <c r="AA17" s="61">
        <f t="shared" si="8"/>
        <v>-77.64995584446342</v>
      </c>
      <c r="AB17" s="253">
        <f t="shared" si="9"/>
        <v>0.95562859666030664</v>
      </c>
      <c r="AC17" s="566"/>
    </row>
    <row r="18" spans="1:29" ht="15.75" customHeight="1">
      <c r="A18" s="588" t="s">
        <v>1086</v>
      </c>
      <c r="B18" s="57" t="s">
        <v>12</v>
      </c>
      <c r="C18" s="584" t="s">
        <v>19</v>
      </c>
      <c r="D18" s="584"/>
      <c r="E18" s="57">
        <v>43.14</v>
      </c>
      <c r="F18" s="261">
        <v>1214</v>
      </c>
      <c r="G18" s="251">
        <f t="shared" ref="G18:G25" si="19">E18*F18</f>
        <v>52371.96</v>
      </c>
      <c r="H18" s="263" t="s">
        <v>5</v>
      </c>
      <c r="I18" s="259">
        <v>17</v>
      </c>
      <c r="J18" s="58">
        <v>2000</v>
      </c>
      <c r="K18" s="59">
        <f t="shared" si="1"/>
        <v>117.64705882352941</v>
      </c>
      <c r="L18" s="259">
        <v>17</v>
      </c>
      <c r="M18" s="60">
        <f t="shared" ref="M18:M25" si="20">F18/V18*60</f>
        <v>1916.8421052631586</v>
      </c>
      <c r="N18" s="59">
        <f t="shared" si="3"/>
        <v>112.75541795665639</v>
      </c>
      <c r="O18" s="61">
        <f t="shared" si="4"/>
        <v>0</v>
      </c>
      <c r="P18" s="62">
        <f t="shared" si="5"/>
        <v>-4.8916408668730185</v>
      </c>
      <c r="Q18" s="253">
        <f t="shared" si="6"/>
        <v>0.9584210526315794</v>
      </c>
      <c r="R18" s="566">
        <f>Q26</f>
        <v>0.9603626389838813</v>
      </c>
      <c r="S18" s="63">
        <v>0.20833333333333334</v>
      </c>
      <c r="T18" s="63">
        <v>0.23472222222222222</v>
      </c>
      <c r="U18" s="251"/>
      <c r="V18" s="260">
        <f t="shared" ref="V18:V25" si="21">(T18-S18)*24*60</f>
        <v>37.999999999999986</v>
      </c>
      <c r="W18" s="68"/>
      <c r="X18" s="68"/>
      <c r="Y18" s="559"/>
      <c r="Z18" s="559"/>
      <c r="AA18" s="61">
        <f t="shared" si="8"/>
        <v>-83.157894736841399</v>
      </c>
      <c r="AB18" s="253">
        <f t="shared" si="9"/>
        <v>0.95842105263157928</v>
      </c>
      <c r="AC18" s="566">
        <f>AB26</f>
        <v>0.96036263898388141</v>
      </c>
    </row>
    <row r="19" spans="1:29" ht="15.75" customHeight="1">
      <c r="A19" s="589" t="s">
        <v>1087</v>
      </c>
      <c r="B19" s="57" t="s">
        <v>65</v>
      </c>
      <c r="C19" s="584" t="s">
        <v>97</v>
      </c>
      <c r="D19" s="584"/>
      <c r="E19" s="57">
        <v>49.9</v>
      </c>
      <c r="F19" s="261">
        <v>1633</v>
      </c>
      <c r="G19" s="251">
        <f t="shared" si="19"/>
        <v>81486.7</v>
      </c>
      <c r="H19" s="263" t="s">
        <v>5</v>
      </c>
      <c r="I19" s="259">
        <v>17</v>
      </c>
      <c r="J19" s="58">
        <v>2000</v>
      </c>
      <c r="K19" s="59">
        <f t="shared" si="1"/>
        <v>117.64705882352941</v>
      </c>
      <c r="L19" s="259">
        <v>17</v>
      </c>
      <c r="M19" s="60">
        <f t="shared" si="20"/>
        <v>1921.1764705882347</v>
      </c>
      <c r="N19" s="59">
        <f t="shared" si="3"/>
        <v>113.01038062283733</v>
      </c>
      <c r="O19" s="61">
        <f t="shared" si="4"/>
        <v>0</v>
      </c>
      <c r="P19" s="62">
        <f t="shared" si="5"/>
        <v>-4.6366782006920744</v>
      </c>
      <c r="Q19" s="253">
        <f t="shared" si="6"/>
        <v>0.96058823529411741</v>
      </c>
      <c r="R19" s="566"/>
      <c r="S19" s="63">
        <v>0.24027777777777778</v>
      </c>
      <c r="T19" s="63">
        <v>0.27569444444444446</v>
      </c>
      <c r="U19" s="251">
        <f t="shared" ref="U19:U25" si="22">IF(S19=TIME(17,0,0),"",(S19-T18)*24*60)</f>
        <v>8.0000000000000107</v>
      </c>
      <c r="V19" s="260">
        <f t="shared" si="21"/>
        <v>51.000000000000021</v>
      </c>
      <c r="W19" s="64"/>
      <c r="X19" s="251"/>
      <c r="Y19" s="559"/>
      <c r="Z19" s="559"/>
      <c r="AA19" s="61">
        <f t="shared" si="8"/>
        <v>-78.823529411765321</v>
      </c>
      <c r="AB19" s="253">
        <f t="shared" si="9"/>
        <v>0.9605882352941173</v>
      </c>
      <c r="AC19" s="566"/>
    </row>
    <row r="20" spans="1:29" ht="15.75" customHeight="1">
      <c r="A20" s="589" t="s">
        <v>1088</v>
      </c>
      <c r="B20" s="57" t="s">
        <v>6</v>
      </c>
      <c r="C20" s="584" t="s">
        <v>20</v>
      </c>
      <c r="D20" s="584"/>
      <c r="E20" s="57">
        <v>57.73</v>
      </c>
      <c r="F20" s="261">
        <v>3041</v>
      </c>
      <c r="G20" s="251">
        <f t="shared" si="19"/>
        <v>175556.93</v>
      </c>
      <c r="H20" s="263" t="s">
        <v>5</v>
      </c>
      <c r="I20" s="259">
        <v>14</v>
      </c>
      <c r="J20" s="58">
        <v>2000</v>
      </c>
      <c r="K20" s="59">
        <f t="shared" si="1"/>
        <v>142.85714285714286</v>
      </c>
      <c r="L20" s="259">
        <v>14</v>
      </c>
      <c r="M20" s="60">
        <f t="shared" si="20"/>
        <v>1920.6315789473686</v>
      </c>
      <c r="N20" s="59">
        <f t="shared" si="3"/>
        <v>137.18796992481205</v>
      </c>
      <c r="O20" s="61">
        <f t="shared" si="4"/>
        <v>0</v>
      </c>
      <c r="P20" s="62">
        <f t="shared" si="5"/>
        <v>-5.6691729323308095</v>
      </c>
      <c r="Q20" s="253">
        <f t="shared" si="6"/>
        <v>0.96031578947368434</v>
      </c>
      <c r="R20" s="566"/>
      <c r="S20" s="63">
        <v>0.28125</v>
      </c>
      <c r="T20" s="63">
        <v>0.34722222222222221</v>
      </c>
      <c r="U20" s="251">
        <f t="shared" si="22"/>
        <v>7.9999999999999716</v>
      </c>
      <c r="V20" s="260">
        <f t="shared" si="21"/>
        <v>94.999999999999986</v>
      </c>
      <c r="W20" s="64"/>
      <c r="X20" s="251"/>
      <c r="Y20" s="559"/>
      <c r="Z20" s="559"/>
      <c r="AA20" s="61">
        <f t="shared" si="8"/>
        <v>-79.368421052631447</v>
      </c>
      <c r="AB20" s="253">
        <f t="shared" si="9"/>
        <v>0.96031578947368423</v>
      </c>
      <c r="AC20" s="566"/>
    </row>
    <row r="21" spans="1:29" ht="15.75" customHeight="1">
      <c r="A21" s="589" t="s">
        <v>1087</v>
      </c>
      <c r="B21" s="57" t="s">
        <v>6</v>
      </c>
      <c r="C21" s="584" t="s">
        <v>21</v>
      </c>
      <c r="D21" s="584"/>
      <c r="E21" s="57">
        <v>53.68</v>
      </c>
      <c r="F21" s="261">
        <v>1822</v>
      </c>
      <c r="G21" s="251">
        <f t="shared" si="19"/>
        <v>97804.96</v>
      </c>
      <c r="H21" s="263" t="s">
        <v>5</v>
      </c>
      <c r="I21" s="259">
        <v>16</v>
      </c>
      <c r="J21" s="58">
        <v>2000</v>
      </c>
      <c r="K21" s="59">
        <f t="shared" si="1"/>
        <v>125</v>
      </c>
      <c r="L21" s="259">
        <v>16</v>
      </c>
      <c r="M21" s="60">
        <f t="shared" si="20"/>
        <v>1917.8947368421068</v>
      </c>
      <c r="N21" s="59">
        <f t="shared" si="3"/>
        <v>119.86842105263167</v>
      </c>
      <c r="O21" s="61">
        <f t="shared" si="4"/>
        <v>0</v>
      </c>
      <c r="P21" s="62">
        <f t="shared" si="5"/>
        <v>-5.1315789473683253</v>
      </c>
      <c r="Q21" s="253">
        <f t="shared" si="6"/>
        <v>0.95894736842105344</v>
      </c>
      <c r="R21" s="566"/>
      <c r="S21" s="63">
        <v>0.35138888888888886</v>
      </c>
      <c r="T21" s="63">
        <v>0.39097222222222217</v>
      </c>
      <c r="U21" s="251">
        <f t="shared" si="22"/>
        <v>5.9999999999999787</v>
      </c>
      <c r="V21" s="260">
        <f t="shared" si="21"/>
        <v>56.999999999999957</v>
      </c>
      <c r="W21" s="64"/>
      <c r="X21" s="251"/>
      <c r="Y21" s="559"/>
      <c r="Z21" s="559"/>
      <c r="AA21" s="61">
        <f t="shared" si="8"/>
        <v>-82.105263157893205</v>
      </c>
      <c r="AB21" s="253">
        <f t="shared" si="9"/>
        <v>0.95894736842105344</v>
      </c>
      <c r="AC21" s="566"/>
    </row>
    <row r="22" spans="1:29" ht="15.75" customHeight="1">
      <c r="A22" s="589" t="s">
        <v>1087</v>
      </c>
      <c r="B22" s="57" t="s">
        <v>6</v>
      </c>
      <c r="C22" s="584" t="s">
        <v>96</v>
      </c>
      <c r="D22" s="584"/>
      <c r="E22" s="57">
        <v>49.91</v>
      </c>
      <c r="F22" s="261">
        <v>1391</v>
      </c>
      <c r="G22" s="251">
        <f t="shared" si="19"/>
        <v>69424.81</v>
      </c>
      <c r="H22" s="263" t="s">
        <v>5</v>
      </c>
      <c r="I22" s="259">
        <v>17</v>
      </c>
      <c r="J22" s="58">
        <v>2000</v>
      </c>
      <c r="K22" s="59">
        <f t="shared" si="1"/>
        <v>117.64705882352941</v>
      </c>
      <c r="L22" s="259">
        <v>17</v>
      </c>
      <c r="M22" s="60">
        <f t="shared" si="20"/>
        <v>1940.9302325581391</v>
      </c>
      <c r="N22" s="59">
        <f t="shared" si="3"/>
        <v>114.172366621067</v>
      </c>
      <c r="O22" s="61">
        <f t="shared" si="4"/>
        <v>0</v>
      </c>
      <c r="P22" s="62">
        <f t="shared" si="5"/>
        <v>-3.474692202462407</v>
      </c>
      <c r="Q22" s="253">
        <f t="shared" si="6"/>
        <v>0.97046511627906951</v>
      </c>
      <c r="R22" s="566"/>
      <c r="S22" s="63">
        <v>0.39583333333333326</v>
      </c>
      <c r="T22" s="63">
        <v>0.42569444444444438</v>
      </c>
      <c r="U22" s="251">
        <f t="shared" si="22"/>
        <v>6.9999999999999751</v>
      </c>
      <c r="V22" s="260">
        <f t="shared" si="21"/>
        <v>43.000000000000007</v>
      </c>
      <c r="W22" s="64"/>
      <c r="X22" s="251"/>
      <c r="Y22" s="559"/>
      <c r="Z22" s="559"/>
      <c r="AA22" s="61">
        <f t="shared" si="8"/>
        <v>-59.069767441860904</v>
      </c>
      <c r="AB22" s="253">
        <f t="shared" si="9"/>
        <v>0.97046511627906951</v>
      </c>
      <c r="AC22" s="566"/>
    </row>
    <row r="23" spans="1:29" ht="15.75" customHeight="1">
      <c r="A23" s="589" t="s">
        <v>1087</v>
      </c>
      <c r="B23" s="57" t="s">
        <v>6</v>
      </c>
      <c r="C23" s="584" t="s">
        <v>22</v>
      </c>
      <c r="D23" s="584"/>
      <c r="E23" s="57">
        <v>54.09</v>
      </c>
      <c r="F23" s="261">
        <v>1930</v>
      </c>
      <c r="G23" s="251">
        <f t="shared" si="19"/>
        <v>104393.70000000001</v>
      </c>
      <c r="H23" s="263" t="s">
        <v>5</v>
      </c>
      <c r="I23" s="259">
        <v>19</v>
      </c>
      <c r="J23" s="58">
        <v>2000</v>
      </c>
      <c r="K23" s="59">
        <f t="shared" si="1"/>
        <v>105.26315789473684</v>
      </c>
      <c r="L23" s="259">
        <v>19</v>
      </c>
      <c r="M23" s="60">
        <f t="shared" si="20"/>
        <v>1930.000000000002</v>
      </c>
      <c r="N23" s="59">
        <f t="shared" si="3"/>
        <v>101.57894736842115</v>
      </c>
      <c r="O23" s="61">
        <f t="shared" si="4"/>
        <v>0</v>
      </c>
      <c r="P23" s="62">
        <f t="shared" si="5"/>
        <v>-3.684210526315681</v>
      </c>
      <c r="Q23" s="253">
        <f t="shared" si="6"/>
        <v>0.96500000000000108</v>
      </c>
      <c r="R23" s="566"/>
      <c r="S23" s="63">
        <v>0.70833333333333337</v>
      </c>
      <c r="T23" s="63">
        <v>0.75</v>
      </c>
      <c r="U23" s="251" t="str">
        <f t="shared" si="22"/>
        <v/>
      </c>
      <c r="V23" s="260">
        <f t="shared" si="21"/>
        <v>59.999999999999943</v>
      </c>
      <c r="W23" s="64"/>
      <c r="X23" s="68"/>
      <c r="Y23" s="559"/>
      <c r="Z23" s="559"/>
      <c r="AA23" s="61">
        <f t="shared" si="8"/>
        <v>-69.999999999997954</v>
      </c>
      <c r="AB23" s="253">
        <f t="shared" si="9"/>
        <v>0.96500000000000097</v>
      </c>
      <c r="AC23" s="566"/>
    </row>
    <row r="24" spans="1:29" ht="15.75" customHeight="1">
      <c r="A24" s="589" t="s">
        <v>1088</v>
      </c>
      <c r="B24" s="57" t="s">
        <v>6</v>
      </c>
      <c r="C24" s="584" t="s">
        <v>69</v>
      </c>
      <c r="D24" s="584"/>
      <c r="E24" s="57">
        <v>57.73</v>
      </c>
      <c r="F24" s="261">
        <v>1623</v>
      </c>
      <c r="G24" s="251">
        <f t="shared" si="19"/>
        <v>93695.79</v>
      </c>
      <c r="H24" s="263" t="s">
        <v>5</v>
      </c>
      <c r="I24" s="259">
        <v>16</v>
      </c>
      <c r="J24" s="58">
        <v>1500</v>
      </c>
      <c r="K24" s="59">
        <f t="shared" si="1"/>
        <v>93.75</v>
      </c>
      <c r="L24" s="259">
        <v>16</v>
      </c>
      <c r="M24" s="60">
        <f t="shared" si="20"/>
        <v>1432.0588235294101</v>
      </c>
      <c r="N24" s="59">
        <f t="shared" si="3"/>
        <v>89.503676470588132</v>
      </c>
      <c r="O24" s="61">
        <f t="shared" si="4"/>
        <v>0</v>
      </c>
      <c r="P24" s="62">
        <f t="shared" si="5"/>
        <v>-4.2463235294118675</v>
      </c>
      <c r="Q24" s="253">
        <f t="shared" si="6"/>
        <v>0.95470588235294007</v>
      </c>
      <c r="R24" s="566"/>
      <c r="S24" s="63">
        <v>0.75555555555555554</v>
      </c>
      <c r="T24" s="63">
        <v>0.80277777777777781</v>
      </c>
      <c r="U24" s="251">
        <f t="shared" si="22"/>
        <v>7.9999999999999716</v>
      </c>
      <c r="V24" s="260">
        <f t="shared" si="21"/>
        <v>68.000000000000085</v>
      </c>
      <c r="W24" s="64"/>
      <c r="X24" s="68"/>
      <c r="Y24" s="569"/>
      <c r="Z24" s="570"/>
      <c r="AA24" s="61">
        <f t="shared" si="8"/>
        <v>-67.94117647058988</v>
      </c>
      <c r="AB24" s="253">
        <f t="shared" si="9"/>
        <v>0.95470588235294007</v>
      </c>
      <c r="AC24" s="566"/>
    </row>
    <row r="25" spans="1:29" ht="15.75" customHeight="1">
      <c r="A25" s="589" t="s">
        <v>1087</v>
      </c>
      <c r="B25" s="57" t="s">
        <v>6</v>
      </c>
      <c r="C25" s="585" t="s">
        <v>68</v>
      </c>
      <c r="D25" s="586"/>
      <c r="E25" s="57">
        <v>50.67</v>
      </c>
      <c r="F25" s="261">
        <v>2192</v>
      </c>
      <c r="G25" s="251">
        <f t="shared" si="19"/>
        <v>111068.64</v>
      </c>
      <c r="H25" s="263" t="s">
        <v>5</v>
      </c>
      <c r="I25" s="259">
        <v>15</v>
      </c>
      <c r="J25" s="58">
        <v>2000</v>
      </c>
      <c r="K25" s="59">
        <f t="shared" si="1"/>
        <v>133.33333333333334</v>
      </c>
      <c r="L25" s="259">
        <v>15</v>
      </c>
      <c r="M25" s="60">
        <f t="shared" si="20"/>
        <v>1906.0869565217415</v>
      </c>
      <c r="N25" s="59">
        <f t="shared" si="3"/>
        <v>127.07246376811609</v>
      </c>
      <c r="O25" s="61">
        <f t="shared" si="4"/>
        <v>0</v>
      </c>
      <c r="P25" s="62">
        <f t="shared" si="5"/>
        <v>-6.2608695652172486</v>
      </c>
      <c r="Q25" s="253">
        <f t="shared" si="6"/>
        <v>0.95304347826087066</v>
      </c>
      <c r="R25" s="566"/>
      <c r="S25" s="63">
        <v>0.80694444444444446</v>
      </c>
      <c r="T25" s="63">
        <v>0.85486111111111107</v>
      </c>
      <c r="U25" s="251">
        <f t="shared" si="22"/>
        <v>5.9999999999999787</v>
      </c>
      <c r="V25" s="260">
        <f t="shared" si="21"/>
        <v>68.999999999999915</v>
      </c>
      <c r="W25" s="64"/>
      <c r="X25" s="64"/>
      <c r="Y25" s="569"/>
      <c r="Z25" s="570"/>
      <c r="AA25" s="61">
        <f t="shared" si="8"/>
        <v>-93.913043478258487</v>
      </c>
      <c r="AB25" s="253">
        <f t="shared" si="9"/>
        <v>0.95304347826087077</v>
      </c>
      <c r="AC25" s="566"/>
    </row>
    <row r="26" spans="1:29" ht="15.75" customHeight="1">
      <c r="A26" s="589" t="s">
        <v>1088</v>
      </c>
      <c r="B26" s="57" t="s">
        <v>1089</v>
      </c>
      <c r="C26" s="571"/>
      <c r="D26" s="571"/>
      <c r="E26" s="258"/>
      <c r="F26" s="261"/>
      <c r="G26" s="251"/>
      <c r="H26" s="261"/>
      <c r="I26" s="67">
        <v>16.375</v>
      </c>
      <c r="J26" s="58">
        <v>1937.5</v>
      </c>
      <c r="K26" s="59">
        <f t="shared" si="1"/>
        <v>118.32061068702291</v>
      </c>
      <c r="L26" s="67">
        <v>16.375</v>
      </c>
      <c r="M26" s="60">
        <f>AVERAGE(M18:M25)</f>
        <v>1860.7026130312702</v>
      </c>
      <c r="N26" s="59">
        <f t="shared" si="3"/>
        <v>113.63069392557375</v>
      </c>
      <c r="O26" s="61">
        <f t="shared" si="4"/>
        <v>0</v>
      </c>
      <c r="P26" s="62">
        <f t="shared" si="5"/>
        <v>-4.6899167614491546</v>
      </c>
      <c r="Q26" s="253">
        <f t="shared" si="6"/>
        <v>0.9603626389838813</v>
      </c>
      <c r="R26" s="566"/>
      <c r="S26" s="63"/>
      <c r="T26" s="63"/>
      <c r="U26" s="59"/>
      <c r="V26" s="260"/>
      <c r="W26" s="59"/>
      <c r="X26" s="59"/>
      <c r="Y26" s="559"/>
      <c r="Z26" s="559"/>
      <c r="AA26" s="61">
        <f t="shared" si="8"/>
        <v>-76.797386968729825</v>
      </c>
      <c r="AB26" s="253">
        <f t="shared" si="9"/>
        <v>0.96036263898388141</v>
      </c>
      <c r="AC26" s="566"/>
    </row>
    <row r="27" spans="1:29" ht="15.75" customHeight="1">
      <c r="A27" s="587" t="s">
        <v>1090</v>
      </c>
      <c r="B27" s="57" t="s">
        <v>15</v>
      </c>
      <c r="C27" s="584" t="s">
        <v>26</v>
      </c>
      <c r="D27" s="584"/>
      <c r="E27" s="57">
        <v>31.29</v>
      </c>
      <c r="F27" s="261">
        <v>4500</v>
      </c>
      <c r="G27" s="251">
        <f t="shared" ref="G27:G34" si="23">E27*F27</f>
        <v>140805</v>
      </c>
      <c r="H27" s="263">
        <v>2</v>
      </c>
      <c r="I27" s="259">
        <v>18</v>
      </c>
      <c r="J27" s="58">
        <v>2400</v>
      </c>
      <c r="K27" s="59">
        <f t="shared" si="1"/>
        <v>133.33333333333334</v>
      </c>
      <c r="L27" s="259">
        <v>18</v>
      </c>
      <c r="M27" s="60">
        <f t="shared" ref="M27:M34" si="24">F27/V27*60</f>
        <v>2288.1355932203392</v>
      </c>
      <c r="N27" s="59">
        <f t="shared" si="3"/>
        <v>127.11864406779662</v>
      </c>
      <c r="O27" s="61">
        <f t="shared" si="4"/>
        <v>0</v>
      </c>
      <c r="P27" s="62">
        <f t="shared" si="5"/>
        <v>-6.2146892655367196</v>
      </c>
      <c r="Q27" s="253">
        <f t="shared" si="6"/>
        <v>0.95338983050847459</v>
      </c>
      <c r="R27" s="566">
        <f>Q35</f>
        <v>0.95666216087732037</v>
      </c>
      <c r="S27" s="63">
        <v>8.3333333333333329E-2</v>
      </c>
      <c r="T27" s="63">
        <v>0.16527777777777777</v>
      </c>
      <c r="U27" s="251"/>
      <c r="V27" s="260">
        <f t="shared" ref="V27:V34" si="25">(T27-S27)*24*60</f>
        <v>118</v>
      </c>
      <c r="W27" s="64">
        <f>T27</f>
        <v>0.16527777777777777</v>
      </c>
      <c r="X27" s="64">
        <f>S28</f>
        <v>0.1847222222222222</v>
      </c>
      <c r="Y27" s="559"/>
      <c r="Z27" s="559"/>
      <c r="AA27" s="61">
        <f t="shared" si="8"/>
        <v>-111.86440677966084</v>
      </c>
      <c r="AB27" s="253">
        <f t="shared" si="9"/>
        <v>0.9533898305084747</v>
      </c>
      <c r="AC27" s="566">
        <f>AB35</f>
        <v>0.95666216087732037</v>
      </c>
    </row>
    <row r="28" spans="1:29" ht="15.75" customHeight="1">
      <c r="A28" s="587" t="s">
        <v>1091</v>
      </c>
      <c r="B28" s="57" t="s">
        <v>15</v>
      </c>
      <c r="C28" s="584" t="s">
        <v>23</v>
      </c>
      <c r="D28" s="584"/>
      <c r="E28" s="57">
        <v>26.2</v>
      </c>
      <c r="F28" s="261">
        <v>3500</v>
      </c>
      <c r="G28" s="251">
        <f t="shared" si="23"/>
        <v>91700</v>
      </c>
      <c r="H28" s="263">
        <v>2</v>
      </c>
      <c r="I28" s="259">
        <v>20</v>
      </c>
      <c r="J28" s="58">
        <v>2400</v>
      </c>
      <c r="K28" s="59">
        <f t="shared" si="1"/>
        <v>120</v>
      </c>
      <c r="L28" s="259">
        <v>20</v>
      </c>
      <c r="M28" s="60">
        <f t="shared" si="24"/>
        <v>2307.6923076923076</v>
      </c>
      <c r="N28" s="59">
        <f t="shared" si="3"/>
        <v>115.38461538461539</v>
      </c>
      <c r="O28" s="61">
        <f t="shared" si="4"/>
        <v>0</v>
      </c>
      <c r="P28" s="62">
        <f t="shared" si="5"/>
        <v>-4.6153846153846132</v>
      </c>
      <c r="Q28" s="253">
        <f t="shared" si="6"/>
        <v>0.96153846153846156</v>
      </c>
      <c r="R28" s="566"/>
      <c r="S28" s="63">
        <v>0.1847222222222222</v>
      </c>
      <c r="T28" s="63">
        <v>0.24791666666666665</v>
      </c>
      <c r="U28" s="251">
        <f t="shared" ref="U28:U34" si="26">(S28-T27)*24*60</f>
        <v>27.999999999999979</v>
      </c>
      <c r="V28" s="260">
        <f t="shared" si="25"/>
        <v>91</v>
      </c>
      <c r="W28" s="64"/>
      <c r="X28" s="64"/>
      <c r="Y28" s="559"/>
      <c r="Z28" s="559"/>
      <c r="AA28" s="61">
        <f t="shared" si="8"/>
        <v>-92.307692307692378</v>
      </c>
      <c r="AB28" s="253">
        <f t="shared" si="9"/>
        <v>0.96153846153846156</v>
      </c>
      <c r="AC28" s="566"/>
    </row>
    <row r="29" spans="1:29" ht="15.75" customHeight="1">
      <c r="A29" s="587" t="s">
        <v>1092</v>
      </c>
      <c r="B29" s="57" t="s">
        <v>15</v>
      </c>
      <c r="C29" s="584" t="s">
        <v>70</v>
      </c>
      <c r="D29" s="584"/>
      <c r="E29" s="57">
        <v>25.99</v>
      </c>
      <c r="F29" s="261">
        <v>3200</v>
      </c>
      <c r="G29" s="251">
        <f t="shared" si="23"/>
        <v>83168</v>
      </c>
      <c r="H29" s="263">
        <v>2</v>
      </c>
      <c r="I29" s="259">
        <v>14</v>
      </c>
      <c r="J29" s="58">
        <v>2400</v>
      </c>
      <c r="K29" s="59">
        <f t="shared" si="1"/>
        <v>171.42857142857142</v>
      </c>
      <c r="L29" s="259">
        <v>14</v>
      </c>
      <c r="M29" s="60">
        <f t="shared" si="24"/>
        <v>2285.7142857142849</v>
      </c>
      <c r="N29" s="59">
        <f t="shared" si="3"/>
        <v>163.26530612244892</v>
      </c>
      <c r="O29" s="61">
        <f t="shared" si="4"/>
        <v>0</v>
      </c>
      <c r="P29" s="62">
        <f t="shared" si="5"/>
        <v>-8.1632653061224971</v>
      </c>
      <c r="Q29" s="253">
        <f t="shared" si="6"/>
        <v>0.95238095238095211</v>
      </c>
      <c r="R29" s="566"/>
      <c r="S29" s="63">
        <v>0.25277777777777777</v>
      </c>
      <c r="T29" s="63">
        <v>0.31111111111111112</v>
      </c>
      <c r="U29" s="251">
        <f t="shared" si="26"/>
        <v>7.0000000000000151</v>
      </c>
      <c r="V29" s="260">
        <f t="shared" si="25"/>
        <v>84.000000000000028</v>
      </c>
      <c r="W29" s="64"/>
      <c r="X29" s="64"/>
      <c r="Y29" s="559"/>
      <c r="Z29" s="559"/>
      <c r="AA29" s="61">
        <f t="shared" si="8"/>
        <v>-114.28571428571513</v>
      </c>
      <c r="AB29" s="253">
        <f t="shared" si="9"/>
        <v>0.952380952380952</v>
      </c>
      <c r="AC29" s="566"/>
    </row>
    <row r="30" spans="1:29" ht="15.75" customHeight="1">
      <c r="A30" s="587" t="s">
        <v>1091</v>
      </c>
      <c r="B30" s="57" t="s">
        <v>15</v>
      </c>
      <c r="C30" s="584" t="s">
        <v>45</v>
      </c>
      <c r="D30" s="584"/>
      <c r="E30" s="57">
        <v>20.52</v>
      </c>
      <c r="F30" s="261">
        <v>5767</v>
      </c>
      <c r="G30" s="251">
        <f t="shared" si="23"/>
        <v>118338.84</v>
      </c>
      <c r="H30" s="263" t="s">
        <v>5</v>
      </c>
      <c r="I30" s="259">
        <v>18</v>
      </c>
      <c r="J30" s="58">
        <v>2400</v>
      </c>
      <c r="K30" s="59">
        <f t="shared" si="1"/>
        <v>133.33333333333334</v>
      </c>
      <c r="L30" s="259">
        <v>18</v>
      </c>
      <c r="M30" s="60">
        <f t="shared" si="24"/>
        <v>2291.5231788079468</v>
      </c>
      <c r="N30" s="59">
        <f t="shared" si="3"/>
        <v>127.30684326710815</v>
      </c>
      <c r="O30" s="61">
        <f t="shared" si="4"/>
        <v>0</v>
      </c>
      <c r="P30" s="62">
        <f t="shared" si="5"/>
        <v>-6.0264900662251932</v>
      </c>
      <c r="Q30" s="253">
        <f t="shared" si="6"/>
        <v>0.95480132450331101</v>
      </c>
      <c r="R30" s="566"/>
      <c r="S30" s="63">
        <v>0.31597222222222221</v>
      </c>
      <c r="T30" s="63">
        <v>0.42083333333333334</v>
      </c>
      <c r="U30" s="251">
        <f t="shared" si="26"/>
        <v>6.9999999999999751</v>
      </c>
      <c r="V30" s="260">
        <f t="shared" si="25"/>
        <v>151.00000000000003</v>
      </c>
      <c r="W30" s="64"/>
      <c r="X30" s="64"/>
      <c r="Y30" s="559"/>
      <c r="Z30" s="559"/>
      <c r="AA30" s="61">
        <f t="shared" si="8"/>
        <v>-108.47682119205319</v>
      </c>
      <c r="AB30" s="253">
        <f t="shared" si="9"/>
        <v>0.95480132450331112</v>
      </c>
      <c r="AC30" s="566"/>
    </row>
    <row r="31" spans="1:29" ht="15.75" customHeight="1">
      <c r="A31" s="587" t="s">
        <v>1092</v>
      </c>
      <c r="B31" s="57" t="s">
        <v>15</v>
      </c>
      <c r="C31" s="584" t="s">
        <v>98</v>
      </c>
      <c r="D31" s="584"/>
      <c r="E31" s="57">
        <v>25.98</v>
      </c>
      <c r="F31" s="261">
        <v>4997</v>
      </c>
      <c r="G31" s="251">
        <f t="shared" si="23"/>
        <v>129822.06</v>
      </c>
      <c r="H31" s="263" t="s">
        <v>5</v>
      </c>
      <c r="I31" s="259">
        <v>21</v>
      </c>
      <c r="J31" s="58">
        <v>2400</v>
      </c>
      <c r="K31" s="59">
        <f t="shared" si="1"/>
        <v>114.28571428571429</v>
      </c>
      <c r="L31" s="259">
        <v>21</v>
      </c>
      <c r="M31" s="60">
        <f t="shared" si="24"/>
        <v>2288.7022900763368</v>
      </c>
      <c r="N31" s="59">
        <f t="shared" si="3"/>
        <v>108.98582333696842</v>
      </c>
      <c r="O31" s="61">
        <f t="shared" si="4"/>
        <v>0</v>
      </c>
      <c r="P31" s="62">
        <f t="shared" si="5"/>
        <v>-5.299890948745869</v>
      </c>
      <c r="Q31" s="253">
        <f t="shared" si="6"/>
        <v>0.95362595419847362</v>
      </c>
      <c r="R31" s="566"/>
      <c r="S31" s="63">
        <v>0.42569444444444443</v>
      </c>
      <c r="T31" s="63">
        <v>0.51666666666666661</v>
      </c>
      <c r="U31" s="251">
        <f t="shared" si="26"/>
        <v>6.9999999999999751</v>
      </c>
      <c r="V31" s="260">
        <f t="shared" si="25"/>
        <v>130.99999999999994</v>
      </c>
      <c r="W31" s="64">
        <f>T31</f>
        <v>0.51666666666666661</v>
      </c>
      <c r="X31" s="64">
        <f>S32</f>
        <v>0.55624999999999991</v>
      </c>
      <c r="Y31" s="559"/>
      <c r="Z31" s="559"/>
      <c r="AA31" s="61">
        <f t="shared" si="8"/>
        <v>-111.29770992366321</v>
      </c>
      <c r="AB31" s="253">
        <f t="shared" si="9"/>
        <v>0.95362595419847362</v>
      </c>
      <c r="AC31" s="566"/>
    </row>
    <row r="32" spans="1:29" ht="15.75" customHeight="1">
      <c r="A32" s="587" t="s">
        <v>1092</v>
      </c>
      <c r="B32" s="57" t="s">
        <v>15</v>
      </c>
      <c r="C32" s="584" t="s">
        <v>26</v>
      </c>
      <c r="D32" s="584"/>
      <c r="E32" s="57">
        <v>31.29</v>
      </c>
      <c r="F32" s="261">
        <v>6192</v>
      </c>
      <c r="G32" s="251">
        <f t="shared" si="23"/>
        <v>193747.68</v>
      </c>
      <c r="H32" s="263" t="s">
        <v>5</v>
      </c>
      <c r="I32" s="259">
        <v>18</v>
      </c>
      <c r="J32" s="58">
        <v>2400</v>
      </c>
      <c r="K32" s="59">
        <f t="shared" si="1"/>
        <v>133.33333333333334</v>
      </c>
      <c r="L32" s="259">
        <v>18</v>
      </c>
      <c r="M32" s="60">
        <f t="shared" si="24"/>
        <v>2293.3333333333326</v>
      </c>
      <c r="N32" s="59">
        <f t="shared" si="3"/>
        <v>127.40740740740736</v>
      </c>
      <c r="O32" s="61">
        <f t="shared" si="4"/>
        <v>0</v>
      </c>
      <c r="P32" s="62">
        <f t="shared" si="5"/>
        <v>-5.9259259259259807</v>
      </c>
      <c r="Q32" s="253">
        <f t="shared" si="6"/>
        <v>0.95555555555555516</v>
      </c>
      <c r="R32" s="566"/>
      <c r="S32" s="63">
        <v>0.55624999999999991</v>
      </c>
      <c r="T32" s="63">
        <v>0.66874999999999996</v>
      </c>
      <c r="U32" s="251">
        <f t="shared" si="26"/>
        <v>56.999999999999957</v>
      </c>
      <c r="V32" s="260">
        <f t="shared" si="25"/>
        <v>162.00000000000006</v>
      </c>
      <c r="W32" s="64"/>
      <c r="X32" s="64"/>
      <c r="Y32" s="559"/>
      <c r="Z32" s="559"/>
      <c r="AA32" s="61">
        <f t="shared" si="8"/>
        <v>-106.66666666666742</v>
      </c>
      <c r="AB32" s="253">
        <f t="shared" si="9"/>
        <v>0.95555555555555527</v>
      </c>
      <c r="AC32" s="566"/>
    </row>
    <row r="33" spans="1:29" ht="15.75" customHeight="1">
      <c r="A33" s="587" t="s">
        <v>1091</v>
      </c>
      <c r="B33" s="57" t="s">
        <v>15</v>
      </c>
      <c r="C33" s="584" t="s">
        <v>23</v>
      </c>
      <c r="D33" s="584"/>
      <c r="E33" s="57">
        <v>26.2</v>
      </c>
      <c r="F33" s="261">
        <v>2530</v>
      </c>
      <c r="G33" s="251">
        <f t="shared" si="23"/>
        <v>66286</v>
      </c>
      <c r="H33" s="263" t="s">
        <v>5</v>
      </c>
      <c r="I33" s="259">
        <v>20</v>
      </c>
      <c r="J33" s="58">
        <v>2400</v>
      </c>
      <c r="K33" s="59">
        <f t="shared" si="1"/>
        <v>120</v>
      </c>
      <c r="L33" s="259">
        <v>20</v>
      </c>
      <c r="M33" s="60">
        <f t="shared" si="24"/>
        <v>2300.0000000000023</v>
      </c>
      <c r="N33" s="59">
        <f t="shared" si="3"/>
        <v>115.00000000000011</v>
      </c>
      <c r="O33" s="61">
        <f t="shared" si="4"/>
        <v>0</v>
      </c>
      <c r="P33" s="62">
        <f t="shared" si="5"/>
        <v>-4.9999999999998863</v>
      </c>
      <c r="Q33" s="253">
        <f t="shared" si="6"/>
        <v>0.95833333333333426</v>
      </c>
      <c r="R33" s="566"/>
      <c r="S33" s="63">
        <v>0.67222222222222217</v>
      </c>
      <c r="T33" s="63">
        <v>0.71805555555555545</v>
      </c>
      <c r="U33" s="251">
        <f t="shared" si="26"/>
        <v>4.9999999999999822</v>
      </c>
      <c r="V33" s="260">
        <f t="shared" si="25"/>
        <v>65.999999999999929</v>
      </c>
      <c r="W33" s="64"/>
      <c r="X33" s="64"/>
      <c r="Y33" s="559"/>
      <c r="Z33" s="559"/>
      <c r="AA33" s="61">
        <f t="shared" si="8"/>
        <v>-99.999999999997726</v>
      </c>
      <c r="AB33" s="253">
        <f t="shared" si="9"/>
        <v>0.95833333333333426</v>
      </c>
      <c r="AC33" s="566"/>
    </row>
    <row r="34" spans="1:29" ht="15.75" customHeight="1">
      <c r="A34" s="587" t="s">
        <v>1092</v>
      </c>
      <c r="B34" s="57" t="s">
        <v>15</v>
      </c>
      <c r="C34" s="584" t="s">
        <v>70</v>
      </c>
      <c r="D34" s="584"/>
      <c r="E34" s="57">
        <v>25.99</v>
      </c>
      <c r="F34" s="261">
        <v>2467</v>
      </c>
      <c r="G34" s="251">
        <f t="shared" si="23"/>
        <v>64117.329999999994</v>
      </c>
      <c r="H34" s="263" t="s">
        <v>5</v>
      </c>
      <c r="I34" s="259">
        <v>14</v>
      </c>
      <c r="J34" s="58">
        <v>2400</v>
      </c>
      <c r="K34" s="59">
        <f t="shared" si="1"/>
        <v>171.42857142857142</v>
      </c>
      <c r="L34" s="259">
        <v>14</v>
      </c>
      <c r="M34" s="60">
        <f t="shared" si="24"/>
        <v>2312.8125000000027</v>
      </c>
      <c r="N34" s="59">
        <f t="shared" si="3"/>
        <v>165.20089285714306</v>
      </c>
      <c r="O34" s="61">
        <f t="shared" si="4"/>
        <v>0</v>
      </c>
      <c r="P34" s="62">
        <f t="shared" si="5"/>
        <v>-6.2276785714283562</v>
      </c>
      <c r="Q34" s="253">
        <f t="shared" si="6"/>
        <v>0.96367187500000129</v>
      </c>
      <c r="R34" s="566"/>
      <c r="S34" s="63">
        <v>0.7222222222222221</v>
      </c>
      <c r="T34" s="63">
        <v>0.7666666666666665</v>
      </c>
      <c r="U34" s="251">
        <f t="shared" si="26"/>
        <v>5.9999999999999787</v>
      </c>
      <c r="V34" s="260">
        <f t="shared" si="25"/>
        <v>63.999999999999929</v>
      </c>
      <c r="W34" s="64"/>
      <c r="X34" s="64"/>
      <c r="Y34" s="559"/>
      <c r="Z34" s="559"/>
      <c r="AA34" s="61">
        <f t="shared" si="8"/>
        <v>-87.187499999997272</v>
      </c>
      <c r="AB34" s="253">
        <f t="shared" si="9"/>
        <v>0.96367187500000118</v>
      </c>
      <c r="AC34" s="566"/>
    </row>
    <row r="35" spans="1:29" ht="15.75" customHeight="1">
      <c r="A35" s="587" t="s">
        <v>1091</v>
      </c>
      <c r="B35" s="57" t="s">
        <v>1081</v>
      </c>
      <c r="C35" s="571"/>
      <c r="D35" s="571"/>
      <c r="E35" s="258"/>
      <c r="F35" s="261"/>
      <c r="G35" s="251"/>
      <c r="H35" s="261"/>
      <c r="I35" s="67">
        <v>17.875</v>
      </c>
      <c r="J35" s="58">
        <v>2400</v>
      </c>
      <c r="K35" s="59">
        <f t="shared" si="1"/>
        <v>134.26573426573427</v>
      </c>
      <c r="L35" s="67">
        <v>17.875</v>
      </c>
      <c r="M35" s="60">
        <f>AVERAGE(M27:M34)</f>
        <v>2295.9891861055689</v>
      </c>
      <c r="N35" s="59">
        <f t="shared" si="3"/>
        <v>128.44694747443742</v>
      </c>
      <c r="O35" s="61">
        <f t="shared" si="4"/>
        <v>0</v>
      </c>
      <c r="P35" s="62">
        <f t="shared" si="5"/>
        <v>-5.8187867912968443</v>
      </c>
      <c r="Q35" s="253">
        <f t="shared" si="6"/>
        <v>0.95666216087732037</v>
      </c>
      <c r="R35" s="566"/>
      <c r="S35" s="63"/>
      <c r="T35" s="63"/>
      <c r="U35" s="251"/>
      <c r="V35" s="260"/>
      <c r="W35" s="251"/>
      <c r="X35" s="251"/>
      <c r="Y35" s="559"/>
      <c r="Z35" s="559"/>
      <c r="AA35" s="61">
        <f t="shared" si="8"/>
        <v>-104.01081389443107</v>
      </c>
      <c r="AB35" s="253">
        <f t="shared" si="9"/>
        <v>0.95666216087732037</v>
      </c>
      <c r="AC35" s="566"/>
    </row>
    <row r="36" spans="1:29" ht="15.75" customHeight="1">
      <c r="A36" s="582" t="s">
        <v>1093</v>
      </c>
      <c r="B36" s="57" t="s">
        <v>15</v>
      </c>
      <c r="C36" s="560" t="s">
        <v>101</v>
      </c>
      <c r="D36" s="560"/>
      <c r="E36" s="57">
        <v>22.69</v>
      </c>
      <c r="F36" s="261">
        <v>2838</v>
      </c>
      <c r="G36" s="251">
        <f t="shared" ref="G36:G44" si="27">E36*F36</f>
        <v>64394.22</v>
      </c>
      <c r="H36" s="263" t="s">
        <v>5</v>
      </c>
      <c r="I36" s="259">
        <v>15</v>
      </c>
      <c r="J36" s="58">
        <v>2400</v>
      </c>
      <c r="K36" s="59">
        <f t="shared" si="1"/>
        <v>160</v>
      </c>
      <c r="L36" s="259">
        <v>15</v>
      </c>
      <c r="M36" s="60">
        <f t="shared" ref="M36:M44" si="28">F36/V36*60</f>
        <v>2301.0810810810813</v>
      </c>
      <c r="N36" s="59">
        <f t="shared" si="3"/>
        <v>153.40540540540542</v>
      </c>
      <c r="O36" s="61">
        <f t="shared" si="4"/>
        <v>0</v>
      </c>
      <c r="P36" s="62">
        <f t="shared" si="5"/>
        <v>-6.5945945945945823</v>
      </c>
      <c r="Q36" s="253">
        <f t="shared" si="6"/>
        <v>0.95878378378378382</v>
      </c>
      <c r="R36" s="566">
        <f>Q45</f>
        <v>0.95862429136202476</v>
      </c>
      <c r="S36" s="63">
        <v>8.3333333333333329E-2</v>
      </c>
      <c r="T36" s="63">
        <v>0.13472222222222222</v>
      </c>
      <c r="U36" s="251"/>
      <c r="V36" s="260">
        <f t="shared" ref="V36:V44" si="29">(T36-S36)*24*60</f>
        <v>74</v>
      </c>
      <c r="W36" s="68">
        <f>T36</f>
        <v>0.13472222222222222</v>
      </c>
      <c r="X36" s="68">
        <f>S37</f>
        <v>0.1534722222222222</v>
      </c>
      <c r="Y36" s="559"/>
      <c r="Z36" s="559"/>
      <c r="AA36" s="61">
        <f t="shared" si="8"/>
        <v>-98.918918918918735</v>
      </c>
      <c r="AB36" s="253">
        <f t="shared" si="9"/>
        <v>0.95878378378378382</v>
      </c>
      <c r="AC36" s="566">
        <f>AB45</f>
        <v>0.95862429136202476</v>
      </c>
    </row>
    <row r="37" spans="1:29" ht="15.75" customHeight="1">
      <c r="A37" s="582" t="s">
        <v>1094</v>
      </c>
      <c r="B37" s="57" t="s">
        <v>15</v>
      </c>
      <c r="C37" s="560" t="s">
        <v>27</v>
      </c>
      <c r="D37" s="560"/>
      <c r="E37" s="57">
        <v>26.2</v>
      </c>
      <c r="F37" s="261">
        <v>4600</v>
      </c>
      <c r="G37" s="251">
        <f t="shared" si="27"/>
        <v>120520</v>
      </c>
      <c r="H37" s="263">
        <v>2</v>
      </c>
      <c r="I37" s="259">
        <v>18</v>
      </c>
      <c r="J37" s="58">
        <v>2400</v>
      </c>
      <c r="K37" s="59">
        <f t="shared" si="1"/>
        <v>133.33333333333334</v>
      </c>
      <c r="L37" s="259">
        <v>18</v>
      </c>
      <c r="M37" s="60">
        <f t="shared" si="28"/>
        <v>2300</v>
      </c>
      <c r="N37" s="59">
        <f t="shared" si="3"/>
        <v>127.77777777777777</v>
      </c>
      <c r="O37" s="61">
        <f t="shared" si="4"/>
        <v>0</v>
      </c>
      <c r="P37" s="62">
        <f t="shared" si="5"/>
        <v>-5.5555555555555713</v>
      </c>
      <c r="Q37" s="253">
        <f t="shared" si="6"/>
        <v>0.95833333333333326</v>
      </c>
      <c r="R37" s="566"/>
      <c r="S37" s="63">
        <v>0.1534722222222222</v>
      </c>
      <c r="T37" s="63">
        <v>0.23680555555555555</v>
      </c>
      <c r="U37" s="251">
        <f t="shared" ref="U37:U44" si="30">(S37-T36)*24*60</f>
        <v>26.999999999999986</v>
      </c>
      <c r="V37" s="260">
        <f t="shared" si="29"/>
        <v>120</v>
      </c>
      <c r="W37" s="251"/>
      <c r="X37" s="251"/>
      <c r="Y37" s="559"/>
      <c r="Z37" s="559"/>
      <c r="AA37" s="61">
        <f t="shared" si="8"/>
        <v>-100</v>
      </c>
      <c r="AB37" s="253">
        <f t="shared" si="9"/>
        <v>0.95833333333333337</v>
      </c>
      <c r="AC37" s="566"/>
    </row>
    <row r="38" spans="1:29">
      <c r="A38" s="583" t="s">
        <v>88</v>
      </c>
      <c r="B38" s="57" t="s">
        <v>15</v>
      </c>
      <c r="C38" s="560" t="s">
        <v>25</v>
      </c>
      <c r="D38" s="560"/>
      <c r="E38" s="57">
        <v>26.18</v>
      </c>
      <c r="F38" s="261">
        <v>3152</v>
      </c>
      <c r="G38" s="251">
        <f t="shared" si="27"/>
        <v>82519.360000000001</v>
      </c>
      <c r="H38" s="263" t="s">
        <v>5</v>
      </c>
      <c r="I38" s="259">
        <v>19</v>
      </c>
      <c r="J38" s="58">
        <v>2400</v>
      </c>
      <c r="K38" s="59">
        <f t="shared" si="1"/>
        <v>126.31578947368421</v>
      </c>
      <c r="L38" s="259">
        <v>19</v>
      </c>
      <c r="M38" s="60">
        <f t="shared" si="28"/>
        <v>2306.3414634146343</v>
      </c>
      <c r="N38" s="59">
        <f t="shared" si="3"/>
        <v>121.38639281129655</v>
      </c>
      <c r="O38" s="61">
        <f t="shared" si="4"/>
        <v>0</v>
      </c>
      <c r="P38" s="62">
        <f t="shared" si="5"/>
        <v>-4.9293966623876599</v>
      </c>
      <c r="Q38" s="253">
        <f t="shared" si="6"/>
        <v>0.96097560975609764</v>
      </c>
      <c r="R38" s="566"/>
      <c r="S38" s="63">
        <v>0.24097222222222223</v>
      </c>
      <c r="T38" s="63">
        <v>0.29791666666666666</v>
      </c>
      <c r="U38" s="251">
        <f t="shared" si="30"/>
        <v>6.0000000000000187</v>
      </c>
      <c r="V38" s="260">
        <f t="shared" si="29"/>
        <v>81.999999999999986</v>
      </c>
      <c r="W38" s="251"/>
      <c r="X38" s="251"/>
      <c r="Y38" s="559"/>
      <c r="Z38" s="559"/>
      <c r="AA38" s="61">
        <f t="shared" si="8"/>
        <v>-93.658536585365709</v>
      </c>
      <c r="AB38" s="253">
        <f t="shared" si="9"/>
        <v>0.96097560975609764</v>
      </c>
      <c r="AC38" s="566"/>
    </row>
    <row r="39" spans="1:29">
      <c r="A39" s="583" t="s">
        <v>1095</v>
      </c>
      <c r="B39" s="57" t="s">
        <v>15</v>
      </c>
      <c r="C39" s="560" t="s">
        <v>28</v>
      </c>
      <c r="D39" s="560"/>
      <c r="E39" s="57">
        <v>26.39</v>
      </c>
      <c r="F39" s="261">
        <v>4600</v>
      </c>
      <c r="G39" s="251">
        <f t="shared" si="27"/>
        <v>121394</v>
      </c>
      <c r="H39" s="263">
        <v>2</v>
      </c>
      <c r="I39" s="259">
        <v>19</v>
      </c>
      <c r="J39" s="58">
        <v>2400</v>
      </c>
      <c r="K39" s="59">
        <f t="shared" si="1"/>
        <v>126.31578947368421</v>
      </c>
      <c r="L39" s="259">
        <v>19</v>
      </c>
      <c r="M39" s="60">
        <f t="shared" si="28"/>
        <v>2300.0000000000005</v>
      </c>
      <c r="N39" s="59">
        <f t="shared" si="3"/>
        <v>121.0526315789474</v>
      </c>
      <c r="O39" s="61">
        <f t="shared" si="4"/>
        <v>0</v>
      </c>
      <c r="P39" s="62">
        <f t="shared" si="5"/>
        <v>-5.263157894736807</v>
      </c>
      <c r="Q39" s="253">
        <f t="shared" si="6"/>
        <v>0.95833333333333359</v>
      </c>
      <c r="R39" s="566"/>
      <c r="S39" s="63">
        <v>0.3034722222222222</v>
      </c>
      <c r="T39" s="63">
        <v>0.38680555555555551</v>
      </c>
      <c r="U39" s="251">
        <f t="shared" si="30"/>
        <v>7.9999999999999716</v>
      </c>
      <c r="V39" s="260">
        <f t="shared" si="29"/>
        <v>119.99999999999997</v>
      </c>
      <c r="W39" s="64"/>
      <c r="X39" s="64"/>
      <c r="Y39" s="559"/>
      <c r="Z39" s="559"/>
      <c r="AA39" s="61">
        <f t="shared" si="8"/>
        <v>-99.999999999999545</v>
      </c>
      <c r="AB39" s="253">
        <f t="shared" si="9"/>
        <v>0.95833333333333348</v>
      </c>
      <c r="AC39" s="566"/>
    </row>
    <row r="40" spans="1:29">
      <c r="A40" s="583" t="s">
        <v>88</v>
      </c>
      <c r="B40" s="57" t="s">
        <v>15</v>
      </c>
      <c r="C40" s="560" t="s">
        <v>658</v>
      </c>
      <c r="D40" s="560"/>
      <c r="E40" s="57">
        <v>21.68</v>
      </c>
      <c r="F40" s="261">
        <v>3500</v>
      </c>
      <c r="G40" s="251">
        <f t="shared" si="27"/>
        <v>75880</v>
      </c>
      <c r="H40" s="263">
        <v>2</v>
      </c>
      <c r="I40" s="259">
        <v>16</v>
      </c>
      <c r="J40" s="58">
        <v>2400</v>
      </c>
      <c r="K40" s="59">
        <f t="shared" si="1"/>
        <v>150</v>
      </c>
      <c r="L40" s="259">
        <v>16</v>
      </c>
      <c r="M40" s="60">
        <f t="shared" si="28"/>
        <v>2307.6923076923076</v>
      </c>
      <c r="N40" s="59">
        <f t="shared" si="3"/>
        <v>144.23076923076923</v>
      </c>
      <c r="O40" s="61">
        <f t="shared" si="4"/>
        <v>0</v>
      </c>
      <c r="P40" s="62">
        <f t="shared" si="5"/>
        <v>-5.7692307692307736</v>
      </c>
      <c r="Q40" s="253">
        <f t="shared" si="6"/>
        <v>0.96153846153846156</v>
      </c>
      <c r="R40" s="566"/>
      <c r="S40" s="63">
        <v>0.39236111111111105</v>
      </c>
      <c r="T40" s="63">
        <v>0.45555555555555549</v>
      </c>
      <c r="U40" s="251">
        <f t="shared" si="30"/>
        <v>7.9999999999999716</v>
      </c>
      <c r="V40" s="260">
        <f t="shared" si="29"/>
        <v>91</v>
      </c>
      <c r="W40" s="64"/>
      <c r="X40" s="64"/>
      <c r="Y40" s="559"/>
      <c r="Z40" s="559"/>
      <c r="AA40" s="61">
        <f t="shared" si="8"/>
        <v>-92.307692307692378</v>
      </c>
      <c r="AB40" s="253">
        <f t="shared" si="9"/>
        <v>0.96153846153846156</v>
      </c>
      <c r="AC40" s="566"/>
    </row>
    <row r="41" spans="1:29">
      <c r="A41" s="583" t="s">
        <v>1094</v>
      </c>
      <c r="B41" s="57" t="s">
        <v>15</v>
      </c>
      <c r="C41" s="560" t="s">
        <v>30</v>
      </c>
      <c r="D41" s="560"/>
      <c r="E41" s="57">
        <v>24.25</v>
      </c>
      <c r="F41" s="261">
        <v>2396</v>
      </c>
      <c r="G41" s="251">
        <f t="shared" si="27"/>
        <v>58103</v>
      </c>
      <c r="H41" s="263" t="s">
        <v>5</v>
      </c>
      <c r="I41" s="259">
        <v>13</v>
      </c>
      <c r="J41" s="58">
        <v>2400</v>
      </c>
      <c r="K41" s="59">
        <f t="shared" si="1"/>
        <v>184.61538461538461</v>
      </c>
      <c r="L41" s="259">
        <v>13</v>
      </c>
      <c r="M41" s="60">
        <f t="shared" si="28"/>
        <v>2318.7096774193569</v>
      </c>
      <c r="N41" s="59">
        <f t="shared" si="3"/>
        <v>178.36228287841206</v>
      </c>
      <c r="O41" s="61">
        <f t="shared" si="4"/>
        <v>0</v>
      </c>
      <c r="P41" s="62">
        <f t="shared" si="5"/>
        <v>-6.2531017369725532</v>
      </c>
      <c r="Q41" s="253">
        <f t="shared" si="6"/>
        <v>0.96612903225806535</v>
      </c>
      <c r="R41" s="566"/>
      <c r="S41" s="63">
        <v>0.46041666666666659</v>
      </c>
      <c r="T41" s="63">
        <v>0.5034722222222221</v>
      </c>
      <c r="U41" s="251">
        <f t="shared" si="30"/>
        <v>6.9999999999999751</v>
      </c>
      <c r="V41" s="260">
        <f t="shared" si="29"/>
        <v>61.999999999999943</v>
      </c>
      <c r="W41" s="64">
        <f>T41</f>
        <v>0.5034722222222221</v>
      </c>
      <c r="X41" s="64">
        <f>S42</f>
        <v>0.54444444444444429</v>
      </c>
      <c r="Y41" s="559"/>
      <c r="Z41" s="559"/>
      <c r="AA41" s="61">
        <f t="shared" si="8"/>
        <v>-81.290322580643078</v>
      </c>
      <c r="AB41" s="253">
        <f t="shared" si="9"/>
        <v>0.96612903225806535</v>
      </c>
      <c r="AC41" s="566"/>
    </row>
    <row r="42" spans="1:29">
      <c r="A42" s="583" t="s">
        <v>1094</v>
      </c>
      <c r="B42" s="57" t="s">
        <v>15</v>
      </c>
      <c r="C42" s="560" t="s">
        <v>658</v>
      </c>
      <c r="D42" s="560"/>
      <c r="E42" s="57">
        <v>21.68</v>
      </c>
      <c r="F42" s="261">
        <v>3907</v>
      </c>
      <c r="G42" s="251">
        <f t="shared" si="27"/>
        <v>84703.76</v>
      </c>
      <c r="H42" s="263" t="s">
        <v>5</v>
      </c>
      <c r="I42" s="259">
        <v>16</v>
      </c>
      <c r="J42" s="58">
        <v>2400</v>
      </c>
      <c r="K42" s="59">
        <f t="shared" si="1"/>
        <v>150</v>
      </c>
      <c r="L42" s="259">
        <v>16</v>
      </c>
      <c r="M42" s="60">
        <f t="shared" si="28"/>
        <v>2298.2352941176478</v>
      </c>
      <c r="N42" s="59">
        <f t="shared" si="3"/>
        <v>143.63970588235298</v>
      </c>
      <c r="O42" s="61">
        <f t="shared" si="4"/>
        <v>0</v>
      </c>
      <c r="P42" s="62">
        <f t="shared" si="5"/>
        <v>-6.3602941176470154</v>
      </c>
      <c r="Q42" s="253">
        <f t="shared" si="6"/>
        <v>0.95759803921568654</v>
      </c>
      <c r="R42" s="566"/>
      <c r="S42" s="63">
        <v>0.54444444444444429</v>
      </c>
      <c r="T42" s="63">
        <v>0.61527777777777759</v>
      </c>
      <c r="U42" s="251">
        <f t="shared" si="30"/>
        <v>58.99999999999995</v>
      </c>
      <c r="V42" s="260">
        <f t="shared" si="29"/>
        <v>101.99999999999996</v>
      </c>
      <c r="W42" s="64"/>
      <c r="X42" s="64"/>
      <c r="Y42" s="569"/>
      <c r="Z42" s="570"/>
      <c r="AA42" s="61">
        <f t="shared" si="8"/>
        <v>-101.76470588235225</v>
      </c>
      <c r="AB42" s="253">
        <f t="shared" si="9"/>
        <v>0.95759803921568654</v>
      </c>
      <c r="AC42" s="566"/>
    </row>
    <row r="43" spans="1:29">
      <c r="A43" s="583" t="s">
        <v>1094</v>
      </c>
      <c r="B43" s="57" t="s">
        <v>15</v>
      </c>
      <c r="C43" s="560" t="s">
        <v>27</v>
      </c>
      <c r="D43" s="560"/>
      <c r="E43" s="57">
        <v>26.2</v>
      </c>
      <c r="F43" s="261">
        <v>3248</v>
      </c>
      <c r="G43" s="251">
        <f t="shared" si="27"/>
        <v>85097.599999999991</v>
      </c>
      <c r="H43" s="263" t="s">
        <v>5</v>
      </c>
      <c r="I43" s="259">
        <v>18</v>
      </c>
      <c r="J43" s="58">
        <v>2400</v>
      </c>
      <c r="K43" s="59">
        <f t="shared" si="1"/>
        <v>133.33333333333334</v>
      </c>
      <c r="L43" s="259">
        <v>18</v>
      </c>
      <c r="M43" s="60">
        <f t="shared" si="28"/>
        <v>2292.7058823529405</v>
      </c>
      <c r="N43" s="59">
        <f t="shared" si="3"/>
        <v>127.3725490196078</v>
      </c>
      <c r="O43" s="61">
        <f t="shared" si="4"/>
        <v>0</v>
      </c>
      <c r="P43" s="62">
        <f t="shared" si="5"/>
        <v>-5.9607843137255401</v>
      </c>
      <c r="Q43" s="253">
        <f t="shared" si="6"/>
        <v>0.95529411764705841</v>
      </c>
      <c r="R43" s="566"/>
      <c r="S43" s="63">
        <v>0.62013888888888868</v>
      </c>
      <c r="T43" s="63">
        <v>0.67916666666666647</v>
      </c>
      <c r="U43" s="251">
        <f t="shared" si="30"/>
        <v>6.9999999999999751</v>
      </c>
      <c r="V43" s="260">
        <f t="shared" si="29"/>
        <v>85.000000000000014</v>
      </c>
      <c r="W43" s="64"/>
      <c r="X43" s="64"/>
      <c r="Y43" s="569"/>
      <c r="Z43" s="570"/>
      <c r="AA43" s="61">
        <f t="shared" si="8"/>
        <v>-107.29411764705947</v>
      </c>
      <c r="AB43" s="253">
        <f t="shared" si="9"/>
        <v>0.95529411764705852</v>
      </c>
      <c r="AC43" s="566"/>
    </row>
    <row r="44" spans="1:29">
      <c r="A44" s="583" t="s">
        <v>88</v>
      </c>
      <c r="B44" s="57" t="s">
        <v>15</v>
      </c>
      <c r="C44" s="560" t="s">
        <v>28</v>
      </c>
      <c r="D44" s="560"/>
      <c r="E44" s="57">
        <v>26.39</v>
      </c>
      <c r="F44" s="261">
        <v>3004</v>
      </c>
      <c r="G44" s="251">
        <f t="shared" si="27"/>
        <v>79275.56</v>
      </c>
      <c r="H44" s="263" t="s">
        <v>5</v>
      </c>
      <c r="I44" s="259">
        <v>19</v>
      </c>
      <c r="J44" s="58">
        <v>2400</v>
      </c>
      <c r="K44" s="59">
        <f t="shared" si="1"/>
        <v>126.31578947368421</v>
      </c>
      <c r="L44" s="259">
        <v>19</v>
      </c>
      <c r="M44" s="60">
        <f t="shared" si="28"/>
        <v>2281.5189873417712</v>
      </c>
      <c r="N44" s="59">
        <f t="shared" si="3"/>
        <v>120.07994670219848</v>
      </c>
      <c r="O44" s="61">
        <f t="shared" si="4"/>
        <v>0</v>
      </c>
      <c r="P44" s="62">
        <f t="shared" si="5"/>
        <v>-6.2358427714857214</v>
      </c>
      <c r="Q44" s="253">
        <f t="shared" si="6"/>
        <v>0.95063291139240469</v>
      </c>
      <c r="R44" s="566"/>
      <c r="S44" s="63">
        <v>0.68333333333333313</v>
      </c>
      <c r="T44" s="63">
        <v>0.73819444444444426</v>
      </c>
      <c r="U44" s="251">
        <f t="shared" si="30"/>
        <v>5.9999999999999787</v>
      </c>
      <c r="V44" s="260">
        <f t="shared" si="29"/>
        <v>79.000000000000043</v>
      </c>
      <c r="W44" s="64"/>
      <c r="X44" s="64"/>
      <c r="Y44" s="569"/>
      <c r="Z44" s="570"/>
      <c r="AA44" s="61">
        <f t="shared" si="8"/>
        <v>-118.48101265822879</v>
      </c>
      <c r="AB44" s="253">
        <f t="shared" si="9"/>
        <v>0.95063291139240469</v>
      </c>
      <c r="AC44" s="566"/>
    </row>
    <row r="45" spans="1:29">
      <c r="A45" s="583" t="s">
        <v>1094</v>
      </c>
      <c r="B45" s="66" t="s">
        <v>159</v>
      </c>
      <c r="C45" s="571"/>
      <c r="D45" s="571"/>
      <c r="E45" s="258"/>
      <c r="F45" s="66"/>
      <c r="G45" s="59"/>
      <c r="H45" s="261"/>
      <c r="I45" s="67">
        <v>17</v>
      </c>
      <c r="J45" s="58">
        <v>2400</v>
      </c>
      <c r="K45" s="59">
        <f t="shared" si="1"/>
        <v>141.1764705882353</v>
      </c>
      <c r="L45" s="67">
        <v>17</v>
      </c>
      <c r="M45" s="60">
        <f>AVERAGE(M36:M44)</f>
        <v>2300.6982992688595</v>
      </c>
      <c r="N45" s="59">
        <f t="shared" si="3"/>
        <v>135.33519407463879</v>
      </c>
      <c r="O45" s="61">
        <f t="shared" si="4"/>
        <v>0</v>
      </c>
      <c r="P45" s="62">
        <f t="shared" si="5"/>
        <v>-5.8412765135965117</v>
      </c>
      <c r="Q45" s="253">
        <f t="shared" si="6"/>
        <v>0.95862429136202476</v>
      </c>
      <c r="R45" s="566"/>
      <c r="S45" s="63"/>
      <c r="T45" s="63"/>
      <c r="U45" s="59"/>
      <c r="V45" s="260"/>
      <c r="W45" s="59"/>
      <c r="X45" s="59"/>
      <c r="Y45" s="559"/>
      <c r="Z45" s="559"/>
      <c r="AA45" s="61">
        <f t="shared" si="8"/>
        <v>-99.3017007311405</v>
      </c>
      <c r="AB45" s="253">
        <f t="shared" si="9"/>
        <v>0.95862429136202476</v>
      </c>
      <c r="AC45" s="566"/>
    </row>
    <row r="46" spans="1:29" ht="15.75" customHeight="1">
      <c r="A46" s="576" t="s">
        <v>1096</v>
      </c>
      <c r="B46" s="57" t="s">
        <v>31</v>
      </c>
      <c r="C46" s="567" t="s">
        <v>32</v>
      </c>
      <c r="D46" s="568"/>
      <c r="E46" s="57">
        <v>21.13</v>
      </c>
      <c r="F46" s="261">
        <v>2500</v>
      </c>
      <c r="G46" s="251">
        <f t="shared" ref="G46:G53" si="31">E46*F46</f>
        <v>52825</v>
      </c>
      <c r="H46" s="263">
        <v>2</v>
      </c>
      <c r="I46" s="259">
        <v>10</v>
      </c>
      <c r="J46" s="58">
        <v>3000</v>
      </c>
      <c r="K46" s="59">
        <f t="shared" si="1"/>
        <v>300</v>
      </c>
      <c r="L46" s="259">
        <v>10</v>
      </c>
      <c r="M46" s="60">
        <f t="shared" ref="M46:M53" si="32">F46/V46*60</f>
        <v>2884.6153846153848</v>
      </c>
      <c r="N46" s="60">
        <f t="shared" si="3"/>
        <v>288.46153846153845</v>
      </c>
      <c r="O46" s="61">
        <f t="shared" si="4"/>
        <v>0</v>
      </c>
      <c r="P46" s="62">
        <f t="shared" si="5"/>
        <v>-11.538461538461547</v>
      </c>
      <c r="Q46" s="253">
        <f t="shared" si="6"/>
        <v>0.96153846153846156</v>
      </c>
      <c r="R46" s="579">
        <f>Q54</f>
        <v>0.95817336832037947</v>
      </c>
      <c r="S46" s="63">
        <v>8.3333333333333329E-2</v>
      </c>
      <c r="T46" s="63">
        <v>0.11944444444444444</v>
      </c>
      <c r="U46" s="68"/>
      <c r="V46" s="260">
        <f t="shared" ref="V46:V53" si="33">(T46-S46)*24*60</f>
        <v>51.999999999999993</v>
      </c>
      <c r="W46" s="64">
        <f>T46</f>
        <v>0.11944444444444444</v>
      </c>
      <c r="X46" s="64">
        <f>S47</f>
        <v>0.13680555555555554</v>
      </c>
      <c r="Y46" s="569"/>
      <c r="Z46" s="570"/>
      <c r="AA46" s="61">
        <f t="shared" si="8"/>
        <v>-115.38461538461524</v>
      </c>
      <c r="AB46" s="253">
        <f t="shared" si="9"/>
        <v>0.96153846153846156</v>
      </c>
      <c r="AC46" s="579">
        <f>AB54</f>
        <v>0.95817336832037947</v>
      </c>
    </row>
    <row r="47" spans="1:29" ht="15.75" customHeight="1">
      <c r="A47" s="577" t="s">
        <v>1097</v>
      </c>
      <c r="B47" s="57" t="s">
        <v>31</v>
      </c>
      <c r="C47" s="567" t="s">
        <v>33</v>
      </c>
      <c r="D47" s="568"/>
      <c r="E47" s="57">
        <v>27.17</v>
      </c>
      <c r="F47" s="261">
        <v>4500</v>
      </c>
      <c r="G47" s="251">
        <f t="shared" si="31"/>
        <v>122265.00000000001</v>
      </c>
      <c r="H47" s="263">
        <v>2</v>
      </c>
      <c r="I47" s="259">
        <v>10</v>
      </c>
      <c r="J47" s="58">
        <v>3000</v>
      </c>
      <c r="K47" s="59">
        <f t="shared" si="1"/>
        <v>300</v>
      </c>
      <c r="L47" s="259">
        <v>10</v>
      </c>
      <c r="M47" s="60">
        <f t="shared" si="32"/>
        <v>2872.3404255319142</v>
      </c>
      <c r="N47" s="60">
        <f t="shared" si="3"/>
        <v>287.23404255319144</v>
      </c>
      <c r="O47" s="61">
        <f t="shared" si="4"/>
        <v>0</v>
      </c>
      <c r="P47" s="62">
        <f t="shared" si="5"/>
        <v>-12.765957446808557</v>
      </c>
      <c r="Q47" s="253">
        <f t="shared" si="6"/>
        <v>0.95744680851063813</v>
      </c>
      <c r="R47" s="580"/>
      <c r="S47" s="63">
        <v>0.13680555555555554</v>
      </c>
      <c r="T47" s="63">
        <v>0.20208333333333334</v>
      </c>
      <c r="U47" s="251">
        <f t="shared" ref="U47:U53" si="34">(S47-T46)*24*60</f>
        <v>24.999999999999993</v>
      </c>
      <c r="V47" s="260">
        <f t="shared" si="33"/>
        <v>94.000000000000028</v>
      </c>
      <c r="W47" s="64"/>
      <c r="X47" s="64"/>
      <c r="Y47" s="569"/>
      <c r="Z47" s="570"/>
      <c r="AA47" s="61">
        <f t="shared" si="8"/>
        <v>-127.65957446808579</v>
      </c>
      <c r="AB47" s="253">
        <f t="shared" si="9"/>
        <v>0.95744680851063801</v>
      </c>
      <c r="AC47" s="580"/>
    </row>
    <row r="48" spans="1:29" ht="15.75" customHeight="1">
      <c r="A48" s="577" t="s">
        <v>1097</v>
      </c>
      <c r="B48" s="57" t="s">
        <v>31</v>
      </c>
      <c r="C48" s="567" t="s">
        <v>35</v>
      </c>
      <c r="D48" s="568"/>
      <c r="E48" s="57">
        <v>35.869999999999997</v>
      </c>
      <c r="F48" s="261">
        <v>3087</v>
      </c>
      <c r="G48" s="251">
        <f t="shared" si="31"/>
        <v>110730.68999999999</v>
      </c>
      <c r="H48" s="263" t="s">
        <v>5</v>
      </c>
      <c r="I48" s="259">
        <v>9</v>
      </c>
      <c r="J48" s="58">
        <v>3000</v>
      </c>
      <c r="K48" s="59">
        <f t="shared" si="1"/>
        <v>333.33333333333331</v>
      </c>
      <c r="L48" s="259">
        <v>9</v>
      </c>
      <c r="M48" s="60">
        <f t="shared" si="32"/>
        <v>2894.0625000000014</v>
      </c>
      <c r="N48" s="60">
        <f t="shared" si="3"/>
        <v>321.56250000000017</v>
      </c>
      <c r="O48" s="61">
        <f t="shared" si="4"/>
        <v>0</v>
      </c>
      <c r="P48" s="62">
        <f t="shared" si="5"/>
        <v>-11.770833333333144</v>
      </c>
      <c r="Q48" s="253">
        <f t="shared" si="6"/>
        <v>0.96468750000000059</v>
      </c>
      <c r="R48" s="580"/>
      <c r="S48" s="63">
        <v>0.20694444444444446</v>
      </c>
      <c r="T48" s="63">
        <v>0.25138888888888888</v>
      </c>
      <c r="U48" s="251">
        <f t="shared" si="34"/>
        <v>7.0000000000000151</v>
      </c>
      <c r="V48" s="260">
        <f t="shared" si="33"/>
        <v>63.999999999999972</v>
      </c>
      <c r="W48" s="64"/>
      <c r="X48" s="64"/>
      <c r="Y48" s="569"/>
      <c r="Z48" s="570"/>
      <c r="AA48" s="61">
        <f t="shared" si="8"/>
        <v>-105.93749999999864</v>
      </c>
      <c r="AB48" s="253">
        <f t="shared" si="9"/>
        <v>0.96468750000000048</v>
      </c>
      <c r="AC48" s="580"/>
    </row>
    <row r="49" spans="1:29" ht="15.75" customHeight="1">
      <c r="A49" s="577" t="s">
        <v>1098</v>
      </c>
      <c r="B49" s="57" t="s">
        <v>31</v>
      </c>
      <c r="C49" s="567" t="s">
        <v>34</v>
      </c>
      <c r="D49" s="568"/>
      <c r="E49" s="57">
        <v>35.119999999999997</v>
      </c>
      <c r="F49" s="261">
        <v>4956</v>
      </c>
      <c r="G49" s="251">
        <f t="shared" si="31"/>
        <v>174054.72</v>
      </c>
      <c r="H49" s="263" t="s">
        <v>5</v>
      </c>
      <c r="I49" s="259">
        <v>10</v>
      </c>
      <c r="J49" s="58">
        <v>3000</v>
      </c>
      <c r="K49" s="59">
        <f t="shared" si="1"/>
        <v>300</v>
      </c>
      <c r="L49" s="259">
        <v>10</v>
      </c>
      <c r="M49" s="60">
        <f t="shared" si="32"/>
        <v>2859.2307692307681</v>
      </c>
      <c r="N49" s="60">
        <f t="shared" si="3"/>
        <v>285.92307692307679</v>
      </c>
      <c r="O49" s="61">
        <f t="shared" si="4"/>
        <v>0</v>
      </c>
      <c r="P49" s="62">
        <f t="shared" si="5"/>
        <v>-14.076923076923208</v>
      </c>
      <c r="Q49" s="253">
        <f t="shared" si="6"/>
        <v>0.9530769230769226</v>
      </c>
      <c r="R49" s="580"/>
      <c r="S49" s="63">
        <v>0.25486111111111109</v>
      </c>
      <c r="T49" s="63">
        <v>0.32708333333333334</v>
      </c>
      <c r="U49" s="251">
        <f t="shared" si="34"/>
        <v>4.9999999999999822</v>
      </c>
      <c r="V49" s="260">
        <f t="shared" si="33"/>
        <v>104.00000000000003</v>
      </c>
      <c r="W49" s="64"/>
      <c r="X49" s="64"/>
      <c r="Y49" s="569"/>
      <c r="Z49" s="570"/>
      <c r="AA49" s="61">
        <f t="shared" si="8"/>
        <v>-140.76923076923185</v>
      </c>
      <c r="AB49" s="253">
        <f t="shared" si="9"/>
        <v>0.95307692307692271</v>
      </c>
      <c r="AC49" s="580"/>
    </row>
    <row r="50" spans="1:29" ht="15.75" customHeight="1">
      <c r="A50" s="577" t="s">
        <v>1098</v>
      </c>
      <c r="B50" s="57" t="s">
        <v>31</v>
      </c>
      <c r="C50" s="567" t="s">
        <v>71</v>
      </c>
      <c r="D50" s="568"/>
      <c r="E50" s="57">
        <v>31</v>
      </c>
      <c r="F50" s="261">
        <v>2582</v>
      </c>
      <c r="G50" s="251">
        <f t="shared" si="31"/>
        <v>80042</v>
      </c>
      <c r="H50" s="263" t="s">
        <v>5</v>
      </c>
      <c r="I50" s="259">
        <v>13</v>
      </c>
      <c r="J50" s="58">
        <v>2000</v>
      </c>
      <c r="K50" s="59">
        <f t="shared" si="1"/>
        <v>153.84615384615384</v>
      </c>
      <c r="L50" s="259">
        <v>13</v>
      </c>
      <c r="M50" s="60">
        <f t="shared" si="32"/>
        <v>1912.5925925925919</v>
      </c>
      <c r="N50" s="60">
        <f t="shared" si="3"/>
        <v>147.12250712250707</v>
      </c>
      <c r="O50" s="61">
        <f t="shared" si="4"/>
        <v>0</v>
      </c>
      <c r="P50" s="62">
        <f t="shared" si="5"/>
        <v>-6.7236467236467661</v>
      </c>
      <c r="Q50" s="253">
        <f t="shared" si="6"/>
        <v>0.95629629629629598</v>
      </c>
      <c r="R50" s="580"/>
      <c r="S50" s="63">
        <v>0.33263888888888887</v>
      </c>
      <c r="T50" s="63">
        <v>0.3888888888888889</v>
      </c>
      <c r="U50" s="251">
        <f t="shared" si="34"/>
        <v>7.9999999999999716</v>
      </c>
      <c r="V50" s="260">
        <f t="shared" si="33"/>
        <v>81.000000000000028</v>
      </c>
      <c r="W50" s="64"/>
      <c r="X50" s="64"/>
      <c r="Y50" s="569"/>
      <c r="Z50" s="570"/>
      <c r="AA50" s="61">
        <f t="shared" si="8"/>
        <v>-87.407407407408073</v>
      </c>
      <c r="AB50" s="253">
        <f t="shared" si="9"/>
        <v>0.95629629629629598</v>
      </c>
      <c r="AC50" s="580"/>
    </row>
    <row r="51" spans="1:29" ht="15.75" customHeight="1">
      <c r="A51" s="577" t="s">
        <v>168</v>
      </c>
      <c r="B51" s="57" t="s">
        <v>31</v>
      </c>
      <c r="C51" s="567" t="s">
        <v>659</v>
      </c>
      <c r="D51" s="568"/>
      <c r="E51" s="57">
        <v>37.880000000000003</v>
      </c>
      <c r="F51" s="261">
        <v>5719</v>
      </c>
      <c r="G51" s="251">
        <f t="shared" si="31"/>
        <v>216635.72</v>
      </c>
      <c r="H51" s="263" t="s">
        <v>5</v>
      </c>
      <c r="I51" s="259">
        <v>16</v>
      </c>
      <c r="J51" s="58">
        <v>2000</v>
      </c>
      <c r="K51" s="59">
        <f t="shared" si="1"/>
        <v>125</v>
      </c>
      <c r="L51" s="259">
        <v>16</v>
      </c>
      <c r="M51" s="60">
        <f t="shared" si="32"/>
        <v>1906.3333333333326</v>
      </c>
      <c r="N51" s="60">
        <f t="shared" si="3"/>
        <v>119.14583333333329</v>
      </c>
      <c r="O51" s="61">
        <f t="shared" si="4"/>
        <v>0</v>
      </c>
      <c r="P51" s="62">
        <f t="shared" si="5"/>
        <v>-5.854166666666714</v>
      </c>
      <c r="Q51" s="253">
        <f t="shared" si="6"/>
        <v>0.95316666666666627</v>
      </c>
      <c r="R51" s="580"/>
      <c r="S51" s="63">
        <v>0.3923611111111111</v>
      </c>
      <c r="T51" s="63">
        <v>0.51736111111111116</v>
      </c>
      <c r="U51" s="251">
        <f t="shared" si="34"/>
        <v>4.9999999999999822</v>
      </c>
      <c r="V51" s="260">
        <f t="shared" si="33"/>
        <v>180.00000000000009</v>
      </c>
      <c r="W51" s="64">
        <f>T51</f>
        <v>0.51736111111111116</v>
      </c>
      <c r="X51" s="64">
        <f>S52</f>
        <v>0.55625000000000002</v>
      </c>
      <c r="Y51" s="569"/>
      <c r="Z51" s="570"/>
      <c r="AA51" s="61">
        <f t="shared" si="8"/>
        <v>-93.666666666667425</v>
      </c>
      <c r="AB51" s="253">
        <f t="shared" si="9"/>
        <v>0.95316666666666627</v>
      </c>
      <c r="AC51" s="580"/>
    </row>
    <row r="52" spans="1:29" ht="15.75" customHeight="1">
      <c r="A52" s="577" t="s">
        <v>168</v>
      </c>
      <c r="B52" s="57" t="s">
        <v>31</v>
      </c>
      <c r="C52" s="567" t="s">
        <v>32</v>
      </c>
      <c r="D52" s="568"/>
      <c r="E52" s="57">
        <v>21.13</v>
      </c>
      <c r="F52" s="261">
        <v>3647</v>
      </c>
      <c r="G52" s="251">
        <f t="shared" si="31"/>
        <v>77061.11</v>
      </c>
      <c r="H52" s="263" t="s">
        <v>5</v>
      </c>
      <c r="I52" s="259">
        <v>10</v>
      </c>
      <c r="J52" s="58">
        <v>3000</v>
      </c>
      <c r="K52" s="59">
        <f t="shared" si="1"/>
        <v>300</v>
      </c>
      <c r="L52" s="259">
        <v>10</v>
      </c>
      <c r="M52" s="60">
        <f t="shared" si="32"/>
        <v>2879.2105263157873</v>
      </c>
      <c r="N52" s="60">
        <f t="shared" si="3"/>
        <v>287.92105263157873</v>
      </c>
      <c r="O52" s="61">
        <f t="shared" si="4"/>
        <v>0</v>
      </c>
      <c r="P52" s="62">
        <f t="shared" si="5"/>
        <v>-12.078947368421268</v>
      </c>
      <c r="Q52" s="253">
        <f t="shared" si="6"/>
        <v>0.95973684210526244</v>
      </c>
      <c r="R52" s="580"/>
      <c r="S52" s="63">
        <v>0.55625000000000002</v>
      </c>
      <c r="T52" s="63">
        <v>0.60902777777777783</v>
      </c>
      <c r="U52" s="251">
        <f t="shared" si="34"/>
        <v>55.999999999999957</v>
      </c>
      <c r="V52" s="260">
        <f t="shared" si="33"/>
        <v>76.000000000000057</v>
      </c>
      <c r="W52" s="64"/>
      <c r="X52" s="64"/>
      <c r="Y52" s="569"/>
      <c r="Z52" s="570"/>
      <c r="AA52" s="61">
        <f t="shared" si="8"/>
        <v>-120.78947368421268</v>
      </c>
      <c r="AB52" s="253">
        <f t="shared" si="9"/>
        <v>0.95973684210526244</v>
      </c>
      <c r="AC52" s="580"/>
    </row>
    <row r="53" spans="1:29" ht="15.75" customHeight="1">
      <c r="A53" s="577" t="s">
        <v>1098</v>
      </c>
      <c r="B53" s="57" t="s">
        <v>31</v>
      </c>
      <c r="C53" s="567" t="s">
        <v>33</v>
      </c>
      <c r="D53" s="568"/>
      <c r="E53" s="57">
        <v>27.17</v>
      </c>
      <c r="F53" s="261">
        <v>3350</v>
      </c>
      <c r="G53" s="251">
        <f t="shared" si="31"/>
        <v>91019.5</v>
      </c>
      <c r="H53" s="263" t="s">
        <v>5</v>
      </c>
      <c r="I53" s="259">
        <v>10</v>
      </c>
      <c r="J53" s="58">
        <v>3000</v>
      </c>
      <c r="K53" s="59">
        <f t="shared" si="1"/>
        <v>300</v>
      </c>
      <c r="L53" s="259">
        <v>10</v>
      </c>
      <c r="M53" s="60">
        <f t="shared" si="32"/>
        <v>2871.4285714285688</v>
      </c>
      <c r="N53" s="60">
        <f t="shared" si="3"/>
        <v>287.14285714285688</v>
      </c>
      <c r="O53" s="61">
        <f t="shared" si="4"/>
        <v>0</v>
      </c>
      <c r="P53" s="62">
        <f t="shared" si="5"/>
        <v>-12.857142857143117</v>
      </c>
      <c r="Q53" s="253">
        <f t="shared" si="6"/>
        <v>0.9571428571428563</v>
      </c>
      <c r="R53" s="580"/>
      <c r="S53" s="63">
        <v>0.61388888888888893</v>
      </c>
      <c r="T53" s="63">
        <v>0.66250000000000009</v>
      </c>
      <c r="U53" s="251">
        <f t="shared" si="34"/>
        <v>6.9999999999999751</v>
      </c>
      <c r="V53" s="260">
        <f t="shared" si="33"/>
        <v>70.000000000000071</v>
      </c>
      <c r="W53" s="64"/>
      <c r="X53" s="64"/>
      <c r="Y53" s="569"/>
      <c r="Z53" s="570"/>
      <c r="AA53" s="61">
        <f t="shared" si="8"/>
        <v>-128.57142857143117</v>
      </c>
      <c r="AB53" s="253">
        <f t="shared" si="9"/>
        <v>0.9571428571428563</v>
      </c>
      <c r="AC53" s="580"/>
    </row>
    <row r="54" spans="1:29" ht="15.75" customHeight="1">
      <c r="A54" s="578" t="s">
        <v>1098</v>
      </c>
      <c r="B54" s="57" t="s">
        <v>159</v>
      </c>
      <c r="C54" s="561"/>
      <c r="D54" s="562"/>
      <c r="E54" s="252"/>
      <c r="F54" s="261"/>
      <c r="G54" s="251"/>
      <c r="H54" s="261"/>
      <c r="I54" s="67">
        <v>11</v>
      </c>
      <c r="J54" s="58">
        <v>2750</v>
      </c>
      <c r="K54" s="59">
        <f t="shared" si="1"/>
        <v>250</v>
      </c>
      <c r="L54" s="67">
        <v>11</v>
      </c>
      <c r="M54" s="60">
        <f>AVERAGE(M46:M53)</f>
        <v>2634.9767628810437</v>
      </c>
      <c r="N54" s="59">
        <f t="shared" si="3"/>
        <v>239.54334208009487</v>
      </c>
      <c r="O54" s="61">
        <f t="shared" si="4"/>
        <v>0</v>
      </c>
      <c r="P54" s="62">
        <f t="shared" si="5"/>
        <v>-10.456657919905126</v>
      </c>
      <c r="Q54" s="253">
        <f t="shared" si="6"/>
        <v>0.95817336832037947</v>
      </c>
      <c r="R54" s="581"/>
      <c r="S54" s="63"/>
      <c r="T54" s="63"/>
      <c r="U54" s="251"/>
      <c r="V54" s="260"/>
      <c r="W54" s="64"/>
      <c r="X54" s="64"/>
      <c r="Y54" s="569"/>
      <c r="Z54" s="570"/>
      <c r="AA54" s="61">
        <f t="shared" si="8"/>
        <v>-115.02323711895633</v>
      </c>
      <c r="AB54" s="253">
        <f t="shared" si="9"/>
        <v>0.95817336832037947</v>
      </c>
      <c r="AC54" s="581"/>
    </row>
    <row r="55" spans="1:29" ht="15.75" customHeight="1">
      <c r="A55" s="574" t="s">
        <v>117</v>
      </c>
      <c r="B55" s="57" t="s">
        <v>10</v>
      </c>
      <c r="C55" s="560" t="s">
        <v>37</v>
      </c>
      <c r="D55" s="560"/>
      <c r="E55" s="57">
        <v>46</v>
      </c>
      <c r="F55" s="69">
        <v>2253</v>
      </c>
      <c r="G55" s="251">
        <f t="shared" ref="G55:G60" si="35">E55*F55</f>
        <v>103638</v>
      </c>
      <c r="H55" s="263" t="s">
        <v>5</v>
      </c>
      <c r="I55" s="259">
        <v>17</v>
      </c>
      <c r="J55" s="58">
        <v>2000</v>
      </c>
      <c r="K55" s="59">
        <f t="shared" si="1"/>
        <v>117.64705882352941</v>
      </c>
      <c r="L55" s="259">
        <v>17</v>
      </c>
      <c r="M55" s="60">
        <f t="shared" ref="M55:M60" si="36">F55/V55*60</f>
        <v>1903.9436619718301</v>
      </c>
      <c r="N55" s="60">
        <f t="shared" si="3"/>
        <v>111.99668599834295</v>
      </c>
      <c r="O55" s="61">
        <f t="shared" si="4"/>
        <v>0</v>
      </c>
      <c r="P55" s="62">
        <f t="shared" si="5"/>
        <v>-5.6503728251864516</v>
      </c>
      <c r="Q55" s="253">
        <f t="shared" si="6"/>
        <v>0.9519718309859152</v>
      </c>
      <c r="R55" s="566">
        <f>Q61</f>
        <v>0.95703918039939651</v>
      </c>
      <c r="S55" s="63">
        <v>0.20833333333333334</v>
      </c>
      <c r="T55" s="63">
        <v>0.25763888888888892</v>
      </c>
      <c r="U55" s="68"/>
      <c r="V55" s="260">
        <f t="shared" ref="V55:V60" si="37">(T55-S55)*24*60</f>
        <v>71.000000000000028</v>
      </c>
      <c r="W55" s="68"/>
      <c r="X55" s="68"/>
      <c r="Y55" s="559"/>
      <c r="Z55" s="559"/>
      <c r="AA55" s="61">
        <f t="shared" si="8"/>
        <v>-96.056338028169876</v>
      </c>
      <c r="AB55" s="253">
        <f t="shared" si="9"/>
        <v>0.95197183098591509</v>
      </c>
      <c r="AC55" s="566">
        <f>AB61</f>
        <v>0.95703918039939662</v>
      </c>
    </row>
    <row r="56" spans="1:29" ht="15.75" customHeight="1">
      <c r="A56" s="574" t="s">
        <v>117</v>
      </c>
      <c r="B56" s="57" t="s">
        <v>10</v>
      </c>
      <c r="C56" s="560" t="s">
        <v>38</v>
      </c>
      <c r="D56" s="560"/>
      <c r="E56" s="57">
        <v>46</v>
      </c>
      <c r="F56" s="69">
        <v>2362</v>
      </c>
      <c r="G56" s="251">
        <f t="shared" si="35"/>
        <v>108652</v>
      </c>
      <c r="H56" s="263" t="s">
        <v>5</v>
      </c>
      <c r="I56" s="259">
        <v>17</v>
      </c>
      <c r="J56" s="58">
        <v>2000</v>
      </c>
      <c r="K56" s="59">
        <f t="shared" si="1"/>
        <v>117.64705882352941</v>
      </c>
      <c r="L56" s="259">
        <v>17</v>
      </c>
      <c r="M56" s="60">
        <f t="shared" si="36"/>
        <v>1915.1351351351359</v>
      </c>
      <c r="N56" s="60">
        <f t="shared" si="3"/>
        <v>112.65500794912565</v>
      </c>
      <c r="O56" s="61">
        <f t="shared" si="4"/>
        <v>0</v>
      </c>
      <c r="P56" s="62">
        <f t="shared" si="5"/>
        <v>-4.9920508744037591</v>
      </c>
      <c r="Q56" s="253">
        <f t="shared" si="6"/>
        <v>0.957567567567568</v>
      </c>
      <c r="R56" s="566"/>
      <c r="S56" s="63">
        <v>0.26180555555555557</v>
      </c>
      <c r="T56" s="63">
        <v>0.31319444444444444</v>
      </c>
      <c r="U56" s="251">
        <f t="shared" ref="U56:U60" si="38">IF(S56=TIME(17,0,0),"",(S56-T55)*24*60)</f>
        <v>5.9999999999999787</v>
      </c>
      <c r="V56" s="260">
        <f t="shared" si="37"/>
        <v>73.999999999999972</v>
      </c>
      <c r="W56" s="64"/>
      <c r="X56" s="64"/>
      <c r="Y56" s="559"/>
      <c r="Z56" s="559"/>
      <c r="AA56" s="61">
        <f t="shared" si="8"/>
        <v>-84.864864864864103</v>
      </c>
      <c r="AB56" s="253">
        <f t="shared" si="9"/>
        <v>0.957567567567568</v>
      </c>
      <c r="AC56" s="566"/>
    </row>
    <row r="57" spans="1:29" ht="15.75" customHeight="1">
      <c r="A57" s="574" t="s">
        <v>1099</v>
      </c>
      <c r="B57" s="57" t="s">
        <v>6</v>
      </c>
      <c r="C57" s="567" t="s">
        <v>39</v>
      </c>
      <c r="D57" s="568"/>
      <c r="E57" s="57">
        <v>55.56</v>
      </c>
      <c r="F57" s="69">
        <v>2461</v>
      </c>
      <c r="G57" s="251">
        <f t="shared" si="35"/>
        <v>136733.16</v>
      </c>
      <c r="H57" s="263" t="s">
        <v>5</v>
      </c>
      <c r="I57" s="259">
        <v>17</v>
      </c>
      <c r="J57" s="58">
        <v>2000</v>
      </c>
      <c r="K57" s="59">
        <f t="shared" si="1"/>
        <v>117.64705882352941</v>
      </c>
      <c r="L57" s="259">
        <v>17</v>
      </c>
      <c r="M57" s="60">
        <f t="shared" si="36"/>
        <v>1917.6623376623368</v>
      </c>
      <c r="N57" s="60">
        <f t="shared" si="3"/>
        <v>112.80366692131393</v>
      </c>
      <c r="O57" s="61">
        <f t="shared" si="4"/>
        <v>0</v>
      </c>
      <c r="P57" s="62">
        <f t="shared" si="5"/>
        <v>-4.8433919022154726</v>
      </c>
      <c r="Q57" s="253">
        <f t="shared" si="6"/>
        <v>0.95883116883116848</v>
      </c>
      <c r="R57" s="566"/>
      <c r="S57" s="63">
        <v>0.70833333333333337</v>
      </c>
      <c r="T57" s="63">
        <v>0.76180555555555562</v>
      </c>
      <c r="U57" s="251" t="str">
        <f t="shared" si="38"/>
        <v/>
      </c>
      <c r="V57" s="260">
        <f t="shared" si="37"/>
        <v>77.000000000000043</v>
      </c>
      <c r="W57" s="64"/>
      <c r="X57" s="64"/>
      <c r="Y57" s="256"/>
      <c r="Z57" s="257"/>
      <c r="AA57" s="61">
        <f t="shared" si="8"/>
        <v>-82.337662337663232</v>
      </c>
      <c r="AB57" s="253">
        <f t="shared" si="9"/>
        <v>0.95883116883116837</v>
      </c>
      <c r="AC57" s="566"/>
    </row>
    <row r="58" spans="1:29" ht="15.75" customHeight="1">
      <c r="A58" s="574" t="s">
        <v>1100</v>
      </c>
      <c r="B58" s="57" t="s">
        <v>6</v>
      </c>
      <c r="C58" s="254" t="s">
        <v>40</v>
      </c>
      <c r="D58" s="255"/>
      <c r="E58" s="57">
        <v>55.32</v>
      </c>
      <c r="F58" s="69">
        <v>1831</v>
      </c>
      <c r="G58" s="251">
        <f t="shared" si="35"/>
        <v>101290.92</v>
      </c>
      <c r="H58" s="263" t="s">
        <v>5</v>
      </c>
      <c r="I58" s="259">
        <v>15</v>
      </c>
      <c r="J58" s="58">
        <v>2000</v>
      </c>
      <c r="K58" s="59">
        <f t="shared" si="1"/>
        <v>133.33333333333334</v>
      </c>
      <c r="L58" s="259">
        <v>15</v>
      </c>
      <c r="M58" s="60">
        <f t="shared" si="36"/>
        <v>1927.368421052633</v>
      </c>
      <c r="N58" s="60">
        <f t="shared" si="3"/>
        <v>128.49122807017554</v>
      </c>
      <c r="O58" s="61">
        <f t="shared" si="4"/>
        <v>0</v>
      </c>
      <c r="P58" s="62">
        <f t="shared" si="5"/>
        <v>-4.842105263157805</v>
      </c>
      <c r="Q58" s="253">
        <f t="shared" si="6"/>
        <v>0.96368421052631648</v>
      </c>
      <c r="R58" s="566"/>
      <c r="S58" s="63">
        <v>0.76736111111111116</v>
      </c>
      <c r="T58" s="63">
        <v>0.80694444444444446</v>
      </c>
      <c r="U58" s="251">
        <f t="shared" si="38"/>
        <v>7.9999999999999716</v>
      </c>
      <c r="V58" s="260">
        <f t="shared" si="37"/>
        <v>56.999999999999957</v>
      </c>
      <c r="W58" s="64"/>
      <c r="X58" s="64"/>
      <c r="Y58" s="256"/>
      <c r="Z58" s="257"/>
      <c r="AA58" s="61">
        <f t="shared" si="8"/>
        <v>-72.631578947366961</v>
      </c>
      <c r="AB58" s="253">
        <f t="shared" si="9"/>
        <v>0.96368421052631648</v>
      </c>
      <c r="AC58" s="566"/>
    </row>
    <row r="59" spans="1:29" ht="15.75" customHeight="1">
      <c r="A59" s="574" t="s">
        <v>1101</v>
      </c>
      <c r="B59" s="57" t="s">
        <v>6</v>
      </c>
      <c r="C59" s="254" t="s">
        <v>99</v>
      </c>
      <c r="D59" s="255"/>
      <c r="E59" s="57">
        <v>53.68</v>
      </c>
      <c r="F59" s="69">
        <v>1000</v>
      </c>
      <c r="G59" s="251">
        <f t="shared" si="35"/>
        <v>53680</v>
      </c>
      <c r="H59" s="263">
        <v>2</v>
      </c>
      <c r="I59" s="259">
        <v>16</v>
      </c>
      <c r="J59" s="58">
        <v>1500</v>
      </c>
      <c r="K59" s="59">
        <f t="shared" si="1"/>
        <v>93.75</v>
      </c>
      <c r="L59" s="259">
        <v>16</v>
      </c>
      <c r="M59" s="60">
        <f t="shared" si="36"/>
        <v>1428.5714285714282</v>
      </c>
      <c r="N59" s="60">
        <f t="shared" si="3"/>
        <v>89.285714285714263</v>
      </c>
      <c r="O59" s="61">
        <f t="shared" si="4"/>
        <v>0</v>
      </c>
      <c r="P59" s="62">
        <f t="shared" si="5"/>
        <v>-4.4642857142857366</v>
      </c>
      <c r="Q59" s="253">
        <f t="shared" si="6"/>
        <v>0.95238095238095211</v>
      </c>
      <c r="R59" s="566"/>
      <c r="S59" s="63">
        <v>0.8125</v>
      </c>
      <c r="T59" s="63">
        <v>0.84166666666666667</v>
      </c>
      <c r="U59" s="251">
        <f t="shared" si="38"/>
        <v>7.9999999999999716</v>
      </c>
      <c r="V59" s="260">
        <f t="shared" si="37"/>
        <v>42.000000000000014</v>
      </c>
      <c r="W59" s="64">
        <f>T59</f>
        <v>0.84166666666666667</v>
      </c>
      <c r="X59" s="64">
        <f>S60</f>
        <v>0.88194444444444442</v>
      </c>
      <c r="Y59" s="256"/>
      <c r="Z59" s="257"/>
      <c r="AA59" s="61">
        <f t="shared" si="8"/>
        <v>-71.428571428571786</v>
      </c>
      <c r="AB59" s="253">
        <f t="shared" si="9"/>
        <v>0.95238095238095211</v>
      </c>
      <c r="AC59" s="566"/>
    </row>
    <row r="60" spans="1:29" ht="15.75" customHeight="1">
      <c r="A60" s="574" t="s">
        <v>1100</v>
      </c>
      <c r="B60" s="57" t="s">
        <v>6</v>
      </c>
      <c r="C60" s="567" t="s">
        <v>99</v>
      </c>
      <c r="D60" s="568"/>
      <c r="E60" s="57">
        <v>53.68</v>
      </c>
      <c r="F60" s="69">
        <v>1913</v>
      </c>
      <c r="G60" s="251">
        <f t="shared" si="35"/>
        <v>102689.84</v>
      </c>
      <c r="H60" s="263" t="s">
        <v>5</v>
      </c>
      <c r="I60" s="259">
        <v>16</v>
      </c>
      <c r="J60" s="58">
        <v>1500</v>
      </c>
      <c r="K60" s="59">
        <f t="shared" si="1"/>
        <v>93.75</v>
      </c>
      <c r="L60" s="259">
        <v>16</v>
      </c>
      <c r="M60" s="60">
        <f t="shared" si="36"/>
        <v>1434.7499999999995</v>
      </c>
      <c r="N60" s="60">
        <f t="shared" si="3"/>
        <v>89.671874999999972</v>
      </c>
      <c r="O60" s="61">
        <f t="shared" si="4"/>
        <v>0</v>
      </c>
      <c r="P60" s="62">
        <f t="shared" si="5"/>
        <v>-4.0781250000000284</v>
      </c>
      <c r="Q60" s="253">
        <f t="shared" si="6"/>
        <v>0.95649999999999968</v>
      </c>
      <c r="R60" s="566"/>
      <c r="S60" s="63">
        <v>0.88194444444444442</v>
      </c>
      <c r="T60" s="63">
        <v>0.9375</v>
      </c>
      <c r="U60" s="251">
        <f t="shared" si="38"/>
        <v>57.999999999999957</v>
      </c>
      <c r="V60" s="260">
        <f t="shared" si="37"/>
        <v>80.000000000000028</v>
      </c>
      <c r="W60" s="64"/>
      <c r="X60" s="64"/>
      <c r="Y60" s="569"/>
      <c r="Z60" s="570"/>
      <c r="AA60" s="61">
        <f t="shared" si="8"/>
        <v>-65.250000000000455</v>
      </c>
      <c r="AB60" s="253">
        <f t="shared" si="9"/>
        <v>0.95649999999999968</v>
      </c>
      <c r="AC60" s="566"/>
    </row>
    <row r="61" spans="1:29">
      <c r="A61" s="575" t="s">
        <v>1099</v>
      </c>
      <c r="B61" s="57" t="s">
        <v>1089</v>
      </c>
      <c r="C61" s="571"/>
      <c r="D61" s="571"/>
      <c r="E61" s="258"/>
      <c r="F61" s="66"/>
      <c r="G61" s="59"/>
      <c r="H61" s="261"/>
      <c r="I61" s="67">
        <v>16.333333333333332</v>
      </c>
      <c r="J61" s="58">
        <v>1833.3333333333333</v>
      </c>
      <c r="K61" s="59">
        <f t="shared" si="1"/>
        <v>112.24489795918367</v>
      </c>
      <c r="L61" s="67">
        <v>16.333333333333332</v>
      </c>
      <c r="M61" s="60">
        <f>AVERAGE(M55:M60)</f>
        <v>1754.571830732227</v>
      </c>
      <c r="N61" s="59">
        <f t="shared" si="3"/>
        <v>107.42276514687104</v>
      </c>
      <c r="O61" s="61">
        <f t="shared" si="4"/>
        <v>0</v>
      </c>
      <c r="P61" s="62">
        <f t="shared" si="5"/>
        <v>-4.8221328123126312</v>
      </c>
      <c r="Q61" s="253">
        <f t="shared" si="6"/>
        <v>0.95703918039939651</v>
      </c>
      <c r="R61" s="566"/>
      <c r="S61" s="70"/>
      <c r="T61" s="63"/>
      <c r="U61" s="59"/>
      <c r="V61" s="260"/>
      <c r="W61" s="59"/>
      <c r="X61" s="59"/>
      <c r="Y61" s="559"/>
      <c r="Z61" s="559"/>
      <c r="AA61" s="61">
        <f t="shared" si="8"/>
        <v>-78.761502601106258</v>
      </c>
      <c r="AB61" s="253">
        <f t="shared" si="9"/>
        <v>0.95703918039939662</v>
      </c>
      <c r="AC61" s="566"/>
    </row>
    <row r="62" spans="1:29" ht="15.75" customHeight="1">
      <c r="A62" s="572" t="s">
        <v>1102</v>
      </c>
      <c r="B62" s="261" t="s">
        <v>10</v>
      </c>
      <c r="C62" s="560" t="s">
        <v>42</v>
      </c>
      <c r="D62" s="560"/>
      <c r="E62" s="57">
        <v>26.97</v>
      </c>
      <c r="F62" s="69">
        <v>3045</v>
      </c>
      <c r="G62" s="251">
        <f t="shared" ref="G62:G67" si="39">E62*F62</f>
        <v>82123.649999999994</v>
      </c>
      <c r="H62" s="263" t="s">
        <v>5</v>
      </c>
      <c r="I62" s="259">
        <v>8</v>
      </c>
      <c r="J62" s="58">
        <v>1500</v>
      </c>
      <c r="K62" s="59">
        <f t="shared" si="1"/>
        <v>187.5</v>
      </c>
      <c r="L62" s="259">
        <v>8</v>
      </c>
      <c r="M62" s="60">
        <f t="shared" ref="M62:M67" si="40">F62/V62*60</f>
        <v>1427.3437500000002</v>
      </c>
      <c r="N62" s="59">
        <f t="shared" si="3"/>
        <v>178.41796875000003</v>
      </c>
      <c r="O62" s="61">
        <f t="shared" si="4"/>
        <v>0</v>
      </c>
      <c r="P62" s="62">
        <f t="shared" si="5"/>
        <v>-9.0820312499999716</v>
      </c>
      <c r="Q62" s="253">
        <f t="shared" si="6"/>
        <v>0.9515625000000002</v>
      </c>
      <c r="R62" s="566">
        <f>Q68</f>
        <v>0.96126599305855853</v>
      </c>
      <c r="S62" s="63">
        <v>0.20833333333333334</v>
      </c>
      <c r="T62" s="63">
        <v>0.29722222222222222</v>
      </c>
      <c r="U62" s="251"/>
      <c r="V62" s="260">
        <f t="shared" ref="V62:V67" si="41">(T62-S62)*24*60</f>
        <v>127.99999999999997</v>
      </c>
      <c r="W62" s="68"/>
      <c r="X62" s="68"/>
      <c r="Y62" s="559"/>
      <c r="Z62" s="559"/>
      <c r="AA62" s="61">
        <f t="shared" si="8"/>
        <v>-72.656249999999773</v>
      </c>
      <c r="AB62" s="253">
        <f t="shared" si="9"/>
        <v>0.9515625000000002</v>
      </c>
      <c r="AC62" s="566">
        <f>AB68</f>
        <v>0.96126599305855842</v>
      </c>
    </row>
    <row r="63" spans="1:29" ht="15.75" customHeight="1">
      <c r="A63" s="572" t="s">
        <v>1102</v>
      </c>
      <c r="B63" s="261" t="s">
        <v>31</v>
      </c>
      <c r="C63" s="560" t="s">
        <v>41</v>
      </c>
      <c r="D63" s="560"/>
      <c r="E63" s="57">
        <v>26.78</v>
      </c>
      <c r="F63" s="69">
        <v>2882</v>
      </c>
      <c r="G63" s="251">
        <f t="shared" si="39"/>
        <v>77179.960000000006</v>
      </c>
      <c r="H63" s="263" t="s">
        <v>5</v>
      </c>
      <c r="I63" s="259">
        <v>10</v>
      </c>
      <c r="J63" s="58">
        <v>3000</v>
      </c>
      <c r="K63" s="59">
        <f t="shared" si="1"/>
        <v>300</v>
      </c>
      <c r="L63" s="259">
        <v>10</v>
      </c>
      <c r="M63" s="60">
        <f t="shared" si="40"/>
        <v>2881.9999999999986</v>
      </c>
      <c r="N63" s="59">
        <f t="shared" si="3"/>
        <v>288.19999999999987</v>
      </c>
      <c r="O63" s="61">
        <f t="shared" si="4"/>
        <v>0</v>
      </c>
      <c r="P63" s="62">
        <f t="shared" si="5"/>
        <v>-11.800000000000125</v>
      </c>
      <c r="Q63" s="253">
        <f t="shared" si="6"/>
        <v>0.96066666666666622</v>
      </c>
      <c r="R63" s="566"/>
      <c r="S63" s="63">
        <v>0.30208333333333331</v>
      </c>
      <c r="T63" s="63">
        <v>0.34375</v>
      </c>
      <c r="U63" s="251">
        <f t="shared" ref="U63:U67" si="42">(S63-T62)*24*60</f>
        <v>6.9999999999999751</v>
      </c>
      <c r="V63" s="260">
        <f t="shared" si="41"/>
        <v>60.000000000000028</v>
      </c>
      <c r="W63" s="251"/>
      <c r="X63" s="251"/>
      <c r="Y63" s="559"/>
      <c r="Z63" s="559"/>
      <c r="AA63" s="61">
        <f t="shared" si="8"/>
        <v>-118.00000000000136</v>
      </c>
      <c r="AB63" s="253">
        <f t="shared" si="9"/>
        <v>0.96066666666666622</v>
      </c>
      <c r="AC63" s="566"/>
    </row>
    <row r="64" spans="1:29" ht="15.75" customHeight="1">
      <c r="A64" s="572" t="s">
        <v>93</v>
      </c>
      <c r="B64" s="261" t="s">
        <v>31</v>
      </c>
      <c r="C64" s="560" t="s">
        <v>64</v>
      </c>
      <c r="D64" s="560"/>
      <c r="E64" s="57">
        <v>37.880000000000003</v>
      </c>
      <c r="F64" s="69">
        <v>2943</v>
      </c>
      <c r="G64" s="251">
        <f t="shared" si="39"/>
        <v>111480.84000000001</v>
      </c>
      <c r="H64" s="263" t="s">
        <v>5</v>
      </c>
      <c r="I64" s="259">
        <v>10</v>
      </c>
      <c r="J64" s="58">
        <v>3000</v>
      </c>
      <c r="K64" s="59">
        <f t="shared" si="1"/>
        <v>300</v>
      </c>
      <c r="L64" s="259">
        <v>10</v>
      </c>
      <c r="M64" s="60">
        <f t="shared" si="40"/>
        <v>2894.754098360655</v>
      </c>
      <c r="N64" s="59">
        <f t="shared" si="3"/>
        <v>289.47540983606552</v>
      </c>
      <c r="O64" s="61">
        <f t="shared" si="4"/>
        <v>0</v>
      </c>
      <c r="P64" s="62">
        <f t="shared" si="5"/>
        <v>-10.524590163934477</v>
      </c>
      <c r="Q64" s="253">
        <f t="shared" si="6"/>
        <v>0.96491803278688504</v>
      </c>
      <c r="R64" s="566"/>
      <c r="S64" s="63">
        <v>0.34791666666666665</v>
      </c>
      <c r="T64" s="63">
        <v>0.39027777777777778</v>
      </c>
      <c r="U64" s="251">
        <f t="shared" si="42"/>
        <v>5.9999999999999787</v>
      </c>
      <c r="V64" s="260">
        <f t="shared" si="41"/>
        <v>61.000000000000021</v>
      </c>
      <c r="W64" s="251"/>
      <c r="X64" s="251"/>
      <c r="Y64" s="559"/>
      <c r="Z64" s="559"/>
      <c r="AA64" s="61">
        <f t="shared" si="8"/>
        <v>-105.24590163934499</v>
      </c>
      <c r="AB64" s="253">
        <f t="shared" si="9"/>
        <v>0.96491803278688504</v>
      </c>
      <c r="AC64" s="566"/>
    </row>
    <row r="65" spans="1:29" ht="15.75" customHeight="1">
      <c r="A65" s="572" t="s">
        <v>1103</v>
      </c>
      <c r="B65" s="261" t="s">
        <v>31</v>
      </c>
      <c r="C65" s="560" t="s">
        <v>72</v>
      </c>
      <c r="D65" s="560"/>
      <c r="E65" s="57">
        <v>40.51</v>
      </c>
      <c r="F65" s="69">
        <v>2566</v>
      </c>
      <c r="G65" s="251">
        <f t="shared" si="39"/>
        <v>103948.65999999999</v>
      </c>
      <c r="H65" s="263" t="s">
        <v>5</v>
      </c>
      <c r="I65" s="259">
        <v>8</v>
      </c>
      <c r="J65" s="58">
        <v>3000</v>
      </c>
      <c r="K65" s="59">
        <f t="shared" si="1"/>
        <v>375</v>
      </c>
      <c r="L65" s="259">
        <v>8</v>
      </c>
      <c r="M65" s="60">
        <f t="shared" si="40"/>
        <v>2851.1111111111122</v>
      </c>
      <c r="N65" s="59">
        <f t="shared" si="3"/>
        <v>356.38888888888903</v>
      </c>
      <c r="O65" s="61">
        <f t="shared" si="4"/>
        <v>0</v>
      </c>
      <c r="P65" s="62">
        <f t="shared" si="5"/>
        <v>-18.611111111110972</v>
      </c>
      <c r="Q65" s="253">
        <f t="shared" si="6"/>
        <v>0.95037037037037075</v>
      </c>
      <c r="R65" s="566"/>
      <c r="S65" s="63">
        <v>0.39513888888888887</v>
      </c>
      <c r="T65" s="63">
        <v>0.43263888888888885</v>
      </c>
      <c r="U65" s="251">
        <f t="shared" si="42"/>
        <v>6.9999999999999751</v>
      </c>
      <c r="V65" s="260">
        <f t="shared" si="41"/>
        <v>53.999999999999972</v>
      </c>
      <c r="W65" s="251"/>
      <c r="X65" s="251"/>
      <c r="Y65" s="559"/>
      <c r="Z65" s="559"/>
      <c r="AA65" s="61">
        <f t="shared" si="8"/>
        <v>-148.88888888888778</v>
      </c>
      <c r="AB65" s="253">
        <f t="shared" si="9"/>
        <v>0.95037037037037075</v>
      </c>
      <c r="AC65" s="566"/>
    </row>
    <row r="66" spans="1:29">
      <c r="A66" s="573" t="s">
        <v>1104</v>
      </c>
      <c r="B66" s="261" t="s">
        <v>31</v>
      </c>
      <c r="C66" s="560" t="s">
        <v>36</v>
      </c>
      <c r="D66" s="560"/>
      <c r="E66" s="57">
        <v>36.14</v>
      </c>
      <c r="F66" s="69">
        <v>1122</v>
      </c>
      <c r="G66" s="251">
        <f t="shared" si="39"/>
        <v>40549.08</v>
      </c>
      <c r="H66" s="263" t="s">
        <v>5</v>
      </c>
      <c r="I66" s="259">
        <v>9</v>
      </c>
      <c r="J66" s="58">
        <v>3000</v>
      </c>
      <c r="K66" s="59">
        <f t="shared" si="1"/>
        <v>333.33333333333331</v>
      </c>
      <c r="L66" s="259">
        <v>9</v>
      </c>
      <c r="M66" s="60">
        <f t="shared" si="40"/>
        <v>2926.9565217391305</v>
      </c>
      <c r="N66" s="59">
        <f t="shared" si="3"/>
        <v>325.21739130434781</v>
      </c>
      <c r="O66" s="61">
        <f t="shared" si="4"/>
        <v>0</v>
      </c>
      <c r="P66" s="62">
        <f t="shared" si="5"/>
        <v>-8.1159420289855007</v>
      </c>
      <c r="Q66" s="253">
        <f t="shared" si="6"/>
        <v>0.97565217391304349</v>
      </c>
      <c r="R66" s="566"/>
      <c r="S66" s="63">
        <v>0.43819444444444439</v>
      </c>
      <c r="T66" s="63">
        <v>0.45416666666666661</v>
      </c>
      <c r="U66" s="251">
        <f t="shared" si="42"/>
        <v>7.9999999999999716</v>
      </c>
      <c r="V66" s="260">
        <f t="shared" si="41"/>
        <v>23</v>
      </c>
      <c r="W66" s="64"/>
      <c r="X66" s="64"/>
      <c r="Y66" s="559"/>
      <c r="Z66" s="559"/>
      <c r="AA66" s="61">
        <f t="shared" si="8"/>
        <v>-73.043478260869506</v>
      </c>
      <c r="AB66" s="253">
        <f t="shared" si="9"/>
        <v>0.97565217391304349</v>
      </c>
      <c r="AC66" s="566"/>
    </row>
    <row r="67" spans="1:29" ht="15" customHeight="1">
      <c r="A67" s="573" t="s">
        <v>1105</v>
      </c>
      <c r="B67" s="261" t="s">
        <v>31</v>
      </c>
      <c r="C67" s="567" t="s">
        <v>63</v>
      </c>
      <c r="D67" s="568"/>
      <c r="E67" s="57">
        <v>34.36</v>
      </c>
      <c r="F67" s="69">
        <v>2255</v>
      </c>
      <c r="G67" s="251">
        <f t="shared" si="39"/>
        <v>77481.8</v>
      </c>
      <c r="H67" s="263" t="s">
        <v>5</v>
      </c>
      <c r="I67" s="259">
        <v>10</v>
      </c>
      <c r="J67" s="58">
        <v>3000</v>
      </c>
      <c r="K67" s="59">
        <f t="shared" si="1"/>
        <v>300</v>
      </c>
      <c r="L67" s="259">
        <v>10</v>
      </c>
      <c r="M67" s="60">
        <f t="shared" si="40"/>
        <v>2878.7234042553196</v>
      </c>
      <c r="N67" s="59">
        <f t="shared" si="3"/>
        <v>287.87234042553195</v>
      </c>
      <c r="O67" s="61">
        <f t="shared" si="4"/>
        <v>0</v>
      </c>
      <c r="P67" s="62">
        <f t="shared" si="5"/>
        <v>-12.127659574468055</v>
      </c>
      <c r="Q67" s="253">
        <f t="shared" si="6"/>
        <v>0.95957446808510649</v>
      </c>
      <c r="R67" s="566"/>
      <c r="S67" s="63">
        <v>0.45972222222222214</v>
      </c>
      <c r="T67" s="63">
        <v>0.49236111111111103</v>
      </c>
      <c r="U67" s="251">
        <f t="shared" si="42"/>
        <v>7.9999999999999716</v>
      </c>
      <c r="V67" s="260">
        <f t="shared" si="41"/>
        <v>46.999999999999993</v>
      </c>
      <c r="W67" s="251"/>
      <c r="X67" s="251"/>
      <c r="Y67" s="569"/>
      <c r="Z67" s="570"/>
      <c r="AA67" s="61">
        <f t="shared" si="8"/>
        <v>-121.27659574468044</v>
      </c>
      <c r="AB67" s="253">
        <f t="shared" si="9"/>
        <v>0.95957446808510649</v>
      </c>
      <c r="AC67" s="566"/>
    </row>
    <row r="68" spans="1:29">
      <c r="A68" s="573" t="s">
        <v>1104</v>
      </c>
      <c r="B68" s="57" t="s">
        <v>1106</v>
      </c>
      <c r="C68" s="571"/>
      <c r="D68" s="571"/>
      <c r="E68" s="258"/>
      <c r="F68" s="66"/>
      <c r="G68" s="59"/>
      <c r="H68" s="261"/>
      <c r="I68" s="67">
        <v>9.1666666666666661</v>
      </c>
      <c r="J68" s="58">
        <v>2750</v>
      </c>
      <c r="K68" s="59">
        <f t="shared" si="1"/>
        <v>300</v>
      </c>
      <c r="L68" s="67">
        <v>9.1666666666666661</v>
      </c>
      <c r="M68" s="60">
        <f>AVERAGE(M62:M67)</f>
        <v>2643.4814809110358</v>
      </c>
      <c r="N68" s="59">
        <f t="shared" si="3"/>
        <v>288.37979791756754</v>
      </c>
      <c r="O68" s="61">
        <f t="shared" si="4"/>
        <v>0</v>
      </c>
      <c r="P68" s="62">
        <f t="shared" si="5"/>
        <v>-11.620202082432456</v>
      </c>
      <c r="Q68" s="253">
        <f t="shared" si="6"/>
        <v>0.96126599305855853</v>
      </c>
      <c r="R68" s="566"/>
      <c r="S68" s="63"/>
      <c r="T68" s="63"/>
      <c r="U68" s="59"/>
      <c r="V68" s="260"/>
      <c r="W68" s="59"/>
      <c r="X68" s="59"/>
      <c r="Y68" s="559"/>
      <c r="Z68" s="559"/>
      <c r="AA68" s="61">
        <f t="shared" si="8"/>
        <v>-106.51851908896424</v>
      </c>
      <c r="AB68" s="253">
        <f t="shared" si="9"/>
        <v>0.96126599305855842</v>
      </c>
      <c r="AC68" s="566"/>
    </row>
    <row r="69" spans="1:29" ht="15.75" customHeight="1">
      <c r="A69" s="563" t="s">
        <v>1107</v>
      </c>
      <c r="B69" s="261" t="s">
        <v>15</v>
      </c>
      <c r="C69" s="560" t="s">
        <v>43</v>
      </c>
      <c r="D69" s="560"/>
      <c r="E69" s="57">
        <v>20.2</v>
      </c>
      <c r="F69" s="261">
        <v>2873</v>
      </c>
      <c r="G69" s="251">
        <f t="shared" ref="G69:G76" si="43">E69*F69</f>
        <v>58034.6</v>
      </c>
      <c r="H69" s="263" t="s">
        <v>5</v>
      </c>
      <c r="I69" s="259">
        <v>19</v>
      </c>
      <c r="J69" s="58">
        <v>2400</v>
      </c>
      <c r="K69" s="59">
        <f t="shared" ref="K69:K77" si="44">J69/I69</f>
        <v>126.31578947368421</v>
      </c>
      <c r="L69" s="259">
        <v>19</v>
      </c>
      <c r="M69" s="60">
        <f t="shared" ref="M69:M76" si="45">F69/V69*60</f>
        <v>2298.4</v>
      </c>
      <c r="N69" s="59">
        <f t="shared" ref="N69:N77" si="46">M69/L69</f>
        <v>120.96842105263158</v>
      </c>
      <c r="O69" s="61">
        <f t="shared" ref="O69:O77" si="47">L69-I69</f>
        <v>0</v>
      </c>
      <c r="P69" s="62">
        <f t="shared" ref="P69:P77" si="48">N69-K69</f>
        <v>-5.3473684210526216</v>
      </c>
      <c r="Q69" s="253">
        <f t="shared" ref="Q69:Q77" si="49">N69/K69</f>
        <v>0.95766666666666678</v>
      </c>
      <c r="R69" s="566">
        <f>Q77</f>
        <v>0.95760101700664224</v>
      </c>
      <c r="S69" s="63">
        <v>8.3333333333333329E-2</v>
      </c>
      <c r="T69" s="63">
        <v>0.13541666666666666</v>
      </c>
      <c r="U69" s="68"/>
      <c r="V69" s="260">
        <f t="shared" ref="V69:V76" si="50">(T69-S69)*24*60</f>
        <v>75</v>
      </c>
      <c r="W69" s="64">
        <f>T69</f>
        <v>0.13541666666666666</v>
      </c>
      <c r="X69" s="64">
        <f>S70</f>
        <v>0.15555555555555556</v>
      </c>
      <c r="Y69" s="559"/>
      <c r="Z69" s="559"/>
      <c r="AA69" s="61">
        <f t="shared" ref="AA69:AA77" si="51">M69-J69</f>
        <v>-101.59999999999991</v>
      </c>
      <c r="AB69" s="253">
        <f t="shared" ref="AB69:AB77" si="52">M69/J69</f>
        <v>0.95766666666666667</v>
      </c>
      <c r="AC69" s="566">
        <f>AB77</f>
        <v>0.95760101700664224</v>
      </c>
    </row>
    <row r="70" spans="1:29" ht="15.75" customHeight="1">
      <c r="A70" s="564" t="s">
        <v>1107</v>
      </c>
      <c r="B70" s="261" t="s">
        <v>15</v>
      </c>
      <c r="C70" s="560" t="s">
        <v>16</v>
      </c>
      <c r="D70" s="560"/>
      <c r="E70" s="57">
        <v>24.45</v>
      </c>
      <c r="F70" s="261">
        <v>3100</v>
      </c>
      <c r="G70" s="251">
        <f t="shared" si="43"/>
        <v>75795</v>
      </c>
      <c r="H70" s="263" t="s">
        <v>5</v>
      </c>
      <c r="I70" s="259">
        <v>20</v>
      </c>
      <c r="J70" s="58">
        <v>2400</v>
      </c>
      <c r="K70" s="59">
        <f t="shared" si="44"/>
        <v>120</v>
      </c>
      <c r="L70" s="259">
        <v>20</v>
      </c>
      <c r="M70" s="60">
        <f t="shared" si="45"/>
        <v>2296.296296296297</v>
      </c>
      <c r="N70" s="59">
        <f t="shared" si="46"/>
        <v>114.81481481481485</v>
      </c>
      <c r="O70" s="61">
        <f t="shared" si="47"/>
        <v>0</v>
      </c>
      <c r="P70" s="62">
        <f t="shared" si="48"/>
        <v>-5.1851851851851478</v>
      </c>
      <c r="Q70" s="253">
        <f t="shared" si="49"/>
        <v>0.95679012345679049</v>
      </c>
      <c r="R70" s="566"/>
      <c r="S70" s="63">
        <v>0.15555555555555556</v>
      </c>
      <c r="T70" s="63">
        <v>0.21180555555555555</v>
      </c>
      <c r="U70" s="251">
        <f t="shared" ref="U70:U76" si="53">(S70-T69)*24*60</f>
        <v>29.000000000000018</v>
      </c>
      <c r="V70" s="260">
        <f t="shared" si="50"/>
        <v>80.999999999999986</v>
      </c>
      <c r="W70" s="64"/>
      <c r="X70" s="64"/>
      <c r="Y70" s="559"/>
      <c r="Z70" s="559"/>
      <c r="AA70" s="61">
        <f t="shared" si="51"/>
        <v>-103.70370370370301</v>
      </c>
      <c r="AB70" s="253">
        <f t="shared" si="52"/>
        <v>0.95679012345679038</v>
      </c>
      <c r="AC70" s="566"/>
    </row>
    <row r="71" spans="1:29" ht="15.75" customHeight="1">
      <c r="A71" s="564" t="s">
        <v>1107</v>
      </c>
      <c r="B71" s="261" t="s">
        <v>15</v>
      </c>
      <c r="C71" s="560" t="s">
        <v>100</v>
      </c>
      <c r="D71" s="560"/>
      <c r="E71" s="57">
        <v>28.51</v>
      </c>
      <c r="F71" s="261">
        <v>1857</v>
      </c>
      <c r="G71" s="251">
        <f t="shared" si="43"/>
        <v>52943.07</v>
      </c>
      <c r="H71" s="263" t="s">
        <v>5</v>
      </c>
      <c r="I71" s="259">
        <v>16</v>
      </c>
      <c r="J71" s="58">
        <v>2400</v>
      </c>
      <c r="K71" s="59">
        <f t="shared" si="44"/>
        <v>150</v>
      </c>
      <c r="L71" s="259">
        <v>16</v>
      </c>
      <c r="M71" s="60">
        <f t="shared" si="45"/>
        <v>2321.2500000000009</v>
      </c>
      <c r="N71" s="59">
        <f t="shared" si="46"/>
        <v>145.07812500000006</v>
      </c>
      <c r="O71" s="61">
        <f t="shared" si="47"/>
        <v>0</v>
      </c>
      <c r="P71" s="62">
        <f t="shared" si="48"/>
        <v>-4.9218749999999432</v>
      </c>
      <c r="Q71" s="253">
        <f t="shared" si="49"/>
        <v>0.96718750000000042</v>
      </c>
      <c r="R71" s="566"/>
      <c r="S71" s="63">
        <v>0.21666666666666667</v>
      </c>
      <c r="T71" s="63">
        <v>0.25</v>
      </c>
      <c r="U71" s="251">
        <f t="shared" si="53"/>
        <v>7.0000000000000151</v>
      </c>
      <c r="V71" s="260">
        <f t="shared" si="50"/>
        <v>47.999999999999986</v>
      </c>
      <c r="W71" s="64"/>
      <c r="X71" s="64"/>
      <c r="Y71" s="559"/>
      <c r="Z71" s="559"/>
      <c r="AA71" s="61">
        <f t="shared" si="51"/>
        <v>-78.749999999999091</v>
      </c>
      <c r="AB71" s="253">
        <f t="shared" si="52"/>
        <v>0.96718750000000042</v>
      </c>
      <c r="AC71" s="566"/>
    </row>
    <row r="72" spans="1:29" ht="15.75" customHeight="1">
      <c r="A72" s="564" t="s">
        <v>1107</v>
      </c>
      <c r="B72" s="261" t="s">
        <v>15</v>
      </c>
      <c r="C72" s="560" t="s">
        <v>24</v>
      </c>
      <c r="D72" s="560"/>
      <c r="E72" s="57">
        <v>20.52</v>
      </c>
      <c r="F72" s="261">
        <v>4126</v>
      </c>
      <c r="G72" s="251">
        <f t="shared" si="43"/>
        <v>84665.52</v>
      </c>
      <c r="H72" s="263" t="s">
        <v>5</v>
      </c>
      <c r="I72" s="259">
        <v>18</v>
      </c>
      <c r="J72" s="58">
        <v>2400</v>
      </c>
      <c r="K72" s="59">
        <f t="shared" si="44"/>
        <v>133.33333333333334</v>
      </c>
      <c r="L72" s="259">
        <v>18</v>
      </c>
      <c r="M72" s="60">
        <f t="shared" si="45"/>
        <v>2292.2222222222217</v>
      </c>
      <c r="N72" s="59">
        <f t="shared" si="46"/>
        <v>127.34567901234566</v>
      </c>
      <c r="O72" s="61">
        <f t="shared" si="47"/>
        <v>0</v>
      </c>
      <c r="P72" s="62">
        <f t="shared" si="48"/>
        <v>-5.9876543209876871</v>
      </c>
      <c r="Q72" s="253">
        <f t="shared" si="49"/>
        <v>0.95509259259259238</v>
      </c>
      <c r="R72" s="566"/>
      <c r="S72" s="63">
        <v>0.25555555555555554</v>
      </c>
      <c r="T72" s="63">
        <v>0.33055555555555555</v>
      </c>
      <c r="U72" s="251">
        <f t="shared" si="53"/>
        <v>7.9999999999999716</v>
      </c>
      <c r="V72" s="260">
        <f t="shared" si="50"/>
        <v>108.00000000000001</v>
      </c>
      <c r="W72" s="64"/>
      <c r="X72" s="64"/>
      <c r="Y72" s="559"/>
      <c r="Z72" s="559"/>
      <c r="AA72" s="61">
        <f t="shared" si="51"/>
        <v>-107.77777777777828</v>
      </c>
      <c r="AB72" s="253">
        <f t="shared" si="52"/>
        <v>0.95509259259259238</v>
      </c>
      <c r="AC72" s="566"/>
    </row>
    <row r="73" spans="1:29" ht="15.75" customHeight="1">
      <c r="A73" s="564" t="s">
        <v>1107</v>
      </c>
      <c r="B73" s="261" t="s">
        <v>15</v>
      </c>
      <c r="C73" s="560" t="s">
        <v>44</v>
      </c>
      <c r="D73" s="560"/>
      <c r="E73" s="57">
        <v>19.02</v>
      </c>
      <c r="F73" s="261">
        <v>4600</v>
      </c>
      <c r="G73" s="251">
        <f t="shared" si="43"/>
        <v>87492</v>
      </c>
      <c r="H73" s="263">
        <v>2</v>
      </c>
      <c r="I73" s="259">
        <v>15</v>
      </c>
      <c r="J73" s="58">
        <v>2400</v>
      </c>
      <c r="K73" s="59">
        <f t="shared" si="44"/>
        <v>160</v>
      </c>
      <c r="L73" s="259">
        <v>15</v>
      </c>
      <c r="M73" s="60">
        <f t="shared" si="45"/>
        <v>2300.0000000000005</v>
      </c>
      <c r="N73" s="59">
        <f t="shared" si="46"/>
        <v>153.33333333333337</v>
      </c>
      <c r="O73" s="61">
        <f t="shared" si="47"/>
        <v>0</v>
      </c>
      <c r="P73" s="62">
        <f t="shared" si="48"/>
        <v>-6.6666666666666288</v>
      </c>
      <c r="Q73" s="253">
        <f t="shared" si="49"/>
        <v>0.95833333333333359</v>
      </c>
      <c r="R73" s="566"/>
      <c r="S73" s="63">
        <v>0.33402777777777776</v>
      </c>
      <c r="T73" s="63">
        <v>0.41736111111111107</v>
      </c>
      <c r="U73" s="251">
        <f t="shared" si="53"/>
        <v>4.9999999999999822</v>
      </c>
      <c r="V73" s="260">
        <f t="shared" si="50"/>
        <v>119.99999999999997</v>
      </c>
      <c r="W73" s="64"/>
      <c r="X73" s="64"/>
      <c r="Y73" s="559"/>
      <c r="Z73" s="559"/>
      <c r="AA73" s="61">
        <f t="shared" si="51"/>
        <v>-99.999999999999545</v>
      </c>
      <c r="AB73" s="253">
        <f t="shared" si="52"/>
        <v>0.95833333333333348</v>
      </c>
      <c r="AC73" s="566"/>
    </row>
    <row r="74" spans="1:29" ht="15.75" customHeight="1">
      <c r="A74" s="564" t="s">
        <v>1107</v>
      </c>
      <c r="B74" s="261" t="s">
        <v>15</v>
      </c>
      <c r="C74" s="560" t="s">
        <v>29</v>
      </c>
      <c r="D74" s="560"/>
      <c r="E74" s="57">
        <v>24.43</v>
      </c>
      <c r="F74" s="261">
        <v>5000</v>
      </c>
      <c r="G74" s="251">
        <f t="shared" si="43"/>
        <v>122150</v>
      </c>
      <c r="H74" s="263">
        <v>2</v>
      </c>
      <c r="I74" s="259">
        <v>14</v>
      </c>
      <c r="J74" s="58">
        <v>2400</v>
      </c>
      <c r="K74" s="59">
        <f t="shared" si="44"/>
        <v>171.42857142857142</v>
      </c>
      <c r="L74" s="259">
        <v>14</v>
      </c>
      <c r="M74" s="60">
        <f t="shared" si="45"/>
        <v>2290.0763358778627</v>
      </c>
      <c r="N74" s="59">
        <f t="shared" si="46"/>
        <v>163.57688113413306</v>
      </c>
      <c r="O74" s="61">
        <f t="shared" si="47"/>
        <v>0</v>
      </c>
      <c r="P74" s="62">
        <f t="shared" si="48"/>
        <v>-7.851690294438356</v>
      </c>
      <c r="Q74" s="253">
        <f t="shared" si="49"/>
        <v>0.95419847328244289</v>
      </c>
      <c r="R74" s="566"/>
      <c r="S74" s="63">
        <v>0.42083333333333328</v>
      </c>
      <c r="T74" s="63">
        <v>0.51180555555555551</v>
      </c>
      <c r="U74" s="251">
        <f t="shared" si="53"/>
        <v>4.9999999999999822</v>
      </c>
      <c r="V74" s="260">
        <f t="shared" si="50"/>
        <v>131</v>
      </c>
      <c r="W74" s="64">
        <f>T74</f>
        <v>0.51180555555555551</v>
      </c>
      <c r="X74" s="64">
        <f>S75</f>
        <v>0.55138888888888882</v>
      </c>
      <c r="Y74" s="559"/>
      <c r="Z74" s="559"/>
      <c r="AA74" s="61">
        <f t="shared" si="51"/>
        <v>-109.92366412213732</v>
      </c>
      <c r="AB74" s="253">
        <f t="shared" si="52"/>
        <v>0.95419847328244278</v>
      </c>
      <c r="AC74" s="566"/>
    </row>
    <row r="75" spans="1:29" ht="15.75" customHeight="1">
      <c r="A75" s="564" t="s">
        <v>1107</v>
      </c>
      <c r="B75" s="261" t="s">
        <v>15</v>
      </c>
      <c r="C75" s="560" t="s">
        <v>44</v>
      </c>
      <c r="D75" s="560"/>
      <c r="E75" s="57">
        <v>19.02</v>
      </c>
      <c r="F75" s="261">
        <v>6987</v>
      </c>
      <c r="G75" s="251">
        <f t="shared" si="43"/>
        <v>132892.74</v>
      </c>
      <c r="H75" s="263" t="s">
        <v>5</v>
      </c>
      <c r="I75" s="259">
        <v>15</v>
      </c>
      <c r="J75" s="58">
        <v>2400</v>
      </c>
      <c r="K75" s="59">
        <f t="shared" si="44"/>
        <v>160</v>
      </c>
      <c r="L75" s="259">
        <v>15</v>
      </c>
      <c r="M75" s="60">
        <f t="shared" si="45"/>
        <v>2290.8196721311474</v>
      </c>
      <c r="N75" s="59">
        <f t="shared" si="46"/>
        <v>152.72131147540983</v>
      </c>
      <c r="O75" s="61">
        <f t="shared" si="47"/>
        <v>0</v>
      </c>
      <c r="P75" s="62">
        <f t="shared" si="48"/>
        <v>-7.2786885245901658</v>
      </c>
      <c r="Q75" s="253">
        <f t="shared" si="49"/>
        <v>0.95450819672131149</v>
      </c>
      <c r="R75" s="566"/>
      <c r="S75" s="63">
        <v>0.55138888888888882</v>
      </c>
      <c r="T75" s="63">
        <v>0.67847222222222214</v>
      </c>
      <c r="U75" s="251">
        <f t="shared" si="53"/>
        <v>56.999999999999957</v>
      </c>
      <c r="V75" s="260">
        <f t="shared" si="50"/>
        <v>183</v>
      </c>
      <c r="W75" s="64"/>
      <c r="X75" s="64"/>
      <c r="Y75" s="569"/>
      <c r="Z75" s="570"/>
      <c r="AA75" s="61">
        <f t="shared" si="51"/>
        <v>-109.1803278688526</v>
      </c>
      <c r="AB75" s="253">
        <f t="shared" si="52"/>
        <v>0.95450819672131137</v>
      </c>
      <c r="AC75" s="566"/>
    </row>
    <row r="76" spans="1:29" ht="15.75" customHeight="1">
      <c r="A76" s="564" t="s">
        <v>1107</v>
      </c>
      <c r="B76" s="261" t="s">
        <v>15</v>
      </c>
      <c r="C76" s="560" t="s">
        <v>29</v>
      </c>
      <c r="D76" s="560"/>
      <c r="E76" s="57">
        <v>24.43</v>
      </c>
      <c r="F76" s="261">
        <v>3675</v>
      </c>
      <c r="G76" s="251">
        <f t="shared" si="43"/>
        <v>89780.25</v>
      </c>
      <c r="H76" s="263" t="s">
        <v>5</v>
      </c>
      <c r="I76" s="259">
        <v>14</v>
      </c>
      <c r="J76" s="58">
        <v>2400</v>
      </c>
      <c r="K76" s="59">
        <f t="shared" si="44"/>
        <v>171.42857142857142</v>
      </c>
      <c r="L76" s="259">
        <v>14</v>
      </c>
      <c r="M76" s="60">
        <f t="shared" si="45"/>
        <v>2296.8750000000009</v>
      </c>
      <c r="N76" s="59">
        <f t="shared" si="46"/>
        <v>164.06250000000006</v>
      </c>
      <c r="O76" s="61">
        <f t="shared" si="47"/>
        <v>0</v>
      </c>
      <c r="P76" s="62">
        <f t="shared" si="48"/>
        <v>-7.3660714285713595</v>
      </c>
      <c r="Q76" s="253">
        <f t="shared" si="49"/>
        <v>0.95703125000000044</v>
      </c>
      <c r="R76" s="566"/>
      <c r="S76" s="63">
        <v>0.68402777777777768</v>
      </c>
      <c r="T76" s="63">
        <v>0.75069444444444433</v>
      </c>
      <c r="U76" s="251">
        <f t="shared" si="53"/>
        <v>7.9999999999999716</v>
      </c>
      <c r="V76" s="260">
        <f t="shared" si="50"/>
        <v>95.999999999999972</v>
      </c>
      <c r="W76" s="64"/>
      <c r="X76" s="64"/>
      <c r="Y76" s="569"/>
      <c r="Z76" s="570"/>
      <c r="AA76" s="61">
        <f t="shared" si="51"/>
        <v>-103.12499999999909</v>
      </c>
      <c r="AB76" s="253">
        <f t="shared" si="52"/>
        <v>0.95703125000000033</v>
      </c>
      <c r="AC76" s="566"/>
    </row>
    <row r="77" spans="1:29" ht="16.5" customHeight="1">
      <c r="A77" s="565" t="s">
        <v>1107</v>
      </c>
      <c r="B77" s="57" t="s">
        <v>1089</v>
      </c>
      <c r="C77" s="561"/>
      <c r="D77" s="562"/>
      <c r="E77" s="258"/>
      <c r="F77" s="66"/>
      <c r="G77" s="59"/>
      <c r="H77" s="261"/>
      <c r="I77" s="67">
        <v>16.375</v>
      </c>
      <c r="J77" s="58">
        <v>2400</v>
      </c>
      <c r="K77" s="59">
        <f t="shared" si="44"/>
        <v>146.56488549618319</v>
      </c>
      <c r="L77" s="67">
        <v>16.375</v>
      </c>
      <c r="M77" s="60">
        <f>AVERAGE(M69:M76)</f>
        <v>2298.2424408159413</v>
      </c>
      <c r="N77" s="59">
        <f t="shared" si="46"/>
        <v>140.3506834086071</v>
      </c>
      <c r="O77" s="61">
        <f t="shared" si="47"/>
        <v>0</v>
      </c>
      <c r="P77" s="62">
        <f t="shared" si="48"/>
        <v>-6.2142020875760977</v>
      </c>
      <c r="Q77" s="253">
        <f t="shared" si="49"/>
        <v>0.95760101700664224</v>
      </c>
      <c r="R77" s="566"/>
      <c r="S77" s="63"/>
      <c r="T77" s="63"/>
      <c r="U77" s="59"/>
      <c r="V77" s="260"/>
      <c r="W77" s="59"/>
      <c r="X77" s="59"/>
      <c r="Y77" s="559"/>
      <c r="Z77" s="559"/>
      <c r="AA77" s="61">
        <f t="shared" si="51"/>
        <v>-101.75755918405866</v>
      </c>
      <c r="AB77" s="253">
        <f t="shared" si="52"/>
        <v>0.95760101700664224</v>
      </c>
      <c r="AC77" s="566"/>
    </row>
    <row r="78" spans="1:29">
      <c r="D78" s="122"/>
      <c r="E78" s="122"/>
    </row>
  </sheetData>
  <mergeCells count="202">
    <mergeCell ref="A62:A68"/>
    <mergeCell ref="C62:D62"/>
    <mergeCell ref="R62:R68"/>
    <mergeCell ref="Y62:Z62"/>
    <mergeCell ref="A69:A77"/>
    <mergeCell ref="C69:D69"/>
    <mergeCell ref="R69:R77"/>
    <mergeCell ref="Y69:Z69"/>
    <mergeCell ref="AC69:AC77"/>
    <mergeCell ref="C70:D70"/>
    <mergeCell ref="Y70:Z70"/>
    <mergeCell ref="C71:D71"/>
    <mergeCell ref="Y71:Z71"/>
    <mergeCell ref="C72:D72"/>
    <mergeCell ref="C76:D76"/>
    <mergeCell ref="Y76:Z76"/>
    <mergeCell ref="C77:D77"/>
    <mergeCell ref="Y77:Z77"/>
    <mergeCell ref="Y72:Z72"/>
    <mergeCell ref="C73:D73"/>
    <mergeCell ref="Y73:Z73"/>
    <mergeCell ref="C74:D74"/>
    <mergeCell ref="Y74:Z74"/>
    <mergeCell ref="C75:D75"/>
    <mergeCell ref="Y75:Z75"/>
    <mergeCell ref="AC62:AC68"/>
    <mergeCell ref="C63:D63"/>
    <mergeCell ref="Y63:Z63"/>
    <mergeCell ref="C64:D64"/>
    <mergeCell ref="Y64:Z64"/>
    <mergeCell ref="C65:D65"/>
    <mergeCell ref="AC55:AC61"/>
    <mergeCell ref="C56:D56"/>
    <mergeCell ref="Y56:Z56"/>
    <mergeCell ref="C57:D57"/>
    <mergeCell ref="C60:D60"/>
    <mergeCell ref="Y60:Z60"/>
    <mergeCell ref="C61:D61"/>
    <mergeCell ref="Y61:Z61"/>
    <mergeCell ref="Y65:Z65"/>
    <mergeCell ref="C66:D66"/>
    <mergeCell ref="Y66:Z66"/>
    <mergeCell ref="C67:D67"/>
    <mergeCell ref="Y67:Z67"/>
    <mergeCell ref="C68:D68"/>
    <mergeCell ref="Y68:Z68"/>
    <mergeCell ref="A55:A61"/>
    <mergeCell ref="C55:D55"/>
    <mergeCell ref="R55:R61"/>
    <mergeCell ref="Y55:Z55"/>
    <mergeCell ref="Y49:Z49"/>
    <mergeCell ref="C50:D50"/>
    <mergeCell ref="Y50:Z50"/>
    <mergeCell ref="C51:D51"/>
    <mergeCell ref="Y51:Z51"/>
    <mergeCell ref="C52:D52"/>
    <mergeCell ref="Y52:Z52"/>
    <mergeCell ref="A46:A54"/>
    <mergeCell ref="C46:D46"/>
    <mergeCell ref="R46:R54"/>
    <mergeCell ref="Y46:Z46"/>
    <mergeCell ref="C39:D39"/>
    <mergeCell ref="Y39:Z39"/>
    <mergeCell ref="C40:D40"/>
    <mergeCell ref="Y40:Z40"/>
    <mergeCell ref="C41:D41"/>
    <mergeCell ref="C53:D53"/>
    <mergeCell ref="Y53:Z53"/>
    <mergeCell ref="C54:D54"/>
    <mergeCell ref="Y54:Z54"/>
    <mergeCell ref="A36:A45"/>
    <mergeCell ref="C36:D36"/>
    <mergeCell ref="R36:R45"/>
    <mergeCell ref="Y36:Z36"/>
    <mergeCell ref="Y41:Z41"/>
    <mergeCell ref="C42:D42"/>
    <mergeCell ref="AC46:AC54"/>
    <mergeCell ref="C47:D47"/>
    <mergeCell ref="Y47:Z47"/>
    <mergeCell ref="C48:D48"/>
    <mergeCell ref="Y48:Z48"/>
    <mergeCell ref="C49:D49"/>
    <mergeCell ref="Y42:Z42"/>
    <mergeCell ref="C43:D43"/>
    <mergeCell ref="Y43:Z43"/>
    <mergeCell ref="C44:D44"/>
    <mergeCell ref="Y44:Z44"/>
    <mergeCell ref="C45:D45"/>
    <mergeCell ref="Y45:Z45"/>
    <mergeCell ref="AC36:AC45"/>
    <mergeCell ref="C37:D37"/>
    <mergeCell ref="Y37:Z37"/>
    <mergeCell ref="C38:D38"/>
    <mergeCell ref="Y38:Z38"/>
    <mergeCell ref="A27:A35"/>
    <mergeCell ref="C27:D27"/>
    <mergeCell ref="R27:R35"/>
    <mergeCell ref="Y27:Z27"/>
    <mergeCell ref="Y32:Z32"/>
    <mergeCell ref="C33:D33"/>
    <mergeCell ref="Y33:Z33"/>
    <mergeCell ref="AC27:AC35"/>
    <mergeCell ref="C28:D28"/>
    <mergeCell ref="Y28:Z28"/>
    <mergeCell ref="C29:D29"/>
    <mergeCell ref="Y29:Z29"/>
    <mergeCell ref="C30:D30"/>
    <mergeCell ref="Y30:Z30"/>
    <mergeCell ref="C31:D31"/>
    <mergeCell ref="Y31:Z31"/>
    <mergeCell ref="C32:D32"/>
    <mergeCell ref="C34:D34"/>
    <mergeCell ref="Y34:Z34"/>
    <mergeCell ref="C35:D35"/>
    <mergeCell ref="Y35:Z35"/>
    <mergeCell ref="AC18:AC26"/>
    <mergeCell ref="C19:D19"/>
    <mergeCell ref="Y19:Z19"/>
    <mergeCell ref="C20:D20"/>
    <mergeCell ref="Y20:Z20"/>
    <mergeCell ref="C21:D21"/>
    <mergeCell ref="Y21:Z21"/>
    <mergeCell ref="C22:D22"/>
    <mergeCell ref="Y22:Z22"/>
    <mergeCell ref="C23:D23"/>
    <mergeCell ref="Y25:Z25"/>
    <mergeCell ref="C26:D26"/>
    <mergeCell ref="Y26:Z26"/>
    <mergeCell ref="A18:A26"/>
    <mergeCell ref="C18:D18"/>
    <mergeCell ref="R18:R26"/>
    <mergeCell ref="Y18:Z18"/>
    <mergeCell ref="Y23:Z23"/>
    <mergeCell ref="C24:D24"/>
    <mergeCell ref="Y24:Z24"/>
    <mergeCell ref="C25:D25"/>
    <mergeCell ref="A13:A17"/>
    <mergeCell ref="C14:D14"/>
    <mergeCell ref="Y14:Z14"/>
    <mergeCell ref="C15:D15"/>
    <mergeCell ref="Y15:Z15"/>
    <mergeCell ref="C16:D16"/>
    <mergeCell ref="Y16:Z16"/>
    <mergeCell ref="AC10:AC12"/>
    <mergeCell ref="C11:D11"/>
    <mergeCell ref="Y11:Z11"/>
    <mergeCell ref="C12:D12"/>
    <mergeCell ref="Y12:Z12"/>
    <mergeCell ref="C13:D13"/>
    <mergeCell ref="R13:R17"/>
    <mergeCell ref="Y13:Z13"/>
    <mergeCell ref="AC13:AC17"/>
    <mergeCell ref="C17:D17"/>
    <mergeCell ref="Y17:Z17"/>
    <mergeCell ref="C8:D8"/>
    <mergeCell ref="Y8:Z8"/>
    <mergeCell ref="C9:D9"/>
    <mergeCell ref="Y9:Z9"/>
    <mergeCell ref="A10:A12"/>
    <mergeCell ref="C10:D10"/>
    <mergeCell ref="R10:R12"/>
    <mergeCell ref="Y10:Z10"/>
    <mergeCell ref="AC3:AC4"/>
    <mergeCell ref="A5:A9"/>
    <mergeCell ref="C5:D5"/>
    <mergeCell ref="R5:R9"/>
    <mergeCell ref="Y5:Z5"/>
    <mergeCell ref="AC5:AC9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</mergeCells>
  <phoneticPr fontId="3" type="noConversion"/>
  <conditionalFormatting sqref="O65:O74 O77 O5:O10 O12:O14 O54:O62 O17:O51">
    <cfRule type="cellIs" dxfId="963" priority="58" operator="greaterThan">
      <formula>0</formula>
    </cfRule>
  </conditionalFormatting>
  <conditionalFormatting sqref="P5:P8 P65:P67 AA65:AA67 P69:P74 P27:P34 P62 P10 P12:P14 P18:P25 P55:P60 P36:P51 AA5:AA62 AA69:AA77">
    <cfRule type="cellIs" dxfId="962" priority="62" operator="lessThan">
      <formula>0</formula>
    </cfRule>
  </conditionalFormatting>
  <conditionalFormatting sqref="AB65:AB67 Q65:Q74 Q77 Q5:Q10 Q12:Q14 Q54:Q62 Q17:Q51 AB5:AB62 AB69:AB77">
    <cfRule type="cellIs" dxfId="961" priority="59" operator="greaterThan">
      <formula>1</formula>
    </cfRule>
    <cfRule type="cellIs" dxfId="960" priority="60" operator="lessThan">
      <formula>0.8</formula>
    </cfRule>
  </conditionalFormatting>
  <conditionalFormatting sqref="AC13:AC14 R13:R14 AC65 R65:R74 R17:R23 AC17:AC23 R26:R43 AC26:AC43 R77 AC5:AC10 R5:R10 R45:R51 AC45:AC51 AC54:AC62 R54:R62">
    <cfRule type="cellIs" dxfId="959" priority="64" operator="lessThan">
      <formula>0.8</formula>
    </cfRule>
  </conditionalFormatting>
  <conditionalFormatting sqref="AC46">
    <cfRule type="cellIs" dxfId="958" priority="66" operator="lessThan">
      <formula>0.8</formula>
    </cfRule>
  </conditionalFormatting>
  <conditionalFormatting sqref="AC18:AC23">
    <cfRule type="cellIs" dxfId="957" priority="63" operator="lessThan">
      <formula>0.8</formula>
    </cfRule>
  </conditionalFormatting>
  <conditionalFormatting sqref="AC27">
    <cfRule type="cellIs" dxfId="956" priority="65" operator="lessThan">
      <formula>0.8</formula>
    </cfRule>
  </conditionalFormatting>
  <conditionalFormatting sqref="AC36:AC43">
    <cfRule type="cellIs" dxfId="955" priority="61" operator="lessThan">
      <formula>0.8</formula>
    </cfRule>
  </conditionalFormatting>
  <conditionalFormatting sqref="AA68">
    <cfRule type="cellIs" dxfId="954" priority="57" operator="lessThan">
      <formula>0</formula>
    </cfRule>
  </conditionalFormatting>
  <conditionalFormatting sqref="AB68">
    <cfRule type="cellIs" dxfId="953" priority="55" operator="greaterThan">
      <formula>1</formula>
    </cfRule>
    <cfRule type="cellIs" dxfId="952" priority="56" operator="lessThan">
      <formula>0.8</formula>
    </cfRule>
  </conditionalFormatting>
  <conditionalFormatting sqref="O15:O16">
    <cfRule type="cellIs" dxfId="951" priority="50" operator="greaterThan">
      <formula>0</formula>
    </cfRule>
  </conditionalFormatting>
  <conditionalFormatting sqref="P15:P16">
    <cfRule type="cellIs" dxfId="950" priority="53" operator="lessThan">
      <formula>0</formula>
    </cfRule>
  </conditionalFormatting>
  <conditionalFormatting sqref="Q15:Q16">
    <cfRule type="cellIs" dxfId="949" priority="51" operator="greaterThan">
      <formula>1</formula>
    </cfRule>
    <cfRule type="cellIs" dxfId="948" priority="52" operator="lessThan">
      <formula>0.8</formula>
    </cfRule>
  </conditionalFormatting>
  <conditionalFormatting sqref="R15:R16 AC15:AC16">
    <cfRule type="cellIs" dxfId="947" priority="54" operator="lessThan">
      <formula>0.8</formula>
    </cfRule>
  </conditionalFormatting>
  <conditionalFormatting sqref="O11">
    <cfRule type="cellIs" dxfId="946" priority="46" operator="greaterThan">
      <formula>0</formula>
    </cfRule>
  </conditionalFormatting>
  <conditionalFormatting sqref="P11">
    <cfRule type="cellIs" dxfId="945" priority="49" operator="lessThan">
      <formula>0</formula>
    </cfRule>
  </conditionalFormatting>
  <conditionalFormatting sqref="Q11">
    <cfRule type="cellIs" dxfId="944" priority="47" operator="greaterThan">
      <formula>1</formula>
    </cfRule>
    <cfRule type="cellIs" dxfId="943" priority="48" operator="lessThan">
      <formula>0.8</formula>
    </cfRule>
  </conditionalFormatting>
  <conditionalFormatting sqref="AC25 R25">
    <cfRule type="cellIs" dxfId="942" priority="45" operator="lessThan">
      <formula>0.8</formula>
    </cfRule>
  </conditionalFormatting>
  <conditionalFormatting sqref="R44 AC44">
    <cfRule type="cellIs" dxfId="941" priority="44" operator="lessThan">
      <formula>0.8</formula>
    </cfRule>
  </conditionalFormatting>
  <conditionalFormatting sqref="AC44">
    <cfRule type="cellIs" dxfId="940" priority="43" operator="lessThan">
      <formula>0.8</formula>
    </cfRule>
  </conditionalFormatting>
  <conditionalFormatting sqref="O64">
    <cfRule type="cellIs" dxfId="939" priority="38" operator="greaterThan">
      <formula>0</formula>
    </cfRule>
  </conditionalFormatting>
  <conditionalFormatting sqref="P64 AA64">
    <cfRule type="cellIs" dxfId="938" priority="41" operator="lessThan">
      <formula>0</formula>
    </cfRule>
  </conditionalFormatting>
  <conditionalFormatting sqref="Q64 AB64">
    <cfRule type="cellIs" dxfId="937" priority="39" operator="greaterThan">
      <formula>1</formula>
    </cfRule>
    <cfRule type="cellIs" dxfId="936" priority="40" operator="lessThan">
      <formula>0.8</formula>
    </cfRule>
  </conditionalFormatting>
  <conditionalFormatting sqref="R64 AC64">
    <cfRule type="cellIs" dxfId="935" priority="42" operator="lessThan">
      <formula>0.8</formula>
    </cfRule>
  </conditionalFormatting>
  <conditionalFormatting sqref="O75">
    <cfRule type="cellIs" dxfId="934" priority="33" operator="greaterThan">
      <formula>0</formula>
    </cfRule>
  </conditionalFormatting>
  <conditionalFormatting sqref="P75">
    <cfRule type="cellIs" dxfId="933" priority="36" operator="lessThan">
      <formula>0</formula>
    </cfRule>
  </conditionalFormatting>
  <conditionalFormatting sqref="Q75">
    <cfRule type="cellIs" dxfId="932" priority="34" operator="greaterThan">
      <formula>1</formula>
    </cfRule>
    <cfRule type="cellIs" dxfId="931" priority="35" operator="lessThan">
      <formula>0.8</formula>
    </cfRule>
  </conditionalFormatting>
  <conditionalFormatting sqref="R75">
    <cfRule type="cellIs" dxfId="930" priority="37" operator="lessThan">
      <formula>0.8</formula>
    </cfRule>
  </conditionalFormatting>
  <conditionalFormatting sqref="O52">
    <cfRule type="cellIs" dxfId="929" priority="27" operator="greaterThan">
      <formula>0</formula>
    </cfRule>
  </conditionalFormatting>
  <conditionalFormatting sqref="P52">
    <cfRule type="cellIs" dxfId="928" priority="31" operator="lessThan">
      <formula>0</formula>
    </cfRule>
  </conditionalFormatting>
  <conditionalFormatting sqref="Q52">
    <cfRule type="cellIs" dxfId="927" priority="28" operator="greaterThan">
      <formula>1</formula>
    </cfRule>
    <cfRule type="cellIs" dxfId="926" priority="29" operator="lessThan">
      <formula>0.8</formula>
    </cfRule>
  </conditionalFormatting>
  <conditionalFormatting sqref="R52 AC52">
    <cfRule type="cellIs" dxfId="925" priority="32" operator="lessThan">
      <formula>0.8</formula>
    </cfRule>
  </conditionalFormatting>
  <conditionalFormatting sqref="AC52">
    <cfRule type="cellIs" dxfId="924" priority="30" operator="lessThan">
      <formula>0.8</formula>
    </cfRule>
  </conditionalFormatting>
  <conditionalFormatting sqref="O53">
    <cfRule type="cellIs" dxfId="923" priority="21" operator="greaterThan">
      <formula>0</formula>
    </cfRule>
  </conditionalFormatting>
  <conditionalFormatting sqref="P53">
    <cfRule type="cellIs" dxfId="922" priority="25" operator="lessThan">
      <formula>0</formula>
    </cfRule>
  </conditionalFormatting>
  <conditionalFormatting sqref="Q53">
    <cfRule type="cellIs" dxfId="921" priority="22" operator="greaterThan">
      <formula>1</formula>
    </cfRule>
    <cfRule type="cellIs" dxfId="920" priority="23" operator="lessThan">
      <formula>0.8</formula>
    </cfRule>
  </conditionalFormatting>
  <conditionalFormatting sqref="R53 AC53">
    <cfRule type="cellIs" dxfId="919" priority="26" operator="lessThan">
      <formula>0.8</formula>
    </cfRule>
  </conditionalFormatting>
  <conditionalFormatting sqref="AC53">
    <cfRule type="cellIs" dxfId="918" priority="24" operator="lessThan">
      <formula>0.8</formula>
    </cfRule>
  </conditionalFormatting>
  <conditionalFormatting sqref="R24 AC24">
    <cfRule type="cellIs" dxfId="917" priority="20" operator="lessThan">
      <formula>0.8</formula>
    </cfRule>
  </conditionalFormatting>
  <conditionalFormatting sqref="AC24">
    <cfRule type="cellIs" dxfId="916" priority="19" operator="lessThan">
      <formula>0.8</formula>
    </cfRule>
  </conditionalFormatting>
  <conditionalFormatting sqref="O63">
    <cfRule type="cellIs" dxfId="915" priority="14" operator="greaterThan">
      <formula>0</formula>
    </cfRule>
  </conditionalFormatting>
  <conditionalFormatting sqref="P63 AA63">
    <cfRule type="cellIs" dxfId="914" priority="17" operator="lessThan">
      <formula>0</formula>
    </cfRule>
  </conditionalFormatting>
  <conditionalFormatting sqref="Q63 AB63">
    <cfRule type="cellIs" dxfId="913" priority="15" operator="greaterThan">
      <formula>1</formula>
    </cfRule>
    <cfRule type="cellIs" dxfId="912" priority="16" operator="lessThan">
      <formula>0.8</formula>
    </cfRule>
  </conditionalFormatting>
  <conditionalFormatting sqref="R63 AC63">
    <cfRule type="cellIs" dxfId="911" priority="18" operator="lessThan">
      <formula>0.8</formula>
    </cfRule>
  </conditionalFormatting>
  <conditionalFormatting sqref="P9">
    <cfRule type="cellIs" dxfId="910" priority="13" operator="lessThan">
      <formula>0</formula>
    </cfRule>
  </conditionalFormatting>
  <conditionalFormatting sqref="P17">
    <cfRule type="cellIs" dxfId="909" priority="12" operator="lessThan">
      <formula>0</formula>
    </cfRule>
  </conditionalFormatting>
  <conditionalFormatting sqref="P26">
    <cfRule type="cellIs" dxfId="908" priority="11" operator="lessThan">
      <formula>0</formula>
    </cfRule>
  </conditionalFormatting>
  <conditionalFormatting sqref="P35">
    <cfRule type="cellIs" dxfId="907" priority="10" operator="lessThan">
      <formula>0</formula>
    </cfRule>
  </conditionalFormatting>
  <conditionalFormatting sqref="P54">
    <cfRule type="cellIs" dxfId="906" priority="9" operator="lessThan">
      <formula>0</formula>
    </cfRule>
  </conditionalFormatting>
  <conditionalFormatting sqref="P61">
    <cfRule type="cellIs" dxfId="905" priority="8" operator="lessThan">
      <formula>0</formula>
    </cfRule>
  </conditionalFormatting>
  <conditionalFormatting sqref="P68">
    <cfRule type="cellIs" dxfId="904" priority="7" operator="lessThan">
      <formula>0</formula>
    </cfRule>
  </conditionalFormatting>
  <conditionalFormatting sqref="P77">
    <cfRule type="cellIs" dxfId="903" priority="6" operator="lessThan">
      <formula>0</formula>
    </cfRule>
  </conditionalFormatting>
  <conditionalFormatting sqref="O76">
    <cfRule type="cellIs" dxfId="902" priority="1" operator="greaterThan">
      <formula>0</formula>
    </cfRule>
  </conditionalFormatting>
  <conditionalFormatting sqref="P76">
    <cfRule type="cellIs" dxfId="901" priority="4" operator="lessThan">
      <formula>0</formula>
    </cfRule>
  </conditionalFormatting>
  <conditionalFormatting sqref="Q76">
    <cfRule type="cellIs" dxfId="900" priority="2" operator="greaterThan">
      <formula>1</formula>
    </cfRule>
    <cfRule type="cellIs" dxfId="899" priority="3" operator="lessThan">
      <formula>0.8</formula>
    </cfRule>
  </conditionalFormatting>
  <conditionalFormatting sqref="R76">
    <cfRule type="cellIs" dxfId="898" priority="5" operator="lessThan">
      <formula>0.8</formula>
    </cfRule>
  </conditionalFormatting>
  <dataValidations count="1">
    <dataValidation type="list" allowBlank="1" showInputMessage="1" showErrorMessage="1" sqref="Z9 Z66:Z67 Y5:Z8 Y9:Y67 Z11:Z62 Y68:Z77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="85" zoomScaleNormal="85" workbookViewId="0">
      <selection activeCell="P13" sqref="P13"/>
    </sheetView>
  </sheetViews>
  <sheetFormatPr defaultColWidth="8.75" defaultRowHeight="15.75"/>
  <cols>
    <col min="1" max="1" width="8.75" style="2"/>
    <col min="2" max="2" width="17.875" style="2" customWidth="1"/>
    <col min="3" max="3" width="9.25" style="9" customWidth="1"/>
    <col min="4" max="13" width="12.625" style="2" customWidth="1"/>
    <col min="14" max="14" width="11" style="2" bestFit="1" customWidth="1"/>
    <col min="15" max="15" width="17.75" style="2" bestFit="1" customWidth="1"/>
    <col min="16" max="16" width="12.25" style="2" bestFit="1" customWidth="1"/>
    <col min="17" max="22" width="9.25" style="2" customWidth="1"/>
    <col min="23" max="23" width="10.75" style="2" customWidth="1"/>
    <col min="24" max="24" width="11" style="2" customWidth="1"/>
    <col min="25" max="16384" width="8.75" style="2"/>
  </cols>
  <sheetData>
    <row r="1" spans="2:17" ht="27.75" customHeight="1">
      <c r="B1" s="546" t="s">
        <v>937</v>
      </c>
      <c r="C1" s="546"/>
      <c r="D1" s="546"/>
      <c r="E1" s="546"/>
      <c r="F1" s="546"/>
      <c r="G1" s="546"/>
      <c r="H1" s="546"/>
      <c r="I1" s="546"/>
      <c r="J1" s="546"/>
      <c r="K1" s="1"/>
      <c r="L1" s="1"/>
      <c r="M1" s="1"/>
      <c r="N1" s="1"/>
      <c r="O1" s="1"/>
      <c r="P1" s="1"/>
    </row>
    <row r="2" spans="2:17" ht="27.75" customHeight="1">
      <c r="B2" s="547"/>
      <c r="C2" s="547"/>
      <c r="D2" s="547"/>
      <c r="E2" s="547"/>
      <c r="F2" s="547"/>
      <c r="G2" s="547"/>
      <c r="H2" s="547"/>
      <c r="I2" s="547"/>
      <c r="J2" s="547"/>
      <c r="K2" s="3"/>
      <c r="L2" s="3"/>
      <c r="M2" s="3"/>
      <c r="N2" s="1"/>
      <c r="O2" s="1"/>
      <c r="P2" s="1"/>
    </row>
    <row r="3" spans="2:17" ht="46.5" customHeight="1">
      <c r="B3" s="4" t="s">
        <v>938</v>
      </c>
      <c r="C3" s="548" t="str">
        <f>TEXT('1213 4度C'!A2,"yyyy.mm.ddaaaa")</f>
        <v>2025.12.13星期六</v>
      </c>
      <c r="D3" s="549"/>
      <c r="E3" s="4" t="s">
        <v>939</v>
      </c>
      <c r="F3" s="550">
        <f>'1213 4度C'!D1</f>
        <v>146378</v>
      </c>
      <c r="G3" s="551"/>
      <c r="H3" s="4" t="s">
        <v>940</v>
      </c>
      <c r="I3" s="552">
        <f>'1213 4度C'!F1</f>
        <v>4925701.5599999996</v>
      </c>
      <c r="J3" s="553"/>
      <c r="K3" s="5"/>
      <c r="L3" s="6"/>
      <c r="M3" s="7"/>
      <c r="N3" s="7"/>
    </row>
    <row r="4" spans="2:17" ht="28.5" customHeight="1">
      <c r="B4" s="554" t="s">
        <v>941</v>
      </c>
      <c r="C4" s="536" t="s">
        <v>942</v>
      </c>
      <c r="D4" s="537"/>
      <c r="E4" s="557" t="s">
        <v>943</v>
      </c>
      <c r="F4" s="558"/>
      <c r="G4" s="557" t="s">
        <v>944</v>
      </c>
      <c r="H4" s="558"/>
      <c r="I4" s="557" t="s">
        <v>945</v>
      </c>
      <c r="J4" s="558"/>
      <c r="L4" s="7"/>
      <c r="M4" s="7"/>
      <c r="N4" s="7"/>
    </row>
    <row r="5" spans="2:17" ht="28.5" customHeight="1">
      <c r="B5" s="555"/>
      <c r="C5" s="536" t="s">
        <v>946</v>
      </c>
      <c r="D5" s="537"/>
      <c r="E5" s="536" t="s">
        <v>947</v>
      </c>
      <c r="F5" s="537"/>
      <c r="G5" s="538" t="s">
        <v>948</v>
      </c>
      <c r="H5" s="539"/>
      <c r="I5" s="540" t="s">
        <v>949</v>
      </c>
      <c r="J5" s="541"/>
      <c r="K5" s="7"/>
      <c r="L5" s="7"/>
      <c r="M5" s="7"/>
      <c r="N5" s="7"/>
    </row>
    <row r="6" spans="2:17" ht="28.5" customHeight="1">
      <c r="B6" s="555"/>
      <c r="C6" s="536" t="s">
        <v>46</v>
      </c>
      <c r="D6" s="537"/>
      <c r="E6" s="542">
        <f>AVERAGE(D13:M13)</f>
        <v>149.73405755339309</v>
      </c>
      <c r="F6" s="543">
        <f>AVERAGE(D27:O27,D13:J13)</f>
        <v>154.20976955295242</v>
      </c>
      <c r="G6" s="544">
        <f>AVERAGE(D13:J13)</f>
        <v>154.20976955295242</v>
      </c>
      <c r="H6" s="545"/>
      <c r="I6" s="544">
        <f>AVERAGE(K13:M13)</f>
        <v>139.29072955442123</v>
      </c>
      <c r="J6" s="545"/>
      <c r="K6" s="7"/>
      <c r="L6" s="7"/>
      <c r="M6" s="7"/>
      <c r="N6" s="7"/>
    </row>
    <row r="7" spans="2:17" ht="28.5" customHeight="1">
      <c r="B7" s="555"/>
      <c r="C7" s="526" t="s">
        <v>47</v>
      </c>
      <c r="D7" s="527"/>
      <c r="E7" s="528">
        <f>AVERAGE(D14:M14)</f>
        <v>143.54815993394442</v>
      </c>
      <c r="F7" s="529">
        <f>AVERAGE(D28:O28,D14:J14)</f>
        <v>147.93667433129008</v>
      </c>
      <c r="G7" s="530">
        <f>AVERAGE(D14:J14)</f>
        <v>147.93667433129008</v>
      </c>
      <c r="H7" s="531"/>
      <c r="I7" s="530">
        <f>AVERAGE(K14:M14)</f>
        <v>133.30829300680446</v>
      </c>
      <c r="J7" s="531"/>
      <c r="K7" s="7"/>
      <c r="L7" s="7"/>
      <c r="M7" s="7"/>
      <c r="N7" s="7"/>
    </row>
    <row r="8" spans="2:17" ht="28.5" customHeight="1">
      <c r="B8" s="556"/>
      <c r="C8" s="526" t="s">
        <v>48</v>
      </c>
      <c r="D8" s="527"/>
      <c r="E8" s="532">
        <f>AVERAGE(D15:M15)</f>
        <v>0.95826966083151821</v>
      </c>
      <c r="F8" s="533">
        <f>AVERAGE(D15:J15,D29:O29)</f>
        <v>0.9588368600635625</v>
      </c>
      <c r="G8" s="534">
        <f>AVERAGE(D15:J15)</f>
        <v>0.9588368600635625</v>
      </c>
      <c r="H8" s="535"/>
      <c r="I8" s="534">
        <f>AVERAGE(K15:M15)</f>
        <v>0.95694619595674812</v>
      </c>
      <c r="J8" s="535"/>
      <c r="K8" s="8" t="s">
        <v>950</v>
      </c>
      <c r="L8" s="7"/>
      <c r="M8" s="7"/>
      <c r="N8" s="7"/>
    </row>
    <row r="9" spans="2:17" ht="28.5" customHeight="1" thickBot="1">
      <c r="H9" s="10"/>
      <c r="N9" s="7"/>
      <c r="O9" s="7"/>
      <c r="P9" s="7"/>
      <c r="Q9" s="7"/>
    </row>
    <row r="10" spans="2:17" ht="30" customHeight="1">
      <c r="B10" s="509" t="s">
        <v>951</v>
      </c>
      <c r="C10" s="510"/>
      <c r="D10" s="511" t="s">
        <v>952</v>
      </c>
      <c r="E10" s="512"/>
      <c r="F10" s="512"/>
      <c r="G10" s="512"/>
      <c r="H10" s="512"/>
      <c r="I10" s="512"/>
      <c r="J10" s="513"/>
      <c r="K10" s="514" t="s">
        <v>953</v>
      </c>
      <c r="L10" s="515"/>
      <c r="M10" s="516"/>
      <c r="P10" s="11"/>
      <c r="Q10" s="11"/>
    </row>
    <row r="11" spans="2:17" ht="17.25" customHeight="1">
      <c r="B11" s="517" t="s">
        <v>954</v>
      </c>
      <c r="C11" s="518"/>
      <c r="D11" s="12">
        <v>1</v>
      </c>
      <c r="E11" s="13">
        <v>2</v>
      </c>
      <c r="F11" s="13">
        <v>3</v>
      </c>
      <c r="G11" s="13">
        <v>4</v>
      </c>
      <c r="H11" s="13">
        <v>5</v>
      </c>
      <c r="I11" s="13">
        <v>6</v>
      </c>
      <c r="J11" s="14">
        <v>7</v>
      </c>
      <c r="K11" s="12">
        <v>1</v>
      </c>
      <c r="L11" s="13">
        <v>2</v>
      </c>
      <c r="M11" s="14">
        <v>3</v>
      </c>
      <c r="P11" s="11"/>
      <c r="Q11" s="11"/>
    </row>
    <row r="12" spans="2:17" ht="34.15" customHeight="1">
      <c r="B12" s="519"/>
      <c r="C12" s="520"/>
      <c r="D12" s="15" t="s">
        <v>49</v>
      </c>
      <c r="E12" s="16" t="s">
        <v>50</v>
      </c>
      <c r="F12" s="16" t="s">
        <v>51</v>
      </c>
      <c r="G12" s="16" t="s">
        <v>52</v>
      </c>
      <c r="H12" s="16" t="s">
        <v>53</v>
      </c>
      <c r="I12" s="16" t="s">
        <v>54</v>
      </c>
      <c r="J12" s="17" t="s">
        <v>55</v>
      </c>
      <c r="K12" s="15" t="s">
        <v>56</v>
      </c>
      <c r="L12" s="16" t="s">
        <v>57</v>
      </c>
      <c r="M12" s="17" t="s">
        <v>58</v>
      </c>
    </row>
    <row r="13" spans="2:17" ht="40.15" customHeight="1">
      <c r="B13" s="521" t="s">
        <v>575</v>
      </c>
      <c r="C13" s="18" t="s">
        <v>955</v>
      </c>
      <c r="D13" s="19">
        <f>SUMIFS('1213 4度C'!$K:$K,'1213 4度C'!$A:$A,"新豐6線",'1213 4度C'!$B:$B,"平均")</f>
        <v>133.33333333333334</v>
      </c>
      <c r="E13" s="20">
        <f>SUMIFS('1213 4度C'!$K:$K,'1213 4度C'!$A:$A,"新豐2線",'1213 4度C'!$B:$B,"平均")</f>
        <v>83.333333333333329</v>
      </c>
      <c r="F13" s="21">
        <f>SUMIFS('1213 4度C'!$K:$K,'1213 4度C'!$A:$A,"新豐5線",'1213 4度C'!$B:$B,"平均")</f>
        <v>93.333333333333329</v>
      </c>
      <c r="G13" s="21">
        <f>SUMIFS('1213 4度C'!$K:$K,'1213 4度C'!$A:$A,"新豐7線",'1213 4度C'!$B:$B,"平均")</f>
        <v>118.32061068702291</v>
      </c>
      <c r="H13" s="21">
        <f>SUMIFS('1213 4度C'!$K:$K,'1213 4度C'!$A:$A,"新豐3線",'1213 4度C'!$B:$B,"平均")</f>
        <v>235.29411764705881</v>
      </c>
      <c r="I13" s="21">
        <f>SUMIFS('1213 4度C'!$K:$K,'1213 4度C'!$A:$A,"新豐1線",'1213 4度C'!$B:$B,"平均")</f>
        <v>115.85365853658537</v>
      </c>
      <c r="J13" s="22">
        <f>SUMIFS('1213 4度C'!$K:$K,'1213 4度C'!$A:$A,"新豐10線",'1213 4度C'!$B:$B,"平均")</f>
        <v>300</v>
      </c>
      <c r="K13" s="23">
        <f>SUMIFS('1213 4度C'!$K:$K,'1213 4度C'!$A:$A,"新豐8線",'1213 4度C'!$B:$B,"平均")</f>
        <v>131.86813186813188</v>
      </c>
      <c r="L13" s="24">
        <f>SUMIFS('1213 4度C'!$K:$K,'1213 4度C'!$A:$A,"新豐9線",'1213 4度C'!$B:$B,"平均")</f>
        <v>144.82758620689654</v>
      </c>
      <c r="M13" s="22">
        <f>SUMIFS('1213 4度C'!$K:$K,'1213 4度C'!$A:$A,"新豐4線",'1213 4度C'!$B:$B,"平均")</f>
        <v>141.1764705882353</v>
      </c>
    </row>
    <row r="14" spans="2:17" ht="39.6" customHeight="1">
      <c r="B14" s="522"/>
      <c r="C14" s="25" t="s">
        <v>956</v>
      </c>
      <c r="D14" s="26">
        <f>SUMIFS('1213 4度C'!$N:$N,'1213 4度C'!$A:$A,"新豐6線",'1213 4度C'!$B:$B,"平均")</f>
        <v>127.59575473120336</v>
      </c>
      <c r="E14" s="27">
        <f>SUMIFS('1213 4度C'!$N:$N,'1213 4度C'!$A:$A,"新豐2線",'1213 4度C'!$B:$B,"平均")</f>
        <v>79.593290629875995</v>
      </c>
      <c r="F14" s="27">
        <f>SUMIFS('1213 4度C'!$N:$N,'1213 4度C'!$A:$A,"新豐5線",'1213 4度C'!$B:$B,"平均")</f>
        <v>89.431161792137388</v>
      </c>
      <c r="G14" s="27">
        <f>SUMIFS('1213 4度C'!$N:$N,'1213 4度C'!$A:$A,"新豐7線",'1213 4度C'!$B:$B,"平均")</f>
        <v>113.45485585466183</v>
      </c>
      <c r="H14" s="27">
        <f>SUMIFS('1213 4度C'!$N:$N,'1213 4度C'!$A:$A,"新豐3線",'1213 4度C'!$B:$B,"平均")</f>
        <v>225.32225434294267</v>
      </c>
      <c r="I14" s="27">
        <f>SUMIFS('1213 4度C'!$N:$N,'1213 4度C'!$A:$A,"新豐1線",'1213 4度C'!$B:$B,"平均")</f>
        <v>111.58761127300313</v>
      </c>
      <c r="J14" s="28">
        <f>SUMIFS('1213 4度C'!$N:$N,'1213 4度C'!$A:$A,"新豐10線",'1213 4度C'!$B:$B,"平均")</f>
        <v>288.57179169520606</v>
      </c>
      <c r="K14" s="29">
        <f>SUMIFS('1213 4度C'!$N:$N,'1213 4度C'!$A:$A,"新豐8線",'1213 4度C'!$B:$B,"平均")</f>
        <v>125.6916540361885</v>
      </c>
      <c r="L14" s="30">
        <f>SUMIFS('1213 4度C'!$N:$N,'1213 4度C'!$A:$A,"新豐9線",'1213 4度C'!$B:$B,"平均")</f>
        <v>138.92740703769238</v>
      </c>
      <c r="M14" s="28">
        <f>SUMIFS('1213 4度C'!$N:$N,'1213 4度C'!$A:$A,"新豐4線",'1213 4度C'!$B:$B,"平均")</f>
        <v>135.30581794653258</v>
      </c>
    </row>
    <row r="15" spans="2:17" ht="40.15" customHeight="1">
      <c r="B15" s="523"/>
      <c r="C15" s="31" t="s">
        <v>957</v>
      </c>
      <c r="D15" s="32">
        <f t="shared" ref="D15:M15" si="0">D14/D13</f>
        <v>0.95696816048402511</v>
      </c>
      <c r="E15" s="33">
        <f t="shared" si="0"/>
        <v>0.95511948755851195</v>
      </c>
      <c r="F15" s="33">
        <f t="shared" si="0"/>
        <v>0.95819101920147209</v>
      </c>
      <c r="G15" s="33">
        <f t="shared" si="0"/>
        <v>0.95887652367488385</v>
      </c>
      <c r="H15" s="33">
        <f t="shared" si="0"/>
        <v>0.95761958095750643</v>
      </c>
      <c r="I15" s="33">
        <f t="shared" si="0"/>
        <v>0.96317727625118488</v>
      </c>
      <c r="J15" s="34">
        <f t="shared" si="0"/>
        <v>0.96190597231735353</v>
      </c>
      <c r="K15" s="32">
        <f t="shared" si="0"/>
        <v>0.95316170977442927</v>
      </c>
      <c r="L15" s="33">
        <f t="shared" si="0"/>
        <v>0.95926066764120932</v>
      </c>
      <c r="M15" s="34">
        <f t="shared" si="0"/>
        <v>0.95841621045460579</v>
      </c>
    </row>
    <row r="16" spans="2:17" ht="17.25" customHeight="1">
      <c r="B16" s="524" t="s">
        <v>958</v>
      </c>
      <c r="C16" s="35" t="s">
        <v>959</v>
      </c>
      <c r="D16" s="49">
        <f>VLOOKUP("新豐6線",'1213 4度C'!$A:$T,19,0)</f>
        <v>0.70833333333333337</v>
      </c>
      <c r="E16" s="50">
        <f>VLOOKUP("新豐2線",'1213 4度C'!$A:$T,19,0)</f>
        <v>0.16666666666666666</v>
      </c>
      <c r="F16" s="50">
        <f>VLOOKUP("新豐5線",'1213 4度C'!$A:$T,19,0)</f>
        <v>0.20833333333333334</v>
      </c>
      <c r="G16" s="50">
        <f>VLOOKUP("新豐7線",'1213 4度C'!$A:$T,19,0)</f>
        <v>0.20833333333333334</v>
      </c>
      <c r="H16" s="50">
        <f>VLOOKUP("新豐3線",'1213 4度C'!$A:$T,19,0)</f>
        <v>8.3333333333333329E-2</v>
      </c>
      <c r="I16" s="50">
        <f>VLOOKUP("新豐1線",'1213 4度C'!$A:$T,19,0)</f>
        <v>0.20833333333333334</v>
      </c>
      <c r="J16" s="51">
        <f>VLOOKUP("新豐10線",'1213 4度C'!$A:$T,19,0)</f>
        <v>0.20833333333333334</v>
      </c>
      <c r="K16" s="36">
        <f>VLOOKUP("新豐8線",'1213 4度C'!$A:$T,19,0)</f>
        <v>8.3333333333333329E-2</v>
      </c>
      <c r="L16" s="37">
        <f>VLOOKUP("新豐9線",'1213 4度C'!$A:$T,19,0)</f>
        <v>8.3333333333333329E-2</v>
      </c>
      <c r="M16" s="38">
        <f>VLOOKUP("新豐4線",'1213 4度C'!$A:$T,19,0)</f>
        <v>8.3333333333333329E-2</v>
      </c>
    </row>
    <row r="17" spans="2:13" ht="17.25" customHeight="1">
      <c r="B17" s="525"/>
      <c r="C17" s="35" t="s">
        <v>73</v>
      </c>
      <c r="D17" s="36">
        <f>LOOKUP(2,1/(('1213 4度C'!$A:$A="新豐6線")*('1213 4度C'!$T:$T&lt;&gt;"")),'1213 4度C'!$T:$T)</f>
        <v>0.84097222222222223</v>
      </c>
      <c r="E17" s="50">
        <f>LOOKUP(2,1/(('1213 4度C'!$A:$A="新豐2線")*('1213 4度C'!$T:$T&lt;&gt;"")),'1213 4度C'!$T:$T)</f>
        <v>0.40902777777777777</v>
      </c>
      <c r="F17" s="50">
        <f>LOOKUP(2,1/(('1213 4度C'!$A:$A="新豐5線")*('1213 4度C'!$T:$T&lt;&gt;"")),'1213 4度C'!$T:$T)</f>
        <v>0.8222222222222223</v>
      </c>
      <c r="G17" s="50">
        <f>LOOKUP(2,1/(('1213 4度C'!$A:$A="新豐7線")*('1213 4度C'!$T:$T&lt;&gt;"")),'1213 4度C'!$T:$T)</f>
        <v>0.82708333333333328</v>
      </c>
      <c r="H17" s="50">
        <f>LOOKUP(2,1/(('1213 4度C'!$A:$A="新豐3線")*('1213 4度C'!$T:$T&lt;&gt;"")),'1213 4度C'!$T:$T)</f>
        <v>0.47013888888888883</v>
      </c>
      <c r="I17" s="50">
        <f>LOOKUP(2,1/(('1213 4度C'!$A:$A="新豐1線")*('1213 4度C'!$T:$T&lt;&gt;"")),'1213 4度C'!$T:$T)</f>
        <v>0.86805555555555547</v>
      </c>
      <c r="J17" s="51">
        <f>LOOKUP(2,1/(('1213 4度C'!$A:$A="新豐10線")*('1213 4度C'!$T:$T&lt;&gt;"")),'1213 4度C'!$T:$T)</f>
        <v>0.44027777777777771</v>
      </c>
      <c r="K17" s="49">
        <f>LOOKUP(2,1/(('1213 4度C'!$A:$A="新豐8線")*('1213 4度C'!$T:$T&lt;&gt;"")),'1213 4度C'!$T:$T)</f>
        <v>0.53819444444444442</v>
      </c>
      <c r="L17" s="50">
        <f>LOOKUP(2,1/(('1213 4度C'!$A:$A="新豐9線")*('1213 4度C'!$T:$T&lt;&gt;"")),'1213 4度C'!$T:$T)</f>
        <v>0.57708333333333328</v>
      </c>
      <c r="M17" s="51">
        <f>LOOKUP(2,1/(('1213 4度C'!$A:$A="新豐4線")*('1213 4度C'!$T:$T&lt;&gt;"")),'1213 4度C'!$T:$T)</f>
        <v>0.53750000000000009</v>
      </c>
    </row>
    <row r="18" spans="2:13" ht="17.25" customHeight="1">
      <c r="B18" s="503" t="s">
        <v>960</v>
      </c>
      <c r="C18" s="504"/>
      <c r="D18" s="39">
        <f>SUMIFS('1213 4度C'!$I:$I,'1213 4度C'!$A:$A,"新豐6線",'1213 4度C'!$B:$B,"平均")</f>
        <v>15</v>
      </c>
      <c r="E18" s="40">
        <f>SUMIFS('1213 4度C'!$I:$I,'1213 4度C'!$A:$A,"新豐2線",'1213 4度C'!$B:$B,"平均")</f>
        <v>18</v>
      </c>
      <c r="F18" s="40">
        <f>SUMIFS('1213 4度C'!$I:$I,'1213 4度C'!$A:$A,"新豐5線",'1213 4度C'!$B:$B,"平均")</f>
        <v>18.75</v>
      </c>
      <c r="G18" s="40">
        <f>SUMIFS('1213 4度C'!$I:$I,'1213 4度C'!$A:$A,"新豐7線",'1213 4度C'!$B:$B,"平均")</f>
        <v>16.375</v>
      </c>
      <c r="H18" s="40">
        <f>SUMIFS('1213 4度C'!$I:$I,'1213 4度C'!$A:$A,"新豐3線",'1213 4度C'!$B:$B,"平均")</f>
        <v>11.333333333333334</v>
      </c>
      <c r="I18" s="40">
        <f>SUMIFS('1213 4度C'!$I:$I,'1213 4度C'!$A:$A,"新豐1線",'1213 4度C'!$B:$B,"平均")</f>
        <v>16.399999999999999</v>
      </c>
      <c r="J18" s="41">
        <f>SUMIFS('1213 4度C'!$I:$I,'1213 4度C'!$A:$A,"新豐10線",'1213 4度C'!$B:$B,"平均")</f>
        <v>9.1666666666666661</v>
      </c>
      <c r="K18" s="39">
        <f>SUMIFS('1213 4度C'!$I:$I,'1213 4度C'!$A:$A,"新豐8線",'1213 4度C'!$B:$B,"平均")</f>
        <v>18.2</v>
      </c>
      <c r="L18" s="40">
        <f>SUMIFS('1213 4度C'!$I:$I,'1213 4度C'!$A:$A,"新豐9線",'1213 4度C'!$B:$B,"平均")</f>
        <v>16.571428571428573</v>
      </c>
      <c r="M18" s="41">
        <f>SUMIFS('1213 4度C'!$I:$I,'1213 4度C'!$A:$A,"新豐4線",'1213 4度C'!$B:$B,"平均")</f>
        <v>17</v>
      </c>
    </row>
    <row r="19" spans="2:13" ht="17.25" customHeight="1">
      <c r="B19" s="503" t="s">
        <v>961</v>
      </c>
      <c r="C19" s="504"/>
      <c r="D19" s="42" t="s">
        <v>59</v>
      </c>
      <c r="E19" s="43" t="s">
        <v>60</v>
      </c>
      <c r="F19" s="43" t="s">
        <v>962</v>
      </c>
      <c r="G19" s="43" t="s">
        <v>963</v>
      </c>
      <c r="H19" s="43" t="s">
        <v>61</v>
      </c>
      <c r="I19" s="43" t="s">
        <v>59</v>
      </c>
      <c r="J19" s="44" t="s">
        <v>61</v>
      </c>
      <c r="K19" s="42" t="s">
        <v>964</v>
      </c>
      <c r="L19" s="43" t="s">
        <v>964</v>
      </c>
      <c r="M19" s="44" t="s">
        <v>964</v>
      </c>
    </row>
    <row r="20" spans="2:13" ht="17.25" customHeight="1">
      <c r="B20" s="503" t="s">
        <v>965</v>
      </c>
      <c r="C20" s="504"/>
      <c r="D20" s="42"/>
      <c r="E20" s="43"/>
      <c r="F20" s="43" t="s">
        <v>966</v>
      </c>
      <c r="G20" s="43" t="s">
        <v>59</v>
      </c>
      <c r="H20" s="43"/>
      <c r="I20" s="43"/>
      <c r="J20" s="44"/>
      <c r="K20" s="42"/>
      <c r="L20" s="43"/>
      <c r="M20" s="44"/>
    </row>
    <row r="21" spans="2:13" ht="17.25" customHeight="1" thickBot="1">
      <c r="B21" s="505" t="s">
        <v>967</v>
      </c>
      <c r="C21" s="506"/>
      <c r="D21" s="45"/>
      <c r="E21" s="46" t="s">
        <v>968</v>
      </c>
      <c r="F21" s="507" t="s">
        <v>969</v>
      </c>
      <c r="G21" s="508"/>
      <c r="H21" s="46" t="s">
        <v>970</v>
      </c>
      <c r="I21" s="46" t="s">
        <v>971</v>
      </c>
      <c r="J21" s="47" t="s">
        <v>970</v>
      </c>
      <c r="K21" s="48"/>
      <c r="L21" s="46"/>
      <c r="M21" s="4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20:C20"/>
    <mergeCell ref="B21:C21"/>
    <mergeCell ref="F21:G21"/>
    <mergeCell ref="K10:M10"/>
    <mergeCell ref="B11:C12"/>
    <mergeCell ref="B13:B15"/>
    <mergeCell ref="B18:C18"/>
    <mergeCell ref="B19:C19"/>
  </mergeCells>
  <phoneticPr fontId="3" type="noConversion"/>
  <conditionalFormatting sqref="D15:M15">
    <cfRule type="cellIs" dxfId="897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67"/>
  <sheetViews>
    <sheetView zoomScale="80" zoomScaleNormal="80" workbookViewId="0">
      <pane ySplit="4" topLeftCell="A23" activePane="bottomLeft" state="frozen"/>
      <selection activeCell="P13" sqref="P13"/>
      <selection pane="bottomLeft" activeCell="P13" sqref="P13"/>
    </sheetView>
  </sheetViews>
  <sheetFormatPr defaultColWidth="8" defaultRowHeight="15.75"/>
  <cols>
    <col min="1" max="1" width="15.125" style="54" customWidth="1"/>
    <col min="2" max="2" width="19.375" style="73" customWidth="1"/>
    <col min="3" max="3" width="15.25" style="73" customWidth="1"/>
    <col min="4" max="4" width="17.5" style="73" customWidth="1"/>
    <col min="5" max="5" width="7.5" style="73" bestFit="1" customWidth="1"/>
    <col min="6" max="6" width="14.375" style="73" bestFit="1" customWidth="1"/>
    <col min="7" max="7" width="14.375" style="54" customWidth="1"/>
    <col min="8" max="8" width="8" style="54" customWidth="1"/>
    <col min="9" max="9" width="5.875" style="54" customWidth="1"/>
    <col min="10" max="10" width="10.625" style="54" customWidth="1"/>
    <col min="11" max="11" width="14.625" style="54" customWidth="1"/>
    <col min="12" max="12" width="7.25" style="54" bestFit="1" customWidth="1"/>
    <col min="13" max="13" width="8" style="54" customWidth="1"/>
    <col min="14" max="14" width="12" style="54" customWidth="1"/>
    <col min="15" max="15" width="6" style="54" customWidth="1"/>
    <col min="16" max="16" width="9.25" style="54" customWidth="1"/>
    <col min="17" max="17" width="11.5" style="54" customWidth="1"/>
    <col min="18" max="18" width="8.5" style="54" customWidth="1"/>
    <col min="19" max="19" width="10.125" style="73" bestFit="1" customWidth="1"/>
    <col min="20" max="20" width="7.625" style="73" bestFit="1" customWidth="1"/>
    <col min="21" max="21" width="10.25" style="54" bestFit="1" customWidth="1"/>
    <col min="22" max="22" width="8.75" style="71" customWidth="1"/>
    <col min="23" max="23" width="7.375" style="54" customWidth="1"/>
    <col min="24" max="24" width="6.875" style="54" bestFit="1" customWidth="1"/>
    <col min="25" max="25" width="12.75" style="54" customWidth="1"/>
    <col min="26" max="26" width="18.875" style="54" customWidth="1"/>
    <col min="27" max="27" width="13.125" style="54" bestFit="1" customWidth="1"/>
    <col min="28" max="28" width="10.375" style="54" customWidth="1"/>
    <col min="29" max="29" width="9.375" style="54" customWidth="1"/>
    <col min="30" max="30" width="8" style="54"/>
    <col min="31" max="31" width="24.625" style="54" bestFit="1" customWidth="1"/>
    <col min="32" max="16384" width="8" style="54"/>
  </cols>
  <sheetData>
    <row r="1" spans="1:29" ht="26.25" customHeight="1">
      <c r="A1" s="52" t="s">
        <v>972</v>
      </c>
      <c r="B1" s="74"/>
      <c r="C1" s="75" t="s">
        <v>973</v>
      </c>
      <c r="D1" s="76">
        <v>146378</v>
      </c>
      <c r="E1" s="248" t="s">
        <v>974</v>
      </c>
      <c r="F1" s="74">
        <v>4925701.5599999996</v>
      </c>
      <c r="G1" s="52" t="s">
        <v>975</v>
      </c>
      <c r="H1" s="53">
        <v>156.79642857142858</v>
      </c>
      <c r="I1" s="607" t="s">
        <v>976</v>
      </c>
      <c r="J1" s="607"/>
      <c r="K1" s="607"/>
      <c r="L1" s="607" t="s">
        <v>977</v>
      </c>
      <c r="M1" s="607"/>
      <c r="N1" s="607"/>
      <c r="O1" s="607" t="s">
        <v>978</v>
      </c>
      <c r="P1" s="607"/>
      <c r="Q1" s="607"/>
      <c r="R1" s="607"/>
      <c r="S1" s="607" t="s">
        <v>979</v>
      </c>
      <c r="T1" s="607"/>
      <c r="U1" s="607"/>
      <c r="V1" s="607"/>
      <c r="W1" s="607"/>
      <c r="X1" s="607"/>
      <c r="Y1" s="607" t="s">
        <v>980</v>
      </c>
      <c r="Z1" s="607"/>
      <c r="AA1" s="607" t="s">
        <v>981</v>
      </c>
      <c r="AB1" s="608"/>
      <c r="AC1" s="608"/>
    </row>
    <row r="2" spans="1:29" ht="26.25" customHeight="1">
      <c r="A2" s="55">
        <v>46004</v>
      </c>
      <c r="B2" s="56" t="s">
        <v>497</v>
      </c>
      <c r="C2" s="75" t="s">
        <v>982</v>
      </c>
      <c r="D2" s="77">
        <v>143.54815993394442</v>
      </c>
      <c r="E2" s="78" t="s">
        <v>0</v>
      </c>
      <c r="F2" s="79">
        <v>33.650559237043815</v>
      </c>
      <c r="G2" s="52" t="s">
        <v>983</v>
      </c>
      <c r="H2" s="249">
        <v>1</v>
      </c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8"/>
      <c r="AB2" s="608"/>
      <c r="AC2" s="608"/>
    </row>
    <row r="3" spans="1:29" ht="23.25" customHeight="1">
      <c r="A3" s="559" t="s">
        <v>984</v>
      </c>
      <c r="B3" s="604" t="s">
        <v>985</v>
      </c>
      <c r="C3" s="604" t="s">
        <v>986</v>
      </c>
      <c r="D3" s="604"/>
      <c r="E3" s="609" t="s">
        <v>987</v>
      </c>
      <c r="F3" s="604" t="s">
        <v>988</v>
      </c>
      <c r="G3" s="605" t="s">
        <v>989</v>
      </c>
      <c r="H3" s="598" t="s">
        <v>990</v>
      </c>
      <c r="I3" s="596" t="s">
        <v>991</v>
      </c>
      <c r="J3" s="601" t="s">
        <v>992</v>
      </c>
      <c r="K3" s="603" t="s">
        <v>982</v>
      </c>
      <c r="L3" s="596" t="s">
        <v>991</v>
      </c>
      <c r="M3" s="601" t="s">
        <v>992</v>
      </c>
      <c r="N3" s="603" t="s">
        <v>982</v>
      </c>
      <c r="O3" s="596" t="s">
        <v>991</v>
      </c>
      <c r="P3" s="603" t="s">
        <v>982</v>
      </c>
      <c r="Q3" s="602" t="s">
        <v>993</v>
      </c>
      <c r="R3" s="574" t="s">
        <v>994</v>
      </c>
      <c r="S3" s="604" t="s">
        <v>1</v>
      </c>
      <c r="T3" s="604"/>
      <c r="U3" s="598" t="s">
        <v>2</v>
      </c>
      <c r="V3" s="598" t="s">
        <v>995</v>
      </c>
      <c r="W3" s="559" t="s">
        <v>996</v>
      </c>
      <c r="X3" s="559"/>
      <c r="Y3" s="599" t="s">
        <v>997</v>
      </c>
      <c r="Z3" s="600"/>
      <c r="AA3" s="601" t="s">
        <v>992</v>
      </c>
      <c r="AB3" s="602" t="s">
        <v>998</v>
      </c>
      <c r="AC3" s="574" t="s">
        <v>994</v>
      </c>
    </row>
    <row r="4" spans="1:29">
      <c r="A4" s="559"/>
      <c r="B4" s="604"/>
      <c r="C4" s="604"/>
      <c r="D4" s="604"/>
      <c r="E4" s="610"/>
      <c r="F4" s="604"/>
      <c r="G4" s="606"/>
      <c r="H4" s="598"/>
      <c r="I4" s="596"/>
      <c r="J4" s="601"/>
      <c r="K4" s="603"/>
      <c r="L4" s="596"/>
      <c r="M4" s="601"/>
      <c r="N4" s="603"/>
      <c r="O4" s="596"/>
      <c r="P4" s="603"/>
      <c r="Q4" s="602"/>
      <c r="R4" s="574"/>
      <c r="S4" s="248" t="s">
        <v>3</v>
      </c>
      <c r="T4" s="248" t="s">
        <v>4</v>
      </c>
      <c r="U4" s="598"/>
      <c r="V4" s="598"/>
      <c r="W4" s="241" t="s">
        <v>999</v>
      </c>
      <c r="X4" s="241" t="s">
        <v>1000</v>
      </c>
      <c r="Y4" s="600"/>
      <c r="Z4" s="600"/>
      <c r="AA4" s="601"/>
      <c r="AB4" s="602"/>
      <c r="AC4" s="574"/>
    </row>
    <row r="5" spans="1:29">
      <c r="A5" s="595" t="s">
        <v>1001</v>
      </c>
      <c r="B5" s="57" t="s">
        <v>6</v>
      </c>
      <c r="C5" s="597" t="s">
        <v>9</v>
      </c>
      <c r="D5" s="597"/>
      <c r="E5" s="57">
        <v>50.67</v>
      </c>
      <c r="F5" s="248">
        <v>1496</v>
      </c>
      <c r="G5" s="241">
        <f t="shared" ref="G5:G7" si="0">E5*F5</f>
        <v>75802.320000000007</v>
      </c>
      <c r="H5" s="250" t="s">
        <v>5</v>
      </c>
      <c r="I5" s="246">
        <v>17</v>
      </c>
      <c r="J5" s="58">
        <v>2000</v>
      </c>
      <c r="K5" s="59">
        <f t="shared" ref="K5:K66" si="1">J5/I5</f>
        <v>117.64705882352941</v>
      </c>
      <c r="L5" s="246">
        <v>17</v>
      </c>
      <c r="M5" s="60">
        <f t="shared" ref="M5:M7" si="2">F5/V5*60</f>
        <v>1909.7872340425536</v>
      </c>
      <c r="N5" s="59">
        <f t="shared" ref="N5:N66" si="3">M5/L5</f>
        <v>112.34042553191492</v>
      </c>
      <c r="O5" s="61">
        <f t="shared" ref="O5:O66" si="4">L5-I5</f>
        <v>0</v>
      </c>
      <c r="P5" s="62">
        <f t="shared" ref="P5:P66" si="5">N5-K5</f>
        <v>-5.3066332916144887</v>
      </c>
      <c r="Q5" s="242">
        <f t="shared" ref="Q5:Q66" si="6">N5/K5</f>
        <v>0.95489361702127684</v>
      </c>
      <c r="R5" s="566">
        <f>Q8</f>
        <v>0.95696816048402511</v>
      </c>
      <c r="S5" s="63">
        <v>0.70833333333333337</v>
      </c>
      <c r="T5" s="63">
        <v>0.74097222222222225</v>
      </c>
      <c r="U5" s="241"/>
      <c r="V5" s="247">
        <f t="shared" ref="V5:V7" si="7">(T5-S5)*24*60</f>
        <v>46.999999999999993</v>
      </c>
      <c r="W5" s="64"/>
      <c r="X5" s="65"/>
      <c r="Y5" s="559"/>
      <c r="Z5" s="559"/>
      <c r="AA5" s="61">
        <f t="shared" ref="AA5:AA66" si="8">M5-J5</f>
        <v>-90.212765957446436</v>
      </c>
      <c r="AB5" s="242">
        <f t="shared" ref="AB5:AB66" si="9">M5/J5</f>
        <v>0.95489361702127673</v>
      </c>
      <c r="AC5" s="566">
        <f>AB8</f>
        <v>0.95696816048402511</v>
      </c>
    </row>
    <row r="6" spans="1:29">
      <c r="A6" s="596" t="s">
        <v>1002</v>
      </c>
      <c r="B6" s="57" t="s">
        <v>6</v>
      </c>
      <c r="C6" s="597" t="s">
        <v>8</v>
      </c>
      <c r="D6" s="597"/>
      <c r="E6" s="57">
        <v>50.49</v>
      </c>
      <c r="F6" s="248">
        <v>1861</v>
      </c>
      <c r="G6" s="241">
        <f t="shared" si="0"/>
        <v>93961.89</v>
      </c>
      <c r="H6" s="250" t="s">
        <v>5</v>
      </c>
      <c r="I6" s="246">
        <v>15</v>
      </c>
      <c r="J6" s="58">
        <v>2000</v>
      </c>
      <c r="K6" s="59">
        <f t="shared" si="1"/>
        <v>133.33333333333334</v>
      </c>
      <c r="L6" s="246">
        <v>15</v>
      </c>
      <c r="M6" s="60">
        <f t="shared" si="2"/>
        <v>1925.1724137931051</v>
      </c>
      <c r="N6" s="59">
        <f t="shared" si="3"/>
        <v>128.344827586207</v>
      </c>
      <c r="O6" s="61">
        <f t="shared" si="4"/>
        <v>0</v>
      </c>
      <c r="P6" s="62">
        <f t="shared" si="5"/>
        <v>-4.9885057471263394</v>
      </c>
      <c r="Q6" s="242">
        <f t="shared" si="6"/>
        <v>0.9625862068965525</v>
      </c>
      <c r="R6" s="566"/>
      <c r="S6" s="63">
        <v>0.74652777777777779</v>
      </c>
      <c r="T6" s="63">
        <v>0.78680555555555554</v>
      </c>
      <c r="U6" s="241">
        <f t="shared" ref="U6:U7" si="10">IF(S6=TIME(17,0,0),"",(S6-T5)*24*60)</f>
        <v>7.9999999999999716</v>
      </c>
      <c r="V6" s="247">
        <f t="shared" si="7"/>
        <v>57.999999999999957</v>
      </c>
      <c r="W6" s="64"/>
      <c r="X6" s="64"/>
      <c r="Y6" s="559"/>
      <c r="Z6" s="559"/>
      <c r="AA6" s="61">
        <f t="shared" si="8"/>
        <v>-74.827586206894921</v>
      </c>
      <c r="AB6" s="242">
        <f t="shared" si="9"/>
        <v>0.9625862068965525</v>
      </c>
      <c r="AC6" s="566"/>
    </row>
    <row r="7" spans="1:29">
      <c r="A7" s="596" t="s">
        <v>1003</v>
      </c>
      <c r="B7" s="57" t="s">
        <v>6</v>
      </c>
      <c r="C7" s="590" t="s">
        <v>94</v>
      </c>
      <c r="D7" s="591"/>
      <c r="E7" s="57">
        <v>57.3</v>
      </c>
      <c r="F7" s="248">
        <v>2320</v>
      </c>
      <c r="G7" s="241">
        <f t="shared" si="0"/>
        <v>132936</v>
      </c>
      <c r="H7" s="250" t="s">
        <v>5</v>
      </c>
      <c r="I7" s="246">
        <v>13</v>
      </c>
      <c r="J7" s="58">
        <v>2000</v>
      </c>
      <c r="K7" s="59">
        <f t="shared" si="1"/>
        <v>153.84615384615384</v>
      </c>
      <c r="L7" s="246">
        <v>13</v>
      </c>
      <c r="M7" s="60">
        <f t="shared" si="2"/>
        <v>1906.8493150684917</v>
      </c>
      <c r="N7" s="59">
        <f t="shared" si="3"/>
        <v>146.68071654373014</v>
      </c>
      <c r="O7" s="61">
        <f t="shared" si="4"/>
        <v>0</v>
      </c>
      <c r="P7" s="62">
        <f t="shared" si="5"/>
        <v>-7.1654373024236975</v>
      </c>
      <c r="Q7" s="242">
        <f t="shared" si="6"/>
        <v>0.95342465753424599</v>
      </c>
      <c r="R7" s="566"/>
      <c r="S7" s="63">
        <v>0.79027777777777775</v>
      </c>
      <c r="T7" s="63">
        <v>0.84097222222222223</v>
      </c>
      <c r="U7" s="241">
        <f t="shared" si="10"/>
        <v>4.9999999999999822</v>
      </c>
      <c r="V7" s="247">
        <f t="shared" si="7"/>
        <v>73.000000000000057</v>
      </c>
      <c r="W7" s="64"/>
      <c r="X7" s="64"/>
      <c r="Y7" s="569"/>
      <c r="Z7" s="570"/>
      <c r="AA7" s="61">
        <f t="shared" si="8"/>
        <v>-93.150684931508295</v>
      </c>
      <c r="AB7" s="242">
        <f t="shared" si="9"/>
        <v>0.95342465753424588</v>
      </c>
      <c r="AC7" s="566"/>
    </row>
    <row r="8" spans="1:29">
      <c r="A8" s="596" t="s">
        <v>1003</v>
      </c>
      <c r="B8" s="57" t="s">
        <v>1004</v>
      </c>
      <c r="C8" s="571"/>
      <c r="D8" s="571"/>
      <c r="E8" s="245"/>
      <c r="F8" s="66"/>
      <c r="G8" s="59"/>
      <c r="H8" s="248"/>
      <c r="I8" s="67">
        <v>15</v>
      </c>
      <c r="J8" s="58">
        <v>2000</v>
      </c>
      <c r="K8" s="59">
        <f t="shared" si="1"/>
        <v>133.33333333333334</v>
      </c>
      <c r="L8" s="67">
        <v>15</v>
      </c>
      <c r="M8" s="60">
        <f>AVERAGE(M5:M7)</f>
        <v>1913.9363209680503</v>
      </c>
      <c r="N8" s="59">
        <f t="shared" si="3"/>
        <v>127.59575473120336</v>
      </c>
      <c r="O8" s="61">
        <f t="shared" si="4"/>
        <v>0</v>
      </c>
      <c r="P8" s="62">
        <f t="shared" si="5"/>
        <v>-5.7375786021299859</v>
      </c>
      <c r="Q8" s="242">
        <f t="shared" si="6"/>
        <v>0.95696816048402511</v>
      </c>
      <c r="R8" s="566"/>
      <c r="S8" s="63"/>
      <c r="T8" s="63"/>
      <c r="U8" s="241"/>
      <c r="V8" s="247"/>
      <c r="W8" s="59"/>
      <c r="X8" s="59"/>
      <c r="Y8" s="559"/>
      <c r="Z8" s="559"/>
      <c r="AA8" s="61">
        <f t="shared" si="8"/>
        <v>-86.063679031949732</v>
      </c>
      <c r="AB8" s="242">
        <f t="shared" si="9"/>
        <v>0.95696816048402511</v>
      </c>
      <c r="AC8" s="566"/>
    </row>
    <row r="9" spans="1:29" ht="15.75" customHeight="1">
      <c r="A9" s="594" t="s">
        <v>1005</v>
      </c>
      <c r="B9" s="57" t="s">
        <v>10</v>
      </c>
      <c r="C9" s="590" t="s">
        <v>14</v>
      </c>
      <c r="D9" s="591"/>
      <c r="E9" s="57">
        <v>39.619999999999997</v>
      </c>
      <c r="F9" s="248">
        <v>2940</v>
      </c>
      <c r="G9" s="241">
        <f t="shared" ref="G9:G10" si="11">E9*F9</f>
        <v>116482.79999999999</v>
      </c>
      <c r="H9" s="250" t="s">
        <v>5</v>
      </c>
      <c r="I9" s="246">
        <v>19</v>
      </c>
      <c r="J9" s="58">
        <v>1500</v>
      </c>
      <c r="K9" s="59">
        <f t="shared" si="1"/>
        <v>78.94736842105263</v>
      </c>
      <c r="L9" s="246">
        <v>19</v>
      </c>
      <c r="M9" s="60">
        <f t="shared" ref="M9:M10" si="12">F9/V9*60</f>
        <v>1434.146341463415</v>
      </c>
      <c r="N9" s="59">
        <f t="shared" si="3"/>
        <v>75.481386392811316</v>
      </c>
      <c r="O9" s="61">
        <f t="shared" si="4"/>
        <v>0</v>
      </c>
      <c r="P9" s="62">
        <f t="shared" si="5"/>
        <v>-3.4659820282413136</v>
      </c>
      <c r="Q9" s="242">
        <f t="shared" si="6"/>
        <v>0.95609756097561005</v>
      </c>
      <c r="R9" s="566">
        <f>Q11</f>
        <v>0.95511948755851195</v>
      </c>
      <c r="S9" s="63">
        <v>0.16666666666666666</v>
      </c>
      <c r="T9" s="63">
        <v>0.25208333333333333</v>
      </c>
      <c r="U9" s="241"/>
      <c r="V9" s="247">
        <f t="shared" ref="V9:V10" si="13">(T9-S9)*24*60</f>
        <v>122.99999999999999</v>
      </c>
      <c r="W9" s="64">
        <f>T9</f>
        <v>0.25208333333333333</v>
      </c>
      <c r="X9" s="64">
        <f>S10</f>
        <v>0.27152777777777776</v>
      </c>
      <c r="Y9" s="559"/>
      <c r="Z9" s="559"/>
      <c r="AA9" s="61">
        <f t="shared" si="8"/>
        <v>-65.853658536585044</v>
      </c>
      <c r="AB9" s="242">
        <f t="shared" si="9"/>
        <v>0.95609756097560994</v>
      </c>
      <c r="AC9" s="566">
        <f>AB11</f>
        <v>0.95511948755851195</v>
      </c>
    </row>
    <row r="10" spans="1:29" ht="15.75" customHeight="1">
      <c r="A10" s="594" t="s">
        <v>1005</v>
      </c>
      <c r="B10" s="57" t="s">
        <v>10</v>
      </c>
      <c r="C10" s="590" t="s">
        <v>11</v>
      </c>
      <c r="D10" s="591"/>
      <c r="E10" s="57">
        <v>39.799999999999997</v>
      </c>
      <c r="F10" s="248">
        <v>4723</v>
      </c>
      <c r="G10" s="241">
        <f t="shared" si="11"/>
        <v>187975.4</v>
      </c>
      <c r="H10" s="250" t="s">
        <v>5</v>
      </c>
      <c r="I10" s="246">
        <v>17</v>
      </c>
      <c r="J10" s="58">
        <v>1500</v>
      </c>
      <c r="K10" s="59">
        <f t="shared" si="1"/>
        <v>88.235294117647058</v>
      </c>
      <c r="L10" s="246">
        <v>17</v>
      </c>
      <c r="M10" s="60">
        <f t="shared" si="12"/>
        <v>1431.212121212121</v>
      </c>
      <c r="N10" s="59">
        <f t="shared" si="3"/>
        <v>84.18894830659535</v>
      </c>
      <c r="O10" s="61">
        <f t="shared" si="4"/>
        <v>0</v>
      </c>
      <c r="P10" s="62">
        <f t="shared" si="5"/>
        <v>-4.0463458110517081</v>
      </c>
      <c r="Q10" s="242">
        <f t="shared" si="6"/>
        <v>0.95414141414141396</v>
      </c>
      <c r="R10" s="566"/>
      <c r="S10" s="63">
        <v>0.27152777777777776</v>
      </c>
      <c r="T10" s="63">
        <v>0.40902777777777777</v>
      </c>
      <c r="U10" s="241">
        <f t="shared" ref="U10" si="14">IF(S10=TIME(17,0,0),"",(S10-T9)*24*60)</f>
        <v>27.999999999999979</v>
      </c>
      <c r="V10" s="247">
        <f t="shared" si="13"/>
        <v>198.00000000000003</v>
      </c>
      <c r="W10" s="64"/>
      <c r="X10" s="64"/>
      <c r="Y10" s="559"/>
      <c r="Z10" s="559"/>
      <c r="AA10" s="61">
        <f t="shared" si="8"/>
        <v>-68.787878787878981</v>
      </c>
      <c r="AB10" s="242">
        <f t="shared" si="9"/>
        <v>0.95414141414141407</v>
      </c>
      <c r="AC10" s="566"/>
    </row>
    <row r="11" spans="1:29" ht="16.5" customHeight="1">
      <c r="A11" s="594" t="s">
        <v>1005</v>
      </c>
      <c r="B11" s="57" t="s">
        <v>1004</v>
      </c>
      <c r="C11" s="571"/>
      <c r="D11" s="571"/>
      <c r="E11" s="245"/>
      <c r="F11" s="58"/>
      <c r="G11" s="60"/>
      <c r="H11" s="248"/>
      <c r="I11" s="67">
        <v>18</v>
      </c>
      <c r="J11" s="58">
        <v>1500</v>
      </c>
      <c r="K11" s="59">
        <f t="shared" si="1"/>
        <v>83.333333333333329</v>
      </c>
      <c r="L11" s="67">
        <v>18</v>
      </c>
      <c r="M11" s="60">
        <f>AVERAGE(M9:M10)</f>
        <v>1432.679231337768</v>
      </c>
      <c r="N11" s="59">
        <f t="shared" si="3"/>
        <v>79.593290629875995</v>
      </c>
      <c r="O11" s="61">
        <f t="shared" si="4"/>
        <v>0</v>
      </c>
      <c r="P11" s="62">
        <f t="shared" si="5"/>
        <v>-3.740042703457334</v>
      </c>
      <c r="Q11" s="242">
        <f t="shared" si="6"/>
        <v>0.95511948755851195</v>
      </c>
      <c r="R11" s="566"/>
      <c r="S11" s="63"/>
      <c r="T11" s="63"/>
      <c r="U11" s="59"/>
      <c r="V11" s="247"/>
      <c r="W11" s="59"/>
      <c r="X11" s="59"/>
      <c r="Y11" s="559"/>
      <c r="Z11" s="559"/>
      <c r="AA11" s="61">
        <f t="shared" si="8"/>
        <v>-67.320768662232013</v>
      </c>
      <c r="AB11" s="242">
        <f t="shared" si="9"/>
        <v>0.95511948755851195</v>
      </c>
      <c r="AC11" s="566"/>
    </row>
    <row r="12" spans="1:29" ht="16.5" customHeight="1">
      <c r="A12" s="592" t="s">
        <v>1006</v>
      </c>
      <c r="B12" s="248" t="s">
        <v>12</v>
      </c>
      <c r="C12" s="584" t="s">
        <v>13</v>
      </c>
      <c r="D12" s="584"/>
      <c r="E12" s="57">
        <v>41</v>
      </c>
      <c r="F12" s="248">
        <v>1935</v>
      </c>
      <c r="G12" s="241">
        <f t="shared" ref="G12:G15" si="15">E12*F12</f>
        <v>79335</v>
      </c>
      <c r="H12" s="250" t="s">
        <v>5</v>
      </c>
      <c r="I12" s="246">
        <v>26</v>
      </c>
      <c r="J12" s="58">
        <v>1500</v>
      </c>
      <c r="K12" s="59">
        <f t="shared" si="1"/>
        <v>57.692307692307693</v>
      </c>
      <c r="L12" s="246">
        <v>26</v>
      </c>
      <c r="M12" s="60">
        <f t="shared" ref="M12:M15" si="16">F12/V12*60</f>
        <v>1433.3333333333335</v>
      </c>
      <c r="N12" s="59">
        <f t="shared" si="3"/>
        <v>55.128205128205131</v>
      </c>
      <c r="O12" s="61">
        <f t="shared" si="4"/>
        <v>0</v>
      </c>
      <c r="P12" s="62">
        <f t="shared" si="5"/>
        <v>-2.5641025641025621</v>
      </c>
      <c r="Q12" s="242">
        <f t="shared" si="6"/>
        <v>0.9555555555555556</v>
      </c>
      <c r="R12" s="566">
        <f>Q16</f>
        <v>0.95819101920147209</v>
      </c>
      <c r="S12" s="63">
        <v>0.20833333333333334</v>
      </c>
      <c r="T12" s="63">
        <v>0.26458333333333334</v>
      </c>
      <c r="U12" s="241"/>
      <c r="V12" s="247">
        <f t="shared" ref="V12:V15" si="17">(T12-S12)*24*60</f>
        <v>80.999999999999986</v>
      </c>
      <c r="W12" s="68"/>
      <c r="X12" s="68"/>
      <c r="Y12" s="559"/>
      <c r="Z12" s="559"/>
      <c r="AA12" s="61">
        <f t="shared" si="8"/>
        <v>-66.666666666666515</v>
      </c>
      <c r="AB12" s="242">
        <f t="shared" si="9"/>
        <v>0.9555555555555556</v>
      </c>
      <c r="AC12" s="566">
        <f>AB16</f>
        <v>0.95819101920147209</v>
      </c>
    </row>
    <row r="13" spans="1:29" ht="16.5" customHeight="1">
      <c r="A13" s="593" t="s">
        <v>1006</v>
      </c>
      <c r="B13" s="248" t="s">
        <v>657</v>
      </c>
      <c r="C13" s="584" t="s">
        <v>236</v>
      </c>
      <c r="D13" s="584"/>
      <c r="E13" s="57">
        <v>72.400000000000006</v>
      </c>
      <c r="F13" s="248">
        <v>1776</v>
      </c>
      <c r="G13" s="241">
        <f t="shared" si="15"/>
        <v>128582.40000000001</v>
      </c>
      <c r="H13" s="250" t="s">
        <v>5</v>
      </c>
      <c r="I13" s="246">
        <v>18</v>
      </c>
      <c r="J13" s="58">
        <v>1500</v>
      </c>
      <c r="K13" s="59">
        <f t="shared" si="1"/>
        <v>83.333333333333329</v>
      </c>
      <c r="L13" s="246">
        <v>18</v>
      </c>
      <c r="M13" s="60">
        <f t="shared" si="16"/>
        <v>1440.0000000000007</v>
      </c>
      <c r="N13" s="59">
        <f t="shared" si="3"/>
        <v>80.000000000000043</v>
      </c>
      <c r="O13" s="61">
        <f t="shared" si="4"/>
        <v>0</v>
      </c>
      <c r="P13" s="62">
        <f t="shared" si="5"/>
        <v>-3.333333333333286</v>
      </c>
      <c r="Q13" s="242">
        <f t="shared" si="6"/>
        <v>0.96000000000000052</v>
      </c>
      <c r="R13" s="566"/>
      <c r="S13" s="63">
        <v>0.26874999999999999</v>
      </c>
      <c r="T13" s="63">
        <v>0.32013888888888886</v>
      </c>
      <c r="U13" s="241">
        <f t="shared" ref="U13:U15" si="18">IF(S13=TIME(17,0,0),"",(S13-T12)*24*60)</f>
        <v>5.9999999999999787</v>
      </c>
      <c r="V13" s="247">
        <f t="shared" si="17"/>
        <v>73.999999999999972</v>
      </c>
      <c r="W13" s="64"/>
      <c r="X13" s="64"/>
      <c r="Y13" s="559"/>
      <c r="Z13" s="559"/>
      <c r="AA13" s="61">
        <f t="shared" si="8"/>
        <v>-59.999999999999318</v>
      </c>
      <c r="AB13" s="242">
        <f t="shared" si="9"/>
        <v>0.96000000000000041</v>
      </c>
      <c r="AC13" s="566"/>
    </row>
    <row r="14" spans="1:29" ht="16.5" customHeight="1">
      <c r="A14" s="593" t="s">
        <v>1006</v>
      </c>
      <c r="B14" s="248" t="s">
        <v>6</v>
      </c>
      <c r="C14" s="584" t="s">
        <v>95</v>
      </c>
      <c r="D14" s="584"/>
      <c r="E14" s="57">
        <v>50.98</v>
      </c>
      <c r="F14" s="248">
        <v>2619</v>
      </c>
      <c r="G14" s="241">
        <f t="shared" si="15"/>
        <v>133516.62</v>
      </c>
      <c r="H14" s="250" t="s">
        <v>5</v>
      </c>
      <c r="I14" s="246">
        <v>16</v>
      </c>
      <c r="J14" s="58">
        <v>2000</v>
      </c>
      <c r="K14" s="59">
        <f t="shared" si="1"/>
        <v>125</v>
      </c>
      <c r="L14" s="246">
        <v>16</v>
      </c>
      <c r="M14" s="60">
        <f t="shared" si="16"/>
        <v>1916.3414634146334</v>
      </c>
      <c r="N14" s="59">
        <f t="shared" si="3"/>
        <v>119.77134146341459</v>
      </c>
      <c r="O14" s="61">
        <f t="shared" si="4"/>
        <v>0</v>
      </c>
      <c r="P14" s="62">
        <f t="shared" si="5"/>
        <v>-5.2286585365854137</v>
      </c>
      <c r="Q14" s="242">
        <f t="shared" si="6"/>
        <v>0.9581707317073167</v>
      </c>
      <c r="R14" s="566"/>
      <c r="S14" s="63">
        <v>0.70833333333333337</v>
      </c>
      <c r="T14" s="63">
        <v>0.76527777777777783</v>
      </c>
      <c r="U14" s="241" t="str">
        <f t="shared" si="18"/>
        <v/>
      </c>
      <c r="V14" s="247">
        <f t="shared" si="17"/>
        <v>82.000000000000028</v>
      </c>
      <c r="W14" s="64"/>
      <c r="X14" s="64"/>
      <c r="Y14" s="559"/>
      <c r="Z14" s="559"/>
      <c r="AA14" s="61">
        <f t="shared" si="8"/>
        <v>-83.658536585366619</v>
      </c>
      <c r="AB14" s="242">
        <f t="shared" si="9"/>
        <v>0.9581707317073167</v>
      </c>
      <c r="AC14" s="566"/>
    </row>
    <row r="15" spans="1:29" ht="16.5" customHeight="1">
      <c r="A15" s="593" t="s">
        <v>1006</v>
      </c>
      <c r="B15" s="248" t="s">
        <v>6</v>
      </c>
      <c r="C15" s="584" t="s">
        <v>18</v>
      </c>
      <c r="D15" s="584"/>
      <c r="E15" s="57">
        <v>50.92</v>
      </c>
      <c r="F15" s="248">
        <v>2461</v>
      </c>
      <c r="G15" s="241">
        <f t="shared" si="15"/>
        <v>125314.12000000001</v>
      </c>
      <c r="H15" s="250" t="s">
        <v>5</v>
      </c>
      <c r="I15" s="246">
        <v>15</v>
      </c>
      <c r="J15" s="58">
        <v>2000</v>
      </c>
      <c r="K15" s="59">
        <f t="shared" si="1"/>
        <v>133.33333333333334</v>
      </c>
      <c r="L15" s="246">
        <v>15</v>
      </c>
      <c r="M15" s="60">
        <f t="shared" si="16"/>
        <v>1917.6623376623368</v>
      </c>
      <c r="N15" s="59">
        <f t="shared" si="3"/>
        <v>127.84415584415578</v>
      </c>
      <c r="O15" s="61">
        <f t="shared" si="4"/>
        <v>0</v>
      </c>
      <c r="P15" s="62">
        <f t="shared" si="5"/>
        <v>-5.489177489177564</v>
      </c>
      <c r="Q15" s="242">
        <f t="shared" si="6"/>
        <v>0.95883116883116826</v>
      </c>
      <c r="R15" s="566"/>
      <c r="S15" s="63">
        <v>0.76875000000000004</v>
      </c>
      <c r="T15" s="63">
        <v>0.8222222222222223</v>
      </c>
      <c r="U15" s="241">
        <f t="shared" si="18"/>
        <v>4.9999999999999822</v>
      </c>
      <c r="V15" s="247">
        <f t="shared" si="17"/>
        <v>77.000000000000043</v>
      </c>
      <c r="W15" s="64"/>
      <c r="X15" s="64"/>
      <c r="Y15" s="559"/>
      <c r="Z15" s="559"/>
      <c r="AA15" s="61">
        <f t="shared" si="8"/>
        <v>-82.337662337663232</v>
      </c>
      <c r="AB15" s="242">
        <f t="shared" si="9"/>
        <v>0.95883116883116837</v>
      </c>
      <c r="AC15" s="566"/>
    </row>
    <row r="16" spans="1:29" ht="16.5" customHeight="1">
      <c r="A16" s="593" t="s">
        <v>1006</v>
      </c>
      <c r="B16" s="57" t="s">
        <v>1007</v>
      </c>
      <c r="C16" s="571"/>
      <c r="D16" s="571"/>
      <c r="E16" s="245"/>
      <c r="F16" s="66"/>
      <c r="G16" s="59"/>
      <c r="H16" s="248"/>
      <c r="I16" s="67">
        <v>18.75</v>
      </c>
      <c r="J16" s="58">
        <v>1750</v>
      </c>
      <c r="K16" s="59">
        <f t="shared" si="1"/>
        <v>93.333333333333329</v>
      </c>
      <c r="L16" s="67">
        <v>18.75</v>
      </c>
      <c r="M16" s="60">
        <f>AVERAGE(M12:M15)</f>
        <v>1676.8342836025761</v>
      </c>
      <c r="N16" s="59">
        <f t="shared" si="3"/>
        <v>89.431161792137388</v>
      </c>
      <c r="O16" s="61">
        <f t="shared" si="4"/>
        <v>0</v>
      </c>
      <c r="P16" s="62">
        <f t="shared" si="5"/>
        <v>-3.9021715411959406</v>
      </c>
      <c r="Q16" s="242">
        <f t="shared" si="6"/>
        <v>0.95819101920147209</v>
      </c>
      <c r="R16" s="566"/>
      <c r="S16" s="63"/>
      <c r="T16" s="63"/>
      <c r="U16" s="241"/>
      <c r="V16" s="247"/>
      <c r="W16" s="59"/>
      <c r="X16" s="59"/>
      <c r="Y16" s="559"/>
      <c r="Z16" s="559"/>
      <c r="AA16" s="61">
        <f t="shared" si="8"/>
        <v>-73.165716397423921</v>
      </c>
      <c r="AB16" s="242">
        <f t="shared" si="9"/>
        <v>0.95819101920147209</v>
      </c>
      <c r="AC16" s="566"/>
    </row>
    <row r="17" spans="1:29" ht="15.75" customHeight="1">
      <c r="A17" s="588" t="s">
        <v>1008</v>
      </c>
      <c r="B17" s="57" t="s">
        <v>12</v>
      </c>
      <c r="C17" s="584" t="s">
        <v>19</v>
      </c>
      <c r="D17" s="584"/>
      <c r="E17" s="57">
        <v>43.14</v>
      </c>
      <c r="F17" s="248">
        <v>958</v>
      </c>
      <c r="G17" s="241">
        <f t="shared" ref="G17:G24" si="19">E17*F17</f>
        <v>41328.120000000003</v>
      </c>
      <c r="H17" s="250" t="s">
        <v>5</v>
      </c>
      <c r="I17" s="246">
        <v>17</v>
      </c>
      <c r="J17" s="58">
        <v>2000</v>
      </c>
      <c r="K17" s="59">
        <f t="shared" si="1"/>
        <v>117.64705882352941</v>
      </c>
      <c r="L17" s="246">
        <v>17</v>
      </c>
      <c r="M17" s="60">
        <f t="shared" ref="M17:M24" si="20">F17/V17*60</f>
        <v>1915.9999999999991</v>
      </c>
      <c r="N17" s="59">
        <f t="shared" si="3"/>
        <v>112.70588235294112</v>
      </c>
      <c r="O17" s="61">
        <f t="shared" si="4"/>
        <v>0</v>
      </c>
      <c r="P17" s="62">
        <f t="shared" si="5"/>
        <v>-4.9411764705882888</v>
      </c>
      <c r="Q17" s="242">
        <f t="shared" si="6"/>
        <v>0.95799999999999952</v>
      </c>
      <c r="R17" s="566">
        <f>Q25</f>
        <v>0.95887652367488385</v>
      </c>
      <c r="S17" s="63">
        <v>0.20833333333333334</v>
      </c>
      <c r="T17" s="63">
        <v>0.22916666666666669</v>
      </c>
      <c r="U17" s="241"/>
      <c r="V17" s="247">
        <f t="shared" ref="V17:V24" si="21">(T17-S17)*24*60</f>
        <v>30.000000000000014</v>
      </c>
      <c r="W17" s="68"/>
      <c r="X17" s="68"/>
      <c r="Y17" s="559"/>
      <c r="Z17" s="559"/>
      <c r="AA17" s="61">
        <f t="shared" si="8"/>
        <v>-84.000000000000909</v>
      </c>
      <c r="AB17" s="242">
        <f t="shared" si="9"/>
        <v>0.95799999999999952</v>
      </c>
      <c r="AC17" s="566">
        <f>AB25</f>
        <v>0.95887652367488385</v>
      </c>
    </row>
    <row r="18" spans="1:29" ht="15.75" customHeight="1">
      <c r="A18" s="589" t="s">
        <v>1008</v>
      </c>
      <c r="B18" s="57" t="s">
        <v>65</v>
      </c>
      <c r="C18" s="584" t="s">
        <v>97</v>
      </c>
      <c r="D18" s="584"/>
      <c r="E18" s="57">
        <v>49.9</v>
      </c>
      <c r="F18" s="248">
        <v>1190</v>
      </c>
      <c r="G18" s="241">
        <f t="shared" si="19"/>
        <v>59381</v>
      </c>
      <c r="H18" s="250" t="s">
        <v>5</v>
      </c>
      <c r="I18" s="246">
        <v>17</v>
      </c>
      <c r="J18" s="58">
        <v>2000</v>
      </c>
      <c r="K18" s="59">
        <f t="shared" si="1"/>
        <v>117.64705882352941</v>
      </c>
      <c r="L18" s="246">
        <v>17</v>
      </c>
      <c r="M18" s="60">
        <f t="shared" si="20"/>
        <v>1929.7297297297305</v>
      </c>
      <c r="N18" s="59">
        <f t="shared" si="3"/>
        <v>113.51351351351356</v>
      </c>
      <c r="O18" s="61">
        <f t="shared" si="4"/>
        <v>0</v>
      </c>
      <c r="P18" s="62">
        <f t="shared" si="5"/>
        <v>-4.1335453100158475</v>
      </c>
      <c r="Q18" s="242">
        <f t="shared" si="6"/>
        <v>0.96486486486486533</v>
      </c>
      <c r="R18" s="566"/>
      <c r="S18" s="63">
        <v>0.23333333333333336</v>
      </c>
      <c r="T18" s="63">
        <v>0.2590277777777778</v>
      </c>
      <c r="U18" s="241">
        <f t="shared" ref="U18:U24" si="22">IF(S18=TIME(17,0,0),"",(S18-T17)*24*60)</f>
        <v>6.0000000000000187</v>
      </c>
      <c r="V18" s="247">
        <f t="shared" si="21"/>
        <v>36.999999999999986</v>
      </c>
      <c r="W18" s="64"/>
      <c r="X18" s="241"/>
      <c r="Y18" s="559"/>
      <c r="Z18" s="559"/>
      <c r="AA18" s="61">
        <f t="shared" si="8"/>
        <v>-70.270270270269521</v>
      </c>
      <c r="AB18" s="242">
        <f t="shared" si="9"/>
        <v>0.96486486486486522</v>
      </c>
      <c r="AC18" s="566"/>
    </row>
    <row r="19" spans="1:29" ht="15.75" customHeight="1">
      <c r="A19" s="589" t="s">
        <v>1008</v>
      </c>
      <c r="B19" s="57" t="s">
        <v>6</v>
      </c>
      <c r="C19" s="584" t="s">
        <v>20</v>
      </c>
      <c r="D19" s="584"/>
      <c r="E19" s="57">
        <v>57.73</v>
      </c>
      <c r="F19" s="248">
        <v>2283</v>
      </c>
      <c r="G19" s="241">
        <f t="shared" si="19"/>
        <v>131797.59</v>
      </c>
      <c r="H19" s="250" t="s">
        <v>5</v>
      </c>
      <c r="I19" s="246">
        <v>14</v>
      </c>
      <c r="J19" s="58">
        <v>2000</v>
      </c>
      <c r="K19" s="59">
        <f t="shared" si="1"/>
        <v>142.85714285714286</v>
      </c>
      <c r="L19" s="246">
        <v>14</v>
      </c>
      <c r="M19" s="60">
        <f t="shared" si="20"/>
        <v>1902.5000000000005</v>
      </c>
      <c r="N19" s="59">
        <f t="shared" si="3"/>
        <v>135.89285714285717</v>
      </c>
      <c r="O19" s="61">
        <f t="shared" si="4"/>
        <v>0</v>
      </c>
      <c r="P19" s="62">
        <f t="shared" si="5"/>
        <v>-6.964285714285694</v>
      </c>
      <c r="Q19" s="242">
        <f t="shared" si="6"/>
        <v>0.95125000000000015</v>
      </c>
      <c r="R19" s="566"/>
      <c r="S19" s="63">
        <v>0.2638888888888889</v>
      </c>
      <c r="T19" s="63">
        <v>0.31388888888888888</v>
      </c>
      <c r="U19" s="241">
        <f t="shared" si="22"/>
        <v>6.9999999999999751</v>
      </c>
      <c r="V19" s="247">
        <f t="shared" si="21"/>
        <v>71.999999999999986</v>
      </c>
      <c r="W19" s="64"/>
      <c r="X19" s="241"/>
      <c r="Y19" s="559"/>
      <c r="Z19" s="559"/>
      <c r="AA19" s="61">
        <f t="shared" si="8"/>
        <v>-97.499999999999545</v>
      </c>
      <c r="AB19" s="242">
        <f t="shared" si="9"/>
        <v>0.95125000000000026</v>
      </c>
      <c r="AC19" s="566"/>
    </row>
    <row r="20" spans="1:29" ht="15.75" customHeight="1">
      <c r="A20" s="589" t="s">
        <v>1008</v>
      </c>
      <c r="B20" s="57" t="s">
        <v>6</v>
      </c>
      <c r="C20" s="584" t="s">
        <v>21</v>
      </c>
      <c r="D20" s="584"/>
      <c r="E20" s="57">
        <v>53.68</v>
      </c>
      <c r="F20" s="248">
        <v>1402</v>
      </c>
      <c r="G20" s="241">
        <f t="shared" si="19"/>
        <v>75259.360000000001</v>
      </c>
      <c r="H20" s="250" t="s">
        <v>5</v>
      </c>
      <c r="I20" s="246">
        <v>16</v>
      </c>
      <c r="J20" s="58">
        <v>2000</v>
      </c>
      <c r="K20" s="59">
        <f t="shared" si="1"/>
        <v>125</v>
      </c>
      <c r="L20" s="246">
        <v>16</v>
      </c>
      <c r="M20" s="60">
        <f t="shared" si="20"/>
        <v>1911.8181818181818</v>
      </c>
      <c r="N20" s="59">
        <f t="shared" si="3"/>
        <v>119.48863636363636</v>
      </c>
      <c r="O20" s="61">
        <f t="shared" si="4"/>
        <v>0</v>
      </c>
      <c r="P20" s="62">
        <f t="shared" si="5"/>
        <v>-5.5113636363636402</v>
      </c>
      <c r="Q20" s="242">
        <f t="shared" si="6"/>
        <v>0.95590909090909093</v>
      </c>
      <c r="R20" s="566"/>
      <c r="S20" s="63">
        <v>0.31805555555555554</v>
      </c>
      <c r="T20" s="63">
        <v>0.34861111111111109</v>
      </c>
      <c r="U20" s="241">
        <f t="shared" si="22"/>
        <v>5.9999999999999787</v>
      </c>
      <c r="V20" s="247">
        <f t="shared" si="21"/>
        <v>44</v>
      </c>
      <c r="W20" s="64"/>
      <c r="X20" s="241"/>
      <c r="Y20" s="559"/>
      <c r="Z20" s="559"/>
      <c r="AA20" s="61">
        <f t="shared" si="8"/>
        <v>-88.181818181818244</v>
      </c>
      <c r="AB20" s="242">
        <f t="shared" si="9"/>
        <v>0.95590909090909093</v>
      </c>
      <c r="AC20" s="566"/>
    </row>
    <row r="21" spans="1:29" ht="15.75" customHeight="1">
      <c r="A21" s="589" t="s">
        <v>1008</v>
      </c>
      <c r="B21" s="57" t="s">
        <v>6</v>
      </c>
      <c r="C21" s="584" t="s">
        <v>96</v>
      </c>
      <c r="D21" s="584"/>
      <c r="E21" s="57">
        <v>49.91</v>
      </c>
      <c r="F21" s="248">
        <v>1081</v>
      </c>
      <c r="G21" s="241">
        <f t="shared" si="19"/>
        <v>53952.71</v>
      </c>
      <c r="H21" s="250" t="s">
        <v>5</v>
      </c>
      <c r="I21" s="246">
        <v>17</v>
      </c>
      <c r="J21" s="58">
        <v>2000</v>
      </c>
      <c r="K21" s="59">
        <f t="shared" si="1"/>
        <v>117.64705882352941</v>
      </c>
      <c r="L21" s="246">
        <v>17</v>
      </c>
      <c r="M21" s="60">
        <f t="shared" si="20"/>
        <v>1907.647058823527</v>
      </c>
      <c r="N21" s="59">
        <f t="shared" si="3"/>
        <v>112.21453287197218</v>
      </c>
      <c r="O21" s="61">
        <f t="shared" si="4"/>
        <v>0</v>
      </c>
      <c r="P21" s="62">
        <f t="shared" si="5"/>
        <v>-5.4325259515572242</v>
      </c>
      <c r="Q21" s="242">
        <f t="shared" si="6"/>
        <v>0.95382352941176363</v>
      </c>
      <c r="R21" s="566"/>
      <c r="S21" s="63">
        <v>0.35277777777777775</v>
      </c>
      <c r="T21" s="63">
        <v>0.37638888888888888</v>
      </c>
      <c r="U21" s="241">
        <f t="shared" si="22"/>
        <v>5.9999999999999787</v>
      </c>
      <c r="V21" s="247">
        <f t="shared" si="21"/>
        <v>34.000000000000043</v>
      </c>
      <c r="W21" s="64"/>
      <c r="X21" s="241"/>
      <c r="Y21" s="559"/>
      <c r="Z21" s="559"/>
      <c r="AA21" s="61">
        <f t="shared" si="8"/>
        <v>-92.352941176472996</v>
      </c>
      <c r="AB21" s="242">
        <f t="shared" si="9"/>
        <v>0.95382352941176352</v>
      </c>
      <c r="AC21" s="566"/>
    </row>
    <row r="22" spans="1:29" ht="15.75" customHeight="1">
      <c r="A22" s="589" t="s">
        <v>1008</v>
      </c>
      <c r="B22" s="57" t="s">
        <v>6</v>
      </c>
      <c r="C22" s="584" t="s">
        <v>22</v>
      </c>
      <c r="D22" s="584"/>
      <c r="E22" s="57">
        <v>54.09</v>
      </c>
      <c r="F22" s="248">
        <v>1664</v>
      </c>
      <c r="G22" s="241">
        <f t="shared" si="19"/>
        <v>90005.760000000009</v>
      </c>
      <c r="H22" s="250" t="s">
        <v>5</v>
      </c>
      <c r="I22" s="246">
        <v>19</v>
      </c>
      <c r="J22" s="58">
        <v>2000</v>
      </c>
      <c r="K22" s="59">
        <f t="shared" si="1"/>
        <v>105.26315789473684</v>
      </c>
      <c r="L22" s="246">
        <v>19</v>
      </c>
      <c r="M22" s="60">
        <f t="shared" si="20"/>
        <v>1920.0000000000009</v>
      </c>
      <c r="N22" s="59">
        <f t="shared" si="3"/>
        <v>101.05263157894741</v>
      </c>
      <c r="O22" s="61">
        <f t="shared" si="4"/>
        <v>0</v>
      </c>
      <c r="P22" s="62">
        <f t="shared" si="5"/>
        <v>-4.2105263157894228</v>
      </c>
      <c r="Q22" s="242">
        <f t="shared" si="6"/>
        <v>0.96000000000000052</v>
      </c>
      <c r="R22" s="566"/>
      <c r="S22" s="63">
        <v>0.70833333333333337</v>
      </c>
      <c r="T22" s="63">
        <v>0.74444444444444446</v>
      </c>
      <c r="U22" s="241" t="str">
        <f t="shared" si="22"/>
        <v/>
      </c>
      <c r="V22" s="247">
        <f t="shared" si="21"/>
        <v>51.999999999999972</v>
      </c>
      <c r="W22" s="64"/>
      <c r="X22" s="68"/>
      <c r="Y22" s="559"/>
      <c r="Z22" s="559"/>
      <c r="AA22" s="61">
        <f t="shared" si="8"/>
        <v>-79.999999999999091</v>
      </c>
      <c r="AB22" s="242">
        <f t="shared" si="9"/>
        <v>0.96000000000000041</v>
      </c>
      <c r="AC22" s="566"/>
    </row>
    <row r="23" spans="1:29" ht="15.75" customHeight="1">
      <c r="A23" s="589" t="s">
        <v>1008</v>
      </c>
      <c r="B23" s="57" t="s">
        <v>6</v>
      </c>
      <c r="C23" s="584" t="s">
        <v>69</v>
      </c>
      <c r="D23" s="584"/>
      <c r="E23" s="57">
        <v>57.73</v>
      </c>
      <c r="F23" s="248">
        <v>1256</v>
      </c>
      <c r="G23" s="241">
        <f t="shared" si="19"/>
        <v>72508.87999999999</v>
      </c>
      <c r="H23" s="250" t="s">
        <v>5</v>
      </c>
      <c r="I23" s="246">
        <v>16</v>
      </c>
      <c r="J23" s="58">
        <v>1500</v>
      </c>
      <c r="K23" s="59">
        <f t="shared" si="1"/>
        <v>93.75</v>
      </c>
      <c r="L23" s="246">
        <v>16</v>
      </c>
      <c r="M23" s="60">
        <f t="shared" si="20"/>
        <v>1449.23076923077</v>
      </c>
      <c r="N23" s="59">
        <f t="shared" si="3"/>
        <v>90.576923076923123</v>
      </c>
      <c r="O23" s="61">
        <f t="shared" si="4"/>
        <v>0</v>
      </c>
      <c r="P23" s="62">
        <f t="shared" si="5"/>
        <v>-3.1730769230768772</v>
      </c>
      <c r="Q23" s="242">
        <f t="shared" si="6"/>
        <v>0.9661538461538467</v>
      </c>
      <c r="R23" s="566"/>
      <c r="S23" s="63">
        <v>0.75</v>
      </c>
      <c r="T23" s="63">
        <v>0.78611111111111109</v>
      </c>
      <c r="U23" s="241">
        <f t="shared" si="22"/>
        <v>7.9999999999999716</v>
      </c>
      <c r="V23" s="247">
        <f t="shared" si="21"/>
        <v>51.999999999999972</v>
      </c>
      <c r="W23" s="64"/>
      <c r="X23" s="68"/>
      <c r="Y23" s="569"/>
      <c r="Z23" s="570"/>
      <c r="AA23" s="61">
        <f t="shared" si="8"/>
        <v>-50.769230769230035</v>
      </c>
      <c r="AB23" s="242">
        <f t="shared" si="9"/>
        <v>0.9661538461538467</v>
      </c>
      <c r="AC23" s="566"/>
    </row>
    <row r="24" spans="1:29" ht="15.75" customHeight="1">
      <c r="A24" s="589" t="s">
        <v>1008</v>
      </c>
      <c r="B24" s="57" t="s">
        <v>6</v>
      </c>
      <c r="C24" s="585" t="s">
        <v>68</v>
      </c>
      <c r="D24" s="586"/>
      <c r="E24" s="57">
        <v>50.67</v>
      </c>
      <c r="F24" s="248">
        <v>1701</v>
      </c>
      <c r="G24" s="241">
        <f t="shared" si="19"/>
        <v>86189.67</v>
      </c>
      <c r="H24" s="250" t="s">
        <v>5</v>
      </c>
      <c r="I24" s="246">
        <v>15</v>
      </c>
      <c r="J24" s="58">
        <v>2000</v>
      </c>
      <c r="K24" s="59">
        <f t="shared" si="1"/>
        <v>133.33333333333334</v>
      </c>
      <c r="L24" s="246">
        <v>15</v>
      </c>
      <c r="M24" s="60">
        <f t="shared" si="20"/>
        <v>1925.6603773584916</v>
      </c>
      <c r="N24" s="59">
        <f t="shared" si="3"/>
        <v>128.37735849056611</v>
      </c>
      <c r="O24" s="61">
        <f t="shared" si="4"/>
        <v>0</v>
      </c>
      <c r="P24" s="62">
        <f t="shared" si="5"/>
        <v>-4.9559748427672332</v>
      </c>
      <c r="Q24" s="242">
        <f t="shared" si="6"/>
        <v>0.96283018867924575</v>
      </c>
      <c r="R24" s="566"/>
      <c r="S24" s="63">
        <v>0.79027777777777775</v>
      </c>
      <c r="T24" s="63">
        <v>0.82708333333333328</v>
      </c>
      <c r="U24" s="241">
        <f t="shared" si="22"/>
        <v>5.9999999999999787</v>
      </c>
      <c r="V24" s="247">
        <f t="shared" si="21"/>
        <v>52.999999999999972</v>
      </c>
      <c r="W24" s="64"/>
      <c r="X24" s="64"/>
      <c r="Y24" s="569"/>
      <c r="Z24" s="570"/>
      <c r="AA24" s="61">
        <f t="shared" si="8"/>
        <v>-74.339622641508413</v>
      </c>
      <c r="AB24" s="242">
        <f t="shared" si="9"/>
        <v>0.96283018867924575</v>
      </c>
      <c r="AC24" s="566"/>
    </row>
    <row r="25" spans="1:29" ht="15.75" customHeight="1">
      <c r="A25" s="589" t="s">
        <v>1008</v>
      </c>
      <c r="B25" s="57" t="s">
        <v>1007</v>
      </c>
      <c r="C25" s="571"/>
      <c r="D25" s="571"/>
      <c r="E25" s="245"/>
      <c r="F25" s="248"/>
      <c r="G25" s="241"/>
      <c r="H25" s="248"/>
      <c r="I25" s="67">
        <v>16.375</v>
      </c>
      <c r="J25" s="58">
        <v>1937.5</v>
      </c>
      <c r="K25" s="59">
        <f t="shared" si="1"/>
        <v>118.32061068702291</v>
      </c>
      <c r="L25" s="67">
        <v>16.375</v>
      </c>
      <c r="M25" s="60">
        <f>AVERAGE(M17:M24)</f>
        <v>1857.8232646200875</v>
      </c>
      <c r="N25" s="59">
        <f t="shared" si="3"/>
        <v>113.45485585466183</v>
      </c>
      <c r="O25" s="61">
        <f t="shared" si="4"/>
        <v>0</v>
      </c>
      <c r="P25" s="62">
        <f t="shared" si="5"/>
        <v>-4.8657548323610769</v>
      </c>
      <c r="Q25" s="242">
        <f t="shared" si="6"/>
        <v>0.95887652367488385</v>
      </c>
      <c r="R25" s="566"/>
      <c r="S25" s="63"/>
      <c r="T25" s="63"/>
      <c r="U25" s="59"/>
      <c r="V25" s="247"/>
      <c r="W25" s="59"/>
      <c r="X25" s="59"/>
      <c r="Y25" s="559"/>
      <c r="Z25" s="559"/>
      <c r="AA25" s="61">
        <f t="shared" si="8"/>
        <v>-79.676735379912543</v>
      </c>
      <c r="AB25" s="242">
        <f t="shared" si="9"/>
        <v>0.95887652367488385</v>
      </c>
      <c r="AC25" s="566"/>
    </row>
    <row r="26" spans="1:29" ht="15.75" customHeight="1">
      <c r="A26" s="587" t="s">
        <v>1009</v>
      </c>
      <c r="B26" s="57" t="s">
        <v>15</v>
      </c>
      <c r="C26" s="584" t="s">
        <v>26</v>
      </c>
      <c r="D26" s="584"/>
      <c r="E26" s="57">
        <v>31.29</v>
      </c>
      <c r="F26" s="248">
        <v>7579</v>
      </c>
      <c r="G26" s="241">
        <f t="shared" ref="G26:G30" si="23">E26*F26</f>
        <v>237146.91</v>
      </c>
      <c r="H26" s="250" t="s">
        <v>5</v>
      </c>
      <c r="I26" s="246">
        <v>18</v>
      </c>
      <c r="J26" s="58">
        <v>2400</v>
      </c>
      <c r="K26" s="59">
        <f t="shared" si="1"/>
        <v>133.33333333333334</v>
      </c>
      <c r="L26" s="246">
        <v>18</v>
      </c>
      <c r="M26" s="60">
        <f t="shared" ref="M26:M30" si="24">F26/V26*60</f>
        <v>2285.1256281407036</v>
      </c>
      <c r="N26" s="59">
        <f t="shared" si="3"/>
        <v>126.95142378559464</v>
      </c>
      <c r="O26" s="61">
        <f t="shared" si="4"/>
        <v>0</v>
      </c>
      <c r="P26" s="62">
        <f t="shared" si="5"/>
        <v>-6.3819095477387009</v>
      </c>
      <c r="Q26" s="242">
        <f t="shared" si="6"/>
        <v>0.95213567839195978</v>
      </c>
      <c r="R26" s="566">
        <f>Q31</f>
        <v>0.95316170977442927</v>
      </c>
      <c r="S26" s="63">
        <v>8.3333333333333329E-2</v>
      </c>
      <c r="T26" s="63">
        <v>0.22152777777777777</v>
      </c>
      <c r="U26" s="241"/>
      <c r="V26" s="247">
        <f t="shared" ref="V26:V30" si="25">(T26-S26)*24*60</f>
        <v>199</v>
      </c>
      <c r="W26" s="64">
        <f>T26</f>
        <v>0.22152777777777777</v>
      </c>
      <c r="X26" s="64">
        <f>S27</f>
        <v>0.24027777777777776</v>
      </c>
      <c r="Y26" s="559"/>
      <c r="Z26" s="559"/>
      <c r="AA26" s="61">
        <f t="shared" si="8"/>
        <v>-114.87437185929639</v>
      </c>
      <c r="AB26" s="242">
        <f t="shared" si="9"/>
        <v>0.95213567839195978</v>
      </c>
      <c r="AC26" s="566">
        <f>AB31</f>
        <v>0.95316170977442938</v>
      </c>
    </row>
    <row r="27" spans="1:29" ht="15.75" customHeight="1">
      <c r="A27" s="587" t="s">
        <v>1009</v>
      </c>
      <c r="B27" s="57" t="s">
        <v>15</v>
      </c>
      <c r="C27" s="584" t="s">
        <v>23</v>
      </c>
      <c r="D27" s="584"/>
      <c r="E27" s="57">
        <v>26.2</v>
      </c>
      <c r="F27" s="248">
        <v>4304</v>
      </c>
      <c r="G27" s="241">
        <f t="shared" si="23"/>
        <v>112764.8</v>
      </c>
      <c r="H27" s="250" t="s">
        <v>5</v>
      </c>
      <c r="I27" s="246">
        <v>20</v>
      </c>
      <c r="J27" s="58">
        <v>2400</v>
      </c>
      <c r="K27" s="59">
        <f t="shared" si="1"/>
        <v>120</v>
      </c>
      <c r="L27" s="246">
        <v>20</v>
      </c>
      <c r="M27" s="60">
        <f t="shared" si="24"/>
        <v>2285.3097345132742</v>
      </c>
      <c r="N27" s="59">
        <f t="shared" si="3"/>
        <v>114.26548672566371</v>
      </c>
      <c r="O27" s="61">
        <f t="shared" si="4"/>
        <v>0</v>
      </c>
      <c r="P27" s="62">
        <f t="shared" si="5"/>
        <v>-5.7345132743362939</v>
      </c>
      <c r="Q27" s="242">
        <f t="shared" si="6"/>
        <v>0.95221238938053088</v>
      </c>
      <c r="R27" s="566"/>
      <c r="S27" s="63">
        <v>0.24027777777777776</v>
      </c>
      <c r="T27" s="63">
        <v>0.31874999999999998</v>
      </c>
      <c r="U27" s="241">
        <f t="shared" ref="U27:U30" si="26">(S27-T26)*24*60</f>
        <v>26.999999999999986</v>
      </c>
      <c r="V27" s="247">
        <f t="shared" si="25"/>
        <v>113</v>
      </c>
      <c r="W27" s="64"/>
      <c r="X27" s="64"/>
      <c r="Y27" s="559"/>
      <c r="Z27" s="559"/>
      <c r="AA27" s="61">
        <f t="shared" si="8"/>
        <v>-114.69026548672582</v>
      </c>
      <c r="AB27" s="242">
        <f t="shared" si="9"/>
        <v>0.95221238938053088</v>
      </c>
      <c r="AC27" s="566"/>
    </row>
    <row r="28" spans="1:29" ht="15.75" customHeight="1">
      <c r="A28" s="587" t="s">
        <v>1009</v>
      </c>
      <c r="B28" s="57" t="s">
        <v>15</v>
      </c>
      <c r="C28" s="584" t="s">
        <v>70</v>
      </c>
      <c r="D28" s="584"/>
      <c r="E28" s="57">
        <v>25.99</v>
      </c>
      <c r="F28" s="248">
        <v>3997</v>
      </c>
      <c r="G28" s="241">
        <f t="shared" si="23"/>
        <v>103882.03</v>
      </c>
      <c r="H28" s="250" t="s">
        <v>5</v>
      </c>
      <c r="I28" s="246">
        <v>14</v>
      </c>
      <c r="J28" s="58">
        <v>2400</v>
      </c>
      <c r="K28" s="59">
        <f t="shared" si="1"/>
        <v>171.42857142857142</v>
      </c>
      <c r="L28" s="246">
        <v>14</v>
      </c>
      <c r="M28" s="60">
        <f t="shared" si="24"/>
        <v>2283.9999999999995</v>
      </c>
      <c r="N28" s="59">
        <f t="shared" si="3"/>
        <v>163.14285714285711</v>
      </c>
      <c r="O28" s="61">
        <f t="shared" si="4"/>
        <v>0</v>
      </c>
      <c r="P28" s="62">
        <f t="shared" si="5"/>
        <v>-8.285714285714306</v>
      </c>
      <c r="Q28" s="242">
        <f t="shared" si="6"/>
        <v>0.95166666666666655</v>
      </c>
      <c r="R28" s="566"/>
      <c r="S28" s="63">
        <v>0.32222222222222219</v>
      </c>
      <c r="T28" s="63">
        <v>0.39513888888888887</v>
      </c>
      <c r="U28" s="241">
        <f t="shared" si="26"/>
        <v>4.9999999999999822</v>
      </c>
      <c r="V28" s="247">
        <f t="shared" si="25"/>
        <v>105.00000000000003</v>
      </c>
      <c r="W28" s="64"/>
      <c r="X28" s="64"/>
      <c r="Y28" s="559"/>
      <c r="Z28" s="559"/>
      <c r="AA28" s="61">
        <f t="shared" si="8"/>
        <v>-116.00000000000045</v>
      </c>
      <c r="AB28" s="242">
        <f t="shared" si="9"/>
        <v>0.95166666666666644</v>
      </c>
      <c r="AC28" s="566"/>
    </row>
    <row r="29" spans="1:29" ht="15.75" customHeight="1">
      <c r="A29" s="587" t="s">
        <v>1009</v>
      </c>
      <c r="B29" s="57" t="s">
        <v>15</v>
      </c>
      <c r="C29" s="584" t="s">
        <v>45</v>
      </c>
      <c r="D29" s="584"/>
      <c r="E29" s="57">
        <v>20.52</v>
      </c>
      <c r="F29" s="248">
        <v>3717</v>
      </c>
      <c r="G29" s="241">
        <f t="shared" si="23"/>
        <v>76272.84</v>
      </c>
      <c r="H29" s="250" t="s">
        <v>5</v>
      </c>
      <c r="I29" s="246">
        <v>18</v>
      </c>
      <c r="J29" s="58">
        <v>2400</v>
      </c>
      <c r="K29" s="59">
        <f t="shared" si="1"/>
        <v>133.33333333333334</v>
      </c>
      <c r="L29" s="246">
        <v>18</v>
      </c>
      <c r="M29" s="60">
        <f t="shared" si="24"/>
        <v>2299.1752577319594</v>
      </c>
      <c r="N29" s="59">
        <f t="shared" si="3"/>
        <v>127.73195876288663</v>
      </c>
      <c r="O29" s="61">
        <f t="shared" si="4"/>
        <v>0</v>
      </c>
      <c r="P29" s="62">
        <f t="shared" si="5"/>
        <v>-5.6013745704467084</v>
      </c>
      <c r="Q29" s="242">
        <f t="shared" si="6"/>
        <v>0.95798969072164974</v>
      </c>
      <c r="R29" s="566"/>
      <c r="S29" s="63">
        <v>0.39861111111111108</v>
      </c>
      <c r="T29" s="63">
        <v>0.46597222222222218</v>
      </c>
      <c r="U29" s="241">
        <f t="shared" si="26"/>
        <v>4.9999999999999822</v>
      </c>
      <c r="V29" s="247">
        <f t="shared" si="25"/>
        <v>96.999999999999972</v>
      </c>
      <c r="W29" s="64"/>
      <c r="X29" s="64"/>
      <c r="Y29" s="559"/>
      <c r="Z29" s="559"/>
      <c r="AA29" s="61">
        <f t="shared" si="8"/>
        <v>-100.82474226804061</v>
      </c>
      <c r="AB29" s="242">
        <f t="shared" si="9"/>
        <v>0.95798969072164974</v>
      </c>
      <c r="AC29" s="566"/>
    </row>
    <row r="30" spans="1:29" ht="15.75" customHeight="1">
      <c r="A30" s="587" t="s">
        <v>1009</v>
      </c>
      <c r="B30" s="57" t="s">
        <v>15</v>
      </c>
      <c r="C30" s="584" t="s">
        <v>98</v>
      </c>
      <c r="D30" s="584"/>
      <c r="E30" s="57">
        <v>25.98</v>
      </c>
      <c r="F30" s="248">
        <v>3693</v>
      </c>
      <c r="G30" s="241">
        <f t="shared" si="23"/>
        <v>95944.14</v>
      </c>
      <c r="H30" s="250" t="s">
        <v>5</v>
      </c>
      <c r="I30" s="246">
        <v>21</v>
      </c>
      <c r="J30" s="58">
        <v>2400</v>
      </c>
      <c r="K30" s="59">
        <f t="shared" si="1"/>
        <v>114.28571428571429</v>
      </c>
      <c r="L30" s="246">
        <v>21</v>
      </c>
      <c r="M30" s="60">
        <f t="shared" si="24"/>
        <v>2284.3298969072148</v>
      </c>
      <c r="N30" s="59">
        <f t="shared" si="3"/>
        <v>108.77761413843879</v>
      </c>
      <c r="O30" s="61">
        <f t="shared" si="4"/>
        <v>0</v>
      </c>
      <c r="P30" s="62">
        <f t="shared" si="5"/>
        <v>-5.5081001472754991</v>
      </c>
      <c r="Q30" s="242">
        <f t="shared" si="6"/>
        <v>0.95180412371133938</v>
      </c>
      <c r="R30" s="566"/>
      <c r="S30" s="63">
        <v>0.47083333333333327</v>
      </c>
      <c r="T30" s="63">
        <v>0.53819444444444442</v>
      </c>
      <c r="U30" s="241">
        <f t="shared" si="26"/>
        <v>6.9999999999999751</v>
      </c>
      <c r="V30" s="247">
        <f t="shared" si="25"/>
        <v>97.000000000000057</v>
      </c>
      <c r="W30" s="64"/>
      <c r="X30" s="64"/>
      <c r="Y30" s="559"/>
      <c r="Z30" s="559"/>
      <c r="AA30" s="61">
        <f t="shared" si="8"/>
        <v>-115.67010309278521</v>
      </c>
      <c r="AB30" s="242">
        <f t="shared" si="9"/>
        <v>0.95180412371133949</v>
      </c>
      <c r="AC30" s="566"/>
    </row>
    <row r="31" spans="1:29" ht="15.75" customHeight="1">
      <c r="A31" s="587" t="s">
        <v>1009</v>
      </c>
      <c r="B31" s="57" t="s">
        <v>1007</v>
      </c>
      <c r="C31" s="571"/>
      <c r="D31" s="571"/>
      <c r="E31" s="245"/>
      <c r="F31" s="248"/>
      <c r="G31" s="241"/>
      <c r="H31" s="248"/>
      <c r="I31" s="67">
        <v>18.2</v>
      </c>
      <c r="J31" s="58">
        <v>2400</v>
      </c>
      <c r="K31" s="59">
        <f t="shared" si="1"/>
        <v>131.86813186813188</v>
      </c>
      <c r="L31" s="67">
        <v>18.2</v>
      </c>
      <c r="M31" s="60">
        <f>AVERAGE(M26:M30)</f>
        <v>2287.5881034586305</v>
      </c>
      <c r="N31" s="59">
        <f t="shared" si="3"/>
        <v>125.6916540361885</v>
      </c>
      <c r="O31" s="61">
        <f t="shared" si="4"/>
        <v>0</v>
      </c>
      <c r="P31" s="62">
        <f t="shared" si="5"/>
        <v>-6.1764778319433873</v>
      </c>
      <c r="Q31" s="242">
        <f t="shared" si="6"/>
        <v>0.95316170977442927</v>
      </c>
      <c r="R31" s="566"/>
      <c r="S31" s="63"/>
      <c r="T31" s="63"/>
      <c r="U31" s="241"/>
      <c r="V31" s="247"/>
      <c r="W31" s="241"/>
      <c r="X31" s="241"/>
      <c r="Y31" s="559"/>
      <c r="Z31" s="559"/>
      <c r="AA31" s="61">
        <f t="shared" si="8"/>
        <v>-112.41189654136952</v>
      </c>
      <c r="AB31" s="242">
        <f t="shared" si="9"/>
        <v>0.95316170977442938</v>
      </c>
      <c r="AC31" s="566"/>
    </row>
    <row r="32" spans="1:29" ht="15.75" customHeight="1">
      <c r="A32" s="582" t="s">
        <v>1010</v>
      </c>
      <c r="B32" s="57" t="s">
        <v>15</v>
      </c>
      <c r="C32" s="560" t="s">
        <v>101</v>
      </c>
      <c r="D32" s="560"/>
      <c r="E32" s="57">
        <v>22.69</v>
      </c>
      <c r="F32" s="248">
        <v>2032</v>
      </c>
      <c r="G32" s="241">
        <f t="shared" ref="G32:G38" si="27">E32*F32</f>
        <v>46106.080000000002</v>
      </c>
      <c r="H32" s="250" t="s">
        <v>5</v>
      </c>
      <c r="I32" s="246">
        <v>15</v>
      </c>
      <c r="J32" s="58">
        <v>2400</v>
      </c>
      <c r="K32" s="59">
        <f t="shared" si="1"/>
        <v>160</v>
      </c>
      <c r="L32" s="246">
        <v>15</v>
      </c>
      <c r="M32" s="60">
        <f t="shared" ref="M32:M38" si="28">F32/V32*60</f>
        <v>2300.3773584905662</v>
      </c>
      <c r="N32" s="59">
        <f t="shared" si="3"/>
        <v>153.35849056603774</v>
      </c>
      <c r="O32" s="61">
        <f t="shared" si="4"/>
        <v>0</v>
      </c>
      <c r="P32" s="62">
        <f t="shared" si="5"/>
        <v>-6.6415094339622556</v>
      </c>
      <c r="Q32" s="242">
        <f t="shared" si="6"/>
        <v>0.95849056603773586</v>
      </c>
      <c r="R32" s="566">
        <f>Q39</f>
        <v>0.95926066764120932</v>
      </c>
      <c r="S32" s="63">
        <v>8.3333333333333329E-2</v>
      </c>
      <c r="T32" s="63">
        <v>0.12013888888888888</v>
      </c>
      <c r="U32" s="241"/>
      <c r="V32" s="247">
        <f t="shared" ref="V32:V38" si="29">(T32-S32)*24*60</f>
        <v>52.999999999999993</v>
      </c>
      <c r="W32" s="68">
        <f>T32</f>
        <v>0.12013888888888888</v>
      </c>
      <c r="X32" s="68">
        <f>S33</f>
        <v>0.13749999999999998</v>
      </c>
      <c r="Y32" s="559"/>
      <c r="Z32" s="559"/>
      <c r="AA32" s="61">
        <f t="shared" si="8"/>
        <v>-99.622641509433834</v>
      </c>
      <c r="AB32" s="242">
        <f t="shared" si="9"/>
        <v>0.95849056603773586</v>
      </c>
      <c r="AC32" s="566">
        <f>AB39</f>
        <v>0.95926066764120932</v>
      </c>
    </row>
    <row r="33" spans="1:29" ht="15.75" customHeight="1">
      <c r="A33" s="582" t="s">
        <v>1010</v>
      </c>
      <c r="B33" s="57" t="s">
        <v>15</v>
      </c>
      <c r="C33" s="560" t="s">
        <v>27</v>
      </c>
      <c r="D33" s="560"/>
      <c r="E33" s="57">
        <v>26.2</v>
      </c>
      <c r="F33" s="248">
        <v>5537</v>
      </c>
      <c r="G33" s="241">
        <f t="shared" si="27"/>
        <v>145069.4</v>
      </c>
      <c r="H33" s="250" t="s">
        <v>5</v>
      </c>
      <c r="I33" s="246">
        <v>18</v>
      </c>
      <c r="J33" s="58">
        <v>2400</v>
      </c>
      <c r="K33" s="59">
        <f t="shared" si="1"/>
        <v>133.33333333333334</v>
      </c>
      <c r="L33" s="246">
        <v>18</v>
      </c>
      <c r="M33" s="60">
        <f t="shared" si="28"/>
        <v>2291.1724137931028</v>
      </c>
      <c r="N33" s="59">
        <f t="shared" si="3"/>
        <v>127.28735632183904</v>
      </c>
      <c r="O33" s="61">
        <f t="shared" si="4"/>
        <v>0</v>
      </c>
      <c r="P33" s="62">
        <f t="shared" si="5"/>
        <v>-6.0459770114943012</v>
      </c>
      <c r="Q33" s="242">
        <f t="shared" si="6"/>
        <v>0.95465517241379272</v>
      </c>
      <c r="R33" s="566"/>
      <c r="S33" s="63">
        <v>0.13749999999999998</v>
      </c>
      <c r="T33" s="63">
        <v>0.23819444444444443</v>
      </c>
      <c r="U33" s="241">
        <f t="shared" ref="U33:U38" si="30">(S33-T32)*24*60</f>
        <v>24.999999999999993</v>
      </c>
      <c r="V33" s="247">
        <f t="shared" si="29"/>
        <v>145.00000000000003</v>
      </c>
      <c r="W33" s="241"/>
      <c r="X33" s="241"/>
      <c r="Y33" s="559"/>
      <c r="Z33" s="559"/>
      <c r="AA33" s="61">
        <f t="shared" si="8"/>
        <v>-108.82758620689719</v>
      </c>
      <c r="AB33" s="242">
        <f t="shared" si="9"/>
        <v>0.95465517241379283</v>
      </c>
      <c r="AC33" s="566"/>
    </row>
    <row r="34" spans="1:29">
      <c r="A34" s="583" t="s">
        <v>1010</v>
      </c>
      <c r="B34" s="57" t="s">
        <v>15</v>
      </c>
      <c r="C34" s="560" t="s">
        <v>25</v>
      </c>
      <c r="D34" s="560"/>
      <c r="E34" s="57">
        <v>26.18</v>
      </c>
      <c r="F34" s="248">
        <v>2074</v>
      </c>
      <c r="G34" s="241">
        <f t="shared" si="27"/>
        <v>54297.32</v>
      </c>
      <c r="H34" s="250" t="s">
        <v>5</v>
      </c>
      <c r="I34" s="246">
        <v>19</v>
      </c>
      <c r="J34" s="58">
        <v>2400</v>
      </c>
      <c r="K34" s="59">
        <f t="shared" si="1"/>
        <v>126.31578947368421</v>
      </c>
      <c r="L34" s="246">
        <v>19</v>
      </c>
      <c r="M34" s="60">
        <f t="shared" si="28"/>
        <v>2304.4444444444443</v>
      </c>
      <c r="N34" s="59">
        <f t="shared" si="3"/>
        <v>121.28654970760233</v>
      </c>
      <c r="O34" s="61">
        <f t="shared" si="4"/>
        <v>0</v>
      </c>
      <c r="P34" s="62">
        <f t="shared" si="5"/>
        <v>-5.0292397660818722</v>
      </c>
      <c r="Q34" s="242">
        <f t="shared" si="6"/>
        <v>0.96018518518518514</v>
      </c>
      <c r="R34" s="566"/>
      <c r="S34" s="63">
        <v>0.24305555555555555</v>
      </c>
      <c r="T34" s="63">
        <v>0.28055555555555556</v>
      </c>
      <c r="U34" s="241">
        <f t="shared" si="30"/>
        <v>7.0000000000000151</v>
      </c>
      <c r="V34" s="247">
        <f t="shared" si="29"/>
        <v>54.000000000000007</v>
      </c>
      <c r="W34" s="241"/>
      <c r="X34" s="241"/>
      <c r="Y34" s="559"/>
      <c r="Z34" s="559"/>
      <c r="AA34" s="61">
        <f t="shared" si="8"/>
        <v>-95.555555555555657</v>
      </c>
      <c r="AB34" s="242">
        <f t="shared" si="9"/>
        <v>0.96018518518518514</v>
      </c>
      <c r="AC34" s="566"/>
    </row>
    <row r="35" spans="1:29">
      <c r="A35" s="583" t="s">
        <v>1010</v>
      </c>
      <c r="B35" s="57" t="s">
        <v>15</v>
      </c>
      <c r="C35" s="560" t="s">
        <v>28</v>
      </c>
      <c r="D35" s="560"/>
      <c r="E35" s="57">
        <v>26.39</v>
      </c>
      <c r="F35" s="248">
        <v>5379</v>
      </c>
      <c r="G35" s="241">
        <f t="shared" si="27"/>
        <v>141951.81</v>
      </c>
      <c r="H35" s="250" t="s">
        <v>5</v>
      </c>
      <c r="I35" s="246">
        <v>19</v>
      </c>
      <c r="J35" s="58">
        <v>2400</v>
      </c>
      <c r="K35" s="59">
        <f t="shared" si="1"/>
        <v>126.31578947368421</v>
      </c>
      <c r="L35" s="246">
        <v>19</v>
      </c>
      <c r="M35" s="60">
        <f t="shared" si="28"/>
        <v>2288.9361702127662</v>
      </c>
      <c r="N35" s="59">
        <f t="shared" si="3"/>
        <v>120.47032474804033</v>
      </c>
      <c r="O35" s="61">
        <f t="shared" si="4"/>
        <v>0</v>
      </c>
      <c r="P35" s="62">
        <f t="shared" si="5"/>
        <v>-5.845464725643879</v>
      </c>
      <c r="Q35" s="242">
        <f t="shared" si="6"/>
        <v>0.95372340425531932</v>
      </c>
      <c r="R35" s="566"/>
      <c r="S35" s="63">
        <v>0.28402777777777777</v>
      </c>
      <c r="T35" s="63">
        <v>0.38194444444444442</v>
      </c>
      <c r="U35" s="241">
        <f t="shared" si="30"/>
        <v>4.9999999999999822</v>
      </c>
      <c r="V35" s="247">
        <f t="shared" si="29"/>
        <v>140.99999999999997</v>
      </c>
      <c r="W35" s="64"/>
      <c r="X35" s="64"/>
      <c r="Y35" s="559"/>
      <c r="Z35" s="559"/>
      <c r="AA35" s="61">
        <f t="shared" si="8"/>
        <v>-111.06382978723377</v>
      </c>
      <c r="AB35" s="242">
        <f t="shared" si="9"/>
        <v>0.95372340425531921</v>
      </c>
      <c r="AC35" s="566"/>
    </row>
    <row r="36" spans="1:29">
      <c r="A36" s="583" t="s">
        <v>1010</v>
      </c>
      <c r="B36" s="57" t="s">
        <v>15</v>
      </c>
      <c r="C36" s="560" t="s">
        <v>658</v>
      </c>
      <c r="D36" s="560"/>
      <c r="E36" s="57">
        <v>21.68</v>
      </c>
      <c r="F36" s="248">
        <v>3000</v>
      </c>
      <c r="G36" s="241">
        <f t="shared" si="27"/>
        <v>65040</v>
      </c>
      <c r="H36" s="250">
        <v>2</v>
      </c>
      <c r="I36" s="246">
        <v>16</v>
      </c>
      <c r="J36" s="58">
        <v>2400</v>
      </c>
      <c r="K36" s="59">
        <f t="shared" si="1"/>
        <v>150</v>
      </c>
      <c r="L36" s="246">
        <v>16</v>
      </c>
      <c r="M36" s="60">
        <f t="shared" si="28"/>
        <v>2307.6923076923063</v>
      </c>
      <c r="N36" s="59">
        <f t="shared" si="3"/>
        <v>144.23076923076914</v>
      </c>
      <c r="O36" s="61">
        <f t="shared" si="4"/>
        <v>0</v>
      </c>
      <c r="P36" s="62">
        <f t="shared" si="5"/>
        <v>-5.7692307692308589</v>
      </c>
      <c r="Q36" s="242">
        <f t="shared" si="6"/>
        <v>0.9615384615384609</v>
      </c>
      <c r="R36" s="566"/>
      <c r="S36" s="63">
        <v>0.38541666666666663</v>
      </c>
      <c r="T36" s="63">
        <v>0.43958333333333333</v>
      </c>
      <c r="U36" s="241">
        <f t="shared" si="30"/>
        <v>4.9999999999999822</v>
      </c>
      <c r="V36" s="247">
        <f t="shared" si="29"/>
        <v>78.000000000000043</v>
      </c>
      <c r="W36" s="64"/>
      <c r="X36" s="64"/>
      <c r="Y36" s="559"/>
      <c r="Z36" s="559"/>
      <c r="AA36" s="61">
        <f t="shared" si="8"/>
        <v>-92.307692307693742</v>
      </c>
      <c r="AB36" s="242">
        <f t="shared" si="9"/>
        <v>0.9615384615384609</v>
      </c>
      <c r="AC36" s="566"/>
    </row>
    <row r="37" spans="1:29">
      <c r="A37" s="583" t="s">
        <v>1010</v>
      </c>
      <c r="B37" s="57" t="s">
        <v>15</v>
      </c>
      <c r="C37" s="560" t="s">
        <v>30</v>
      </c>
      <c r="D37" s="560"/>
      <c r="E37" s="57">
        <v>24.25</v>
      </c>
      <c r="F37" s="248">
        <v>1784</v>
      </c>
      <c r="G37" s="241">
        <f t="shared" si="27"/>
        <v>43262</v>
      </c>
      <c r="H37" s="250" t="s">
        <v>5</v>
      </c>
      <c r="I37" s="246">
        <v>13</v>
      </c>
      <c r="J37" s="58">
        <v>2400</v>
      </c>
      <c r="K37" s="59">
        <f t="shared" si="1"/>
        <v>184.61538461538461</v>
      </c>
      <c r="L37" s="246">
        <v>13</v>
      </c>
      <c r="M37" s="60">
        <f t="shared" si="28"/>
        <v>2326.9565217391305</v>
      </c>
      <c r="N37" s="59">
        <f t="shared" si="3"/>
        <v>178.99665551839465</v>
      </c>
      <c r="O37" s="61">
        <f t="shared" si="4"/>
        <v>0</v>
      </c>
      <c r="P37" s="62">
        <f t="shared" si="5"/>
        <v>-5.6187290969899664</v>
      </c>
      <c r="Q37" s="242">
        <f t="shared" si="6"/>
        <v>0.9695652173913043</v>
      </c>
      <c r="R37" s="566"/>
      <c r="S37" s="63">
        <v>0.44374999999999998</v>
      </c>
      <c r="T37" s="63">
        <v>0.47569444444444442</v>
      </c>
      <c r="U37" s="241">
        <f t="shared" si="30"/>
        <v>5.9999999999999787</v>
      </c>
      <c r="V37" s="247">
        <f t="shared" si="29"/>
        <v>46</v>
      </c>
      <c r="W37" s="64">
        <f>T37</f>
        <v>0.47569444444444442</v>
      </c>
      <c r="X37" s="64">
        <f>S38</f>
        <v>0.51458333333333328</v>
      </c>
      <c r="Y37" s="559"/>
      <c r="Z37" s="559"/>
      <c r="AA37" s="61">
        <f t="shared" si="8"/>
        <v>-73.043478260869506</v>
      </c>
      <c r="AB37" s="242">
        <f t="shared" si="9"/>
        <v>0.96956521739130441</v>
      </c>
      <c r="AC37" s="566"/>
    </row>
    <row r="38" spans="1:29">
      <c r="A38" s="583" t="s">
        <v>1010</v>
      </c>
      <c r="B38" s="57" t="s">
        <v>15</v>
      </c>
      <c r="C38" s="560" t="s">
        <v>658</v>
      </c>
      <c r="D38" s="560"/>
      <c r="E38" s="57">
        <v>21.68</v>
      </c>
      <c r="F38" s="248">
        <v>3444</v>
      </c>
      <c r="G38" s="241">
        <f t="shared" si="27"/>
        <v>74665.919999999998</v>
      </c>
      <c r="H38" s="250" t="s">
        <v>5</v>
      </c>
      <c r="I38" s="246">
        <v>16</v>
      </c>
      <c r="J38" s="58">
        <v>2400</v>
      </c>
      <c r="K38" s="59">
        <f t="shared" si="1"/>
        <v>150</v>
      </c>
      <c r="L38" s="246">
        <v>16</v>
      </c>
      <c r="M38" s="60">
        <f t="shared" si="28"/>
        <v>2296</v>
      </c>
      <c r="N38" s="59">
        <f t="shared" si="3"/>
        <v>143.5</v>
      </c>
      <c r="O38" s="61">
        <f t="shared" si="4"/>
        <v>0</v>
      </c>
      <c r="P38" s="62">
        <f t="shared" si="5"/>
        <v>-6.5</v>
      </c>
      <c r="Q38" s="242">
        <f t="shared" si="6"/>
        <v>0.95666666666666667</v>
      </c>
      <c r="R38" s="566"/>
      <c r="S38" s="63">
        <v>0.51458333333333328</v>
      </c>
      <c r="T38" s="63">
        <v>0.57708333333333328</v>
      </c>
      <c r="U38" s="241">
        <f t="shared" si="30"/>
        <v>55.999999999999957</v>
      </c>
      <c r="V38" s="247">
        <f t="shared" si="29"/>
        <v>90</v>
      </c>
      <c r="W38" s="64"/>
      <c r="X38" s="64"/>
      <c r="Y38" s="569"/>
      <c r="Z38" s="570"/>
      <c r="AA38" s="61">
        <f t="shared" si="8"/>
        <v>-104</v>
      </c>
      <c r="AB38" s="242">
        <f t="shared" si="9"/>
        <v>0.95666666666666667</v>
      </c>
      <c r="AC38" s="566"/>
    </row>
    <row r="39" spans="1:29">
      <c r="A39" s="583" t="s">
        <v>1010</v>
      </c>
      <c r="B39" s="66" t="s">
        <v>1007</v>
      </c>
      <c r="C39" s="571"/>
      <c r="D39" s="571"/>
      <c r="E39" s="245"/>
      <c r="F39" s="66"/>
      <c r="G39" s="59"/>
      <c r="H39" s="248"/>
      <c r="I39" s="67">
        <v>16.571428571428573</v>
      </c>
      <c r="J39" s="58">
        <v>2400</v>
      </c>
      <c r="K39" s="59">
        <f t="shared" si="1"/>
        <v>144.82758620689654</v>
      </c>
      <c r="L39" s="67">
        <v>16.571428571428573</v>
      </c>
      <c r="M39" s="60">
        <f>AVERAGE(M32:M38)</f>
        <v>2302.2256023389023</v>
      </c>
      <c r="N39" s="59">
        <f t="shared" si="3"/>
        <v>138.92740703769238</v>
      </c>
      <c r="O39" s="61">
        <f t="shared" si="4"/>
        <v>0</v>
      </c>
      <c r="P39" s="62">
        <f t="shared" si="5"/>
        <v>-5.900179169204165</v>
      </c>
      <c r="Q39" s="242">
        <f t="shared" si="6"/>
        <v>0.95926066764120932</v>
      </c>
      <c r="R39" s="566"/>
      <c r="S39" s="63"/>
      <c r="T39" s="63"/>
      <c r="U39" s="59"/>
      <c r="V39" s="247"/>
      <c r="W39" s="59"/>
      <c r="X39" s="59"/>
      <c r="Y39" s="559"/>
      <c r="Z39" s="559"/>
      <c r="AA39" s="61">
        <f t="shared" si="8"/>
        <v>-97.774397661097737</v>
      </c>
      <c r="AB39" s="242">
        <f t="shared" si="9"/>
        <v>0.95926066764120932</v>
      </c>
      <c r="AC39" s="566"/>
    </row>
    <row r="40" spans="1:29" ht="15.75" customHeight="1">
      <c r="A40" s="576" t="s">
        <v>1011</v>
      </c>
      <c r="B40" s="57" t="s">
        <v>31</v>
      </c>
      <c r="C40" s="567" t="s">
        <v>32</v>
      </c>
      <c r="D40" s="568"/>
      <c r="E40" s="57">
        <v>21.13</v>
      </c>
      <c r="F40" s="248">
        <v>4659</v>
      </c>
      <c r="G40" s="241">
        <f t="shared" ref="G40:G45" si="31">E40*F40</f>
        <v>98444.67</v>
      </c>
      <c r="H40" s="250" t="s">
        <v>5</v>
      </c>
      <c r="I40" s="246">
        <v>10</v>
      </c>
      <c r="J40" s="58">
        <v>3000</v>
      </c>
      <c r="K40" s="59">
        <f t="shared" si="1"/>
        <v>300</v>
      </c>
      <c r="L40" s="246">
        <v>10</v>
      </c>
      <c r="M40" s="60">
        <f t="shared" ref="M40:M45" si="32">F40/V40*60</f>
        <v>2852.4489795918366</v>
      </c>
      <c r="N40" s="60">
        <f t="shared" si="3"/>
        <v>285.24489795918367</v>
      </c>
      <c r="O40" s="61">
        <f t="shared" si="4"/>
        <v>0</v>
      </c>
      <c r="P40" s="62">
        <f t="shared" si="5"/>
        <v>-14.755102040816325</v>
      </c>
      <c r="Q40" s="242">
        <f t="shared" si="6"/>
        <v>0.95081632653061221</v>
      </c>
      <c r="R40" s="579">
        <f>Q46</f>
        <v>0.95761958095750643</v>
      </c>
      <c r="S40" s="63">
        <v>8.3333333333333329E-2</v>
      </c>
      <c r="T40" s="63">
        <v>0.15138888888888888</v>
      </c>
      <c r="U40" s="68"/>
      <c r="V40" s="247">
        <f t="shared" ref="V40:V45" si="33">(T40-S40)*24*60</f>
        <v>98</v>
      </c>
      <c r="W40" s="64">
        <f>T40</f>
        <v>0.15138888888888888</v>
      </c>
      <c r="X40" s="64">
        <f>S41</f>
        <v>0.17152777777777778</v>
      </c>
      <c r="Y40" s="569"/>
      <c r="Z40" s="570"/>
      <c r="AA40" s="61">
        <f t="shared" si="8"/>
        <v>-147.55102040816337</v>
      </c>
      <c r="AB40" s="242">
        <f t="shared" si="9"/>
        <v>0.95081632653061221</v>
      </c>
      <c r="AC40" s="579">
        <f>AB46</f>
        <v>0.95761958095750643</v>
      </c>
    </row>
    <row r="41" spans="1:29" ht="15.75" customHeight="1">
      <c r="A41" s="577" t="s">
        <v>1011</v>
      </c>
      <c r="B41" s="57" t="s">
        <v>31</v>
      </c>
      <c r="C41" s="567" t="s">
        <v>33</v>
      </c>
      <c r="D41" s="568"/>
      <c r="E41" s="57">
        <v>27.17</v>
      </c>
      <c r="F41" s="248">
        <v>5849</v>
      </c>
      <c r="G41" s="241">
        <f t="shared" si="31"/>
        <v>158917.33000000002</v>
      </c>
      <c r="H41" s="250" t="s">
        <v>5</v>
      </c>
      <c r="I41" s="246">
        <v>10</v>
      </c>
      <c r="J41" s="58">
        <v>3000</v>
      </c>
      <c r="K41" s="59">
        <f t="shared" si="1"/>
        <v>300</v>
      </c>
      <c r="L41" s="246">
        <v>10</v>
      </c>
      <c r="M41" s="60">
        <f t="shared" si="32"/>
        <v>2876.557377049181</v>
      </c>
      <c r="N41" s="60">
        <f t="shared" si="3"/>
        <v>287.65573770491812</v>
      </c>
      <c r="O41" s="61">
        <f t="shared" si="4"/>
        <v>0</v>
      </c>
      <c r="P41" s="62">
        <f t="shared" si="5"/>
        <v>-12.344262295081876</v>
      </c>
      <c r="Q41" s="242">
        <f t="shared" si="6"/>
        <v>0.95885245901639371</v>
      </c>
      <c r="R41" s="580"/>
      <c r="S41" s="63">
        <v>0.17152777777777778</v>
      </c>
      <c r="T41" s="63">
        <v>0.25624999999999998</v>
      </c>
      <c r="U41" s="241">
        <f t="shared" ref="U41:U45" si="34">(S41-T40)*24*60</f>
        <v>29.000000000000018</v>
      </c>
      <c r="V41" s="247">
        <f t="shared" si="33"/>
        <v>121.99999999999997</v>
      </c>
      <c r="W41" s="64"/>
      <c r="X41" s="64"/>
      <c r="Y41" s="569"/>
      <c r="Z41" s="570"/>
      <c r="AA41" s="61">
        <f t="shared" si="8"/>
        <v>-123.44262295081899</v>
      </c>
      <c r="AB41" s="242">
        <f t="shared" si="9"/>
        <v>0.95885245901639371</v>
      </c>
      <c r="AC41" s="580"/>
    </row>
    <row r="42" spans="1:29" ht="15.75" customHeight="1">
      <c r="A42" s="577" t="s">
        <v>1011</v>
      </c>
      <c r="B42" s="57" t="s">
        <v>31</v>
      </c>
      <c r="C42" s="567" t="s">
        <v>35</v>
      </c>
      <c r="D42" s="568"/>
      <c r="E42" s="57">
        <v>35.869999999999997</v>
      </c>
      <c r="F42" s="248">
        <v>2677</v>
      </c>
      <c r="G42" s="241">
        <f t="shared" si="31"/>
        <v>96023.989999999991</v>
      </c>
      <c r="H42" s="250" t="s">
        <v>5</v>
      </c>
      <c r="I42" s="246">
        <v>9</v>
      </c>
      <c r="J42" s="58">
        <v>3000</v>
      </c>
      <c r="K42" s="59">
        <f t="shared" si="1"/>
        <v>333.33333333333331</v>
      </c>
      <c r="L42" s="246">
        <v>9</v>
      </c>
      <c r="M42" s="60">
        <f t="shared" si="32"/>
        <v>2868.2142857142881</v>
      </c>
      <c r="N42" s="60">
        <f t="shared" si="3"/>
        <v>318.69047619047643</v>
      </c>
      <c r="O42" s="61">
        <f t="shared" si="4"/>
        <v>0</v>
      </c>
      <c r="P42" s="62">
        <f t="shared" si="5"/>
        <v>-14.642857142856883</v>
      </c>
      <c r="Q42" s="242">
        <f t="shared" si="6"/>
        <v>0.95607142857142935</v>
      </c>
      <c r="R42" s="580"/>
      <c r="S42" s="63">
        <v>0.25972222222222219</v>
      </c>
      <c r="T42" s="63">
        <v>0.29861111111111105</v>
      </c>
      <c r="U42" s="241">
        <f t="shared" si="34"/>
        <v>4.9999999999999822</v>
      </c>
      <c r="V42" s="247">
        <f t="shared" si="33"/>
        <v>55.999999999999957</v>
      </c>
      <c r="W42" s="64"/>
      <c r="X42" s="64"/>
      <c r="Y42" s="569"/>
      <c r="Z42" s="570"/>
      <c r="AA42" s="61">
        <f t="shared" si="8"/>
        <v>-131.78571428571195</v>
      </c>
      <c r="AB42" s="242">
        <f t="shared" si="9"/>
        <v>0.95607142857142935</v>
      </c>
      <c r="AC42" s="580"/>
    </row>
    <row r="43" spans="1:29" ht="15.75" customHeight="1">
      <c r="A43" s="577" t="s">
        <v>1011</v>
      </c>
      <c r="B43" s="57" t="s">
        <v>31</v>
      </c>
      <c r="C43" s="567" t="s">
        <v>34</v>
      </c>
      <c r="D43" s="568"/>
      <c r="E43" s="57">
        <v>35.119999999999997</v>
      </c>
      <c r="F43" s="248">
        <v>3974</v>
      </c>
      <c r="G43" s="241">
        <f t="shared" si="31"/>
        <v>139566.87999999998</v>
      </c>
      <c r="H43" s="250" t="s">
        <v>5</v>
      </c>
      <c r="I43" s="246">
        <v>10</v>
      </c>
      <c r="J43" s="58">
        <v>3000</v>
      </c>
      <c r="K43" s="59">
        <f t="shared" si="1"/>
        <v>300</v>
      </c>
      <c r="L43" s="246">
        <v>10</v>
      </c>
      <c r="M43" s="60">
        <f t="shared" si="32"/>
        <v>2872.7710843373484</v>
      </c>
      <c r="N43" s="60">
        <f t="shared" si="3"/>
        <v>287.27710843373484</v>
      </c>
      <c r="O43" s="61">
        <f t="shared" si="4"/>
        <v>0</v>
      </c>
      <c r="P43" s="62">
        <f t="shared" si="5"/>
        <v>-12.722891566265162</v>
      </c>
      <c r="Q43" s="242">
        <f t="shared" si="6"/>
        <v>0.9575903614457828</v>
      </c>
      <c r="R43" s="580"/>
      <c r="S43" s="63">
        <v>0.30208333333333326</v>
      </c>
      <c r="T43" s="63">
        <v>0.35972222222222217</v>
      </c>
      <c r="U43" s="241">
        <f t="shared" si="34"/>
        <v>4.9999999999999822</v>
      </c>
      <c r="V43" s="247">
        <f t="shared" si="33"/>
        <v>83.000000000000028</v>
      </c>
      <c r="W43" s="64"/>
      <c r="X43" s="64"/>
      <c r="Y43" s="569"/>
      <c r="Z43" s="570"/>
      <c r="AA43" s="61">
        <f t="shared" si="8"/>
        <v>-127.22891566265162</v>
      </c>
      <c r="AB43" s="242">
        <f t="shared" si="9"/>
        <v>0.9575903614457828</v>
      </c>
      <c r="AC43" s="580"/>
    </row>
    <row r="44" spans="1:29" ht="15.75" customHeight="1">
      <c r="A44" s="577" t="s">
        <v>1011</v>
      </c>
      <c r="B44" s="57" t="s">
        <v>31</v>
      </c>
      <c r="C44" s="567" t="s">
        <v>71</v>
      </c>
      <c r="D44" s="568"/>
      <c r="E44" s="57">
        <v>31</v>
      </c>
      <c r="F44" s="248">
        <v>2030</v>
      </c>
      <c r="G44" s="241">
        <f t="shared" si="31"/>
        <v>62930</v>
      </c>
      <c r="H44" s="250" t="s">
        <v>5</v>
      </c>
      <c r="I44" s="246">
        <v>13</v>
      </c>
      <c r="J44" s="58">
        <v>2000</v>
      </c>
      <c r="K44" s="59">
        <f t="shared" si="1"/>
        <v>153.84615384615384</v>
      </c>
      <c r="L44" s="246">
        <v>13</v>
      </c>
      <c r="M44" s="60">
        <f t="shared" si="32"/>
        <v>1933.3333333333328</v>
      </c>
      <c r="N44" s="60">
        <f t="shared" si="3"/>
        <v>148.71794871794867</v>
      </c>
      <c r="O44" s="61">
        <f t="shared" si="4"/>
        <v>0</v>
      </c>
      <c r="P44" s="62">
        <f t="shared" si="5"/>
        <v>-5.1282051282051668</v>
      </c>
      <c r="Q44" s="242">
        <f t="shared" si="6"/>
        <v>0.96666666666666645</v>
      </c>
      <c r="R44" s="580"/>
      <c r="S44" s="63">
        <v>0.36388888888888882</v>
      </c>
      <c r="T44" s="63">
        <v>0.40763888888888883</v>
      </c>
      <c r="U44" s="241">
        <f t="shared" si="34"/>
        <v>5.9999999999999787</v>
      </c>
      <c r="V44" s="247">
        <f t="shared" si="33"/>
        <v>63.000000000000014</v>
      </c>
      <c r="W44" s="64"/>
      <c r="X44" s="64"/>
      <c r="Y44" s="569"/>
      <c r="Z44" s="570"/>
      <c r="AA44" s="61">
        <f t="shared" si="8"/>
        <v>-66.666666666667197</v>
      </c>
      <c r="AB44" s="242">
        <f t="shared" si="9"/>
        <v>0.96666666666666645</v>
      </c>
      <c r="AC44" s="580"/>
    </row>
    <row r="45" spans="1:29" ht="15.75" customHeight="1">
      <c r="A45" s="577" t="s">
        <v>1011</v>
      </c>
      <c r="B45" s="57" t="s">
        <v>31</v>
      </c>
      <c r="C45" s="567" t="s">
        <v>659</v>
      </c>
      <c r="D45" s="568"/>
      <c r="E45" s="57">
        <v>37.880000000000003</v>
      </c>
      <c r="F45" s="248">
        <v>2718</v>
      </c>
      <c r="G45" s="241">
        <f t="shared" si="31"/>
        <v>102957.84000000001</v>
      </c>
      <c r="H45" s="250" t="s">
        <v>5</v>
      </c>
      <c r="I45" s="246">
        <v>16</v>
      </c>
      <c r="J45" s="58">
        <v>2000</v>
      </c>
      <c r="K45" s="59">
        <f t="shared" si="1"/>
        <v>125</v>
      </c>
      <c r="L45" s="246">
        <v>16</v>
      </c>
      <c r="M45" s="60">
        <f t="shared" si="32"/>
        <v>1918.5882352941171</v>
      </c>
      <c r="N45" s="60">
        <f t="shared" si="3"/>
        <v>119.91176470588232</v>
      </c>
      <c r="O45" s="61">
        <f t="shared" si="4"/>
        <v>0</v>
      </c>
      <c r="P45" s="62">
        <f t="shared" si="5"/>
        <v>-5.0882352941176805</v>
      </c>
      <c r="Q45" s="242">
        <f t="shared" si="6"/>
        <v>0.95929411764705852</v>
      </c>
      <c r="R45" s="580"/>
      <c r="S45" s="63">
        <v>0.41111111111111104</v>
      </c>
      <c r="T45" s="63">
        <v>0.47013888888888883</v>
      </c>
      <c r="U45" s="241">
        <f t="shared" si="34"/>
        <v>4.9999999999999822</v>
      </c>
      <c r="V45" s="247">
        <f t="shared" si="33"/>
        <v>85.000000000000014</v>
      </c>
      <c r="W45" s="64"/>
      <c r="X45" s="64"/>
      <c r="Y45" s="569"/>
      <c r="Z45" s="570"/>
      <c r="AA45" s="61">
        <f t="shared" si="8"/>
        <v>-81.411764705882888</v>
      </c>
      <c r="AB45" s="242">
        <f t="shared" si="9"/>
        <v>0.95929411764705852</v>
      </c>
      <c r="AC45" s="580"/>
    </row>
    <row r="46" spans="1:29" ht="15.75" customHeight="1">
      <c r="A46" s="578" t="s">
        <v>1011</v>
      </c>
      <c r="B46" s="57" t="s">
        <v>1007</v>
      </c>
      <c r="C46" s="561"/>
      <c r="D46" s="562"/>
      <c r="E46" s="240"/>
      <c r="F46" s="248"/>
      <c r="G46" s="241"/>
      <c r="H46" s="248"/>
      <c r="I46" s="67">
        <v>11.333333333333334</v>
      </c>
      <c r="J46" s="58">
        <v>2666.6666666666665</v>
      </c>
      <c r="K46" s="59">
        <f t="shared" si="1"/>
        <v>235.29411764705881</v>
      </c>
      <c r="L46" s="67">
        <v>11.333333333333334</v>
      </c>
      <c r="M46" s="60">
        <f>AVERAGE(M40:M45)</f>
        <v>2553.6522158866837</v>
      </c>
      <c r="N46" s="59">
        <f t="shared" si="3"/>
        <v>225.32225434294267</v>
      </c>
      <c r="O46" s="61">
        <f t="shared" si="4"/>
        <v>0</v>
      </c>
      <c r="P46" s="62">
        <f t="shared" si="5"/>
        <v>-9.9718633041161411</v>
      </c>
      <c r="Q46" s="242">
        <f t="shared" si="6"/>
        <v>0.95761958095750643</v>
      </c>
      <c r="R46" s="581"/>
      <c r="S46" s="63"/>
      <c r="T46" s="63"/>
      <c r="U46" s="241"/>
      <c r="V46" s="247"/>
      <c r="W46" s="64"/>
      <c r="X46" s="64"/>
      <c r="Y46" s="569"/>
      <c r="Z46" s="570"/>
      <c r="AA46" s="61">
        <f t="shared" si="8"/>
        <v>-113.01445077998278</v>
      </c>
      <c r="AB46" s="242">
        <f t="shared" si="9"/>
        <v>0.95761958095750643</v>
      </c>
      <c r="AC46" s="581"/>
    </row>
    <row r="47" spans="1:29" ht="15.75" customHeight="1">
      <c r="A47" s="574" t="s">
        <v>1012</v>
      </c>
      <c r="B47" s="57" t="s">
        <v>10</v>
      </c>
      <c r="C47" s="560" t="s">
        <v>37</v>
      </c>
      <c r="D47" s="560"/>
      <c r="E47" s="57">
        <v>46</v>
      </c>
      <c r="F47" s="69">
        <v>1514</v>
      </c>
      <c r="G47" s="241">
        <f t="shared" ref="G47:G51" si="35">E47*F47</f>
        <v>69644</v>
      </c>
      <c r="H47" s="250" t="s">
        <v>5</v>
      </c>
      <c r="I47" s="246">
        <v>17</v>
      </c>
      <c r="J47" s="58">
        <v>2000</v>
      </c>
      <c r="K47" s="59">
        <f t="shared" si="1"/>
        <v>117.64705882352941</v>
      </c>
      <c r="L47" s="246">
        <v>17</v>
      </c>
      <c r="M47" s="60">
        <f t="shared" ref="M47:M51" si="36">F47/V47*60</f>
        <v>1932.7659574468087</v>
      </c>
      <c r="N47" s="60">
        <f t="shared" si="3"/>
        <v>113.69211514392993</v>
      </c>
      <c r="O47" s="61">
        <f t="shared" si="4"/>
        <v>0</v>
      </c>
      <c r="P47" s="62">
        <f t="shared" si="5"/>
        <v>-3.9549436795994808</v>
      </c>
      <c r="Q47" s="242">
        <f t="shared" si="6"/>
        <v>0.9663829787234044</v>
      </c>
      <c r="R47" s="566">
        <f>Q52</f>
        <v>0.96317727625118488</v>
      </c>
      <c r="S47" s="63">
        <v>0.20833333333333334</v>
      </c>
      <c r="T47" s="63">
        <v>0.24097222222222223</v>
      </c>
      <c r="U47" s="68"/>
      <c r="V47" s="247">
        <f t="shared" ref="V47:V51" si="37">(T47-S47)*24*60</f>
        <v>46.999999999999993</v>
      </c>
      <c r="W47" s="68"/>
      <c r="X47" s="68"/>
      <c r="Y47" s="559"/>
      <c r="Z47" s="559"/>
      <c r="AA47" s="61">
        <f t="shared" si="8"/>
        <v>-67.23404255319133</v>
      </c>
      <c r="AB47" s="242">
        <f t="shared" si="9"/>
        <v>0.96638297872340428</v>
      </c>
      <c r="AC47" s="566">
        <f>AB52</f>
        <v>0.96317727625118488</v>
      </c>
    </row>
    <row r="48" spans="1:29" ht="15.75" customHeight="1">
      <c r="A48" s="574" t="s">
        <v>1012</v>
      </c>
      <c r="B48" s="57" t="s">
        <v>10</v>
      </c>
      <c r="C48" s="560" t="s">
        <v>38</v>
      </c>
      <c r="D48" s="560"/>
      <c r="E48" s="57">
        <v>46</v>
      </c>
      <c r="F48" s="69">
        <v>1672</v>
      </c>
      <c r="G48" s="241">
        <f t="shared" si="35"/>
        <v>76912</v>
      </c>
      <c r="H48" s="250" t="s">
        <v>5</v>
      </c>
      <c r="I48" s="246">
        <v>17</v>
      </c>
      <c r="J48" s="58">
        <v>2000</v>
      </c>
      <c r="K48" s="59">
        <f t="shared" si="1"/>
        <v>117.64705882352941</v>
      </c>
      <c r="L48" s="246">
        <v>17</v>
      </c>
      <c r="M48" s="60">
        <f t="shared" si="36"/>
        <v>1929.2307692307704</v>
      </c>
      <c r="N48" s="60">
        <f t="shared" si="3"/>
        <v>113.48416289592767</v>
      </c>
      <c r="O48" s="61">
        <f t="shared" si="4"/>
        <v>0</v>
      </c>
      <c r="P48" s="62">
        <f t="shared" si="5"/>
        <v>-4.1628959276017383</v>
      </c>
      <c r="Q48" s="242">
        <f t="shared" si="6"/>
        <v>0.96461538461538521</v>
      </c>
      <c r="R48" s="566"/>
      <c r="S48" s="63">
        <v>0.24513888888888891</v>
      </c>
      <c r="T48" s="63">
        <v>0.28125</v>
      </c>
      <c r="U48" s="241">
        <f t="shared" ref="U48:U51" si="38">IF(S48=TIME(17,0,0),"",(S48-T47)*24*60)</f>
        <v>6.0000000000000187</v>
      </c>
      <c r="V48" s="247">
        <f t="shared" si="37"/>
        <v>51.999999999999972</v>
      </c>
      <c r="W48" s="64"/>
      <c r="X48" s="64"/>
      <c r="Y48" s="559"/>
      <c r="Z48" s="559"/>
      <c r="AA48" s="61">
        <f t="shared" si="8"/>
        <v>-70.76923076922958</v>
      </c>
      <c r="AB48" s="242">
        <f t="shared" si="9"/>
        <v>0.96461538461538521</v>
      </c>
      <c r="AC48" s="566"/>
    </row>
    <row r="49" spans="1:29" ht="15.75" customHeight="1">
      <c r="A49" s="574" t="s">
        <v>1012</v>
      </c>
      <c r="B49" s="57" t="s">
        <v>6</v>
      </c>
      <c r="C49" s="567" t="s">
        <v>39</v>
      </c>
      <c r="D49" s="568"/>
      <c r="E49" s="57">
        <v>55.56</v>
      </c>
      <c r="F49" s="69">
        <v>2040</v>
      </c>
      <c r="G49" s="241">
        <f t="shared" si="35"/>
        <v>113342.40000000001</v>
      </c>
      <c r="H49" s="250" t="s">
        <v>5</v>
      </c>
      <c r="I49" s="246">
        <v>17</v>
      </c>
      <c r="J49" s="58">
        <v>2000</v>
      </c>
      <c r="K49" s="59">
        <f t="shared" si="1"/>
        <v>117.64705882352941</v>
      </c>
      <c r="L49" s="246">
        <v>17</v>
      </c>
      <c r="M49" s="60">
        <f t="shared" si="36"/>
        <v>1912.500000000002</v>
      </c>
      <c r="N49" s="60">
        <f t="shared" si="3"/>
        <v>112.50000000000011</v>
      </c>
      <c r="O49" s="61">
        <f t="shared" si="4"/>
        <v>0</v>
      </c>
      <c r="P49" s="62">
        <f t="shared" si="5"/>
        <v>-5.1470588235292922</v>
      </c>
      <c r="Q49" s="242">
        <f t="shared" si="6"/>
        <v>0.95625000000000104</v>
      </c>
      <c r="R49" s="566"/>
      <c r="S49" s="63">
        <v>0.70833333333333337</v>
      </c>
      <c r="T49" s="63">
        <v>0.75277777777777777</v>
      </c>
      <c r="U49" s="241" t="str">
        <f t="shared" si="38"/>
        <v/>
      </c>
      <c r="V49" s="247">
        <f t="shared" si="37"/>
        <v>63.999999999999929</v>
      </c>
      <c r="W49" s="64"/>
      <c r="X49" s="64"/>
      <c r="Y49" s="238"/>
      <c r="Z49" s="239"/>
      <c r="AA49" s="61">
        <f t="shared" si="8"/>
        <v>-87.499999999997954</v>
      </c>
      <c r="AB49" s="242">
        <f t="shared" si="9"/>
        <v>0.95625000000000104</v>
      </c>
      <c r="AC49" s="566"/>
    </row>
    <row r="50" spans="1:29" ht="15.75" customHeight="1">
      <c r="A50" s="574" t="s">
        <v>1012</v>
      </c>
      <c r="B50" s="57" t="s">
        <v>6</v>
      </c>
      <c r="C50" s="243" t="s">
        <v>40</v>
      </c>
      <c r="D50" s="244"/>
      <c r="E50" s="57">
        <v>55.32</v>
      </c>
      <c r="F50" s="69">
        <v>1519</v>
      </c>
      <c r="G50" s="241">
        <f t="shared" si="35"/>
        <v>84031.08</v>
      </c>
      <c r="H50" s="250" t="s">
        <v>5</v>
      </c>
      <c r="I50" s="246">
        <v>15</v>
      </c>
      <c r="J50" s="58">
        <v>2000</v>
      </c>
      <c r="K50" s="59">
        <f t="shared" si="1"/>
        <v>133.33333333333334</v>
      </c>
      <c r="L50" s="246">
        <v>15</v>
      </c>
      <c r="M50" s="60">
        <f t="shared" si="36"/>
        <v>1939.1489361702129</v>
      </c>
      <c r="N50" s="60">
        <f t="shared" si="3"/>
        <v>129.27659574468086</v>
      </c>
      <c r="O50" s="61">
        <f t="shared" si="4"/>
        <v>0</v>
      </c>
      <c r="P50" s="62">
        <f t="shared" si="5"/>
        <v>-4.0567375886524815</v>
      </c>
      <c r="Q50" s="242">
        <f t="shared" si="6"/>
        <v>0.96957446808510639</v>
      </c>
      <c r="R50" s="566"/>
      <c r="S50" s="63">
        <v>0.75763888888888886</v>
      </c>
      <c r="T50" s="63">
        <v>0.79027777777777775</v>
      </c>
      <c r="U50" s="241">
        <f t="shared" si="38"/>
        <v>6.9999999999999751</v>
      </c>
      <c r="V50" s="247">
        <f t="shared" si="37"/>
        <v>46.999999999999993</v>
      </c>
      <c r="W50" s="64"/>
      <c r="X50" s="64"/>
      <c r="Y50" s="238"/>
      <c r="Z50" s="239"/>
      <c r="AA50" s="61">
        <f t="shared" si="8"/>
        <v>-60.851063829787108</v>
      </c>
      <c r="AB50" s="242">
        <f t="shared" si="9"/>
        <v>0.9695744680851065</v>
      </c>
      <c r="AC50" s="566"/>
    </row>
    <row r="51" spans="1:29" ht="15.75" customHeight="1">
      <c r="A51" s="574" t="s">
        <v>1012</v>
      </c>
      <c r="B51" s="57" t="s">
        <v>6</v>
      </c>
      <c r="C51" s="243" t="s">
        <v>99</v>
      </c>
      <c r="D51" s="244"/>
      <c r="E51" s="57">
        <v>53.68</v>
      </c>
      <c r="F51" s="69">
        <v>2490</v>
      </c>
      <c r="G51" s="241">
        <f t="shared" si="35"/>
        <v>133663.20000000001</v>
      </c>
      <c r="H51" s="250" t="s">
        <v>5</v>
      </c>
      <c r="I51" s="246">
        <v>16</v>
      </c>
      <c r="J51" s="58">
        <v>1500</v>
      </c>
      <c r="K51" s="59">
        <f t="shared" si="1"/>
        <v>93.75</v>
      </c>
      <c r="L51" s="246">
        <v>16</v>
      </c>
      <c r="M51" s="60">
        <f t="shared" si="36"/>
        <v>1436.5384615384623</v>
      </c>
      <c r="N51" s="60">
        <f t="shared" si="3"/>
        <v>89.783653846153896</v>
      </c>
      <c r="O51" s="61">
        <f t="shared" si="4"/>
        <v>0</v>
      </c>
      <c r="P51" s="62">
        <f t="shared" si="5"/>
        <v>-3.9663461538461036</v>
      </c>
      <c r="Q51" s="242">
        <f t="shared" si="6"/>
        <v>0.95769230769230818</v>
      </c>
      <c r="R51" s="566"/>
      <c r="S51" s="63">
        <v>0.79583333333333328</v>
      </c>
      <c r="T51" s="63">
        <v>0.86805555555555547</v>
      </c>
      <c r="U51" s="241">
        <f t="shared" si="38"/>
        <v>7.9999999999999716</v>
      </c>
      <c r="V51" s="247">
        <f t="shared" si="37"/>
        <v>103.99999999999994</v>
      </c>
      <c r="W51" s="64"/>
      <c r="X51" s="64"/>
      <c r="Y51" s="238"/>
      <c r="Z51" s="239"/>
      <c r="AA51" s="61">
        <f t="shared" si="8"/>
        <v>-63.461538461537657</v>
      </c>
      <c r="AB51" s="242">
        <f t="shared" si="9"/>
        <v>0.95769230769230818</v>
      </c>
      <c r="AC51" s="566"/>
    </row>
    <row r="52" spans="1:29">
      <c r="A52" s="575" t="s">
        <v>1012</v>
      </c>
      <c r="B52" s="57" t="s">
        <v>1007</v>
      </c>
      <c r="C52" s="571"/>
      <c r="D52" s="571"/>
      <c r="E52" s="245"/>
      <c r="F52" s="66"/>
      <c r="G52" s="59"/>
      <c r="H52" s="248"/>
      <c r="I52" s="67">
        <v>16.399999999999999</v>
      </c>
      <c r="J52" s="58">
        <v>1900</v>
      </c>
      <c r="K52" s="59">
        <f t="shared" si="1"/>
        <v>115.85365853658537</v>
      </c>
      <c r="L52" s="67">
        <v>16.399999999999999</v>
      </c>
      <c r="M52" s="60">
        <f>AVERAGE(M47:M51)</f>
        <v>1830.0368248772513</v>
      </c>
      <c r="N52" s="59">
        <f t="shared" si="3"/>
        <v>111.58761127300313</v>
      </c>
      <c r="O52" s="61">
        <f t="shared" si="4"/>
        <v>0</v>
      </c>
      <c r="P52" s="62">
        <f t="shared" si="5"/>
        <v>-4.2660472635822373</v>
      </c>
      <c r="Q52" s="242">
        <f t="shared" si="6"/>
        <v>0.96317727625118488</v>
      </c>
      <c r="R52" s="566"/>
      <c r="S52" s="70"/>
      <c r="T52" s="63"/>
      <c r="U52" s="59"/>
      <c r="V52" s="247"/>
      <c r="W52" s="59"/>
      <c r="X52" s="59"/>
      <c r="Y52" s="559"/>
      <c r="Z52" s="559"/>
      <c r="AA52" s="61">
        <f t="shared" si="8"/>
        <v>-69.96317512274868</v>
      </c>
      <c r="AB52" s="242">
        <f t="shared" si="9"/>
        <v>0.96317727625118488</v>
      </c>
      <c r="AC52" s="566"/>
    </row>
    <row r="53" spans="1:29" ht="15.75" customHeight="1">
      <c r="A53" s="572" t="s">
        <v>1013</v>
      </c>
      <c r="B53" s="248" t="s">
        <v>10</v>
      </c>
      <c r="C53" s="560" t="s">
        <v>42</v>
      </c>
      <c r="D53" s="560"/>
      <c r="E53" s="57">
        <v>26.97</v>
      </c>
      <c r="F53" s="69">
        <v>2299</v>
      </c>
      <c r="G53" s="241">
        <f t="shared" ref="G53:G58" si="39">E53*F53</f>
        <v>62004.03</v>
      </c>
      <c r="H53" s="250" t="s">
        <v>5</v>
      </c>
      <c r="I53" s="246">
        <v>8</v>
      </c>
      <c r="J53" s="58">
        <v>1500</v>
      </c>
      <c r="K53" s="59">
        <f t="shared" si="1"/>
        <v>187.5</v>
      </c>
      <c r="L53" s="246">
        <v>8</v>
      </c>
      <c r="M53" s="60">
        <f t="shared" ref="M53:M58" si="40">F53/V53*60</f>
        <v>1436.8749999999998</v>
      </c>
      <c r="N53" s="59">
        <f t="shared" si="3"/>
        <v>179.60937499999997</v>
      </c>
      <c r="O53" s="61">
        <f t="shared" si="4"/>
        <v>0</v>
      </c>
      <c r="P53" s="62">
        <f t="shared" si="5"/>
        <v>-7.8906250000000284</v>
      </c>
      <c r="Q53" s="242">
        <f t="shared" si="6"/>
        <v>0.95791666666666653</v>
      </c>
      <c r="R53" s="566">
        <f>Q59</f>
        <v>0.96190597231735353</v>
      </c>
      <c r="S53" s="63">
        <v>0.20833333333333334</v>
      </c>
      <c r="T53" s="63">
        <v>0.27500000000000002</v>
      </c>
      <c r="U53" s="241"/>
      <c r="V53" s="247">
        <f t="shared" ref="V53:V58" si="41">(T53-S53)*24*60</f>
        <v>96.000000000000014</v>
      </c>
      <c r="W53" s="68"/>
      <c r="X53" s="68"/>
      <c r="Y53" s="559"/>
      <c r="Z53" s="559"/>
      <c r="AA53" s="61">
        <f t="shared" si="8"/>
        <v>-63.125000000000227</v>
      </c>
      <c r="AB53" s="242">
        <f t="shared" si="9"/>
        <v>0.95791666666666653</v>
      </c>
      <c r="AC53" s="566">
        <f>AB59</f>
        <v>0.96190597231735342</v>
      </c>
    </row>
    <row r="54" spans="1:29" ht="15.75" customHeight="1">
      <c r="A54" s="572" t="s">
        <v>1014</v>
      </c>
      <c r="B54" s="248" t="s">
        <v>31</v>
      </c>
      <c r="C54" s="560" t="s">
        <v>41</v>
      </c>
      <c r="D54" s="560"/>
      <c r="E54" s="57">
        <v>26.78</v>
      </c>
      <c r="F54" s="69">
        <v>2398</v>
      </c>
      <c r="G54" s="241">
        <f t="shared" si="39"/>
        <v>64218.44</v>
      </c>
      <c r="H54" s="250" t="s">
        <v>5</v>
      </c>
      <c r="I54" s="246">
        <v>10</v>
      </c>
      <c r="J54" s="58">
        <v>3000</v>
      </c>
      <c r="K54" s="59">
        <f t="shared" si="1"/>
        <v>300</v>
      </c>
      <c r="L54" s="246">
        <v>10</v>
      </c>
      <c r="M54" s="60">
        <f t="shared" si="40"/>
        <v>2877.6000000000008</v>
      </c>
      <c r="N54" s="59">
        <f t="shared" si="3"/>
        <v>287.7600000000001</v>
      </c>
      <c r="O54" s="61">
        <f t="shared" si="4"/>
        <v>0</v>
      </c>
      <c r="P54" s="62">
        <f t="shared" si="5"/>
        <v>-12.239999999999895</v>
      </c>
      <c r="Q54" s="242">
        <f t="shared" si="6"/>
        <v>0.95920000000000039</v>
      </c>
      <c r="R54" s="566"/>
      <c r="S54" s="63">
        <v>0.27847222222222223</v>
      </c>
      <c r="T54" s="63">
        <v>0.31319444444444444</v>
      </c>
      <c r="U54" s="241">
        <f t="shared" ref="U54:U58" si="42">(S54-T53)*24*60</f>
        <v>4.9999999999999822</v>
      </c>
      <c r="V54" s="247">
        <f t="shared" si="41"/>
        <v>49.999999999999986</v>
      </c>
      <c r="W54" s="241"/>
      <c r="X54" s="241"/>
      <c r="Y54" s="559"/>
      <c r="Z54" s="559"/>
      <c r="AA54" s="61">
        <f t="shared" si="8"/>
        <v>-122.39999999999918</v>
      </c>
      <c r="AB54" s="242">
        <f t="shared" si="9"/>
        <v>0.95920000000000027</v>
      </c>
      <c r="AC54" s="566"/>
    </row>
    <row r="55" spans="1:29" ht="15.75" customHeight="1">
      <c r="A55" s="572" t="s">
        <v>1014</v>
      </c>
      <c r="B55" s="248" t="s">
        <v>31</v>
      </c>
      <c r="C55" s="560" t="s">
        <v>64</v>
      </c>
      <c r="D55" s="560"/>
      <c r="E55" s="57">
        <v>37.880000000000003</v>
      </c>
      <c r="F55" s="69">
        <v>2455</v>
      </c>
      <c r="G55" s="241">
        <f t="shared" si="39"/>
        <v>92995.400000000009</v>
      </c>
      <c r="H55" s="250" t="s">
        <v>5</v>
      </c>
      <c r="I55" s="246">
        <v>10</v>
      </c>
      <c r="J55" s="58">
        <v>3000</v>
      </c>
      <c r="K55" s="59">
        <f t="shared" si="1"/>
        <v>300</v>
      </c>
      <c r="L55" s="246">
        <v>10</v>
      </c>
      <c r="M55" s="60">
        <f t="shared" si="40"/>
        <v>2888.2352941176482</v>
      </c>
      <c r="N55" s="59">
        <f t="shared" si="3"/>
        <v>288.82352941176481</v>
      </c>
      <c r="O55" s="61">
        <f t="shared" si="4"/>
        <v>0</v>
      </c>
      <c r="P55" s="62">
        <f t="shared" si="5"/>
        <v>-11.17647058823519</v>
      </c>
      <c r="Q55" s="242">
        <f t="shared" si="6"/>
        <v>0.96274509803921604</v>
      </c>
      <c r="R55" s="566"/>
      <c r="S55" s="63">
        <v>0.31874999999999998</v>
      </c>
      <c r="T55" s="63">
        <v>0.35416666666666663</v>
      </c>
      <c r="U55" s="241">
        <f t="shared" si="42"/>
        <v>7.9999999999999716</v>
      </c>
      <c r="V55" s="247">
        <f t="shared" si="41"/>
        <v>50.999999999999979</v>
      </c>
      <c r="W55" s="241"/>
      <c r="X55" s="241"/>
      <c r="Y55" s="559"/>
      <c r="Z55" s="559"/>
      <c r="AA55" s="61">
        <f t="shared" si="8"/>
        <v>-111.76470588235179</v>
      </c>
      <c r="AB55" s="242">
        <f t="shared" si="9"/>
        <v>0.96274509803921604</v>
      </c>
      <c r="AC55" s="566"/>
    </row>
    <row r="56" spans="1:29" ht="15.75" customHeight="1">
      <c r="A56" s="572" t="s">
        <v>93</v>
      </c>
      <c r="B56" s="248" t="s">
        <v>31</v>
      </c>
      <c r="C56" s="560" t="s">
        <v>72</v>
      </c>
      <c r="D56" s="560"/>
      <c r="E56" s="57">
        <v>40.51</v>
      </c>
      <c r="F56" s="69">
        <v>2287</v>
      </c>
      <c r="G56" s="241">
        <f t="shared" si="39"/>
        <v>92646.37</v>
      </c>
      <c r="H56" s="250" t="s">
        <v>5</v>
      </c>
      <c r="I56" s="246">
        <v>8</v>
      </c>
      <c r="J56" s="58">
        <v>3000</v>
      </c>
      <c r="K56" s="59">
        <f t="shared" si="1"/>
        <v>375</v>
      </c>
      <c r="L56" s="246">
        <v>8</v>
      </c>
      <c r="M56" s="60">
        <f t="shared" si="40"/>
        <v>2858.7500000000009</v>
      </c>
      <c r="N56" s="59">
        <f t="shared" si="3"/>
        <v>357.34375000000011</v>
      </c>
      <c r="O56" s="61">
        <f t="shared" si="4"/>
        <v>0</v>
      </c>
      <c r="P56" s="62">
        <f t="shared" si="5"/>
        <v>-17.656249999999886</v>
      </c>
      <c r="Q56" s="242">
        <f t="shared" si="6"/>
        <v>0.95291666666666697</v>
      </c>
      <c r="R56" s="566"/>
      <c r="S56" s="63">
        <v>0.35763888888888884</v>
      </c>
      <c r="T56" s="63">
        <v>0.39097222222222217</v>
      </c>
      <c r="U56" s="241">
        <f t="shared" si="42"/>
        <v>4.9999999999999822</v>
      </c>
      <c r="V56" s="247">
        <f t="shared" si="41"/>
        <v>47.999999999999986</v>
      </c>
      <c r="W56" s="241"/>
      <c r="X56" s="241"/>
      <c r="Y56" s="559"/>
      <c r="Z56" s="559"/>
      <c r="AA56" s="61">
        <f t="shared" si="8"/>
        <v>-141.24999999999909</v>
      </c>
      <c r="AB56" s="242">
        <f t="shared" si="9"/>
        <v>0.95291666666666697</v>
      </c>
      <c r="AC56" s="566"/>
    </row>
    <row r="57" spans="1:29">
      <c r="A57" s="573" t="s">
        <v>1014</v>
      </c>
      <c r="B57" s="248" t="s">
        <v>31</v>
      </c>
      <c r="C57" s="560" t="s">
        <v>36</v>
      </c>
      <c r="D57" s="560"/>
      <c r="E57" s="57">
        <v>36.14</v>
      </c>
      <c r="F57" s="69">
        <v>1130</v>
      </c>
      <c r="G57" s="241">
        <f t="shared" si="39"/>
        <v>40838.199999999997</v>
      </c>
      <c r="H57" s="250" t="s">
        <v>5</v>
      </c>
      <c r="I57" s="246">
        <v>9</v>
      </c>
      <c r="J57" s="58">
        <v>3000</v>
      </c>
      <c r="K57" s="59">
        <f t="shared" si="1"/>
        <v>333.33333333333331</v>
      </c>
      <c r="L57" s="246">
        <v>9</v>
      </c>
      <c r="M57" s="60">
        <f t="shared" si="40"/>
        <v>2947.8260869565215</v>
      </c>
      <c r="N57" s="59">
        <f t="shared" si="3"/>
        <v>327.53623188405794</v>
      </c>
      <c r="O57" s="61">
        <f t="shared" si="4"/>
        <v>0</v>
      </c>
      <c r="P57" s="62">
        <f t="shared" si="5"/>
        <v>-5.7971014492753739</v>
      </c>
      <c r="Q57" s="242">
        <f t="shared" si="6"/>
        <v>0.9826086956521739</v>
      </c>
      <c r="R57" s="566"/>
      <c r="S57" s="63">
        <v>0.39444444444444438</v>
      </c>
      <c r="T57" s="63">
        <v>0.4104166666666666</v>
      </c>
      <c r="U57" s="241">
        <f t="shared" si="42"/>
        <v>4.9999999999999822</v>
      </c>
      <c r="V57" s="247">
        <f t="shared" si="41"/>
        <v>23</v>
      </c>
      <c r="W57" s="64"/>
      <c r="X57" s="64"/>
      <c r="Y57" s="559"/>
      <c r="Z57" s="559"/>
      <c r="AA57" s="61">
        <f t="shared" si="8"/>
        <v>-52.173913043478478</v>
      </c>
      <c r="AB57" s="242">
        <f t="shared" si="9"/>
        <v>0.98260869565217379</v>
      </c>
      <c r="AC57" s="566"/>
    </row>
    <row r="58" spans="1:29" ht="15" customHeight="1">
      <c r="A58" s="573" t="s">
        <v>1014</v>
      </c>
      <c r="B58" s="248" t="s">
        <v>31</v>
      </c>
      <c r="C58" s="567" t="s">
        <v>63</v>
      </c>
      <c r="D58" s="568"/>
      <c r="E58" s="57">
        <v>34.36</v>
      </c>
      <c r="F58" s="69">
        <v>1765</v>
      </c>
      <c r="G58" s="241">
        <f t="shared" si="39"/>
        <v>60645.4</v>
      </c>
      <c r="H58" s="250" t="s">
        <v>5</v>
      </c>
      <c r="I58" s="246">
        <v>10</v>
      </c>
      <c r="J58" s="58">
        <v>3000</v>
      </c>
      <c r="K58" s="59">
        <f t="shared" si="1"/>
        <v>300</v>
      </c>
      <c r="L58" s="246">
        <v>10</v>
      </c>
      <c r="M58" s="60">
        <f t="shared" si="40"/>
        <v>2862.1621621621598</v>
      </c>
      <c r="N58" s="59">
        <f t="shared" si="3"/>
        <v>286.21621621621597</v>
      </c>
      <c r="O58" s="61">
        <f t="shared" si="4"/>
        <v>0</v>
      </c>
      <c r="P58" s="62">
        <f t="shared" si="5"/>
        <v>-13.783783783784031</v>
      </c>
      <c r="Q58" s="242">
        <f t="shared" si="6"/>
        <v>0.95405405405405319</v>
      </c>
      <c r="R58" s="566"/>
      <c r="S58" s="63">
        <v>0.41458333333333325</v>
      </c>
      <c r="T58" s="63">
        <v>0.44027777777777771</v>
      </c>
      <c r="U58" s="241">
        <f t="shared" si="42"/>
        <v>5.9999999999999787</v>
      </c>
      <c r="V58" s="247">
        <f t="shared" si="41"/>
        <v>37.000000000000028</v>
      </c>
      <c r="W58" s="241"/>
      <c r="X58" s="241"/>
      <c r="Y58" s="569"/>
      <c r="Z58" s="570"/>
      <c r="AA58" s="61">
        <f t="shared" si="8"/>
        <v>-137.8378378378402</v>
      </c>
      <c r="AB58" s="242">
        <f t="shared" si="9"/>
        <v>0.9540540540540533</v>
      </c>
      <c r="AC58" s="566"/>
    </row>
    <row r="59" spans="1:29">
      <c r="A59" s="573" t="s">
        <v>1014</v>
      </c>
      <c r="B59" s="57" t="s">
        <v>1015</v>
      </c>
      <c r="C59" s="571"/>
      <c r="D59" s="571"/>
      <c r="E59" s="245"/>
      <c r="F59" s="66"/>
      <c r="G59" s="59"/>
      <c r="H59" s="248"/>
      <c r="I59" s="67">
        <v>9.1666666666666661</v>
      </c>
      <c r="J59" s="58">
        <v>2750</v>
      </c>
      <c r="K59" s="59">
        <f t="shared" si="1"/>
        <v>300</v>
      </c>
      <c r="L59" s="67">
        <v>9.1666666666666661</v>
      </c>
      <c r="M59" s="60">
        <f>AVERAGE(M53:M58)</f>
        <v>2645.241423872722</v>
      </c>
      <c r="N59" s="59">
        <f t="shared" si="3"/>
        <v>288.57179169520606</v>
      </c>
      <c r="O59" s="61">
        <f t="shared" si="4"/>
        <v>0</v>
      </c>
      <c r="P59" s="62">
        <f t="shared" si="5"/>
        <v>-11.428208304793941</v>
      </c>
      <c r="Q59" s="242">
        <f t="shared" si="6"/>
        <v>0.96190597231735353</v>
      </c>
      <c r="R59" s="566"/>
      <c r="S59" s="63"/>
      <c r="T59" s="63"/>
      <c r="U59" s="59"/>
      <c r="V59" s="247"/>
      <c r="W59" s="59"/>
      <c r="X59" s="59"/>
      <c r="Y59" s="559"/>
      <c r="Z59" s="559"/>
      <c r="AA59" s="61">
        <f t="shared" si="8"/>
        <v>-104.75857612727805</v>
      </c>
      <c r="AB59" s="242">
        <f t="shared" si="9"/>
        <v>0.96190597231735342</v>
      </c>
      <c r="AC59" s="566"/>
    </row>
    <row r="60" spans="1:29" ht="15.75" customHeight="1">
      <c r="A60" s="563" t="s">
        <v>1016</v>
      </c>
      <c r="B60" s="248" t="s">
        <v>15</v>
      </c>
      <c r="C60" s="560" t="s">
        <v>43</v>
      </c>
      <c r="D60" s="560"/>
      <c r="E60" s="57">
        <v>20.2</v>
      </c>
      <c r="F60" s="248">
        <v>1803</v>
      </c>
      <c r="G60" s="241">
        <f t="shared" ref="G60:G65" si="43">E60*F60</f>
        <v>36420.6</v>
      </c>
      <c r="H60" s="250" t="s">
        <v>5</v>
      </c>
      <c r="I60" s="246">
        <v>19</v>
      </c>
      <c r="J60" s="58">
        <v>2400</v>
      </c>
      <c r="K60" s="59">
        <f t="shared" si="1"/>
        <v>126.31578947368421</v>
      </c>
      <c r="L60" s="246">
        <v>19</v>
      </c>
      <c r="M60" s="60">
        <f t="shared" ref="M60:M65" si="44">F60/V60*60</f>
        <v>2301.7021276595738</v>
      </c>
      <c r="N60" s="59">
        <f t="shared" si="3"/>
        <v>121.14221724524073</v>
      </c>
      <c r="O60" s="61">
        <f t="shared" si="4"/>
        <v>0</v>
      </c>
      <c r="P60" s="62">
        <f t="shared" si="5"/>
        <v>-5.1735722284434758</v>
      </c>
      <c r="Q60" s="242">
        <f t="shared" si="6"/>
        <v>0.95904255319148912</v>
      </c>
      <c r="R60" s="566">
        <f>Q66</f>
        <v>0.95841621045460579</v>
      </c>
      <c r="S60" s="63">
        <v>8.3333333333333329E-2</v>
      </c>
      <c r="T60" s="63">
        <v>0.11597222222222223</v>
      </c>
      <c r="U60" s="68"/>
      <c r="V60" s="247">
        <f t="shared" ref="V60:V65" si="45">(T60-S60)*24*60</f>
        <v>47.000000000000014</v>
      </c>
      <c r="W60" s="64">
        <f>T60</f>
        <v>0.11597222222222223</v>
      </c>
      <c r="X60" s="64">
        <f>S61</f>
        <v>0.13750000000000001</v>
      </c>
      <c r="Y60" s="559"/>
      <c r="Z60" s="559"/>
      <c r="AA60" s="61">
        <f t="shared" si="8"/>
        <v>-98.297872340426238</v>
      </c>
      <c r="AB60" s="242">
        <f t="shared" si="9"/>
        <v>0.95904255319148912</v>
      </c>
      <c r="AC60" s="566">
        <f>AB66</f>
        <v>0.95841621045460579</v>
      </c>
    </row>
    <row r="61" spans="1:29" ht="15.75" customHeight="1">
      <c r="A61" s="564" t="s">
        <v>1016</v>
      </c>
      <c r="B61" s="248" t="s">
        <v>15</v>
      </c>
      <c r="C61" s="560" t="s">
        <v>16</v>
      </c>
      <c r="D61" s="560"/>
      <c r="E61" s="57">
        <v>24.45</v>
      </c>
      <c r="F61" s="248">
        <v>2030</v>
      </c>
      <c r="G61" s="241">
        <f t="shared" si="43"/>
        <v>49633.5</v>
      </c>
      <c r="H61" s="250" t="s">
        <v>5</v>
      </c>
      <c r="I61" s="246">
        <v>20</v>
      </c>
      <c r="J61" s="58">
        <v>2400</v>
      </c>
      <c r="K61" s="59">
        <f t="shared" si="1"/>
        <v>120</v>
      </c>
      <c r="L61" s="246">
        <v>20</v>
      </c>
      <c r="M61" s="60">
        <f t="shared" si="44"/>
        <v>2298.1132075471692</v>
      </c>
      <c r="N61" s="59">
        <f t="shared" si="3"/>
        <v>114.90566037735846</v>
      </c>
      <c r="O61" s="61">
        <f t="shared" si="4"/>
        <v>0</v>
      </c>
      <c r="P61" s="62">
        <f t="shared" si="5"/>
        <v>-5.0943396226415416</v>
      </c>
      <c r="Q61" s="242">
        <f t="shared" si="6"/>
        <v>0.95754716981132049</v>
      </c>
      <c r="R61" s="566"/>
      <c r="S61" s="63">
        <v>0.13750000000000001</v>
      </c>
      <c r="T61" s="63">
        <v>0.17430555555555557</v>
      </c>
      <c r="U61" s="241">
        <f t="shared" ref="U61:U65" si="46">(S61-T60)*24*60</f>
        <v>31.000000000000011</v>
      </c>
      <c r="V61" s="247">
        <f t="shared" si="45"/>
        <v>53.000000000000014</v>
      </c>
      <c r="W61" s="64"/>
      <c r="X61" s="64"/>
      <c r="Y61" s="559"/>
      <c r="Z61" s="559"/>
      <c r="AA61" s="61">
        <f t="shared" si="8"/>
        <v>-101.88679245283083</v>
      </c>
      <c r="AB61" s="242">
        <f t="shared" si="9"/>
        <v>0.95754716981132049</v>
      </c>
      <c r="AC61" s="566"/>
    </row>
    <row r="62" spans="1:29" ht="15.75" customHeight="1">
      <c r="A62" s="564" t="s">
        <v>90</v>
      </c>
      <c r="B62" s="248" t="s">
        <v>15</v>
      </c>
      <c r="C62" s="560" t="s">
        <v>100</v>
      </c>
      <c r="D62" s="560"/>
      <c r="E62" s="57">
        <v>28.51</v>
      </c>
      <c r="F62" s="248">
        <v>1208</v>
      </c>
      <c r="G62" s="241">
        <f t="shared" si="43"/>
        <v>34440.080000000002</v>
      </c>
      <c r="H62" s="250" t="s">
        <v>5</v>
      </c>
      <c r="I62" s="246">
        <v>16</v>
      </c>
      <c r="J62" s="58">
        <v>2400</v>
      </c>
      <c r="K62" s="59">
        <f t="shared" si="1"/>
        <v>150</v>
      </c>
      <c r="L62" s="246">
        <v>16</v>
      </c>
      <c r="M62" s="60">
        <f t="shared" si="44"/>
        <v>2338.0645161290313</v>
      </c>
      <c r="N62" s="59">
        <f t="shared" si="3"/>
        <v>146.12903225806446</v>
      </c>
      <c r="O62" s="61">
        <f t="shared" si="4"/>
        <v>0</v>
      </c>
      <c r="P62" s="62">
        <f t="shared" si="5"/>
        <v>-3.8709677419355444</v>
      </c>
      <c r="Q62" s="242">
        <f t="shared" si="6"/>
        <v>0.97419354838709638</v>
      </c>
      <c r="R62" s="566"/>
      <c r="S62" s="63">
        <v>0.1791666666666667</v>
      </c>
      <c r="T62" s="63">
        <v>0.20069444444444448</v>
      </c>
      <c r="U62" s="241">
        <f t="shared" si="46"/>
        <v>7.0000000000000151</v>
      </c>
      <c r="V62" s="247">
        <f t="shared" si="45"/>
        <v>31.000000000000011</v>
      </c>
      <c r="W62" s="64"/>
      <c r="X62" s="64"/>
      <c r="Y62" s="559"/>
      <c r="Z62" s="559"/>
      <c r="AA62" s="61">
        <f t="shared" si="8"/>
        <v>-61.93548387096871</v>
      </c>
      <c r="AB62" s="242">
        <f t="shared" si="9"/>
        <v>0.97419354838709638</v>
      </c>
      <c r="AC62" s="566"/>
    </row>
    <row r="63" spans="1:29" ht="15.75" customHeight="1">
      <c r="A63" s="564" t="s">
        <v>1016</v>
      </c>
      <c r="B63" s="248" t="s">
        <v>15</v>
      </c>
      <c r="C63" s="560" t="s">
        <v>24</v>
      </c>
      <c r="D63" s="560"/>
      <c r="E63" s="57">
        <v>20.52</v>
      </c>
      <c r="F63" s="248">
        <v>2934</v>
      </c>
      <c r="G63" s="241">
        <f t="shared" si="43"/>
        <v>60205.68</v>
      </c>
      <c r="H63" s="250" t="s">
        <v>5</v>
      </c>
      <c r="I63" s="246">
        <v>18</v>
      </c>
      <c r="J63" s="58">
        <v>2400</v>
      </c>
      <c r="K63" s="59">
        <f t="shared" si="1"/>
        <v>133.33333333333334</v>
      </c>
      <c r="L63" s="246">
        <v>18</v>
      </c>
      <c r="M63" s="60">
        <f t="shared" si="44"/>
        <v>2286.233766233765</v>
      </c>
      <c r="N63" s="59">
        <f t="shared" si="3"/>
        <v>127.01298701298694</v>
      </c>
      <c r="O63" s="61">
        <f t="shared" si="4"/>
        <v>0</v>
      </c>
      <c r="P63" s="62">
        <f t="shared" si="5"/>
        <v>-6.3203463203464025</v>
      </c>
      <c r="Q63" s="242">
        <f t="shared" si="6"/>
        <v>0.952597402597402</v>
      </c>
      <c r="R63" s="566"/>
      <c r="S63" s="63">
        <v>0.20625000000000004</v>
      </c>
      <c r="T63" s="63">
        <v>0.2597222222222223</v>
      </c>
      <c r="U63" s="241">
        <f t="shared" si="46"/>
        <v>8.0000000000000107</v>
      </c>
      <c r="V63" s="247">
        <f t="shared" si="45"/>
        <v>77.000000000000043</v>
      </c>
      <c r="W63" s="64"/>
      <c r="X63" s="64"/>
      <c r="Y63" s="559"/>
      <c r="Z63" s="559"/>
      <c r="AA63" s="61">
        <f t="shared" si="8"/>
        <v>-113.76623376623502</v>
      </c>
      <c r="AB63" s="242">
        <f t="shared" si="9"/>
        <v>0.95259740259740211</v>
      </c>
      <c r="AC63" s="566"/>
    </row>
    <row r="64" spans="1:29" ht="15.75" customHeight="1">
      <c r="A64" s="564" t="s">
        <v>90</v>
      </c>
      <c r="B64" s="248" t="s">
        <v>15</v>
      </c>
      <c r="C64" s="560" t="s">
        <v>44</v>
      </c>
      <c r="D64" s="560"/>
      <c r="E64" s="57">
        <v>19.02</v>
      </c>
      <c r="F64" s="248">
        <v>8345</v>
      </c>
      <c r="G64" s="241">
        <f t="shared" si="43"/>
        <v>158721.9</v>
      </c>
      <c r="H64" s="250" t="s">
        <v>5</v>
      </c>
      <c r="I64" s="246">
        <v>15</v>
      </c>
      <c r="J64" s="58">
        <v>2400</v>
      </c>
      <c r="K64" s="59">
        <f t="shared" si="1"/>
        <v>160</v>
      </c>
      <c r="L64" s="246">
        <v>15</v>
      </c>
      <c r="M64" s="60">
        <f t="shared" si="44"/>
        <v>2286.3013698630134</v>
      </c>
      <c r="N64" s="59">
        <f t="shared" si="3"/>
        <v>152.42009132420088</v>
      </c>
      <c r="O64" s="61">
        <f t="shared" si="4"/>
        <v>0</v>
      </c>
      <c r="P64" s="62">
        <f t="shared" si="5"/>
        <v>-7.5799086757991176</v>
      </c>
      <c r="Q64" s="242">
        <f t="shared" si="6"/>
        <v>0.95262557077625554</v>
      </c>
      <c r="R64" s="566"/>
      <c r="S64" s="63">
        <v>0.26527777777777783</v>
      </c>
      <c r="T64" s="63">
        <v>0.41736111111111118</v>
      </c>
      <c r="U64" s="241">
        <f t="shared" si="46"/>
        <v>7.9999999999999716</v>
      </c>
      <c r="V64" s="247">
        <f t="shared" si="45"/>
        <v>219.00000000000003</v>
      </c>
      <c r="W64" s="64"/>
      <c r="X64" s="64"/>
      <c r="Y64" s="559"/>
      <c r="Z64" s="559"/>
      <c r="AA64" s="61">
        <f t="shared" si="8"/>
        <v>-113.69863013698659</v>
      </c>
      <c r="AB64" s="242">
        <f t="shared" si="9"/>
        <v>0.95262557077625554</v>
      </c>
      <c r="AC64" s="566"/>
    </row>
    <row r="65" spans="1:29" ht="15.75" customHeight="1">
      <c r="A65" s="564" t="s">
        <v>1016</v>
      </c>
      <c r="B65" s="248" t="s">
        <v>15</v>
      </c>
      <c r="C65" s="560" t="s">
        <v>29</v>
      </c>
      <c r="D65" s="560"/>
      <c r="E65" s="57">
        <v>24.43</v>
      </c>
      <c r="F65" s="248">
        <v>6376</v>
      </c>
      <c r="G65" s="241">
        <f t="shared" si="43"/>
        <v>155765.68</v>
      </c>
      <c r="H65" s="250" t="s">
        <v>5</v>
      </c>
      <c r="I65" s="246">
        <v>14</v>
      </c>
      <c r="J65" s="58">
        <v>2400</v>
      </c>
      <c r="K65" s="59">
        <f t="shared" si="1"/>
        <v>171.42857142857142</v>
      </c>
      <c r="L65" s="246">
        <v>14</v>
      </c>
      <c r="M65" s="60">
        <f t="shared" si="44"/>
        <v>2290.7784431137716</v>
      </c>
      <c r="N65" s="59">
        <f t="shared" si="3"/>
        <v>163.6270316509837</v>
      </c>
      <c r="O65" s="61">
        <f t="shared" si="4"/>
        <v>0</v>
      </c>
      <c r="P65" s="62">
        <f t="shared" si="5"/>
        <v>-7.8015397775877204</v>
      </c>
      <c r="Q65" s="242">
        <f t="shared" si="6"/>
        <v>0.95449101796407165</v>
      </c>
      <c r="R65" s="566"/>
      <c r="S65" s="63">
        <v>0.42152777777777783</v>
      </c>
      <c r="T65" s="63">
        <v>0.53750000000000009</v>
      </c>
      <c r="U65" s="241">
        <f t="shared" si="46"/>
        <v>5.9999999999999787</v>
      </c>
      <c r="V65" s="247">
        <f t="shared" si="45"/>
        <v>167.00000000000006</v>
      </c>
      <c r="W65" s="64"/>
      <c r="X65" s="64"/>
      <c r="Y65" s="559"/>
      <c r="Z65" s="559"/>
      <c r="AA65" s="61">
        <f t="shared" si="8"/>
        <v>-109.22155688622843</v>
      </c>
      <c r="AB65" s="242">
        <f t="shared" si="9"/>
        <v>0.95449101796407154</v>
      </c>
      <c r="AC65" s="566"/>
    </row>
    <row r="66" spans="1:29" ht="16.5" customHeight="1">
      <c r="A66" s="565" t="s">
        <v>1016</v>
      </c>
      <c r="B66" s="57" t="s">
        <v>1015</v>
      </c>
      <c r="C66" s="561"/>
      <c r="D66" s="562"/>
      <c r="E66" s="245"/>
      <c r="F66" s="66"/>
      <c r="G66" s="59"/>
      <c r="H66" s="248"/>
      <c r="I66" s="67">
        <v>17</v>
      </c>
      <c r="J66" s="58">
        <v>2400</v>
      </c>
      <c r="K66" s="59">
        <f t="shared" si="1"/>
        <v>141.1764705882353</v>
      </c>
      <c r="L66" s="67">
        <v>17</v>
      </c>
      <c r="M66" s="60">
        <f>AVERAGE(M60:M65)</f>
        <v>2300.1989050910538</v>
      </c>
      <c r="N66" s="59">
        <f t="shared" si="3"/>
        <v>135.30581794653258</v>
      </c>
      <c r="O66" s="61">
        <f t="shared" si="4"/>
        <v>0</v>
      </c>
      <c r="P66" s="62">
        <f t="shared" si="5"/>
        <v>-5.8706526417027192</v>
      </c>
      <c r="Q66" s="242">
        <f t="shared" si="6"/>
        <v>0.95841621045460579</v>
      </c>
      <c r="R66" s="566"/>
      <c r="S66" s="63"/>
      <c r="T66" s="63"/>
      <c r="U66" s="59"/>
      <c r="V66" s="247"/>
      <c r="W66" s="59"/>
      <c r="X66" s="59"/>
      <c r="Y66" s="559"/>
      <c r="Z66" s="559"/>
      <c r="AA66" s="61">
        <f t="shared" si="8"/>
        <v>-99.801094908946197</v>
      </c>
      <c r="AB66" s="242">
        <f t="shared" si="9"/>
        <v>0.95841621045460579</v>
      </c>
      <c r="AC66" s="566"/>
    </row>
    <row r="67" spans="1:29">
      <c r="D67" s="80"/>
      <c r="E67" s="80"/>
    </row>
  </sheetData>
  <mergeCells count="180"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C8:D8"/>
    <mergeCell ref="Y8:Z8"/>
    <mergeCell ref="A9:A11"/>
    <mergeCell ref="C9:D9"/>
    <mergeCell ref="R9:R11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AC9:AC11"/>
    <mergeCell ref="C10:D10"/>
    <mergeCell ref="Y10:Z10"/>
    <mergeCell ref="C11:D11"/>
    <mergeCell ref="Y11:Z11"/>
    <mergeCell ref="C12:D12"/>
    <mergeCell ref="R12:R16"/>
    <mergeCell ref="Y12:Z12"/>
    <mergeCell ref="AC12:AC16"/>
    <mergeCell ref="C16:D16"/>
    <mergeCell ref="Y16:Z16"/>
    <mergeCell ref="A12:A16"/>
    <mergeCell ref="Y24:Z24"/>
    <mergeCell ref="C25:D25"/>
    <mergeCell ref="Y25:Z25"/>
    <mergeCell ref="C13:D13"/>
    <mergeCell ref="Y13:Z13"/>
    <mergeCell ref="C14:D14"/>
    <mergeCell ref="Y14:Z14"/>
    <mergeCell ref="C15:D15"/>
    <mergeCell ref="Y15:Z15"/>
    <mergeCell ref="A26:A31"/>
    <mergeCell ref="C26:D26"/>
    <mergeCell ref="R26:R31"/>
    <mergeCell ref="Y26:Z26"/>
    <mergeCell ref="Y31:Z31"/>
    <mergeCell ref="AC17:AC25"/>
    <mergeCell ref="C18:D18"/>
    <mergeCell ref="Y18:Z18"/>
    <mergeCell ref="C19:D19"/>
    <mergeCell ref="Y19:Z19"/>
    <mergeCell ref="C20:D20"/>
    <mergeCell ref="Y20:Z20"/>
    <mergeCell ref="C21:D21"/>
    <mergeCell ref="Y21:Z21"/>
    <mergeCell ref="C22:D22"/>
    <mergeCell ref="A17:A25"/>
    <mergeCell ref="C17:D17"/>
    <mergeCell ref="R17:R25"/>
    <mergeCell ref="Y17:Z17"/>
    <mergeCell ref="Y22:Z22"/>
    <mergeCell ref="C23:D23"/>
    <mergeCell ref="Y23:Z23"/>
    <mergeCell ref="C24:D24"/>
    <mergeCell ref="AC32:AC39"/>
    <mergeCell ref="C33:D33"/>
    <mergeCell ref="Y33:Z33"/>
    <mergeCell ref="C34:D34"/>
    <mergeCell ref="Y34:Z34"/>
    <mergeCell ref="C35:D35"/>
    <mergeCell ref="AC26:AC31"/>
    <mergeCell ref="C27:D27"/>
    <mergeCell ref="Y27:Z27"/>
    <mergeCell ref="C28:D28"/>
    <mergeCell ref="Y28:Z28"/>
    <mergeCell ref="C29:D29"/>
    <mergeCell ref="Y29:Z29"/>
    <mergeCell ref="C30:D30"/>
    <mergeCell ref="Y30:Z30"/>
    <mergeCell ref="C31:D31"/>
    <mergeCell ref="Y35:Z35"/>
    <mergeCell ref="C36:D36"/>
    <mergeCell ref="Y36:Z36"/>
    <mergeCell ref="C37:D37"/>
    <mergeCell ref="Y37:Z37"/>
    <mergeCell ref="C38:D38"/>
    <mergeCell ref="Y38:Z38"/>
    <mergeCell ref="A32:A39"/>
    <mergeCell ref="C32:D32"/>
    <mergeCell ref="R32:R39"/>
    <mergeCell ref="Y32:Z32"/>
    <mergeCell ref="C39:D39"/>
    <mergeCell ref="Y39:Z39"/>
    <mergeCell ref="A40:A46"/>
    <mergeCell ref="C40:D40"/>
    <mergeCell ref="R40:R46"/>
    <mergeCell ref="Y40:Z40"/>
    <mergeCell ref="Y45:Z45"/>
    <mergeCell ref="C46:D46"/>
    <mergeCell ref="Y46:Z46"/>
    <mergeCell ref="AC40:AC46"/>
    <mergeCell ref="C41:D41"/>
    <mergeCell ref="Y41:Z41"/>
    <mergeCell ref="C42:D42"/>
    <mergeCell ref="Y42:Z42"/>
    <mergeCell ref="C43:D43"/>
    <mergeCell ref="Y43:Z43"/>
    <mergeCell ref="C44:D44"/>
    <mergeCell ref="Y44:Z44"/>
    <mergeCell ref="C45:D45"/>
    <mergeCell ref="A47:A52"/>
    <mergeCell ref="C47:D47"/>
    <mergeCell ref="R47:R52"/>
    <mergeCell ref="Y47:Z47"/>
    <mergeCell ref="AC47:AC52"/>
    <mergeCell ref="C48:D48"/>
    <mergeCell ref="Y48:Z48"/>
    <mergeCell ref="C49:D49"/>
    <mergeCell ref="C52:D52"/>
    <mergeCell ref="Y52:Z52"/>
    <mergeCell ref="A53:A59"/>
    <mergeCell ref="C53:D53"/>
    <mergeCell ref="R53:R59"/>
    <mergeCell ref="Y53:Z53"/>
    <mergeCell ref="AC53:AC59"/>
    <mergeCell ref="C54:D54"/>
    <mergeCell ref="Y54:Z54"/>
    <mergeCell ref="C55:D55"/>
    <mergeCell ref="Y55:Z55"/>
    <mergeCell ref="C56:D56"/>
    <mergeCell ref="Y56:Z56"/>
    <mergeCell ref="C57:D57"/>
    <mergeCell ref="Y57:Z57"/>
    <mergeCell ref="C58:D58"/>
    <mergeCell ref="Y58:Z58"/>
    <mergeCell ref="C59:D59"/>
    <mergeCell ref="Y59:Z59"/>
    <mergeCell ref="Y63:Z63"/>
    <mergeCell ref="C64:D64"/>
    <mergeCell ref="Y64:Z64"/>
    <mergeCell ref="A60:A66"/>
    <mergeCell ref="C60:D60"/>
    <mergeCell ref="R60:R66"/>
    <mergeCell ref="Y60:Z60"/>
    <mergeCell ref="AC60:AC66"/>
    <mergeCell ref="C61:D61"/>
    <mergeCell ref="Y61:Z61"/>
    <mergeCell ref="C62:D62"/>
    <mergeCell ref="Y62:Z62"/>
    <mergeCell ref="C63:D63"/>
    <mergeCell ref="C65:D65"/>
    <mergeCell ref="Y65:Z65"/>
    <mergeCell ref="C66:D66"/>
    <mergeCell ref="Y66:Z66"/>
  </mergeCells>
  <phoneticPr fontId="3" type="noConversion"/>
  <conditionalFormatting sqref="O56:O66 O5:O9 O11:O13 O16:O53">
    <cfRule type="cellIs" dxfId="896" priority="34" operator="greaterThan">
      <formula>0</formula>
    </cfRule>
  </conditionalFormatting>
  <conditionalFormatting sqref="P5:P7 P56:P58 AA56:AA58 P60:P65 P26:P30 P53 P9 P11:P13 P17:P24 P47:P51 P32:P45 AA5:AA53 AA60:AA66">
    <cfRule type="cellIs" dxfId="895" priority="38" operator="lessThan">
      <formula>0</formula>
    </cfRule>
  </conditionalFormatting>
  <conditionalFormatting sqref="AB56:AB58 Q56:Q66 Q5:Q9 Q11:Q13 Q16:Q53 AB5:AB53 AB60:AB66">
    <cfRule type="cellIs" dxfId="894" priority="35" operator="greaterThan">
      <formula>1</formula>
    </cfRule>
    <cfRule type="cellIs" dxfId="893" priority="36" operator="lessThan">
      <formula>0.8</formula>
    </cfRule>
  </conditionalFormatting>
  <conditionalFormatting sqref="AC12:AC13 R12:R13 AC56 R16:R22 AC16:AC22 R56:R66 AC5:AC9 R5:R9 AC25:AC53 R25:R53">
    <cfRule type="cellIs" dxfId="892" priority="40" operator="lessThan">
      <formula>0.8</formula>
    </cfRule>
  </conditionalFormatting>
  <conditionalFormatting sqref="AC40">
    <cfRule type="cellIs" dxfId="891" priority="42" operator="lessThan">
      <formula>0.8</formula>
    </cfRule>
  </conditionalFormatting>
  <conditionalFormatting sqref="AC17:AC22">
    <cfRule type="cellIs" dxfId="890" priority="39" operator="lessThan">
      <formula>0.8</formula>
    </cfRule>
  </conditionalFormatting>
  <conditionalFormatting sqref="AC26">
    <cfRule type="cellIs" dxfId="889" priority="41" operator="lessThan">
      <formula>0.8</formula>
    </cfRule>
  </conditionalFormatting>
  <conditionalFormatting sqref="AC32:AC38">
    <cfRule type="cellIs" dxfId="888" priority="37" operator="lessThan">
      <formula>0.8</formula>
    </cfRule>
  </conditionalFormatting>
  <conditionalFormatting sqref="AA59">
    <cfRule type="cellIs" dxfId="887" priority="33" operator="lessThan">
      <formula>0</formula>
    </cfRule>
  </conditionalFormatting>
  <conditionalFormatting sqref="AB59">
    <cfRule type="cellIs" dxfId="886" priority="31" operator="greaterThan">
      <formula>1</formula>
    </cfRule>
    <cfRule type="cellIs" dxfId="885" priority="32" operator="lessThan">
      <formula>0.8</formula>
    </cfRule>
  </conditionalFormatting>
  <conditionalFormatting sqref="O14:O15">
    <cfRule type="cellIs" dxfId="884" priority="26" operator="greaterThan">
      <formula>0</formula>
    </cfRule>
  </conditionalFormatting>
  <conditionalFormatting sqref="P14:P15">
    <cfRule type="cellIs" dxfId="883" priority="29" operator="lessThan">
      <formula>0</formula>
    </cfRule>
  </conditionalFormatting>
  <conditionalFormatting sqref="Q14:Q15">
    <cfRule type="cellIs" dxfId="882" priority="27" operator="greaterThan">
      <formula>1</formula>
    </cfRule>
    <cfRule type="cellIs" dxfId="881" priority="28" operator="lessThan">
      <formula>0.8</formula>
    </cfRule>
  </conditionalFormatting>
  <conditionalFormatting sqref="R14:R15 AC14:AC15">
    <cfRule type="cellIs" dxfId="880" priority="30" operator="lessThan">
      <formula>0.8</formula>
    </cfRule>
  </conditionalFormatting>
  <conditionalFormatting sqref="O10">
    <cfRule type="cellIs" dxfId="879" priority="22" operator="greaterThan">
      <formula>0</formula>
    </cfRule>
  </conditionalFormatting>
  <conditionalFormatting sqref="P10">
    <cfRule type="cellIs" dxfId="878" priority="25" operator="lessThan">
      <formula>0</formula>
    </cfRule>
  </conditionalFormatting>
  <conditionalFormatting sqref="Q10">
    <cfRule type="cellIs" dxfId="877" priority="23" operator="greaterThan">
      <formula>1</formula>
    </cfRule>
    <cfRule type="cellIs" dxfId="876" priority="24" operator="lessThan">
      <formula>0.8</formula>
    </cfRule>
  </conditionalFormatting>
  <conditionalFormatting sqref="AC24 R24">
    <cfRule type="cellIs" dxfId="875" priority="21" operator="lessThan">
      <formula>0.8</formula>
    </cfRule>
  </conditionalFormatting>
  <conditionalFormatting sqref="O55">
    <cfRule type="cellIs" dxfId="874" priority="16" operator="greaterThan">
      <formula>0</formula>
    </cfRule>
  </conditionalFormatting>
  <conditionalFormatting sqref="P55 AA55">
    <cfRule type="cellIs" dxfId="873" priority="19" operator="lessThan">
      <formula>0</formula>
    </cfRule>
  </conditionalFormatting>
  <conditionalFormatting sqref="Q55 AB55">
    <cfRule type="cellIs" dxfId="872" priority="17" operator="greaterThan">
      <formula>1</formula>
    </cfRule>
    <cfRule type="cellIs" dxfId="871" priority="18" operator="lessThan">
      <formula>0.8</formula>
    </cfRule>
  </conditionalFormatting>
  <conditionalFormatting sqref="R55 AC55">
    <cfRule type="cellIs" dxfId="870" priority="20" operator="lessThan">
      <formula>0.8</formula>
    </cfRule>
  </conditionalFormatting>
  <conditionalFormatting sqref="R23 AC23">
    <cfRule type="cellIs" dxfId="869" priority="15" operator="lessThan">
      <formula>0.8</formula>
    </cfRule>
  </conditionalFormatting>
  <conditionalFormatting sqref="AC23">
    <cfRule type="cellIs" dxfId="868" priority="14" operator="lessThan">
      <formula>0.8</formula>
    </cfRule>
  </conditionalFormatting>
  <conditionalFormatting sqref="O54">
    <cfRule type="cellIs" dxfId="867" priority="9" operator="greaterThan">
      <formula>0</formula>
    </cfRule>
  </conditionalFormatting>
  <conditionalFormatting sqref="P54 AA54">
    <cfRule type="cellIs" dxfId="866" priority="12" operator="lessThan">
      <formula>0</formula>
    </cfRule>
  </conditionalFormatting>
  <conditionalFormatting sqref="Q54 AB54">
    <cfRule type="cellIs" dxfId="865" priority="10" operator="greaterThan">
      <formula>1</formula>
    </cfRule>
    <cfRule type="cellIs" dxfId="864" priority="11" operator="lessThan">
      <formula>0.8</formula>
    </cfRule>
  </conditionalFormatting>
  <conditionalFormatting sqref="R54 AC54">
    <cfRule type="cellIs" dxfId="863" priority="13" operator="lessThan">
      <formula>0.8</formula>
    </cfRule>
  </conditionalFormatting>
  <conditionalFormatting sqref="P8">
    <cfRule type="cellIs" dxfId="862" priority="8" operator="lessThan">
      <formula>0</formula>
    </cfRule>
  </conditionalFormatting>
  <conditionalFormatting sqref="P16">
    <cfRule type="cellIs" dxfId="861" priority="7" operator="lessThan">
      <formula>0</formula>
    </cfRule>
  </conditionalFormatting>
  <conditionalFormatting sqref="P25">
    <cfRule type="cellIs" dxfId="860" priority="6" operator="lessThan">
      <formula>0</formula>
    </cfRule>
  </conditionalFormatting>
  <conditionalFormatting sqref="P31">
    <cfRule type="cellIs" dxfId="859" priority="5" operator="lessThan">
      <formula>0</formula>
    </cfRule>
  </conditionalFormatting>
  <conditionalFormatting sqref="P46">
    <cfRule type="cellIs" dxfId="858" priority="4" operator="lessThan">
      <formula>0</formula>
    </cfRule>
  </conditionalFormatting>
  <conditionalFormatting sqref="P52">
    <cfRule type="cellIs" dxfId="857" priority="3" operator="lessThan">
      <formula>0</formula>
    </cfRule>
  </conditionalFormatting>
  <conditionalFormatting sqref="P59">
    <cfRule type="cellIs" dxfId="856" priority="2" operator="lessThan">
      <formula>0</formula>
    </cfRule>
  </conditionalFormatting>
  <conditionalFormatting sqref="P66">
    <cfRule type="cellIs" dxfId="855" priority="1" operator="lessThan">
      <formula>0</formula>
    </cfRule>
  </conditionalFormatting>
  <dataValidations count="1">
    <dataValidation type="list" allowBlank="1" showInputMessage="1" showErrorMessage="1" sqref="Z8 Z57:Z58 Y5:Z7 Y8:Y58 Z10:Z53 Y59:Z66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="85" zoomScaleNormal="85" workbookViewId="0">
      <selection activeCell="T10" sqref="T10"/>
    </sheetView>
  </sheetViews>
  <sheetFormatPr defaultColWidth="8.75" defaultRowHeight="15.75"/>
  <cols>
    <col min="1" max="1" width="8.75" style="2"/>
    <col min="2" max="2" width="17.875" style="2" customWidth="1"/>
    <col min="3" max="3" width="9.25" style="9" customWidth="1"/>
    <col min="4" max="13" width="12.625" style="2" customWidth="1"/>
    <col min="14" max="14" width="11" style="2" bestFit="1" customWidth="1"/>
    <col min="15" max="15" width="17.75" style="2" bestFit="1" customWidth="1"/>
    <col min="16" max="16" width="12.25" style="2" bestFit="1" customWidth="1"/>
    <col min="17" max="22" width="9.25" style="2" customWidth="1"/>
    <col min="23" max="23" width="10.75" style="2" customWidth="1"/>
    <col min="24" max="24" width="11" style="2" customWidth="1"/>
    <col min="25" max="16384" width="8.75" style="2"/>
  </cols>
  <sheetData>
    <row r="1" spans="2:17" ht="27.75" customHeight="1">
      <c r="B1" s="546" t="s">
        <v>864</v>
      </c>
      <c r="C1" s="546"/>
      <c r="D1" s="546"/>
      <c r="E1" s="546"/>
      <c r="F1" s="546"/>
      <c r="G1" s="546"/>
      <c r="H1" s="546"/>
      <c r="I1" s="546"/>
      <c r="J1" s="546"/>
      <c r="K1" s="1"/>
      <c r="L1" s="1"/>
      <c r="M1" s="1"/>
      <c r="N1" s="1"/>
      <c r="O1" s="1"/>
      <c r="P1" s="1"/>
    </row>
    <row r="2" spans="2:17" ht="27.75" customHeight="1">
      <c r="B2" s="547"/>
      <c r="C2" s="547"/>
      <c r="D2" s="547"/>
      <c r="E2" s="547"/>
      <c r="F2" s="547"/>
      <c r="G2" s="547"/>
      <c r="H2" s="547"/>
      <c r="I2" s="547"/>
      <c r="J2" s="547"/>
      <c r="K2" s="3"/>
      <c r="L2" s="3"/>
      <c r="M2" s="3"/>
      <c r="N2" s="1"/>
      <c r="O2" s="1"/>
      <c r="P2" s="1"/>
    </row>
    <row r="3" spans="2:17" ht="46.5" customHeight="1">
      <c r="B3" s="4" t="s">
        <v>865</v>
      </c>
      <c r="C3" s="548" t="str">
        <f>TEXT('1212 4度C'!A2,"yyyy.mm.ddaaaa")</f>
        <v>2025.12.12星期五</v>
      </c>
      <c r="D3" s="549"/>
      <c r="E3" s="4" t="s">
        <v>866</v>
      </c>
      <c r="F3" s="550">
        <f>'1212 4度C'!D1</f>
        <v>138573</v>
      </c>
      <c r="G3" s="551"/>
      <c r="H3" s="4" t="s">
        <v>867</v>
      </c>
      <c r="I3" s="552">
        <f>'1212 4度C'!F1</f>
        <v>4642836.0299999993</v>
      </c>
      <c r="J3" s="553"/>
      <c r="K3" s="5"/>
      <c r="L3" s="6"/>
      <c r="M3" s="7"/>
      <c r="N3" s="7"/>
    </row>
    <row r="4" spans="2:17" ht="28.5" customHeight="1">
      <c r="B4" s="554" t="s">
        <v>868</v>
      </c>
      <c r="C4" s="536" t="s">
        <v>869</v>
      </c>
      <c r="D4" s="537"/>
      <c r="E4" s="557" t="s">
        <v>870</v>
      </c>
      <c r="F4" s="558"/>
      <c r="G4" s="557" t="s">
        <v>871</v>
      </c>
      <c r="H4" s="558"/>
      <c r="I4" s="557" t="s">
        <v>872</v>
      </c>
      <c r="J4" s="558"/>
      <c r="L4" s="7"/>
      <c r="M4" s="7"/>
      <c r="N4" s="7"/>
    </row>
    <row r="5" spans="2:17" ht="28.5" customHeight="1">
      <c r="B5" s="555"/>
      <c r="C5" s="536" t="s">
        <v>873</v>
      </c>
      <c r="D5" s="537"/>
      <c r="E5" s="536" t="s">
        <v>874</v>
      </c>
      <c r="F5" s="537"/>
      <c r="G5" s="538" t="s">
        <v>875</v>
      </c>
      <c r="H5" s="539"/>
      <c r="I5" s="540" t="s">
        <v>876</v>
      </c>
      <c r="J5" s="541"/>
      <c r="K5" s="7"/>
      <c r="L5" s="7"/>
      <c r="M5" s="7"/>
      <c r="N5" s="7"/>
    </row>
    <row r="6" spans="2:17" ht="28.5" customHeight="1">
      <c r="B6" s="555"/>
      <c r="C6" s="536" t="s">
        <v>46</v>
      </c>
      <c r="D6" s="537"/>
      <c r="E6" s="542">
        <f>AVERAGE(D13:M13)</f>
        <v>149.65129893270344</v>
      </c>
      <c r="F6" s="543">
        <f>AVERAGE(D27:O27,D13:J13)</f>
        <v>154.20976955295242</v>
      </c>
      <c r="G6" s="544">
        <f>AVERAGE(D13:J13)</f>
        <v>154.20976955295242</v>
      </c>
      <c r="H6" s="545"/>
      <c r="I6" s="544">
        <f>AVERAGE(K13:M13)</f>
        <v>139.01486748545571</v>
      </c>
      <c r="J6" s="545"/>
      <c r="K6" s="7"/>
      <c r="L6" s="7"/>
      <c r="M6" s="7"/>
      <c r="N6" s="7"/>
    </row>
    <row r="7" spans="2:17" ht="28.5" customHeight="1">
      <c r="B7" s="555"/>
      <c r="C7" s="526" t="s">
        <v>47</v>
      </c>
      <c r="D7" s="527"/>
      <c r="E7" s="528">
        <f>AVERAGE(D14:M14)</f>
        <v>143.87891970768317</v>
      </c>
      <c r="F7" s="529">
        <f>AVERAGE(D28:O28,D14:J14)</f>
        <v>148.43387383764866</v>
      </c>
      <c r="G7" s="530">
        <f>AVERAGE(D14:J14)</f>
        <v>148.43387383764866</v>
      </c>
      <c r="H7" s="531"/>
      <c r="I7" s="530">
        <f>AVERAGE(K14:M14)</f>
        <v>133.25069340443034</v>
      </c>
      <c r="J7" s="531"/>
      <c r="K7" s="7"/>
      <c r="L7" s="7"/>
      <c r="M7" s="7"/>
      <c r="N7" s="7"/>
    </row>
    <row r="8" spans="2:17" ht="28.5" customHeight="1">
      <c r="B8" s="556"/>
      <c r="C8" s="526" t="s">
        <v>48</v>
      </c>
      <c r="D8" s="527"/>
      <c r="E8" s="532">
        <f>AVERAGE(D15:M15)</f>
        <v>0.96020294279598883</v>
      </c>
      <c r="F8" s="533">
        <f>AVERAGE(D15:J15,D29:O29)</f>
        <v>0.96093987467521147</v>
      </c>
      <c r="G8" s="534">
        <f>AVERAGE(D15:J15)</f>
        <v>0.96093987467521147</v>
      </c>
      <c r="H8" s="535"/>
      <c r="I8" s="534">
        <f>AVERAGE(K15:M15)</f>
        <v>0.95848343507780243</v>
      </c>
      <c r="J8" s="535"/>
      <c r="K8" s="8" t="s">
        <v>877</v>
      </c>
      <c r="L8" s="7"/>
      <c r="M8" s="7"/>
      <c r="N8" s="7"/>
    </row>
    <row r="9" spans="2:17" ht="28.5" customHeight="1" thickBot="1">
      <c r="H9" s="10"/>
      <c r="N9" s="7"/>
      <c r="O9" s="7"/>
      <c r="P9" s="7"/>
      <c r="Q9" s="7"/>
    </row>
    <row r="10" spans="2:17" ht="30" customHeight="1">
      <c r="B10" s="509" t="s">
        <v>878</v>
      </c>
      <c r="C10" s="510"/>
      <c r="D10" s="511" t="s">
        <v>879</v>
      </c>
      <c r="E10" s="512"/>
      <c r="F10" s="512"/>
      <c r="G10" s="512"/>
      <c r="H10" s="512"/>
      <c r="I10" s="512"/>
      <c r="J10" s="513"/>
      <c r="K10" s="514" t="s">
        <v>880</v>
      </c>
      <c r="L10" s="515"/>
      <c r="M10" s="516"/>
      <c r="P10" s="11"/>
      <c r="Q10" s="11"/>
    </row>
    <row r="11" spans="2:17" ht="17.25" customHeight="1">
      <c r="B11" s="517" t="s">
        <v>881</v>
      </c>
      <c r="C11" s="518"/>
      <c r="D11" s="12">
        <v>1</v>
      </c>
      <c r="E11" s="13">
        <v>2</v>
      </c>
      <c r="F11" s="13">
        <v>3</v>
      </c>
      <c r="G11" s="13">
        <v>4</v>
      </c>
      <c r="H11" s="13">
        <v>5</v>
      </c>
      <c r="I11" s="13">
        <v>6</v>
      </c>
      <c r="J11" s="14">
        <v>7</v>
      </c>
      <c r="K11" s="12">
        <v>1</v>
      </c>
      <c r="L11" s="13">
        <v>2</v>
      </c>
      <c r="M11" s="14">
        <v>3</v>
      </c>
      <c r="P11" s="11"/>
      <c r="Q11" s="11"/>
    </row>
    <row r="12" spans="2:17" ht="34.15" customHeight="1">
      <c r="B12" s="519"/>
      <c r="C12" s="520"/>
      <c r="D12" s="15" t="s">
        <v>49</v>
      </c>
      <c r="E12" s="16" t="s">
        <v>50</v>
      </c>
      <c r="F12" s="16" t="s">
        <v>51</v>
      </c>
      <c r="G12" s="16" t="s">
        <v>52</v>
      </c>
      <c r="H12" s="16" t="s">
        <v>53</v>
      </c>
      <c r="I12" s="16" t="s">
        <v>54</v>
      </c>
      <c r="J12" s="17" t="s">
        <v>55</v>
      </c>
      <c r="K12" s="15" t="s">
        <v>56</v>
      </c>
      <c r="L12" s="16" t="s">
        <v>57</v>
      </c>
      <c r="M12" s="17" t="s">
        <v>58</v>
      </c>
    </row>
    <row r="13" spans="2:17" ht="40.15" customHeight="1">
      <c r="B13" s="521" t="s">
        <v>882</v>
      </c>
      <c r="C13" s="18" t="s">
        <v>883</v>
      </c>
      <c r="D13" s="19">
        <f>SUMIFS('1212 4度C'!$K:$K,'1212 4度C'!$A:$A,"新豐6線",'1212 4度C'!$B:$B,"平均")</f>
        <v>133.33333333333334</v>
      </c>
      <c r="E13" s="20">
        <f>SUMIFS('1212 4度C'!$K:$K,'1212 4度C'!$A:$A,"新豐2線",'1212 4度C'!$B:$B,"平均")</f>
        <v>83.333333333333329</v>
      </c>
      <c r="F13" s="21">
        <f>SUMIFS('1212 4度C'!$K:$K,'1212 4度C'!$A:$A,"新豐5線",'1212 4度C'!$B:$B,"平均")</f>
        <v>93.333333333333329</v>
      </c>
      <c r="G13" s="21">
        <f>SUMIFS('1212 4度C'!$K:$K,'1212 4度C'!$A:$A,"新豐7線",'1212 4度C'!$B:$B,"平均")</f>
        <v>118.32061068702291</v>
      </c>
      <c r="H13" s="21">
        <f>SUMIFS('1212 4度C'!$K:$K,'1212 4度C'!$A:$A,"新豐3線",'1212 4度C'!$B:$B,"平均")</f>
        <v>235.29411764705881</v>
      </c>
      <c r="I13" s="21">
        <f>SUMIFS('1212 4度C'!$K:$K,'1212 4度C'!$A:$A,"新豐1線",'1212 4度C'!$B:$B,"平均")</f>
        <v>115.85365853658537</v>
      </c>
      <c r="J13" s="22">
        <f>SUMIFS('1212 4度C'!$K:$K,'1212 4度C'!$A:$A,"新豐10線",'1212 4度C'!$B:$B,"平均")</f>
        <v>300</v>
      </c>
      <c r="K13" s="23">
        <f>SUMIFS('1212 4度C'!$K:$K,'1212 4度C'!$A:$A,"新豐8線",'1212 4度C'!$B:$B,"平均")</f>
        <v>131.86813186813188</v>
      </c>
      <c r="L13" s="24">
        <f>SUMIFS('1212 4度C'!$K:$K,'1212 4度C'!$A:$A,"新豐9線",'1212 4度C'!$B:$B,"平均")</f>
        <v>144</v>
      </c>
      <c r="M13" s="22">
        <f>SUMIFS('1212 4度C'!$K:$K,'1212 4度C'!$A:$A,"新豐4線",'1212 4度C'!$B:$B,"平均")</f>
        <v>141.1764705882353</v>
      </c>
    </row>
    <row r="14" spans="2:17" ht="39.6" customHeight="1">
      <c r="B14" s="522"/>
      <c r="C14" s="25" t="s">
        <v>884</v>
      </c>
      <c r="D14" s="26">
        <f>SUMIFS('1212 4度C'!$N:$N,'1212 4度C'!$A:$A,"新豐6線",'1212 4度C'!$B:$B,"平均")</f>
        <v>128.41182557280115</v>
      </c>
      <c r="E14" s="27">
        <f>SUMIFS('1212 4度C'!$N:$N,'1212 4度C'!$A:$A,"新豐2線",'1212 4度C'!$B:$B,"平均")</f>
        <v>79.352201257861651</v>
      </c>
      <c r="F14" s="27">
        <f>SUMIFS('1212 4度C'!$N:$N,'1212 4度C'!$A:$A,"新豐5線",'1212 4度C'!$B:$B,"平均")</f>
        <v>89.015943916895097</v>
      </c>
      <c r="G14" s="27">
        <f>SUMIFS('1212 4度C'!$N:$N,'1212 4度C'!$A:$A,"新豐7線",'1212 4度C'!$B:$B,"平均")</f>
        <v>114.1545213126102</v>
      </c>
      <c r="H14" s="27">
        <f>SUMIFS('1212 4度C'!$N:$N,'1212 4度C'!$A:$A,"新豐3線",'1212 4度C'!$B:$B,"平均")</f>
        <v>225.85880389965882</v>
      </c>
      <c r="I14" s="27">
        <f>SUMIFS('1212 4度C'!$N:$N,'1212 4度C'!$A:$A,"新豐1線",'1212 4度C'!$B:$B,"平均")</f>
        <v>111.73873853808091</v>
      </c>
      <c r="J14" s="28">
        <f>SUMIFS('1212 4度C'!$N:$N,'1212 4度C'!$A:$A,"新豐10線",'1212 4度C'!$B:$B,"平均")</f>
        <v>290.50508236563275</v>
      </c>
      <c r="K14" s="29">
        <f>SUMIFS('1212 4度C'!$N:$N,'1212 4度C'!$A:$A,"新豐8線",'1212 4度C'!$B:$B,"平均")</f>
        <v>126.11574233202975</v>
      </c>
      <c r="L14" s="30">
        <f>SUMIFS('1212 4度C'!$N:$N,'1212 4度C'!$A:$A,"新豐9線",'1212 4度C'!$B:$B,"平均")</f>
        <v>138.13056559261955</v>
      </c>
      <c r="M14" s="28">
        <f>SUMIFS('1212 4度C'!$N:$N,'1212 4度C'!$A:$A,"新豐4線",'1212 4度C'!$B:$B,"平均")</f>
        <v>135.50577228864177</v>
      </c>
    </row>
    <row r="15" spans="2:17" ht="40.15" customHeight="1">
      <c r="B15" s="523"/>
      <c r="C15" s="31" t="s">
        <v>393</v>
      </c>
      <c r="D15" s="32">
        <f t="shared" ref="D15:M15" si="0">D14/D13</f>
        <v>0.96308869179600853</v>
      </c>
      <c r="E15" s="33">
        <f t="shared" si="0"/>
        <v>0.95222641509433992</v>
      </c>
      <c r="F15" s="33">
        <f t="shared" si="0"/>
        <v>0.95374225625244746</v>
      </c>
      <c r="G15" s="33">
        <f t="shared" si="0"/>
        <v>0.96478982528722168</v>
      </c>
      <c r="H15" s="33">
        <f t="shared" si="0"/>
        <v>0.95989991657355</v>
      </c>
      <c r="I15" s="33">
        <f t="shared" si="0"/>
        <v>0.9644817431708036</v>
      </c>
      <c r="J15" s="34">
        <f t="shared" si="0"/>
        <v>0.9683502745521092</v>
      </c>
      <c r="K15" s="32">
        <f t="shared" si="0"/>
        <v>0.95637771268455884</v>
      </c>
      <c r="L15" s="33">
        <f t="shared" si="0"/>
        <v>0.95924003883763576</v>
      </c>
      <c r="M15" s="34">
        <f t="shared" si="0"/>
        <v>0.95983255371121246</v>
      </c>
    </row>
    <row r="16" spans="2:17" ht="17.25" customHeight="1">
      <c r="B16" s="524" t="s">
        <v>885</v>
      </c>
      <c r="C16" s="35" t="s">
        <v>344</v>
      </c>
      <c r="D16" s="49">
        <f>VLOOKUP("新豐6線",'1212 4度C'!$A:$T,19,0)</f>
        <v>0.70833333333333337</v>
      </c>
      <c r="E16" s="50">
        <f>VLOOKUP("新豐2線",'1212 4度C'!$A:$T,19,0)</f>
        <v>0.16666666666666666</v>
      </c>
      <c r="F16" s="50">
        <f>VLOOKUP("新豐5線",'1212 4度C'!$A:$T,19,0)</f>
        <v>0.20833333333333334</v>
      </c>
      <c r="G16" s="50">
        <f>VLOOKUP("新豐7線",'1212 4度C'!$A:$T,19,0)</f>
        <v>0.20833333333333334</v>
      </c>
      <c r="H16" s="50">
        <f>VLOOKUP("新豐3線",'1212 4度C'!$A:$T,19,0)</f>
        <v>8.3333333333333329E-2</v>
      </c>
      <c r="I16" s="50">
        <f>VLOOKUP("新豐1線",'1212 4度C'!$A:$T,19,0)</f>
        <v>0.20833333333333334</v>
      </c>
      <c r="J16" s="51">
        <f>VLOOKUP("新豐10線",'1212 4度C'!$A:$T,19,0)</f>
        <v>0.20833333333333334</v>
      </c>
      <c r="K16" s="36">
        <f>VLOOKUP("新豐8線",'1212 4度C'!$A:$T,19,0)</f>
        <v>8.3333333333333329E-2</v>
      </c>
      <c r="L16" s="37">
        <f>VLOOKUP("新豐9線",'1212 4度C'!$A:$T,19,0)</f>
        <v>8.3333333333333329E-2</v>
      </c>
      <c r="M16" s="38">
        <f>VLOOKUP("新豐4線",'1212 4度C'!$A:$T,19,0)</f>
        <v>8.3333333333333329E-2</v>
      </c>
    </row>
    <row r="17" spans="2:13" ht="17.25" customHeight="1">
      <c r="B17" s="525"/>
      <c r="C17" s="35" t="s">
        <v>886</v>
      </c>
      <c r="D17" s="36">
        <f>LOOKUP(2,1/(('1212 4度C'!$A:$A="新豐6線")*('1212 4度C'!$T:$T&lt;&gt;"")),'1212 4度C'!$T:$T)</f>
        <v>0.82986111111111116</v>
      </c>
      <c r="E17" s="50">
        <f>LOOKUP(2,1/(('1212 4度C'!$A:$A="新豐2線")*('1212 4度C'!$T:$T&lt;&gt;"")),'1212 4度C'!$T:$T)</f>
        <v>0.42638888888888882</v>
      </c>
      <c r="F17" s="50">
        <f>LOOKUP(2,1/(('1212 4度C'!$A:$A="新豐5線")*('1212 4度C'!$T:$T&lt;&gt;"")),'1212 4度C'!$T:$T)</f>
        <v>0.80624999999999991</v>
      </c>
      <c r="G17" s="50">
        <f>LOOKUP(2,1/(('1212 4度C'!$A:$A="新豐7線")*('1212 4度C'!$T:$T&lt;&gt;"")),'1212 4度C'!$T:$T)</f>
        <v>0.81944444444444442</v>
      </c>
      <c r="H17" s="50">
        <f>LOOKUP(2,1/(('1212 4度C'!$A:$A="新豐3線")*('1212 4度C'!$T:$T&lt;&gt;"")),'1212 4度C'!$T:$T)</f>
        <v>0.45694444444444443</v>
      </c>
      <c r="I17" s="50">
        <f>LOOKUP(2,1/(('1212 4度C'!$A:$A="新豐1線")*('1212 4度C'!$T:$T&lt;&gt;"")),'1212 4度C'!$T:$T)</f>
        <v>0.84722222222222221</v>
      </c>
      <c r="J17" s="51">
        <f>LOOKUP(2,1/(('1212 4度C'!$A:$A="新豐10線")*('1212 4度C'!$T:$T&lt;&gt;"")),'1212 4度C'!$T:$T)</f>
        <v>0.42708333333333326</v>
      </c>
      <c r="K17" s="49">
        <f>LOOKUP(2,1/(('1212 4度C'!$A:$A="新豐8線")*('1212 4度C'!$T:$T&lt;&gt;"")),'1212 4度C'!$T:$T)</f>
        <v>0.52708333333333335</v>
      </c>
      <c r="L17" s="50">
        <f>LOOKUP(2,1/(('1212 4度C'!$A:$A="新豐9線")*('1212 4度C'!$T:$T&lt;&gt;"")),'1212 4度C'!$T:$T)</f>
        <v>0.51111111111111107</v>
      </c>
      <c r="M17" s="51">
        <f>LOOKUP(2,1/(('1212 4度C'!$A:$A="新豐4線")*('1212 4度C'!$T:$T&lt;&gt;"")),'1212 4度C'!$T:$T)</f>
        <v>0.51875000000000004</v>
      </c>
    </row>
    <row r="18" spans="2:13" ht="17.25" customHeight="1">
      <c r="B18" s="503" t="s">
        <v>887</v>
      </c>
      <c r="C18" s="504"/>
      <c r="D18" s="39">
        <f>SUMIFS('1212 4度C'!$I:$I,'1212 4度C'!$A:$A,"新豐6線",'1212 4度C'!$B:$B,"平均")</f>
        <v>15</v>
      </c>
      <c r="E18" s="40">
        <f>SUMIFS('1212 4度C'!$I:$I,'1212 4度C'!$A:$A,"新豐2線",'1212 4度C'!$B:$B,"平均")</f>
        <v>18</v>
      </c>
      <c r="F18" s="40">
        <f>SUMIFS('1212 4度C'!$I:$I,'1212 4度C'!$A:$A,"新豐5線",'1212 4度C'!$B:$B,"平均")</f>
        <v>18.75</v>
      </c>
      <c r="G18" s="40">
        <f>SUMIFS('1212 4度C'!$I:$I,'1212 4度C'!$A:$A,"新豐7線",'1212 4度C'!$B:$B,"平均")</f>
        <v>16.375</v>
      </c>
      <c r="H18" s="40">
        <f>SUMIFS('1212 4度C'!$I:$I,'1212 4度C'!$A:$A,"新豐3線",'1212 4度C'!$B:$B,"平均")</f>
        <v>11.333333333333334</v>
      </c>
      <c r="I18" s="40">
        <f>SUMIFS('1212 4度C'!$I:$I,'1212 4度C'!$A:$A,"新豐1線",'1212 4度C'!$B:$B,"平均")</f>
        <v>16.399999999999999</v>
      </c>
      <c r="J18" s="41">
        <f>SUMIFS('1212 4度C'!$I:$I,'1212 4度C'!$A:$A,"新豐10線",'1212 4度C'!$B:$B,"平均")</f>
        <v>9.1666666666666661</v>
      </c>
      <c r="K18" s="39">
        <f>SUMIFS('1212 4度C'!$I:$I,'1212 4度C'!$A:$A,"新豐8線",'1212 4度C'!$B:$B,"平均")</f>
        <v>18.2</v>
      </c>
      <c r="L18" s="40">
        <f>SUMIFS('1212 4度C'!$I:$I,'1212 4度C'!$A:$A,"新豐9線",'1212 4度C'!$B:$B,"平均")</f>
        <v>16.666666666666668</v>
      </c>
      <c r="M18" s="41">
        <f>SUMIFS('1212 4度C'!$I:$I,'1212 4度C'!$A:$A,"新豐4線",'1212 4度C'!$B:$B,"平均")</f>
        <v>17</v>
      </c>
    </row>
    <row r="19" spans="2:13" ht="17.25" customHeight="1">
      <c r="B19" s="503" t="s">
        <v>888</v>
      </c>
      <c r="C19" s="504"/>
      <c r="D19" s="42" t="s">
        <v>59</v>
      </c>
      <c r="E19" s="43" t="s">
        <v>60</v>
      </c>
      <c r="F19" s="43" t="s">
        <v>889</v>
      </c>
      <c r="G19" s="43" t="s">
        <v>889</v>
      </c>
      <c r="H19" s="43" t="s">
        <v>61</v>
      </c>
      <c r="I19" s="43" t="s">
        <v>59</v>
      </c>
      <c r="J19" s="44" t="s">
        <v>61</v>
      </c>
      <c r="K19" s="42" t="s">
        <v>890</v>
      </c>
      <c r="L19" s="43" t="s">
        <v>891</v>
      </c>
      <c r="M19" s="44" t="s">
        <v>891</v>
      </c>
    </row>
    <row r="20" spans="2:13" ht="17.25" customHeight="1">
      <c r="B20" s="503" t="s">
        <v>892</v>
      </c>
      <c r="C20" s="504"/>
      <c r="D20" s="42"/>
      <c r="E20" s="43"/>
      <c r="F20" s="43" t="s">
        <v>402</v>
      </c>
      <c r="G20" s="43" t="s">
        <v>59</v>
      </c>
      <c r="H20" s="43"/>
      <c r="I20" s="43"/>
      <c r="J20" s="44"/>
      <c r="K20" s="42"/>
      <c r="L20" s="43"/>
      <c r="M20" s="44"/>
    </row>
    <row r="21" spans="2:13" ht="17.25" customHeight="1" thickBot="1">
      <c r="B21" s="505" t="s">
        <v>893</v>
      </c>
      <c r="C21" s="506"/>
      <c r="D21" s="45"/>
      <c r="E21" s="46" t="s">
        <v>894</v>
      </c>
      <c r="F21" s="507" t="s">
        <v>895</v>
      </c>
      <c r="G21" s="508"/>
      <c r="H21" s="46" t="s">
        <v>896</v>
      </c>
      <c r="I21" s="46" t="s">
        <v>897</v>
      </c>
      <c r="J21" s="47" t="s">
        <v>896</v>
      </c>
      <c r="K21" s="48"/>
      <c r="L21" s="46"/>
      <c r="M21" s="4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20:C20"/>
    <mergeCell ref="B21:C21"/>
    <mergeCell ref="F21:G21"/>
    <mergeCell ref="K10:M10"/>
    <mergeCell ref="B11:C12"/>
    <mergeCell ref="B13:B15"/>
    <mergeCell ref="B18:C18"/>
    <mergeCell ref="B19:C19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854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C66"/>
  <sheetViews>
    <sheetView zoomScale="80" zoomScaleNormal="80" workbookViewId="0">
      <pane ySplit="4" topLeftCell="A5" activePane="bottomLeft" state="frozen"/>
      <selection activeCell="J13" sqref="J13"/>
      <selection pane="bottomLeft" activeCell="G54" sqref="G54"/>
    </sheetView>
  </sheetViews>
  <sheetFormatPr defaultColWidth="8" defaultRowHeight="15.75"/>
  <cols>
    <col min="1" max="1" width="15.125" style="54" customWidth="1"/>
    <col min="2" max="2" width="19.375" style="54" customWidth="1"/>
    <col min="3" max="3" width="15.25" style="54" customWidth="1"/>
    <col min="4" max="4" width="17.5" style="54" customWidth="1"/>
    <col min="5" max="5" width="7.5" style="54" bestFit="1" customWidth="1"/>
    <col min="6" max="6" width="14.375" style="54" bestFit="1" customWidth="1"/>
    <col min="7" max="7" width="14.375" style="54" customWidth="1"/>
    <col min="8" max="8" width="8" style="54" customWidth="1"/>
    <col min="9" max="9" width="5.875" style="54" customWidth="1"/>
    <col min="10" max="10" width="10.625" style="54" customWidth="1"/>
    <col min="11" max="11" width="14.625" style="54" customWidth="1"/>
    <col min="12" max="12" width="7.25" style="54" bestFit="1" customWidth="1"/>
    <col min="13" max="13" width="8" style="54" customWidth="1"/>
    <col min="14" max="14" width="12" style="54" customWidth="1"/>
    <col min="15" max="15" width="6" style="54" customWidth="1"/>
    <col min="16" max="16" width="9.25" style="54" customWidth="1"/>
    <col min="17" max="17" width="11.5" style="54" customWidth="1"/>
    <col min="18" max="18" width="8.5" style="54" customWidth="1"/>
    <col min="19" max="19" width="10.125" style="73" bestFit="1" customWidth="1"/>
    <col min="20" max="20" width="7.625" style="73" bestFit="1" customWidth="1"/>
    <col min="21" max="21" width="10.25" style="54" bestFit="1" customWidth="1"/>
    <col min="22" max="22" width="8.75" style="71" customWidth="1"/>
    <col min="23" max="23" width="7.375" style="54" customWidth="1"/>
    <col min="24" max="24" width="6.875" style="54" bestFit="1" customWidth="1"/>
    <col min="25" max="25" width="12.75" style="54" customWidth="1"/>
    <col min="26" max="26" width="18.875" style="54" customWidth="1"/>
    <col min="27" max="27" width="13.125" style="54" bestFit="1" customWidth="1"/>
    <col min="28" max="28" width="10.375" style="54" customWidth="1"/>
    <col min="29" max="29" width="9.375" style="54" customWidth="1"/>
    <col min="30" max="30" width="8" style="54"/>
    <col min="31" max="31" width="24.625" style="54" bestFit="1" customWidth="1"/>
    <col min="32" max="16384" width="8" style="54"/>
  </cols>
  <sheetData>
    <row r="1" spans="1:29" ht="26.25" customHeight="1">
      <c r="A1" s="52" t="s">
        <v>898</v>
      </c>
      <c r="B1" s="52"/>
      <c r="C1" s="117" t="s">
        <v>899</v>
      </c>
      <c r="D1" s="118">
        <f>SUM(F5:F65)</f>
        <v>138573</v>
      </c>
      <c r="E1" s="226" t="s">
        <v>410</v>
      </c>
      <c r="F1" s="52">
        <f>SUM(G5:G65)</f>
        <v>4642836.0299999993</v>
      </c>
      <c r="G1" s="52" t="s">
        <v>900</v>
      </c>
      <c r="H1" s="53">
        <f>L8+L11+L45+L51+L16+L58+L31+L38+L25+L65</f>
        <v>156.89166666666668</v>
      </c>
      <c r="I1" s="607" t="s">
        <v>901</v>
      </c>
      <c r="J1" s="607"/>
      <c r="K1" s="607"/>
      <c r="L1" s="607" t="s">
        <v>902</v>
      </c>
      <c r="M1" s="607"/>
      <c r="N1" s="607"/>
      <c r="O1" s="607" t="s">
        <v>903</v>
      </c>
      <c r="P1" s="607"/>
      <c r="Q1" s="607"/>
      <c r="R1" s="607"/>
      <c r="S1" s="607" t="s">
        <v>109</v>
      </c>
      <c r="T1" s="607"/>
      <c r="U1" s="607"/>
      <c r="V1" s="607"/>
      <c r="W1" s="607"/>
      <c r="X1" s="607"/>
      <c r="Y1" s="607" t="s">
        <v>904</v>
      </c>
      <c r="Z1" s="607"/>
      <c r="AA1" s="607" t="s">
        <v>361</v>
      </c>
      <c r="AB1" s="608"/>
      <c r="AC1" s="608"/>
    </row>
    <row r="2" spans="1:29" ht="26.25" customHeight="1">
      <c r="A2" s="55">
        <v>46003</v>
      </c>
      <c r="B2" s="56" t="s">
        <v>418</v>
      </c>
      <c r="C2" s="117" t="s">
        <v>882</v>
      </c>
      <c r="D2" s="119">
        <f>AVERAGE(N8,N11,N45,N51,N16,N58,N25,N31,N38,N65)</f>
        <v>143.87891970768317</v>
      </c>
      <c r="E2" s="120" t="s">
        <v>0</v>
      </c>
      <c r="F2" s="121">
        <f>F1/D1</f>
        <v>33.504622329025132</v>
      </c>
      <c r="G2" s="52" t="s">
        <v>905</v>
      </c>
      <c r="H2" s="225">
        <f>COUNT(H5:H65)</f>
        <v>0</v>
      </c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8"/>
      <c r="AB2" s="608"/>
      <c r="AC2" s="608"/>
    </row>
    <row r="3" spans="1:29" ht="23.25" customHeight="1">
      <c r="A3" s="559" t="s">
        <v>906</v>
      </c>
      <c r="B3" s="559" t="s">
        <v>907</v>
      </c>
      <c r="C3" s="559" t="s">
        <v>908</v>
      </c>
      <c r="D3" s="559"/>
      <c r="E3" s="605" t="s">
        <v>423</v>
      </c>
      <c r="F3" s="559" t="s">
        <v>79</v>
      </c>
      <c r="G3" s="605" t="s">
        <v>909</v>
      </c>
      <c r="H3" s="598" t="s">
        <v>910</v>
      </c>
      <c r="I3" s="596" t="s">
        <v>911</v>
      </c>
      <c r="J3" s="601" t="s">
        <v>912</v>
      </c>
      <c r="K3" s="603" t="s">
        <v>882</v>
      </c>
      <c r="L3" s="596" t="s">
        <v>911</v>
      </c>
      <c r="M3" s="601" t="s">
        <v>912</v>
      </c>
      <c r="N3" s="603" t="s">
        <v>130</v>
      </c>
      <c r="O3" s="596" t="s">
        <v>911</v>
      </c>
      <c r="P3" s="603" t="s">
        <v>882</v>
      </c>
      <c r="Q3" s="602" t="s">
        <v>913</v>
      </c>
      <c r="R3" s="574" t="s">
        <v>914</v>
      </c>
      <c r="S3" s="604" t="s">
        <v>1</v>
      </c>
      <c r="T3" s="604"/>
      <c r="U3" s="598" t="s">
        <v>2</v>
      </c>
      <c r="V3" s="598" t="s">
        <v>915</v>
      </c>
      <c r="W3" s="559" t="s">
        <v>916</v>
      </c>
      <c r="X3" s="559"/>
      <c r="Y3" s="599" t="s">
        <v>917</v>
      </c>
      <c r="Z3" s="600"/>
      <c r="AA3" s="601" t="s">
        <v>918</v>
      </c>
      <c r="AB3" s="602" t="s">
        <v>919</v>
      </c>
      <c r="AC3" s="574" t="s">
        <v>920</v>
      </c>
    </row>
    <row r="4" spans="1:29">
      <c r="A4" s="559"/>
      <c r="B4" s="559"/>
      <c r="C4" s="559"/>
      <c r="D4" s="559"/>
      <c r="E4" s="606"/>
      <c r="F4" s="559"/>
      <c r="G4" s="606"/>
      <c r="H4" s="598"/>
      <c r="I4" s="596"/>
      <c r="J4" s="601"/>
      <c r="K4" s="603"/>
      <c r="L4" s="596"/>
      <c r="M4" s="601"/>
      <c r="N4" s="603"/>
      <c r="O4" s="596"/>
      <c r="P4" s="603"/>
      <c r="Q4" s="602"/>
      <c r="R4" s="574"/>
      <c r="S4" s="236" t="s">
        <v>3</v>
      </c>
      <c r="T4" s="236" t="s">
        <v>4</v>
      </c>
      <c r="U4" s="598"/>
      <c r="V4" s="598"/>
      <c r="W4" s="226" t="s">
        <v>921</v>
      </c>
      <c r="X4" s="226" t="s">
        <v>922</v>
      </c>
      <c r="Y4" s="600"/>
      <c r="Z4" s="600"/>
      <c r="AA4" s="601"/>
      <c r="AB4" s="602"/>
      <c r="AC4" s="574"/>
    </row>
    <row r="5" spans="1:29">
      <c r="A5" s="595" t="s">
        <v>923</v>
      </c>
      <c r="B5" s="57" t="s">
        <v>6</v>
      </c>
      <c r="C5" s="597" t="s">
        <v>9</v>
      </c>
      <c r="D5" s="597"/>
      <c r="E5" s="57">
        <v>50.67</v>
      </c>
      <c r="F5" s="236">
        <v>1331</v>
      </c>
      <c r="G5" s="226">
        <f t="shared" ref="G5:G7" si="0">E5*F5</f>
        <v>67441.77</v>
      </c>
      <c r="H5" s="237" t="s">
        <v>5</v>
      </c>
      <c r="I5" s="227">
        <v>17</v>
      </c>
      <c r="J5" s="58">
        <v>2000</v>
      </c>
      <c r="K5" s="59">
        <f t="shared" ref="K5:K65" si="1">J5/I5</f>
        <v>117.64705882352941</v>
      </c>
      <c r="L5" s="227">
        <v>17</v>
      </c>
      <c r="M5" s="60">
        <f t="shared" ref="M5:M7" si="2">F5/V5*60</f>
        <v>1947.80487804878</v>
      </c>
      <c r="N5" s="59">
        <f t="shared" ref="N5:N65" si="3">M5/L5</f>
        <v>114.57675753228118</v>
      </c>
      <c r="O5" s="61">
        <f t="shared" ref="O5:O65" si="4">L5-I5</f>
        <v>0</v>
      </c>
      <c r="P5" s="62">
        <f t="shared" ref="P5:P65" si="5">N5-K5</f>
        <v>-3.0703012912482279</v>
      </c>
      <c r="Q5" s="232">
        <f t="shared" ref="Q5:Q65" si="6">N5/K5</f>
        <v>0.97390243902439011</v>
      </c>
      <c r="R5" s="566">
        <f>Q8</f>
        <v>0.96308869179600853</v>
      </c>
      <c r="S5" s="63">
        <v>0.70833333333333337</v>
      </c>
      <c r="T5" s="63">
        <v>0.7368055555555556</v>
      </c>
      <c r="U5" s="226"/>
      <c r="V5" s="228">
        <f t="shared" ref="V5:V7" si="7">(T5-S5)*24*60</f>
        <v>41.000000000000014</v>
      </c>
      <c r="W5" s="64"/>
      <c r="X5" s="65"/>
      <c r="Y5" s="559"/>
      <c r="Z5" s="559"/>
      <c r="AA5" s="61">
        <f t="shared" ref="AA5:AA65" si="8">M5-J5</f>
        <v>-52.195121951220017</v>
      </c>
      <c r="AB5" s="232">
        <f t="shared" ref="AB5:AB65" si="9">M5/J5</f>
        <v>0.97390243902439</v>
      </c>
      <c r="AC5" s="566">
        <f>AB8</f>
        <v>0.96308869179600864</v>
      </c>
    </row>
    <row r="6" spans="1:29">
      <c r="A6" s="596" t="s">
        <v>924</v>
      </c>
      <c r="B6" s="57" t="s">
        <v>6</v>
      </c>
      <c r="C6" s="597" t="s">
        <v>8</v>
      </c>
      <c r="D6" s="597"/>
      <c r="E6" s="57">
        <v>50.49</v>
      </c>
      <c r="F6" s="236">
        <v>1759</v>
      </c>
      <c r="G6" s="226">
        <f t="shared" si="0"/>
        <v>88811.91</v>
      </c>
      <c r="H6" s="237" t="s">
        <v>5</v>
      </c>
      <c r="I6" s="227">
        <v>15</v>
      </c>
      <c r="J6" s="58">
        <v>2000</v>
      </c>
      <c r="K6" s="59">
        <f t="shared" si="1"/>
        <v>133.33333333333334</v>
      </c>
      <c r="L6" s="227">
        <v>15</v>
      </c>
      <c r="M6" s="60">
        <f t="shared" si="2"/>
        <v>1918.9090909090921</v>
      </c>
      <c r="N6" s="59">
        <f t="shared" si="3"/>
        <v>127.92727272727281</v>
      </c>
      <c r="O6" s="61">
        <f t="shared" si="4"/>
        <v>0</v>
      </c>
      <c r="P6" s="62">
        <f t="shared" si="5"/>
        <v>-5.4060606060605352</v>
      </c>
      <c r="Q6" s="232">
        <f t="shared" si="6"/>
        <v>0.959454545454546</v>
      </c>
      <c r="R6" s="566"/>
      <c r="S6" s="63">
        <v>0.74097222222222225</v>
      </c>
      <c r="T6" s="63">
        <v>0.77916666666666667</v>
      </c>
      <c r="U6" s="226">
        <f t="shared" ref="U6:U7" si="10">IF(S6=TIME(17,0,0),"",(S6-T5)*24*60)</f>
        <v>5.9999999999999787</v>
      </c>
      <c r="V6" s="228">
        <f t="shared" si="7"/>
        <v>54.999999999999964</v>
      </c>
      <c r="W6" s="64"/>
      <c r="X6" s="64"/>
      <c r="Y6" s="559"/>
      <c r="Z6" s="559"/>
      <c r="AA6" s="61">
        <f t="shared" si="8"/>
        <v>-81.090909090907871</v>
      </c>
      <c r="AB6" s="232">
        <f t="shared" si="9"/>
        <v>0.95945454545454611</v>
      </c>
      <c r="AC6" s="566"/>
    </row>
    <row r="7" spans="1:29">
      <c r="A7" s="596" t="s">
        <v>924</v>
      </c>
      <c r="B7" s="57" t="s">
        <v>6</v>
      </c>
      <c r="C7" s="590" t="s">
        <v>94</v>
      </c>
      <c r="D7" s="591"/>
      <c r="E7" s="57">
        <v>57.3</v>
      </c>
      <c r="F7" s="236">
        <v>2103</v>
      </c>
      <c r="G7" s="226">
        <f t="shared" si="0"/>
        <v>120501.9</v>
      </c>
      <c r="H7" s="237" t="s">
        <v>5</v>
      </c>
      <c r="I7" s="227">
        <v>13</v>
      </c>
      <c r="J7" s="58">
        <v>2000</v>
      </c>
      <c r="K7" s="59">
        <f t="shared" si="1"/>
        <v>153.84615384615384</v>
      </c>
      <c r="L7" s="227">
        <v>13</v>
      </c>
      <c r="M7" s="60">
        <f t="shared" si="2"/>
        <v>1911.8181818181795</v>
      </c>
      <c r="N7" s="59">
        <f t="shared" si="3"/>
        <v>147.0629370629369</v>
      </c>
      <c r="O7" s="61">
        <f t="shared" si="4"/>
        <v>0</v>
      </c>
      <c r="P7" s="62">
        <f t="shared" si="5"/>
        <v>-6.7832167832169432</v>
      </c>
      <c r="Q7" s="232">
        <f t="shared" si="6"/>
        <v>0.95590909090908982</v>
      </c>
      <c r="R7" s="566"/>
      <c r="S7" s="63">
        <v>0.78402777777777777</v>
      </c>
      <c r="T7" s="63">
        <v>0.82986111111111116</v>
      </c>
      <c r="U7" s="226">
        <f t="shared" si="10"/>
        <v>6.9999999999999751</v>
      </c>
      <c r="V7" s="228">
        <f t="shared" si="7"/>
        <v>66.000000000000085</v>
      </c>
      <c r="W7" s="64"/>
      <c r="X7" s="64"/>
      <c r="Y7" s="569"/>
      <c r="Z7" s="570"/>
      <c r="AA7" s="61">
        <f t="shared" si="8"/>
        <v>-88.181818181820518</v>
      </c>
      <c r="AB7" s="232">
        <f t="shared" si="9"/>
        <v>0.95590909090908971</v>
      </c>
      <c r="AC7" s="566"/>
    </row>
    <row r="8" spans="1:29">
      <c r="A8" s="596" t="s">
        <v>924</v>
      </c>
      <c r="B8" s="57" t="s">
        <v>925</v>
      </c>
      <c r="C8" s="571"/>
      <c r="D8" s="571"/>
      <c r="E8" s="231"/>
      <c r="F8" s="66"/>
      <c r="G8" s="59"/>
      <c r="H8" s="236"/>
      <c r="I8" s="67">
        <v>15</v>
      </c>
      <c r="J8" s="58">
        <v>2000</v>
      </c>
      <c r="K8" s="59">
        <f t="shared" si="1"/>
        <v>133.33333333333334</v>
      </c>
      <c r="L8" s="67">
        <v>15</v>
      </c>
      <c r="M8" s="60">
        <f>AVERAGE(M5:M7)</f>
        <v>1926.1773835920173</v>
      </c>
      <c r="N8" s="59">
        <f t="shared" si="3"/>
        <v>128.41182557280115</v>
      </c>
      <c r="O8" s="61">
        <f t="shared" si="4"/>
        <v>0</v>
      </c>
      <c r="P8" s="62">
        <f t="shared" si="5"/>
        <v>-4.9215077605321937</v>
      </c>
      <c r="Q8" s="232">
        <f t="shared" si="6"/>
        <v>0.96308869179600853</v>
      </c>
      <c r="R8" s="566"/>
      <c r="S8" s="63"/>
      <c r="T8" s="63"/>
      <c r="U8" s="226"/>
      <c r="V8" s="228"/>
      <c r="W8" s="59"/>
      <c r="X8" s="59"/>
      <c r="Y8" s="559"/>
      <c r="Z8" s="559"/>
      <c r="AA8" s="61">
        <f t="shared" si="8"/>
        <v>-73.82261640798265</v>
      </c>
      <c r="AB8" s="232">
        <f t="shared" si="9"/>
        <v>0.96308869179600864</v>
      </c>
      <c r="AC8" s="566"/>
    </row>
    <row r="9" spans="1:29" ht="15.75" customHeight="1">
      <c r="A9" s="594" t="s">
        <v>926</v>
      </c>
      <c r="B9" s="57" t="s">
        <v>10</v>
      </c>
      <c r="C9" s="590" t="s">
        <v>14</v>
      </c>
      <c r="D9" s="591"/>
      <c r="E9" s="57">
        <v>39.619999999999997</v>
      </c>
      <c r="F9" s="236">
        <v>3213</v>
      </c>
      <c r="G9" s="226">
        <f t="shared" ref="G9:G10" si="11">E9*F9</f>
        <v>127299.06</v>
      </c>
      <c r="H9" s="237" t="s">
        <v>5</v>
      </c>
      <c r="I9" s="227">
        <v>19</v>
      </c>
      <c r="J9" s="58">
        <v>1500</v>
      </c>
      <c r="K9" s="59">
        <f t="shared" si="1"/>
        <v>78.94736842105263</v>
      </c>
      <c r="L9" s="227">
        <v>19</v>
      </c>
      <c r="M9" s="60">
        <f t="shared" ref="M9:M10" si="12">F9/V9*60</f>
        <v>1428.0000000000007</v>
      </c>
      <c r="N9" s="59">
        <f t="shared" si="3"/>
        <v>75.157894736842138</v>
      </c>
      <c r="O9" s="61">
        <f t="shared" si="4"/>
        <v>0</v>
      </c>
      <c r="P9" s="62">
        <f t="shared" si="5"/>
        <v>-3.7894736842104919</v>
      </c>
      <c r="Q9" s="232">
        <f t="shared" si="6"/>
        <v>0.9520000000000004</v>
      </c>
      <c r="R9" s="566">
        <f>Q11</f>
        <v>0.95222641509433992</v>
      </c>
      <c r="S9" s="63">
        <v>0.16666666666666666</v>
      </c>
      <c r="T9" s="63">
        <v>0.26041666666666663</v>
      </c>
      <c r="U9" s="226"/>
      <c r="V9" s="228">
        <f t="shared" ref="V9:V10" si="13">(T9-S9)*24*60</f>
        <v>134.99999999999994</v>
      </c>
      <c r="W9" s="64">
        <f>T9</f>
        <v>0.26041666666666663</v>
      </c>
      <c r="X9" s="64">
        <f>S10</f>
        <v>0.27916666666666662</v>
      </c>
      <c r="Y9" s="559"/>
      <c r="Z9" s="559"/>
      <c r="AA9" s="61">
        <f t="shared" si="8"/>
        <v>-71.999999999999318</v>
      </c>
      <c r="AB9" s="232">
        <f t="shared" si="9"/>
        <v>0.9520000000000004</v>
      </c>
      <c r="AC9" s="566">
        <f>AB11</f>
        <v>0.95222641509433981</v>
      </c>
    </row>
    <row r="10" spans="1:29" ht="15.75" customHeight="1">
      <c r="A10" s="594" t="s">
        <v>85</v>
      </c>
      <c r="B10" s="57" t="s">
        <v>10</v>
      </c>
      <c r="C10" s="590" t="s">
        <v>11</v>
      </c>
      <c r="D10" s="591"/>
      <c r="E10" s="57">
        <v>39.799999999999997</v>
      </c>
      <c r="F10" s="236">
        <v>5048</v>
      </c>
      <c r="G10" s="226">
        <f t="shared" si="11"/>
        <v>200910.4</v>
      </c>
      <c r="H10" s="237" t="s">
        <v>5</v>
      </c>
      <c r="I10" s="227">
        <v>17</v>
      </c>
      <c r="J10" s="58">
        <v>1500</v>
      </c>
      <c r="K10" s="59">
        <f t="shared" si="1"/>
        <v>88.235294117647058</v>
      </c>
      <c r="L10" s="227">
        <v>17</v>
      </c>
      <c r="M10" s="60">
        <f t="shared" si="12"/>
        <v>1428.6792452830191</v>
      </c>
      <c r="N10" s="59">
        <f t="shared" si="3"/>
        <v>84.039955604883474</v>
      </c>
      <c r="O10" s="61">
        <f t="shared" si="4"/>
        <v>0</v>
      </c>
      <c r="P10" s="62">
        <f t="shared" si="5"/>
        <v>-4.195338512763584</v>
      </c>
      <c r="Q10" s="232">
        <f t="shared" si="6"/>
        <v>0.95245283018867943</v>
      </c>
      <c r="R10" s="566"/>
      <c r="S10" s="63">
        <v>0.27916666666666662</v>
      </c>
      <c r="T10" s="63">
        <v>0.42638888888888882</v>
      </c>
      <c r="U10" s="226">
        <f t="shared" ref="U10" si="14">IF(S10=TIME(17,0,0),"",(S10-T9)*24*60)</f>
        <v>26.999999999999986</v>
      </c>
      <c r="V10" s="228">
        <f t="shared" si="13"/>
        <v>211.99999999999997</v>
      </c>
      <c r="W10" s="64"/>
      <c r="X10" s="64"/>
      <c r="Y10" s="559"/>
      <c r="Z10" s="559"/>
      <c r="AA10" s="61">
        <f t="shared" si="8"/>
        <v>-71.3207547169809</v>
      </c>
      <c r="AB10" s="232">
        <f t="shared" si="9"/>
        <v>0.95245283018867943</v>
      </c>
      <c r="AC10" s="566"/>
    </row>
    <row r="11" spans="1:29" ht="16.5" customHeight="1">
      <c r="A11" s="594" t="s">
        <v>927</v>
      </c>
      <c r="B11" s="57" t="s">
        <v>928</v>
      </c>
      <c r="C11" s="571"/>
      <c r="D11" s="571"/>
      <c r="E11" s="231"/>
      <c r="F11" s="58"/>
      <c r="G11" s="60"/>
      <c r="H11" s="236"/>
      <c r="I11" s="67">
        <v>18</v>
      </c>
      <c r="J11" s="58">
        <v>1500</v>
      </c>
      <c r="K11" s="59">
        <f t="shared" si="1"/>
        <v>83.333333333333329</v>
      </c>
      <c r="L11" s="67">
        <v>18</v>
      </c>
      <c r="M11" s="60">
        <f>AVERAGE(M9:M10)</f>
        <v>1428.3396226415098</v>
      </c>
      <c r="N11" s="59">
        <f t="shared" si="3"/>
        <v>79.352201257861651</v>
      </c>
      <c r="O11" s="61">
        <f t="shared" si="4"/>
        <v>0</v>
      </c>
      <c r="P11" s="62">
        <f t="shared" si="5"/>
        <v>-3.9811320754716775</v>
      </c>
      <c r="Q11" s="232">
        <f t="shared" si="6"/>
        <v>0.95222641509433992</v>
      </c>
      <c r="R11" s="566"/>
      <c r="S11" s="63"/>
      <c r="T11" s="63"/>
      <c r="U11" s="59"/>
      <c r="V11" s="228"/>
      <c r="W11" s="59"/>
      <c r="X11" s="59"/>
      <c r="Y11" s="559"/>
      <c r="Z11" s="559"/>
      <c r="AA11" s="61">
        <f t="shared" si="8"/>
        <v>-71.660377358490223</v>
      </c>
      <c r="AB11" s="232">
        <f t="shared" si="9"/>
        <v>0.95222641509433981</v>
      </c>
      <c r="AC11" s="566"/>
    </row>
    <row r="12" spans="1:29" ht="16.5" customHeight="1">
      <c r="A12" s="592" t="s">
        <v>929</v>
      </c>
      <c r="B12" s="236" t="s">
        <v>12</v>
      </c>
      <c r="C12" s="584" t="s">
        <v>13</v>
      </c>
      <c r="D12" s="584"/>
      <c r="E12" s="57">
        <v>41</v>
      </c>
      <c r="F12" s="236">
        <v>1687</v>
      </c>
      <c r="G12" s="226">
        <f t="shared" ref="G12:G15" si="15">E12*F12</f>
        <v>69167</v>
      </c>
      <c r="H12" s="237" t="s">
        <v>5</v>
      </c>
      <c r="I12" s="227">
        <v>26</v>
      </c>
      <c r="J12" s="58">
        <v>1500</v>
      </c>
      <c r="K12" s="59">
        <f t="shared" si="1"/>
        <v>57.692307692307693</v>
      </c>
      <c r="L12" s="227">
        <v>26</v>
      </c>
      <c r="M12" s="60">
        <f t="shared" ref="M12:M15" si="16">F12/V12*60</f>
        <v>1425.6338028169009</v>
      </c>
      <c r="N12" s="59">
        <f t="shared" si="3"/>
        <v>54.832069339111577</v>
      </c>
      <c r="O12" s="61">
        <f t="shared" si="4"/>
        <v>0</v>
      </c>
      <c r="P12" s="62">
        <f t="shared" si="5"/>
        <v>-2.8602383531961166</v>
      </c>
      <c r="Q12" s="232">
        <f t="shared" si="6"/>
        <v>0.95042253521126729</v>
      </c>
      <c r="R12" s="566">
        <f>Q16</f>
        <v>0.95374225625244746</v>
      </c>
      <c r="S12" s="63">
        <v>0.20833333333333334</v>
      </c>
      <c r="T12" s="63">
        <v>0.25763888888888892</v>
      </c>
      <c r="U12" s="226"/>
      <c r="V12" s="228">
        <f t="shared" ref="V12:V15" si="17">(T12-S12)*24*60</f>
        <v>71.000000000000028</v>
      </c>
      <c r="W12" s="68"/>
      <c r="X12" s="68"/>
      <c r="Y12" s="559"/>
      <c r="Z12" s="559"/>
      <c r="AA12" s="61">
        <f t="shared" si="8"/>
        <v>-74.366197183099075</v>
      </c>
      <c r="AB12" s="232">
        <f t="shared" si="9"/>
        <v>0.95042253521126729</v>
      </c>
      <c r="AC12" s="566">
        <f>AB16</f>
        <v>0.95374225625244746</v>
      </c>
    </row>
    <row r="13" spans="1:29" ht="16.5" customHeight="1">
      <c r="A13" s="593" t="s">
        <v>929</v>
      </c>
      <c r="B13" s="236" t="s">
        <v>657</v>
      </c>
      <c r="C13" s="584" t="s">
        <v>236</v>
      </c>
      <c r="D13" s="584"/>
      <c r="E13" s="57">
        <v>72.400000000000006</v>
      </c>
      <c r="F13" s="236">
        <v>1794</v>
      </c>
      <c r="G13" s="226">
        <f t="shared" si="15"/>
        <v>129885.6</v>
      </c>
      <c r="H13" s="237" t="s">
        <v>5</v>
      </c>
      <c r="I13" s="227">
        <v>18</v>
      </c>
      <c r="J13" s="58">
        <v>1500</v>
      </c>
      <c r="K13" s="59">
        <f t="shared" si="1"/>
        <v>83.333333333333329</v>
      </c>
      <c r="L13" s="227">
        <v>18</v>
      </c>
      <c r="M13" s="60">
        <f t="shared" si="16"/>
        <v>1435.2000000000005</v>
      </c>
      <c r="N13" s="59">
        <f t="shared" si="3"/>
        <v>79.733333333333363</v>
      </c>
      <c r="O13" s="61">
        <f t="shared" si="4"/>
        <v>0</v>
      </c>
      <c r="P13" s="62">
        <f t="shared" si="5"/>
        <v>-3.5999999999999659</v>
      </c>
      <c r="Q13" s="232">
        <f t="shared" si="6"/>
        <v>0.95680000000000043</v>
      </c>
      <c r="R13" s="566"/>
      <c r="S13" s="63">
        <v>0.26319444444444445</v>
      </c>
      <c r="T13" s="63">
        <v>0.31527777777777777</v>
      </c>
      <c r="U13" s="226">
        <f t="shared" ref="U13:U15" si="18">IF(S13=TIME(17,0,0),"",(S13-T12)*24*60)</f>
        <v>7.9999999999999716</v>
      </c>
      <c r="V13" s="228">
        <f t="shared" si="17"/>
        <v>74.999999999999972</v>
      </c>
      <c r="W13" s="64"/>
      <c r="X13" s="64"/>
      <c r="Y13" s="559"/>
      <c r="Z13" s="559"/>
      <c r="AA13" s="61">
        <f t="shared" si="8"/>
        <v>-64.7999999999995</v>
      </c>
      <c r="AB13" s="232">
        <f t="shared" si="9"/>
        <v>0.95680000000000032</v>
      </c>
      <c r="AC13" s="566"/>
    </row>
    <row r="14" spans="1:29" ht="16.5" customHeight="1">
      <c r="A14" s="593" t="s">
        <v>929</v>
      </c>
      <c r="B14" s="236" t="s">
        <v>6</v>
      </c>
      <c r="C14" s="584" t="s">
        <v>95</v>
      </c>
      <c r="D14" s="584"/>
      <c r="E14" s="57">
        <v>50.98</v>
      </c>
      <c r="F14" s="236">
        <v>2169</v>
      </c>
      <c r="G14" s="226">
        <f t="shared" si="15"/>
        <v>110575.62</v>
      </c>
      <c r="H14" s="237" t="s">
        <v>5</v>
      </c>
      <c r="I14" s="227">
        <v>16</v>
      </c>
      <c r="J14" s="58">
        <v>2000</v>
      </c>
      <c r="K14" s="59">
        <f t="shared" si="1"/>
        <v>125</v>
      </c>
      <c r="L14" s="227">
        <v>16</v>
      </c>
      <c r="M14" s="60">
        <f t="shared" si="16"/>
        <v>1913.8235294117671</v>
      </c>
      <c r="N14" s="59">
        <f t="shared" si="3"/>
        <v>119.61397058823545</v>
      </c>
      <c r="O14" s="61">
        <f t="shared" si="4"/>
        <v>0</v>
      </c>
      <c r="P14" s="62">
        <f t="shared" si="5"/>
        <v>-5.3860294117645537</v>
      </c>
      <c r="Q14" s="232">
        <f t="shared" si="6"/>
        <v>0.95691176470588357</v>
      </c>
      <c r="R14" s="566"/>
      <c r="S14" s="63">
        <v>0.70833333333333337</v>
      </c>
      <c r="T14" s="63">
        <v>0.75555555555555554</v>
      </c>
      <c r="U14" s="226" t="str">
        <f t="shared" si="18"/>
        <v/>
      </c>
      <c r="V14" s="228">
        <f t="shared" si="17"/>
        <v>67.999999999999915</v>
      </c>
      <c r="W14" s="64"/>
      <c r="X14" s="64"/>
      <c r="Y14" s="559"/>
      <c r="Z14" s="559"/>
      <c r="AA14" s="61">
        <f t="shared" si="8"/>
        <v>-86.17647058823286</v>
      </c>
      <c r="AB14" s="232">
        <f t="shared" si="9"/>
        <v>0.95691176470588357</v>
      </c>
      <c r="AC14" s="566"/>
    </row>
    <row r="15" spans="1:29" ht="16.5" customHeight="1">
      <c r="A15" s="593" t="s">
        <v>929</v>
      </c>
      <c r="B15" s="236" t="s">
        <v>6</v>
      </c>
      <c r="C15" s="584" t="s">
        <v>18</v>
      </c>
      <c r="D15" s="584"/>
      <c r="E15" s="57">
        <v>50.92</v>
      </c>
      <c r="F15" s="236">
        <v>2060</v>
      </c>
      <c r="G15" s="226">
        <f t="shared" si="15"/>
        <v>104895.2</v>
      </c>
      <c r="H15" s="237" t="s">
        <v>5</v>
      </c>
      <c r="I15" s="227">
        <v>15</v>
      </c>
      <c r="J15" s="58">
        <v>2000</v>
      </c>
      <c r="K15" s="59">
        <f t="shared" si="1"/>
        <v>133.33333333333334</v>
      </c>
      <c r="L15" s="227">
        <v>15</v>
      </c>
      <c r="M15" s="60">
        <f t="shared" si="16"/>
        <v>1901.5384615384635</v>
      </c>
      <c r="N15" s="59">
        <f t="shared" si="3"/>
        <v>126.7692307692309</v>
      </c>
      <c r="O15" s="61">
        <f t="shared" si="4"/>
        <v>0</v>
      </c>
      <c r="P15" s="62">
        <f t="shared" si="5"/>
        <v>-6.5641025641024413</v>
      </c>
      <c r="Q15" s="232">
        <f t="shared" si="6"/>
        <v>0.9507692307692317</v>
      </c>
      <c r="R15" s="566"/>
      <c r="S15" s="63">
        <v>0.76111111111111107</v>
      </c>
      <c r="T15" s="63">
        <v>0.80624999999999991</v>
      </c>
      <c r="U15" s="226">
        <f t="shared" si="18"/>
        <v>7.9999999999999716</v>
      </c>
      <c r="V15" s="228">
        <f t="shared" si="17"/>
        <v>64.999999999999929</v>
      </c>
      <c r="W15" s="64"/>
      <c r="X15" s="64"/>
      <c r="Y15" s="559"/>
      <c r="Z15" s="559"/>
      <c r="AA15" s="61">
        <f t="shared" si="8"/>
        <v>-98.46153846153652</v>
      </c>
      <c r="AB15" s="232">
        <f t="shared" si="9"/>
        <v>0.9507692307692317</v>
      </c>
      <c r="AC15" s="566"/>
    </row>
    <row r="16" spans="1:29" ht="16.5" customHeight="1">
      <c r="A16" s="593" t="s">
        <v>929</v>
      </c>
      <c r="B16" s="57" t="s">
        <v>928</v>
      </c>
      <c r="C16" s="571"/>
      <c r="D16" s="571"/>
      <c r="E16" s="231"/>
      <c r="F16" s="66"/>
      <c r="G16" s="59"/>
      <c r="H16" s="236"/>
      <c r="I16" s="67">
        <v>18.75</v>
      </c>
      <c r="J16" s="58">
        <v>1750</v>
      </c>
      <c r="K16" s="59">
        <f t="shared" si="1"/>
        <v>93.333333333333329</v>
      </c>
      <c r="L16" s="67">
        <v>18.75</v>
      </c>
      <c r="M16" s="60">
        <f>AVERAGE(M12:M15)</f>
        <v>1669.0489484417831</v>
      </c>
      <c r="N16" s="59">
        <f t="shared" si="3"/>
        <v>89.015943916895097</v>
      </c>
      <c r="O16" s="61">
        <f t="shared" si="4"/>
        <v>0</v>
      </c>
      <c r="P16" s="62">
        <f t="shared" si="5"/>
        <v>-4.3173894164382318</v>
      </c>
      <c r="Q16" s="232">
        <f t="shared" si="6"/>
        <v>0.95374225625244746</v>
      </c>
      <c r="R16" s="566"/>
      <c r="S16" s="63"/>
      <c r="T16" s="63"/>
      <c r="U16" s="226"/>
      <c r="V16" s="228"/>
      <c r="W16" s="59"/>
      <c r="X16" s="59"/>
      <c r="Y16" s="559"/>
      <c r="Z16" s="559"/>
      <c r="AA16" s="61">
        <f t="shared" si="8"/>
        <v>-80.951051558216932</v>
      </c>
      <c r="AB16" s="232">
        <f t="shared" si="9"/>
        <v>0.95374225625244746</v>
      </c>
      <c r="AC16" s="566"/>
    </row>
    <row r="17" spans="1:29" ht="15.75" customHeight="1">
      <c r="A17" s="588" t="s">
        <v>930</v>
      </c>
      <c r="B17" s="57" t="s">
        <v>12</v>
      </c>
      <c r="C17" s="584" t="s">
        <v>19</v>
      </c>
      <c r="D17" s="584"/>
      <c r="E17" s="57">
        <v>43.14</v>
      </c>
      <c r="F17" s="236">
        <v>781</v>
      </c>
      <c r="G17" s="226">
        <f t="shared" ref="G17:G24" si="19">E17*F17</f>
        <v>33692.340000000004</v>
      </c>
      <c r="H17" s="237" t="s">
        <v>5</v>
      </c>
      <c r="I17" s="227">
        <v>17</v>
      </c>
      <c r="J17" s="58">
        <v>2000</v>
      </c>
      <c r="K17" s="59">
        <f t="shared" si="1"/>
        <v>117.64705882352941</v>
      </c>
      <c r="L17" s="227">
        <v>17</v>
      </c>
      <c r="M17" s="60">
        <f t="shared" ref="M17:M24" si="20">F17/V17*60</f>
        <v>1952.5000000000007</v>
      </c>
      <c r="N17" s="59">
        <f t="shared" si="3"/>
        <v>114.85294117647062</v>
      </c>
      <c r="O17" s="61">
        <f t="shared" si="4"/>
        <v>0</v>
      </c>
      <c r="P17" s="62">
        <f t="shared" si="5"/>
        <v>-2.7941176470587834</v>
      </c>
      <c r="Q17" s="232">
        <f t="shared" si="6"/>
        <v>0.9762500000000004</v>
      </c>
      <c r="R17" s="566">
        <f>Q25</f>
        <v>0.96478982528722168</v>
      </c>
      <c r="S17" s="63">
        <v>0.20833333333333334</v>
      </c>
      <c r="T17" s="63">
        <v>0.22500000000000001</v>
      </c>
      <c r="U17" s="226"/>
      <c r="V17" s="228">
        <f t="shared" ref="V17:V24" si="21">(T17-S17)*24*60</f>
        <v>23.999999999999993</v>
      </c>
      <c r="W17" s="68"/>
      <c r="X17" s="68"/>
      <c r="Y17" s="559"/>
      <c r="Z17" s="559"/>
      <c r="AA17" s="61">
        <f t="shared" si="8"/>
        <v>-47.499999999999318</v>
      </c>
      <c r="AB17" s="232">
        <f t="shared" si="9"/>
        <v>0.9762500000000004</v>
      </c>
      <c r="AC17" s="566">
        <f>AB25</f>
        <v>0.96478982528722168</v>
      </c>
    </row>
    <row r="18" spans="1:29" ht="15.75" customHeight="1">
      <c r="A18" s="589" t="s">
        <v>930</v>
      </c>
      <c r="B18" s="57" t="s">
        <v>65</v>
      </c>
      <c r="C18" s="584" t="s">
        <v>97</v>
      </c>
      <c r="D18" s="584"/>
      <c r="E18" s="57">
        <v>49.9</v>
      </c>
      <c r="F18" s="236">
        <v>1123</v>
      </c>
      <c r="G18" s="226">
        <f t="shared" si="19"/>
        <v>56037.7</v>
      </c>
      <c r="H18" s="237" t="s">
        <v>5</v>
      </c>
      <c r="I18" s="227">
        <v>17</v>
      </c>
      <c r="J18" s="58">
        <v>2000</v>
      </c>
      <c r="K18" s="59">
        <f t="shared" si="1"/>
        <v>117.64705882352941</v>
      </c>
      <c r="L18" s="227">
        <v>17</v>
      </c>
      <c r="M18" s="60">
        <f t="shared" si="20"/>
        <v>1925.1428571428553</v>
      </c>
      <c r="N18" s="59">
        <f t="shared" si="3"/>
        <v>113.24369747899149</v>
      </c>
      <c r="O18" s="61">
        <f t="shared" si="4"/>
        <v>0</v>
      </c>
      <c r="P18" s="62">
        <f t="shared" si="5"/>
        <v>-4.4033613445379132</v>
      </c>
      <c r="Q18" s="232">
        <f t="shared" si="6"/>
        <v>0.96257142857142775</v>
      </c>
      <c r="R18" s="566"/>
      <c r="S18" s="63">
        <v>0.23055555555555557</v>
      </c>
      <c r="T18" s="63">
        <v>0.25486111111111115</v>
      </c>
      <c r="U18" s="226">
        <f t="shared" ref="U18:U24" si="22">IF(S18=TIME(17,0,0),"",(S18-T17)*24*60)</f>
        <v>8.0000000000000107</v>
      </c>
      <c r="V18" s="228">
        <f t="shared" si="21"/>
        <v>35.000000000000036</v>
      </c>
      <c r="W18" s="64"/>
      <c r="X18" s="226"/>
      <c r="Y18" s="559"/>
      <c r="Z18" s="559"/>
      <c r="AA18" s="61">
        <f t="shared" si="8"/>
        <v>-74.857142857144709</v>
      </c>
      <c r="AB18" s="232">
        <f t="shared" si="9"/>
        <v>0.96257142857142763</v>
      </c>
      <c r="AC18" s="566"/>
    </row>
    <row r="19" spans="1:29" ht="15.75" customHeight="1">
      <c r="A19" s="589" t="s">
        <v>930</v>
      </c>
      <c r="B19" s="57" t="s">
        <v>6</v>
      </c>
      <c r="C19" s="584" t="s">
        <v>20</v>
      </c>
      <c r="D19" s="584"/>
      <c r="E19" s="57">
        <v>57.73</v>
      </c>
      <c r="F19" s="236">
        <v>2071</v>
      </c>
      <c r="G19" s="226">
        <f t="shared" si="19"/>
        <v>119558.82999999999</v>
      </c>
      <c r="H19" s="237" t="s">
        <v>5</v>
      </c>
      <c r="I19" s="227">
        <v>14</v>
      </c>
      <c r="J19" s="58">
        <v>2000</v>
      </c>
      <c r="K19" s="59">
        <f t="shared" si="1"/>
        <v>142.85714285714286</v>
      </c>
      <c r="L19" s="227">
        <v>14</v>
      </c>
      <c r="M19" s="60">
        <f t="shared" si="20"/>
        <v>1911.6923076923074</v>
      </c>
      <c r="N19" s="59">
        <f t="shared" si="3"/>
        <v>136.54945054945054</v>
      </c>
      <c r="O19" s="61">
        <f t="shared" si="4"/>
        <v>0</v>
      </c>
      <c r="P19" s="62">
        <f t="shared" si="5"/>
        <v>-6.3076923076923208</v>
      </c>
      <c r="Q19" s="232">
        <f t="shared" si="6"/>
        <v>0.95584615384615379</v>
      </c>
      <c r="R19" s="566"/>
      <c r="S19" s="63">
        <v>0.25972222222222224</v>
      </c>
      <c r="T19" s="63">
        <v>0.30486111111111114</v>
      </c>
      <c r="U19" s="226">
        <f t="shared" si="22"/>
        <v>6.9999999999999751</v>
      </c>
      <c r="V19" s="228">
        <f t="shared" si="21"/>
        <v>65.000000000000014</v>
      </c>
      <c r="W19" s="64"/>
      <c r="X19" s="226"/>
      <c r="Y19" s="559"/>
      <c r="Z19" s="559"/>
      <c r="AA19" s="61">
        <f t="shared" si="8"/>
        <v>-88.307692307692605</v>
      </c>
      <c r="AB19" s="232">
        <f t="shared" si="9"/>
        <v>0.95584615384615368</v>
      </c>
      <c r="AC19" s="566"/>
    </row>
    <row r="20" spans="1:29" ht="15.75" customHeight="1">
      <c r="A20" s="589" t="s">
        <v>930</v>
      </c>
      <c r="B20" s="57" t="s">
        <v>6</v>
      </c>
      <c r="C20" s="584" t="s">
        <v>21</v>
      </c>
      <c r="D20" s="584"/>
      <c r="E20" s="57">
        <v>53.68</v>
      </c>
      <c r="F20" s="236">
        <v>1263</v>
      </c>
      <c r="G20" s="226">
        <f t="shared" si="19"/>
        <v>67797.84</v>
      </c>
      <c r="H20" s="237" t="s">
        <v>5</v>
      </c>
      <c r="I20" s="227">
        <v>16</v>
      </c>
      <c r="J20" s="58">
        <v>2000</v>
      </c>
      <c r="K20" s="59">
        <f t="shared" si="1"/>
        <v>125</v>
      </c>
      <c r="L20" s="227">
        <v>16</v>
      </c>
      <c r="M20" s="60">
        <f t="shared" si="20"/>
        <v>1943.076923076922</v>
      </c>
      <c r="N20" s="59">
        <f t="shared" si="3"/>
        <v>121.44230769230762</v>
      </c>
      <c r="O20" s="61">
        <f t="shared" si="4"/>
        <v>0</v>
      </c>
      <c r="P20" s="62">
        <f t="shared" si="5"/>
        <v>-3.5576923076923777</v>
      </c>
      <c r="Q20" s="232">
        <f t="shared" si="6"/>
        <v>0.97153846153846102</v>
      </c>
      <c r="R20" s="566"/>
      <c r="S20" s="63">
        <v>0.31041666666666667</v>
      </c>
      <c r="T20" s="63">
        <v>0.33750000000000002</v>
      </c>
      <c r="U20" s="226">
        <f t="shared" si="22"/>
        <v>7.9999999999999716</v>
      </c>
      <c r="V20" s="228">
        <f t="shared" si="21"/>
        <v>39.000000000000021</v>
      </c>
      <c r="W20" s="64"/>
      <c r="X20" s="226"/>
      <c r="Y20" s="559"/>
      <c r="Z20" s="559"/>
      <c r="AA20" s="61">
        <f t="shared" si="8"/>
        <v>-56.923076923078042</v>
      </c>
      <c r="AB20" s="232">
        <f t="shared" si="9"/>
        <v>0.97153846153846102</v>
      </c>
      <c r="AC20" s="566"/>
    </row>
    <row r="21" spans="1:29" ht="15.75" customHeight="1">
      <c r="A21" s="589" t="s">
        <v>930</v>
      </c>
      <c r="B21" s="57" t="s">
        <v>6</v>
      </c>
      <c r="C21" s="584" t="s">
        <v>96</v>
      </c>
      <c r="D21" s="584"/>
      <c r="E21" s="57">
        <v>49.91</v>
      </c>
      <c r="F21" s="236">
        <v>937</v>
      </c>
      <c r="G21" s="226">
        <f t="shared" si="19"/>
        <v>46765.67</v>
      </c>
      <c r="H21" s="237" t="s">
        <v>5</v>
      </c>
      <c r="I21" s="227">
        <v>17</v>
      </c>
      <c r="J21" s="58">
        <v>2000</v>
      </c>
      <c r="K21" s="59">
        <f t="shared" si="1"/>
        <v>117.64705882352941</v>
      </c>
      <c r="L21" s="227">
        <v>17</v>
      </c>
      <c r="M21" s="60">
        <f t="shared" si="20"/>
        <v>1938.6206896551737</v>
      </c>
      <c r="N21" s="59">
        <f t="shared" si="3"/>
        <v>114.03651115618669</v>
      </c>
      <c r="O21" s="61">
        <f t="shared" si="4"/>
        <v>0</v>
      </c>
      <c r="P21" s="62">
        <f t="shared" si="5"/>
        <v>-3.6105476673427148</v>
      </c>
      <c r="Q21" s="232">
        <f t="shared" si="6"/>
        <v>0.96931034482758693</v>
      </c>
      <c r="R21" s="566"/>
      <c r="S21" s="63">
        <v>0.34236111111111112</v>
      </c>
      <c r="T21" s="63">
        <v>0.36249999999999999</v>
      </c>
      <c r="U21" s="226">
        <f t="shared" si="22"/>
        <v>6.9999999999999751</v>
      </c>
      <c r="V21" s="228">
        <f t="shared" si="21"/>
        <v>28.999999999999979</v>
      </c>
      <c r="W21" s="64"/>
      <c r="X21" s="226"/>
      <c r="Y21" s="559"/>
      <c r="Z21" s="559"/>
      <c r="AA21" s="61">
        <f t="shared" si="8"/>
        <v>-61.379310344826308</v>
      </c>
      <c r="AB21" s="232">
        <f t="shared" si="9"/>
        <v>0.96931034482758682</v>
      </c>
      <c r="AC21" s="566"/>
    </row>
    <row r="22" spans="1:29" ht="15.75" customHeight="1">
      <c r="A22" s="589" t="s">
        <v>930</v>
      </c>
      <c r="B22" s="57" t="s">
        <v>6</v>
      </c>
      <c r="C22" s="584" t="s">
        <v>22</v>
      </c>
      <c r="D22" s="584"/>
      <c r="E22" s="57">
        <v>54.09</v>
      </c>
      <c r="F22" s="236">
        <v>1375</v>
      </c>
      <c r="G22" s="226">
        <f t="shared" si="19"/>
        <v>74373.75</v>
      </c>
      <c r="H22" s="237" t="s">
        <v>5</v>
      </c>
      <c r="I22" s="227">
        <v>19</v>
      </c>
      <c r="J22" s="58">
        <v>2000</v>
      </c>
      <c r="K22" s="59">
        <f t="shared" si="1"/>
        <v>105.26315789473684</v>
      </c>
      <c r="L22" s="227">
        <v>19</v>
      </c>
      <c r="M22" s="60">
        <f t="shared" si="20"/>
        <v>1918.6046511627903</v>
      </c>
      <c r="N22" s="59">
        <f t="shared" si="3"/>
        <v>100.97919216646265</v>
      </c>
      <c r="O22" s="61">
        <f t="shared" si="4"/>
        <v>0</v>
      </c>
      <c r="P22" s="62">
        <f t="shared" si="5"/>
        <v>-4.2839657282741825</v>
      </c>
      <c r="Q22" s="232">
        <f t="shared" si="6"/>
        <v>0.95930232558139528</v>
      </c>
      <c r="R22" s="566"/>
      <c r="S22" s="63">
        <v>0.70833333333333337</v>
      </c>
      <c r="T22" s="63">
        <v>0.73819444444444449</v>
      </c>
      <c r="U22" s="226" t="str">
        <f t="shared" si="22"/>
        <v/>
      </c>
      <c r="V22" s="228">
        <f t="shared" si="21"/>
        <v>43.000000000000007</v>
      </c>
      <c r="W22" s="64"/>
      <c r="X22" s="68"/>
      <c r="Y22" s="559"/>
      <c r="Z22" s="559"/>
      <c r="AA22" s="61">
        <f t="shared" si="8"/>
        <v>-81.395348837209667</v>
      </c>
      <c r="AB22" s="232">
        <f t="shared" si="9"/>
        <v>0.95930232558139517</v>
      </c>
      <c r="AC22" s="566"/>
    </row>
    <row r="23" spans="1:29" ht="15.75" customHeight="1">
      <c r="A23" s="589" t="s">
        <v>930</v>
      </c>
      <c r="B23" s="57" t="s">
        <v>6</v>
      </c>
      <c r="C23" s="584" t="s">
        <v>69</v>
      </c>
      <c r="D23" s="584"/>
      <c r="E23" s="57">
        <v>57.73</v>
      </c>
      <c r="F23" s="236">
        <v>1334</v>
      </c>
      <c r="G23" s="226">
        <f t="shared" si="19"/>
        <v>77011.819999999992</v>
      </c>
      <c r="H23" s="237" t="s">
        <v>5</v>
      </c>
      <c r="I23" s="227">
        <v>16</v>
      </c>
      <c r="J23" s="58">
        <v>1500</v>
      </c>
      <c r="K23" s="59">
        <f t="shared" si="1"/>
        <v>93.75</v>
      </c>
      <c r="L23" s="227">
        <v>16</v>
      </c>
      <c r="M23" s="60">
        <f t="shared" si="20"/>
        <v>1429.2857142857154</v>
      </c>
      <c r="N23" s="59">
        <f t="shared" si="3"/>
        <v>89.33035714285721</v>
      </c>
      <c r="O23" s="61">
        <f t="shared" si="4"/>
        <v>0</v>
      </c>
      <c r="P23" s="62">
        <f t="shared" si="5"/>
        <v>-4.4196428571427901</v>
      </c>
      <c r="Q23" s="232">
        <f t="shared" si="6"/>
        <v>0.95285714285714362</v>
      </c>
      <c r="R23" s="566"/>
      <c r="S23" s="63">
        <v>0.74236111111111114</v>
      </c>
      <c r="T23" s="63">
        <v>0.78125</v>
      </c>
      <c r="U23" s="226">
        <f t="shared" si="22"/>
        <v>5.9999999999999787</v>
      </c>
      <c r="V23" s="228">
        <f t="shared" si="21"/>
        <v>55.999999999999957</v>
      </c>
      <c r="W23" s="64"/>
      <c r="X23" s="68"/>
      <c r="Y23" s="569"/>
      <c r="Z23" s="570"/>
      <c r="AA23" s="61">
        <f t="shared" si="8"/>
        <v>-70.714285714284642</v>
      </c>
      <c r="AB23" s="232">
        <f t="shared" si="9"/>
        <v>0.95285714285714362</v>
      </c>
      <c r="AC23" s="566"/>
    </row>
    <row r="24" spans="1:29" ht="15.75" customHeight="1">
      <c r="A24" s="589" t="s">
        <v>930</v>
      </c>
      <c r="B24" s="57" t="s">
        <v>6</v>
      </c>
      <c r="C24" s="585" t="s">
        <v>68</v>
      </c>
      <c r="D24" s="586"/>
      <c r="E24" s="57">
        <v>50.67</v>
      </c>
      <c r="F24" s="236">
        <v>1516</v>
      </c>
      <c r="G24" s="226">
        <f t="shared" si="19"/>
        <v>76815.72</v>
      </c>
      <c r="H24" s="237" t="s">
        <v>5</v>
      </c>
      <c r="I24" s="227">
        <v>15</v>
      </c>
      <c r="J24" s="58">
        <v>2000</v>
      </c>
      <c r="K24" s="59">
        <f t="shared" si="1"/>
        <v>133.33333333333334</v>
      </c>
      <c r="L24" s="227">
        <v>15</v>
      </c>
      <c r="M24" s="60">
        <f t="shared" si="20"/>
        <v>1935.3191489361704</v>
      </c>
      <c r="N24" s="59">
        <f t="shared" si="3"/>
        <v>129.02127659574469</v>
      </c>
      <c r="O24" s="61">
        <f t="shared" si="4"/>
        <v>0</v>
      </c>
      <c r="P24" s="62">
        <f t="shared" si="5"/>
        <v>-4.312056737588648</v>
      </c>
      <c r="Q24" s="232">
        <f t="shared" si="6"/>
        <v>0.96765957446808515</v>
      </c>
      <c r="R24" s="566"/>
      <c r="S24" s="63">
        <v>0.78680555555555554</v>
      </c>
      <c r="T24" s="63">
        <v>0.81944444444444442</v>
      </c>
      <c r="U24" s="226">
        <f t="shared" si="22"/>
        <v>7.9999999999999716</v>
      </c>
      <c r="V24" s="228">
        <f t="shared" si="21"/>
        <v>46.999999999999993</v>
      </c>
      <c r="W24" s="64"/>
      <c r="X24" s="64"/>
      <c r="Y24" s="569"/>
      <c r="Z24" s="570"/>
      <c r="AA24" s="61">
        <f t="shared" si="8"/>
        <v>-64.68085106382955</v>
      </c>
      <c r="AB24" s="232">
        <f t="shared" si="9"/>
        <v>0.96765957446808526</v>
      </c>
      <c r="AC24" s="566"/>
    </row>
    <row r="25" spans="1:29" ht="15.75" customHeight="1">
      <c r="A25" s="589" t="s">
        <v>930</v>
      </c>
      <c r="B25" s="57" t="s">
        <v>928</v>
      </c>
      <c r="C25" s="571"/>
      <c r="D25" s="571"/>
      <c r="E25" s="231"/>
      <c r="F25" s="236"/>
      <c r="G25" s="226"/>
      <c r="H25" s="236"/>
      <c r="I25" s="67">
        <v>16.375</v>
      </c>
      <c r="J25" s="58">
        <v>1937.5</v>
      </c>
      <c r="K25" s="59">
        <f t="shared" si="1"/>
        <v>118.32061068702291</v>
      </c>
      <c r="L25" s="67">
        <v>16.375</v>
      </c>
      <c r="M25" s="60">
        <f>AVERAGE(M17:M24)</f>
        <v>1869.280286493992</v>
      </c>
      <c r="N25" s="59">
        <f t="shared" si="3"/>
        <v>114.1545213126102</v>
      </c>
      <c r="O25" s="61">
        <f t="shared" si="4"/>
        <v>0</v>
      </c>
      <c r="P25" s="62">
        <f t="shared" si="5"/>
        <v>-4.1660893744127065</v>
      </c>
      <c r="Q25" s="232">
        <f t="shared" si="6"/>
        <v>0.96478982528722168</v>
      </c>
      <c r="R25" s="566"/>
      <c r="S25" s="63"/>
      <c r="T25" s="63"/>
      <c r="U25" s="59"/>
      <c r="V25" s="228"/>
      <c r="W25" s="59"/>
      <c r="X25" s="59"/>
      <c r="Y25" s="559"/>
      <c r="Z25" s="559"/>
      <c r="AA25" s="61">
        <f t="shared" si="8"/>
        <v>-68.21971350600802</v>
      </c>
      <c r="AB25" s="232">
        <f t="shared" si="9"/>
        <v>0.96478982528722168</v>
      </c>
      <c r="AC25" s="566"/>
    </row>
    <row r="26" spans="1:29" ht="15.75" customHeight="1">
      <c r="A26" s="587" t="s">
        <v>931</v>
      </c>
      <c r="B26" s="57" t="s">
        <v>15</v>
      </c>
      <c r="C26" s="584" t="s">
        <v>26</v>
      </c>
      <c r="D26" s="584"/>
      <c r="E26" s="57">
        <v>31.29</v>
      </c>
      <c r="F26" s="236">
        <v>7146</v>
      </c>
      <c r="G26" s="226">
        <f t="shared" ref="G26:G30" si="23">E26*F26</f>
        <v>223598.34</v>
      </c>
      <c r="H26" s="237" t="s">
        <v>5</v>
      </c>
      <c r="I26" s="227">
        <v>18</v>
      </c>
      <c r="J26" s="58">
        <v>2400</v>
      </c>
      <c r="K26" s="59">
        <f t="shared" si="1"/>
        <v>133.33333333333334</v>
      </c>
      <c r="L26" s="227">
        <v>18</v>
      </c>
      <c r="M26" s="60">
        <f t="shared" ref="M26:M30" si="24">F26/V26*60</f>
        <v>2292.8342245989297</v>
      </c>
      <c r="N26" s="59">
        <f t="shared" si="3"/>
        <v>127.37967914438498</v>
      </c>
      <c r="O26" s="61">
        <f t="shared" si="4"/>
        <v>0</v>
      </c>
      <c r="P26" s="62">
        <f t="shared" si="5"/>
        <v>-5.953654188948363</v>
      </c>
      <c r="Q26" s="232">
        <f t="shared" si="6"/>
        <v>0.95534759358288723</v>
      </c>
      <c r="R26" s="566">
        <f>Q31</f>
        <v>0.95637771268455884</v>
      </c>
      <c r="S26" s="63">
        <v>8.3333333333333329E-2</v>
      </c>
      <c r="T26" s="63">
        <v>0.21319444444444446</v>
      </c>
      <c r="U26" s="226"/>
      <c r="V26" s="228">
        <f t="shared" ref="V26:V30" si="25">(T26-S26)*24*60</f>
        <v>187.00000000000006</v>
      </c>
      <c r="W26" s="64">
        <f>T26</f>
        <v>0.21319444444444446</v>
      </c>
      <c r="X26" s="64">
        <f>S27</f>
        <v>0.23194444444444448</v>
      </c>
      <c r="Y26" s="559"/>
      <c r="Z26" s="559"/>
      <c r="AA26" s="61">
        <f t="shared" si="8"/>
        <v>-107.16577540107028</v>
      </c>
      <c r="AB26" s="232">
        <f t="shared" si="9"/>
        <v>0.95534759358288734</v>
      </c>
      <c r="AC26" s="566">
        <f>AB31</f>
        <v>0.95637771268455896</v>
      </c>
    </row>
    <row r="27" spans="1:29" ht="15.75" customHeight="1">
      <c r="A27" s="587" t="s">
        <v>931</v>
      </c>
      <c r="B27" s="57" t="s">
        <v>15</v>
      </c>
      <c r="C27" s="584" t="s">
        <v>23</v>
      </c>
      <c r="D27" s="584"/>
      <c r="E27" s="57">
        <v>26.2</v>
      </c>
      <c r="F27" s="236">
        <v>4206</v>
      </c>
      <c r="G27" s="226">
        <f t="shared" si="23"/>
        <v>110197.2</v>
      </c>
      <c r="H27" s="237" t="s">
        <v>5</v>
      </c>
      <c r="I27" s="227">
        <v>20</v>
      </c>
      <c r="J27" s="58">
        <v>2400</v>
      </c>
      <c r="K27" s="59">
        <f t="shared" si="1"/>
        <v>120</v>
      </c>
      <c r="L27" s="227">
        <v>20</v>
      </c>
      <c r="M27" s="60">
        <f t="shared" si="24"/>
        <v>2294.1818181818189</v>
      </c>
      <c r="N27" s="59">
        <f t="shared" si="3"/>
        <v>114.70909090909095</v>
      </c>
      <c r="O27" s="61">
        <f t="shared" si="4"/>
        <v>0</v>
      </c>
      <c r="P27" s="62">
        <f t="shared" si="5"/>
        <v>-5.2909090909090537</v>
      </c>
      <c r="Q27" s="232">
        <f t="shared" si="6"/>
        <v>0.95590909090909126</v>
      </c>
      <c r="R27" s="566"/>
      <c r="S27" s="63">
        <v>0.23194444444444448</v>
      </c>
      <c r="T27" s="63">
        <v>0.30833333333333335</v>
      </c>
      <c r="U27" s="226">
        <f t="shared" ref="U27:U30" si="26">(S27-T26)*24*60</f>
        <v>27.000000000000025</v>
      </c>
      <c r="V27" s="228">
        <f t="shared" si="25"/>
        <v>109.99999999999997</v>
      </c>
      <c r="W27" s="64"/>
      <c r="X27" s="64"/>
      <c r="Y27" s="559"/>
      <c r="Z27" s="559"/>
      <c r="AA27" s="61">
        <f t="shared" si="8"/>
        <v>-105.81818181818107</v>
      </c>
      <c r="AB27" s="232">
        <f t="shared" si="9"/>
        <v>0.95590909090909126</v>
      </c>
      <c r="AC27" s="566"/>
    </row>
    <row r="28" spans="1:29" ht="15.75" customHeight="1">
      <c r="A28" s="587" t="s">
        <v>931</v>
      </c>
      <c r="B28" s="57" t="s">
        <v>15</v>
      </c>
      <c r="C28" s="584" t="s">
        <v>70</v>
      </c>
      <c r="D28" s="584"/>
      <c r="E28" s="57">
        <v>25.99</v>
      </c>
      <c r="F28" s="236">
        <v>4068</v>
      </c>
      <c r="G28" s="226">
        <f t="shared" si="23"/>
        <v>105727.31999999999</v>
      </c>
      <c r="H28" s="237" t="s">
        <v>5</v>
      </c>
      <c r="I28" s="227">
        <v>14</v>
      </c>
      <c r="J28" s="58">
        <v>2400</v>
      </c>
      <c r="K28" s="59">
        <f t="shared" si="1"/>
        <v>171.42857142857142</v>
      </c>
      <c r="L28" s="227">
        <v>14</v>
      </c>
      <c r="M28" s="60">
        <f t="shared" si="24"/>
        <v>2302.6415094339613</v>
      </c>
      <c r="N28" s="59">
        <f t="shared" si="3"/>
        <v>164.47439353099725</v>
      </c>
      <c r="O28" s="61">
        <f t="shared" si="4"/>
        <v>0</v>
      </c>
      <c r="P28" s="62">
        <f t="shared" si="5"/>
        <v>-6.9541778975741693</v>
      </c>
      <c r="Q28" s="232">
        <f t="shared" si="6"/>
        <v>0.95943396226415067</v>
      </c>
      <c r="R28" s="566"/>
      <c r="S28" s="63">
        <v>0.3125</v>
      </c>
      <c r="T28" s="63">
        <v>0.38611111111111113</v>
      </c>
      <c r="U28" s="226">
        <f t="shared" si="26"/>
        <v>5.9999999999999787</v>
      </c>
      <c r="V28" s="228">
        <f t="shared" si="25"/>
        <v>106.00000000000003</v>
      </c>
      <c r="W28" s="64"/>
      <c r="X28" s="64"/>
      <c r="Y28" s="559"/>
      <c r="Z28" s="559"/>
      <c r="AA28" s="61">
        <f t="shared" si="8"/>
        <v>-97.358490566038654</v>
      </c>
      <c r="AB28" s="232">
        <f t="shared" si="9"/>
        <v>0.95943396226415056</v>
      </c>
      <c r="AC28" s="566"/>
    </row>
    <row r="29" spans="1:29" ht="15.75" customHeight="1">
      <c r="A29" s="587" t="s">
        <v>931</v>
      </c>
      <c r="B29" s="57" t="s">
        <v>15</v>
      </c>
      <c r="C29" s="584" t="s">
        <v>45</v>
      </c>
      <c r="D29" s="584"/>
      <c r="E29" s="57">
        <v>20.52</v>
      </c>
      <c r="F29" s="236">
        <v>3672</v>
      </c>
      <c r="G29" s="226">
        <f t="shared" si="23"/>
        <v>75349.440000000002</v>
      </c>
      <c r="H29" s="237" t="s">
        <v>5</v>
      </c>
      <c r="I29" s="227">
        <v>18</v>
      </c>
      <c r="J29" s="58">
        <v>2400</v>
      </c>
      <c r="K29" s="59">
        <f t="shared" si="1"/>
        <v>133.33333333333334</v>
      </c>
      <c r="L29" s="227">
        <v>18</v>
      </c>
      <c r="M29" s="60">
        <f t="shared" si="24"/>
        <v>2295.0000000000009</v>
      </c>
      <c r="N29" s="59">
        <f t="shared" si="3"/>
        <v>127.50000000000006</v>
      </c>
      <c r="O29" s="61">
        <f t="shared" si="4"/>
        <v>0</v>
      </c>
      <c r="P29" s="62">
        <f t="shared" si="5"/>
        <v>-5.833333333333286</v>
      </c>
      <c r="Q29" s="232">
        <f t="shared" si="6"/>
        <v>0.95625000000000038</v>
      </c>
      <c r="R29" s="566"/>
      <c r="S29" s="63">
        <v>0.39027777777777778</v>
      </c>
      <c r="T29" s="63">
        <v>0.45694444444444443</v>
      </c>
      <c r="U29" s="226">
        <f t="shared" si="26"/>
        <v>5.9999999999999787</v>
      </c>
      <c r="V29" s="228">
        <f t="shared" si="25"/>
        <v>95.999999999999972</v>
      </c>
      <c r="W29" s="64"/>
      <c r="X29" s="64"/>
      <c r="Y29" s="559"/>
      <c r="Z29" s="559"/>
      <c r="AA29" s="61">
        <f t="shared" si="8"/>
        <v>-104.99999999999909</v>
      </c>
      <c r="AB29" s="232">
        <f t="shared" si="9"/>
        <v>0.95625000000000038</v>
      </c>
      <c r="AC29" s="566"/>
    </row>
    <row r="30" spans="1:29" ht="15.75" customHeight="1">
      <c r="A30" s="587" t="s">
        <v>931</v>
      </c>
      <c r="B30" s="57" t="s">
        <v>15</v>
      </c>
      <c r="C30" s="584" t="s">
        <v>98</v>
      </c>
      <c r="D30" s="584"/>
      <c r="E30" s="57">
        <v>25.98</v>
      </c>
      <c r="F30" s="236">
        <v>3667</v>
      </c>
      <c r="G30" s="226">
        <f t="shared" si="23"/>
        <v>95268.66</v>
      </c>
      <c r="H30" s="237" t="s">
        <v>5</v>
      </c>
      <c r="I30" s="227">
        <v>21</v>
      </c>
      <c r="J30" s="58">
        <v>2400</v>
      </c>
      <c r="K30" s="59">
        <f t="shared" si="1"/>
        <v>114.28571428571429</v>
      </c>
      <c r="L30" s="227">
        <v>21</v>
      </c>
      <c r="M30" s="60">
        <f t="shared" si="24"/>
        <v>2291.8749999999986</v>
      </c>
      <c r="N30" s="59">
        <f t="shared" si="3"/>
        <v>109.1369047619047</v>
      </c>
      <c r="O30" s="61">
        <f t="shared" si="4"/>
        <v>0</v>
      </c>
      <c r="P30" s="62">
        <f t="shared" si="5"/>
        <v>-5.1488095238095895</v>
      </c>
      <c r="Q30" s="232">
        <f t="shared" si="6"/>
        <v>0.95494791666666612</v>
      </c>
      <c r="R30" s="566"/>
      <c r="S30" s="63">
        <v>0.46041666666666664</v>
      </c>
      <c r="T30" s="63">
        <v>0.52708333333333335</v>
      </c>
      <c r="U30" s="226">
        <f t="shared" si="26"/>
        <v>4.9999999999999822</v>
      </c>
      <c r="V30" s="228">
        <f t="shared" si="25"/>
        <v>96.000000000000057</v>
      </c>
      <c r="W30" s="64"/>
      <c r="X30" s="64"/>
      <c r="Y30" s="559"/>
      <c r="Z30" s="559"/>
      <c r="AA30" s="61">
        <f t="shared" si="8"/>
        <v>-108.12500000000136</v>
      </c>
      <c r="AB30" s="232">
        <f t="shared" si="9"/>
        <v>0.95494791666666612</v>
      </c>
      <c r="AC30" s="566"/>
    </row>
    <row r="31" spans="1:29" ht="15.75" customHeight="1">
      <c r="A31" s="587" t="s">
        <v>931</v>
      </c>
      <c r="B31" s="57" t="s">
        <v>928</v>
      </c>
      <c r="C31" s="571"/>
      <c r="D31" s="571"/>
      <c r="E31" s="231"/>
      <c r="F31" s="236"/>
      <c r="G31" s="226"/>
      <c r="H31" s="236"/>
      <c r="I31" s="67">
        <v>18.2</v>
      </c>
      <c r="J31" s="58">
        <v>2400</v>
      </c>
      <c r="K31" s="59">
        <f t="shared" si="1"/>
        <v>131.86813186813188</v>
      </c>
      <c r="L31" s="67">
        <v>18.2</v>
      </c>
      <c r="M31" s="60">
        <f>AVERAGE(M26:M30)</f>
        <v>2295.3065104429415</v>
      </c>
      <c r="N31" s="59">
        <f t="shared" si="3"/>
        <v>126.11574233202975</v>
      </c>
      <c r="O31" s="61">
        <f t="shared" si="4"/>
        <v>0</v>
      </c>
      <c r="P31" s="62">
        <f t="shared" si="5"/>
        <v>-5.7523895361021289</v>
      </c>
      <c r="Q31" s="232">
        <f t="shared" si="6"/>
        <v>0.95637771268455884</v>
      </c>
      <c r="R31" s="566"/>
      <c r="S31" s="63"/>
      <c r="T31" s="63"/>
      <c r="U31" s="226"/>
      <c r="V31" s="228"/>
      <c r="W31" s="226"/>
      <c r="X31" s="226"/>
      <c r="Y31" s="559"/>
      <c r="Z31" s="559"/>
      <c r="AA31" s="61">
        <f t="shared" si="8"/>
        <v>-104.69348955705846</v>
      </c>
      <c r="AB31" s="232">
        <f t="shared" si="9"/>
        <v>0.95637771268455896</v>
      </c>
      <c r="AC31" s="566"/>
    </row>
    <row r="32" spans="1:29" ht="15.75" customHeight="1">
      <c r="A32" s="582" t="s">
        <v>932</v>
      </c>
      <c r="B32" s="57" t="s">
        <v>15</v>
      </c>
      <c r="C32" s="560" t="s">
        <v>101</v>
      </c>
      <c r="D32" s="560"/>
      <c r="E32" s="57">
        <v>22.69</v>
      </c>
      <c r="F32" s="236">
        <v>2283</v>
      </c>
      <c r="G32" s="226">
        <f t="shared" ref="G32:G37" si="27">E32*F32</f>
        <v>51801.270000000004</v>
      </c>
      <c r="H32" s="237" t="s">
        <v>5</v>
      </c>
      <c r="I32" s="227">
        <v>15</v>
      </c>
      <c r="J32" s="58">
        <v>2400</v>
      </c>
      <c r="K32" s="59">
        <f t="shared" si="1"/>
        <v>160</v>
      </c>
      <c r="L32" s="227">
        <v>15</v>
      </c>
      <c r="M32" s="60">
        <f t="shared" ref="M32:M37" si="28">F32/V32*60</f>
        <v>2321.694915254237</v>
      </c>
      <c r="N32" s="59">
        <f t="shared" si="3"/>
        <v>154.77966101694912</v>
      </c>
      <c r="O32" s="61">
        <f t="shared" si="4"/>
        <v>0</v>
      </c>
      <c r="P32" s="62">
        <f t="shared" si="5"/>
        <v>-5.2203389830508797</v>
      </c>
      <c r="Q32" s="232">
        <f t="shared" si="6"/>
        <v>0.96737288135593202</v>
      </c>
      <c r="R32" s="566">
        <f>Q38</f>
        <v>0.95924003883763576</v>
      </c>
      <c r="S32" s="63">
        <v>8.3333333333333329E-2</v>
      </c>
      <c r="T32" s="63">
        <v>0.12430555555555556</v>
      </c>
      <c r="U32" s="226"/>
      <c r="V32" s="228">
        <f t="shared" ref="V32:V37" si="29">(T32-S32)*24*60</f>
        <v>59.000000000000007</v>
      </c>
      <c r="W32" s="68">
        <f>T32</f>
        <v>0.12430555555555556</v>
      </c>
      <c r="X32" s="68">
        <f>S33</f>
        <v>0.1423611111111111</v>
      </c>
      <c r="Y32" s="559"/>
      <c r="Z32" s="559"/>
      <c r="AA32" s="61">
        <f t="shared" si="8"/>
        <v>-78.305084745762997</v>
      </c>
      <c r="AB32" s="232">
        <f t="shared" si="9"/>
        <v>0.96737288135593213</v>
      </c>
      <c r="AC32" s="566">
        <f>AB38</f>
        <v>0.95924003883763587</v>
      </c>
    </row>
    <row r="33" spans="1:29" ht="15.75" customHeight="1">
      <c r="A33" s="582" t="s">
        <v>932</v>
      </c>
      <c r="B33" s="57" t="s">
        <v>15</v>
      </c>
      <c r="C33" s="560" t="s">
        <v>27</v>
      </c>
      <c r="D33" s="560"/>
      <c r="E33" s="57">
        <v>26.2</v>
      </c>
      <c r="F33" s="236">
        <v>5270</v>
      </c>
      <c r="G33" s="226">
        <f t="shared" si="27"/>
        <v>138074</v>
      </c>
      <c r="H33" s="237" t="s">
        <v>5</v>
      </c>
      <c r="I33" s="227">
        <v>18</v>
      </c>
      <c r="J33" s="58">
        <v>2400</v>
      </c>
      <c r="K33" s="59">
        <f t="shared" si="1"/>
        <v>133.33333333333334</v>
      </c>
      <c r="L33" s="227">
        <v>18</v>
      </c>
      <c r="M33" s="60">
        <f t="shared" si="28"/>
        <v>2291.304347826087</v>
      </c>
      <c r="N33" s="59">
        <f t="shared" si="3"/>
        <v>127.29468599033817</v>
      </c>
      <c r="O33" s="61">
        <f t="shared" si="4"/>
        <v>0</v>
      </c>
      <c r="P33" s="62">
        <f t="shared" si="5"/>
        <v>-6.0386473429951764</v>
      </c>
      <c r="Q33" s="232">
        <f t="shared" si="6"/>
        <v>0.95471014492753614</v>
      </c>
      <c r="R33" s="566"/>
      <c r="S33" s="63">
        <v>0.1423611111111111</v>
      </c>
      <c r="T33" s="63">
        <v>0.23819444444444443</v>
      </c>
      <c r="U33" s="226">
        <f t="shared" ref="U33:U37" si="30">(S33-T32)*24*60</f>
        <v>25.999999999999986</v>
      </c>
      <c r="V33" s="228">
        <f t="shared" si="29"/>
        <v>138</v>
      </c>
      <c r="W33" s="226"/>
      <c r="X33" s="226"/>
      <c r="Y33" s="559"/>
      <c r="Z33" s="559"/>
      <c r="AA33" s="61">
        <f t="shared" si="8"/>
        <v>-108.695652173913</v>
      </c>
      <c r="AB33" s="232">
        <f t="shared" si="9"/>
        <v>0.95471014492753625</v>
      </c>
      <c r="AC33" s="566"/>
    </row>
    <row r="34" spans="1:29">
      <c r="A34" s="583" t="s">
        <v>932</v>
      </c>
      <c r="B34" s="57" t="s">
        <v>15</v>
      </c>
      <c r="C34" s="560" t="s">
        <v>25</v>
      </c>
      <c r="D34" s="560"/>
      <c r="E34" s="57">
        <v>26.18</v>
      </c>
      <c r="F34" s="236">
        <v>2176</v>
      </c>
      <c r="G34" s="226">
        <f t="shared" si="27"/>
        <v>56967.68</v>
      </c>
      <c r="H34" s="237" t="s">
        <v>5</v>
      </c>
      <c r="I34" s="227">
        <v>19</v>
      </c>
      <c r="J34" s="58">
        <v>2400</v>
      </c>
      <c r="K34" s="59">
        <f t="shared" si="1"/>
        <v>126.31578947368421</v>
      </c>
      <c r="L34" s="227">
        <v>19</v>
      </c>
      <c r="M34" s="60">
        <f t="shared" si="28"/>
        <v>2290.5263157894738</v>
      </c>
      <c r="N34" s="59">
        <f t="shared" si="3"/>
        <v>120.55401662049861</v>
      </c>
      <c r="O34" s="61">
        <f t="shared" si="4"/>
        <v>0</v>
      </c>
      <c r="P34" s="62">
        <f t="shared" si="5"/>
        <v>-5.7617728531855903</v>
      </c>
      <c r="Q34" s="232">
        <f t="shared" si="6"/>
        <v>0.95438596491228078</v>
      </c>
      <c r="R34" s="566"/>
      <c r="S34" s="63">
        <v>0.24236111111111111</v>
      </c>
      <c r="T34" s="63">
        <v>0.28194444444444444</v>
      </c>
      <c r="U34" s="226">
        <f t="shared" si="30"/>
        <v>6.0000000000000187</v>
      </c>
      <c r="V34" s="228">
        <f t="shared" si="29"/>
        <v>57</v>
      </c>
      <c r="W34" s="226"/>
      <c r="X34" s="226"/>
      <c r="Y34" s="559"/>
      <c r="Z34" s="559"/>
      <c r="AA34" s="61">
        <f t="shared" si="8"/>
        <v>-109.47368421052624</v>
      </c>
      <c r="AB34" s="232">
        <f t="shared" si="9"/>
        <v>0.95438596491228078</v>
      </c>
      <c r="AC34" s="566"/>
    </row>
    <row r="35" spans="1:29">
      <c r="A35" s="583" t="s">
        <v>932</v>
      </c>
      <c r="B35" s="57" t="s">
        <v>15</v>
      </c>
      <c r="C35" s="560" t="s">
        <v>28</v>
      </c>
      <c r="D35" s="560"/>
      <c r="E35" s="57">
        <v>26.39</v>
      </c>
      <c r="F35" s="236">
        <v>5160</v>
      </c>
      <c r="G35" s="226">
        <f t="shared" si="27"/>
        <v>136172.4</v>
      </c>
      <c r="H35" s="237" t="s">
        <v>5</v>
      </c>
      <c r="I35" s="227">
        <v>19</v>
      </c>
      <c r="J35" s="58">
        <v>2400</v>
      </c>
      <c r="K35" s="59">
        <f t="shared" si="1"/>
        <v>126.31578947368421</v>
      </c>
      <c r="L35" s="227">
        <v>19</v>
      </c>
      <c r="M35" s="60">
        <f t="shared" si="28"/>
        <v>2293.3333333333335</v>
      </c>
      <c r="N35" s="59">
        <f t="shared" si="3"/>
        <v>120.70175438596492</v>
      </c>
      <c r="O35" s="61">
        <f t="shared" si="4"/>
        <v>0</v>
      </c>
      <c r="P35" s="62">
        <f t="shared" si="5"/>
        <v>-5.6140350877192873</v>
      </c>
      <c r="Q35" s="232">
        <f t="shared" si="6"/>
        <v>0.9555555555555556</v>
      </c>
      <c r="R35" s="566"/>
      <c r="S35" s="63">
        <v>0.28680555555555554</v>
      </c>
      <c r="T35" s="63">
        <v>0.38055555555555554</v>
      </c>
      <c r="U35" s="226">
        <f t="shared" si="30"/>
        <v>6.9999999999999751</v>
      </c>
      <c r="V35" s="228">
        <f t="shared" si="29"/>
        <v>135</v>
      </c>
      <c r="W35" s="64"/>
      <c r="X35" s="64"/>
      <c r="Y35" s="559"/>
      <c r="Z35" s="559"/>
      <c r="AA35" s="61">
        <f t="shared" si="8"/>
        <v>-106.66666666666652</v>
      </c>
      <c r="AB35" s="232">
        <f t="shared" si="9"/>
        <v>0.9555555555555556</v>
      </c>
      <c r="AC35" s="566"/>
    </row>
    <row r="36" spans="1:29">
      <c r="A36" s="583" t="s">
        <v>932</v>
      </c>
      <c r="B36" s="57" t="s">
        <v>15</v>
      </c>
      <c r="C36" s="560" t="s">
        <v>658</v>
      </c>
      <c r="D36" s="560"/>
      <c r="E36" s="57">
        <v>21.68</v>
      </c>
      <c r="F36" s="236">
        <v>4796</v>
      </c>
      <c r="G36" s="226">
        <f t="shared" si="27"/>
        <v>103977.28</v>
      </c>
      <c r="H36" s="237" t="s">
        <v>5</v>
      </c>
      <c r="I36" s="227">
        <v>16</v>
      </c>
      <c r="J36" s="58">
        <v>2400</v>
      </c>
      <c r="K36" s="59">
        <f t="shared" si="1"/>
        <v>150</v>
      </c>
      <c r="L36" s="227">
        <v>16</v>
      </c>
      <c r="M36" s="60">
        <f t="shared" si="28"/>
        <v>2302.0799999999995</v>
      </c>
      <c r="N36" s="59">
        <f t="shared" si="3"/>
        <v>143.87999999999997</v>
      </c>
      <c r="O36" s="61">
        <f t="shared" si="4"/>
        <v>0</v>
      </c>
      <c r="P36" s="62">
        <f t="shared" si="5"/>
        <v>-6.120000000000033</v>
      </c>
      <c r="Q36" s="232">
        <f t="shared" si="6"/>
        <v>0.95919999999999983</v>
      </c>
      <c r="R36" s="566"/>
      <c r="S36" s="63">
        <v>0.38541666666666663</v>
      </c>
      <c r="T36" s="63">
        <v>0.47222222222222221</v>
      </c>
      <c r="U36" s="226">
        <f t="shared" si="30"/>
        <v>6.9999999999999751</v>
      </c>
      <c r="V36" s="228">
        <f t="shared" si="29"/>
        <v>125.00000000000003</v>
      </c>
      <c r="W36" s="64"/>
      <c r="X36" s="64"/>
      <c r="Y36" s="559"/>
      <c r="Z36" s="559"/>
      <c r="AA36" s="61">
        <f t="shared" si="8"/>
        <v>-97.920000000000528</v>
      </c>
      <c r="AB36" s="232">
        <f t="shared" si="9"/>
        <v>0.95919999999999983</v>
      </c>
      <c r="AC36" s="566"/>
    </row>
    <row r="37" spans="1:29">
      <c r="A37" s="583" t="s">
        <v>932</v>
      </c>
      <c r="B37" s="57" t="s">
        <v>15</v>
      </c>
      <c r="C37" s="560" t="s">
        <v>30</v>
      </c>
      <c r="D37" s="560"/>
      <c r="E37" s="57">
        <v>24.25</v>
      </c>
      <c r="F37" s="236">
        <v>1967</v>
      </c>
      <c r="G37" s="226">
        <f t="shared" si="27"/>
        <v>47699.75</v>
      </c>
      <c r="H37" s="237" t="s">
        <v>5</v>
      </c>
      <c r="I37" s="227">
        <v>13</v>
      </c>
      <c r="J37" s="58">
        <v>2400</v>
      </c>
      <c r="K37" s="59">
        <f t="shared" si="1"/>
        <v>184.61538461538461</v>
      </c>
      <c r="L37" s="227">
        <v>13</v>
      </c>
      <c r="M37" s="60">
        <f t="shared" si="28"/>
        <v>2314.1176470588243</v>
      </c>
      <c r="N37" s="59">
        <f t="shared" si="3"/>
        <v>178.00904977375572</v>
      </c>
      <c r="O37" s="61">
        <f t="shared" si="4"/>
        <v>0</v>
      </c>
      <c r="P37" s="62">
        <f t="shared" si="5"/>
        <v>-6.6063348416288932</v>
      </c>
      <c r="Q37" s="232">
        <f t="shared" si="6"/>
        <v>0.96421568627451015</v>
      </c>
      <c r="R37" s="566"/>
      <c r="S37" s="63">
        <v>0.47569444444444442</v>
      </c>
      <c r="T37" s="63">
        <v>0.51111111111111107</v>
      </c>
      <c r="U37" s="226">
        <f t="shared" si="30"/>
        <v>4.9999999999999822</v>
      </c>
      <c r="V37" s="228">
        <f t="shared" si="29"/>
        <v>50.999999999999979</v>
      </c>
      <c r="W37" s="64"/>
      <c r="X37" s="64"/>
      <c r="Y37" s="559"/>
      <c r="Z37" s="559"/>
      <c r="AA37" s="61">
        <f t="shared" si="8"/>
        <v>-85.882352941175668</v>
      </c>
      <c r="AB37" s="232">
        <f t="shared" si="9"/>
        <v>0.96421568627451015</v>
      </c>
      <c r="AC37" s="566"/>
    </row>
    <row r="38" spans="1:29">
      <c r="A38" s="583" t="s">
        <v>932</v>
      </c>
      <c r="B38" s="66" t="s">
        <v>928</v>
      </c>
      <c r="C38" s="571"/>
      <c r="D38" s="571"/>
      <c r="E38" s="231"/>
      <c r="F38" s="66"/>
      <c r="G38" s="59"/>
      <c r="H38" s="236"/>
      <c r="I38" s="67">
        <v>16.666666666666668</v>
      </c>
      <c r="J38" s="58">
        <v>2400</v>
      </c>
      <c r="K38" s="59">
        <f t="shared" si="1"/>
        <v>144</v>
      </c>
      <c r="L38" s="67">
        <v>16.666666666666668</v>
      </c>
      <c r="M38" s="60">
        <f>AVERAGE(M32:M37)</f>
        <v>2302.1760932103261</v>
      </c>
      <c r="N38" s="59">
        <f t="shared" si="3"/>
        <v>138.13056559261955</v>
      </c>
      <c r="O38" s="61">
        <f t="shared" si="4"/>
        <v>0</v>
      </c>
      <c r="P38" s="62">
        <f t="shared" si="5"/>
        <v>-5.869434407380453</v>
      </c>
      <c r="Q38" s="232">
        <f t="shared" si="6"/>
        <v>0.95924003883763576</v>
      </c>
      <c r="R38" s="566"/>
      <c r="S38" s="63"/>
      <c r="T38" s="63"/>
      <c r="U38" s="59"/>
      <c r="V38" s="228"/>
      <c r="W38" s="59"/>
      <c r="X38" s="59"/>
      <c r="Y38" s="559"/>
      <c r="Z38" s="559"/>
      <c r="AA38" s="61">
        <f t="shared" si="8"/>
        <v>-97.823906789673856</v>
      </c>
      <c r="AB38" s="232">
        <f t="shared" si="9"/>
        <v>0.95924003883763587</v>
      </c>
      <c r="AC38" s="566"/>
    </row>
    <row r="39" spans="1:29" ht="15.75" customHeight="1">
      <c r="A39" s="576" t="s">
        <v>933</v>
      </c>
      <c r="B39" s="57" t="s">
        <v>31</v>
      </c>
      <c r="C39" s="567" t="s">
        <v>32</v>
      </c>
      <c r="D39" s="568"/>
      <c r="E39" s="57">
        <v>21.13</v>
      </c>
      <c r="F39" s="236">
        <v>4359</v>
      </c>
      <c r="G39" s="226">
        <f t="shared" ref="G39:G44" si="31">E39*F39</f>
        <v>92105.67</v>
      </c>
      <c r="H39" s="237" t="s">
        <v>5</v>
      </c>
      <c r="I39" s="227">
        <v>10</v>
      </c>
      <c r="J39" s="58">
        <v>3000</v>
      </c>
      <c r="K39" s="59">
        <f t="shared" si="1"/>
        <v>300</v>
      </c>
      <c r="L39" s="227">
        <v>10</v>
      </c>
      <c r="M39" s="60">
        <f t="shared" ref="M39:M44" si="32">F39/V39*60</f>
        <v>2874.0659340659349</v>
      </c>
      <c r="N39" s="60">
        <f t="shared" si="3"/>
        <v>287.40659340659352</v>
      </c>
      <c r="O39" s="61">
        <f t="shared" si="4"/>
        <v>0</v>
      </c>
      <c r="P39" s="62">
        <f t="shared" si="5"/>
        <v>-12.593406593406485</v>
      </c>
      <c r="Q39" s="232">
        <f t="shared" si="6"/>
        <v>0.95802197802197842</v>
      </c>
      <c r="R39" s="579">
        <f>Q45</f>
        <v>0.95989991657355</v>
      </c>
      <c r="S39" s="63">
        <v>8.3333333333333329E-2</v>
      </c>
      <c r="T39" s="63">
        <v>0.14652777777777776</v>
      </c>
      <c r="U39" s="68"/>
      <c r="V39" s="228">
        <f t="shared" ref="V39:V44" si="33">(T39-S39)*24*60</f>
        <v>90.999999999999972</v>
      </c>
      <c r="W39" s="64">
        <f>T39</f>
        <v>0.14652777777777776</v>
      </c>
      <c r="X39" s="64">
        <f>S40</f>
        <v>0.1645833333333333</v>
      </c>
      <c r="Y39" s="569"/>
      <c r="Z39" s="570"/>
      <c r="AA39" s="61">
        <f t="shared" si="8"/>
        <v>-125.93406593406507</v>
      </c>
      <c r="AB39" s="232">
        <f t="shared" si="9"/>
        <v>0.9580219780219783</v>
      </c>
      <c r="AC39" s="579">
        <f>AB45</f>
        <v>0.95989991657355</v>
      </c>
    </row>
    <row r="40" spans="1:29" ht="15.75" customHeight="1">
      <c r="A40" s="577" t="s">
        <v>933</v>
      </c>
      <c r="B40" s="57" t="s">
        <v>31</v>
      </c>
      <c r="C40" s="567" t="s">
        <v>33</v>
      </c>
      <c r="D40" s="568"/>
      <c r="E40" s="57">
        <v>27.17</v>
      </c>
      <c r="F40" s="236">
        <v>5376</v>
      </c>
      <c r="G40" s="226">
        <f t="shared" si="31"/>
        <v>146065.92000000001</v>
      </c>
      <c r="H40" s="237" t="s">
        <v>5</v>
      </c>
      <c r="I40" s="227">
        <v>10</v>
      </c>
      <c r="J40" s="58">
        <v>3000</v>
      </c>
      <c r="K40" s="59">
        <f t="shared" si="1"/>
        <v>300</v>
      </c>
      <c r="L40" s="227">
        <v>10</v>
      </c>
      <c r="M40" s="60">
        <f t="shared" si="32"/>
        <v>2854.5132743362833</v>
      </c>
      <c r="N40" s="60">
        <f t="shared" si="3"/>
        <v>285.45132743362831</v>
      </c>
      <c r="O40" s="61">
        <f t="shared" si="4"/>
        <v>0</v>
      </c>
      <c r="P40" s="62">
        <f t="shared" si="5"/>
        <v>-14.548672566371692</v>
      </c>
      <c r="Q40" s="232">
        <f t="shared" si="6"/>
        <v>0.95150442477876107</v>
      </c>
      <c r="R40" s="580"/>
      <c r="S40" s="63">
        <v>0.1645833333333333</v>
      </c>
      <c r="T40" s="63">
        <v>0.24305555555555552</v>
      </c>
      <c r="U40" s="226">
        <f t="shared" ref="U40:U44" si="34">(S40-T39)*24*60</f>
        <v>25.999999999999986</v>
      </c>
      <c r="V40" s="228">
        <f t="shared" si="33"/>
        <v>113</v>
      </c>
      <c r="W40" s="64"/>
      <c r="X40" s="64"/>
      <c r="Y40" s="569"/>
      <c r="Z40" s="570"/>
      <c r="AA40" s="61">
        <f t="shared" si="8"/>
        <v>-145.4867256637167</v>
      </c>
      <c r="AB40" s="232">
        <f t="shared" si="9"/>
        <v>0.95150442477876107</v>
      </c>
      <c r="AC40" s="580"/>
    </row>
    <row r="41" spans="1:29" ht="15.75" customHeight="1">
      <c r="A41" s="577" t="s">
        <v>933</v>
      </c>
      <c r="B41" s="57" t="s">
        <v>31</v>
      </c>
      <c r="C41" s="567" t="s">
        <v>35</v>
      </c>
      <c r="D41" s="568"/>
      <c r="E41" s="57">
        <v>35.869999999999997</v>
      </c>
      <c r="F41" s="236">
        <v>2230</v>
      </c>
      <c r="G41" s="226">
        <f t="shared" si="31"/>
        <v>79990.099999999991</v>
      </c>
      <c r="H41" s="237" t="s">
        <v>5</v>
      </c>
      <c r="I41" s="227">
        <v>9</v>
      </c>
      <c r="J41" s="58">
        <v>3000</v>
      </c>
      <c r="K41" s="59">
        <f t="shared" si="1"/>
        <v>333.33333333333331</v>
      </c>
      <c r="L41" s="227">
        <v>9</v>
      </c>
      <c r="M41" s="60">
        <f t="shared" si="32"/>
        <v>2908.6956521739112</v>
      </c>
      <c r="N41" s="60">
        <f t="shared" si="3"/>
        <v>323.18840579710127</v>
      </c>
      <c r="O41" s="61">
        <f t="shared" si="4"/>
        <v>0</v>
      </c>
      <c r="P41" s="62">
        <f t="shared" si="5"/>
        <v>-10.144927536232046</v>
      </c>
      <c r="Q41" s="232">
        <f t="shared" si="6"/>
        <v>0.96956521739130386</v>
      </c>
      <c r="R41" s="580"/>
      <c r="S41" s="63">
        <v>0.24861111111111109</v>
      </c>
      <c r="T41" s="63">
        <v>0.28055555555555556</v>
      </c>
      <c r="U41" s="226">
        <f t="shared" si="34"/>
        <v>8.0000000000000107</v>
      </c>
      <c r="V41" s="228">
        <f t="shared" si="33"/>
        <v>46.000000000000036</v>
      </c>
      <c r="W41" s="64"/>
      <c r="X41" s="64"/>
      <c r="Y41" s="569"/>
      <c r="Z41" s="570"/>
      <c r="AA41" s="61">
        <f t="shared" si="8"/>
        <v>-91.304347826088815</v>
      </c>
      <c r="AB41" s="232">
        <f t="shared" si="9"/>
        <v>0.96956521739130375</v>
      </c>
      <c r="AC41" s="580"/>
    </row>
    <row r="42" spans="1:29" ht="15.75" customHeight="1">
      <c r="A42" s="577" t="s">
        <v>933</v>
      </c>
      <c r="B42" s="57" t="s">
        <v>31</v>
      </c>
      <c r="C42" s="567" t="s">
        <v>34</v>
      </c>
      <c r="D42" s="568"/>
      <c r="E42" s="57">
        <v>35.119999999999997</v>
      </c>
      <c r="F42" s="236">
        <v>3505</v>
      </c>
      <c r="G42" s="226">
        <f t="shared" si="31"/>
        <v>123095.59999999999</v>
      </c>
      <c r="H42" s="237" t="s">
        <v>5</v>
      </c>
      <c r="I42" s="227">
        <v>10</v>
      </c>
      <c r="J42" s="58">
        <v>3000</v>
      </c>
      <c r="K42" s="59">
        <f t="shared" si="1"/>
        <v>300</v>
      </c>
      <c r="L42" s="227">
        <v>10</v>
      </c>
      <c r="M42" s="60">
        <f t="shared" si="32"/>
        <v>2880.8219178082195</v>
      </c>
      <c r="N42" s="60">
        <f t="shared" si="3"/>
        <v>288.08219178082197</v>
      </c>
      <c r="O42" s="61">
        <f t="shared" si="4"/>
        <v>0</v>
      </c>
      <c r="P42" s="62">
        <f t="shared" si="5"/>
        <v>-11.917808219178028</v>
      </c>
      <c r="Q42" s="232">
        <f t="shared" si="6"/>
        <v>0.96027397260273994</v>
      </c>
      <c r="R42" s="580"/>
      <c r="S42" s="63">
        <v>0.28402777777777777</v>
      </c>
      <c r="T42" s="63">
        <v>0.3347222222222222</v>
      </c>
      <c r="U42" s="226">
        <f t="shared" si="34"/>
        <v>4.9999999999999822</v>
      </c>
      <c r="V42" s="228">
        <f t="shared" si="33"/>
        <v>72.999999999999986</v>
      </c>
      <c r="W42" s="64"/>
      <c r="X42" s="64"/>
      <c r="Y42" s="569"/>
      <c r="Z42" s="570"/>
      <c r="AA42" s="61">
        <f t="shared" si="8"/>
        <v>-119.1780821917805</v>
      </c>
      <c r="AB42" s="232">
        <f t="shared" si="9"/>
        <v>0.96027397260273983</v>
      </c>
      <c r="AC42" s="580"/>
    </row>
    <row r="43" spans="1:29" ht="15.75" customHeight="1">
      <c r="A43" s="577" t="s">
        <v>933</v>
      </c>
      <c r="B43" s="57" t="s">
        <v>31</v>
      </c>
      <c r="C43" s="567" t="s">
        <v>71</v>
      </c>
      <c r="D43" s="568"/>
      <c r="E43" s="57">
        <v>31</v>
      </c>
      <c r="F43" s="236">
        <v>1922</v>
      </c>
      <c r="G43" s="226">
        <f t="shared" si="31"/>
        <v>59582</v>
      </c>
      <c r="H43" s="237" t="s">
        <v>5</v>
      </c>
      <c r="I43" s="227">
        <v>13</v>
      </c>
      <c r="J43" s="58">
        <v>2000</v>
      </c>
      <c r="K43" s="59">
        <f t="shared" si="1"/>
        <v>153.84615384615384</v>
      </c>
      <c r="L43" s="227">
        <v>13</v>
      </c>
      <c r="M43" s="60">
        <f t="shared" si="32"/>
        <v>1921.9999999999991</v>
      </c>
      <c r="N43" s="60">
        <f t="shared" si="3"/>
        <v>147.84615384615378</v>
      </c>
      <c r="O43" s="61">
        <f t="shared" si="4"/>
        <v>0</v>
      </c>
      <c r="P43" s="62">
        <f t="shared" si="5"/>
        <v>-6.0000000000000568</v>
      </c>
      <c r="Q43" s="232">
        <f t="shared" si="6"/>
        <v>0.96099999999999963</v>
      </c>
      <c r="R43" s="580"/>
      <c r="S43" s="63">
        <v>0.33819444444444441</v>
      </c>
      <c r="T43" s="63">
        <v>0.37986111111111109</v>
      </c>
      <c r="U43" s="226">
        <f t="shared" si="34"/>
        <v>4.9999999999999822</v>
      </c>
      <c r="V43" s="228">
        <f t="shared" si="33"/>
        <v>60.000000000000028</v>
      </c>
      <c r="W43" s="64"/>
      <c r="X43" s="64"/>
      <c r="Y43" s="569"/>
      <c r="Z43" s="570"/>
      <c r="AA43" s="61">
        <f t="shared" si="8"/>
        <v>-78.000000000000909</v>
      </c>
      <c r="AB43" s="232">
        <f t="shared" si="9"/>
        <v>0.96099999999999952</v>
      </c>
      <c r="AC43" s="580"/>
    </row>
    <row r="44" spans="1:29" ht="15.75" customHeight="1">
      <c r="A44" s="577" t="s">
        <v>933</v>
      </c>
      <c r="B44" s="57" t="s">
        <v>31</v>
      </c>
      <c r="C44" s="567" t="s">
        <v>659</v>
      </c>
      <c r="D44" s="568"/>
      <c r="E44" s="57">
        <v>37.880000000000003</v>
      </c>
      <c r="F44" s="236">
        <v>3389</v>
      </c>
      <c r="G44" s="226">
        <f t="shared" si="31"/>
        <v>128375.32</v>
      </c>
      <c r="H44" s="237" t="s">
        <v>5</v>
      </c>
      <c r="I44" s="227">
        <v>16</v>
      </c>
      <c r="J44" s="58">
        <v>2000</v>
      </c>
      <c r="K44" s="59">
        <f t="shared" si="1"/>
        <v>125</v>
      </c>
      <c r="L44" s="227">
        <v>16</v>
      </c>
      <c r="M44" s="60">
        <f t="shared" si="32"/>
        <v>1918.3018867924523</v>
      </c>
      <c r="N44" s="60">
        <f t="shared" si="3"/>
        <v>119.89386792452827</v>
      </c>
      <c r="O44" s="61">
        <f t="shared" si="4"/>
        <v>0</v>
      </c>
      <c r="P44" s="62">
        <f t="shared" si="5"/>
        <v>-5.1061320754717343</v>
      </c>
      <c r="Q44" s="232">
        <f t="shared" si="6"/>
        <v>0.95915094339622609</v>
      </c>
      <c r="R44" s="580"/>
      <c r="S44" s="63">
        <v>0.3833333333333333</v>
      </c>
      <c r="T44" s="63">
        <v>0.45694444444444443</v>
      </c>
      <c r="U44" s="226">
        <f t="shared" si="34"/>
        <v>4.9999999999999822</v>
      </c>
      <c r="V44" s="228">
        <f t="shared" si="33"/>
        <v>106.00000000000003</v>
      </c>
      <c r="W44" s="64"/>
      <c r="X44" s="64"/>
      <c r="Y44" s="569"/>
      <c r="Z44" s="570"/>
      <c r="AA44" s="61">
        <f t="shared" si="8"/>
        <v>-81.698113207547749</v>
      </c>
      <c r="AB44" s="232">
        <f t="shared" si="9"/>
        <v>0.95915094339622609</v>
      </c>
      <c r="AC44" s="580"/>
    </row>
    <row r="45" spans="1:29" ht="15.75" customHeight="1">
      <c r="A45" s="578" t="s">
        <v>933</v>
      </c>
      <c r="B45" s="57" t="s">
        <v>928</v>
      </c>
      <c r="C45" s="561"/>
      <c r="D45" s="562"/>
      <c r="E45" s="235"/>
      <c r="F45" s="236"/>
      <c r="G45" s="226"/>
      <c r="H45" s="236"/>
      <c r="I45" s="67">
        <v>11.333333333333334</v>
      </c>
      <c r="J45" s="58">
        <v>2666.6666666666665</v>
      </c>
      <c r="K45" s="59">
        <f t="shared" si="1"/>
        <v>235.29411764705881</v>
      </c>
      <c r="L45" s="67">
        <v>11.333333333333334</v>
      </c>
      <c r="M45" s="60">
        <f>AVERAGE(M39:M44)</f>
        <v>2559.7331108628</v>
      </c>
      <c r="N45" s="59">
        <f t="shared" si="3"/>
        <v>225.85880389965882</v>
      </c>
      <c r="O45" s="61">
        <f t="shared" si="4"/>
        <v>0</v>
      </c>
      <c r="P45" s="62">
        <f t="shared" si="5"/>
        <v>-9.435313747399988</v>
      </c>
      <c r="Q45" s="232">
        <f t="shared" si="6"/>
        <v>0.95989991657355</v>
      </c>
      <c r="R45" s="581"/>
      <c r="S45" s="63"/>
      <c r="T45" s="63"/>
      <c r="U45" s="226"/>
      <c r="V45" s="228"/>
      <c r="W45" s="64"/>
      <c r="X45" s="64"/>
      <c r="Y45" s="569"/>
      <c r="Z45" s="570"/>
      <c r="AA45" s="61">
        <f t="shared" si="8"/>
        <v>-106.93355580386651</v>
      </c>
      <c r="AB45" s="232">
        <f t="shared" si="9"/>
        <v>0.95989991657355</v>
      </c>
      <c r="AC45" s="581"/>
    </row>
    <row r="46" spans="1:29" ht="15.75" customHeight="1">
      <c r="A46" s="574" t="s">
        <v>934</v>
      </c>
      <c r="B46" s="57" t="s">
        <v>10</v>
      </c>
      <c r="C46" s="560" t="s">
        <v>37</v>
      </c>
      <c r="D46" s="560"/>
      <c r="E46" s="57">
        <v>46</v>
      </c>
      <c r="F46" s="69">
        <v>1582</v>
      </c>
      <c r="G46" s="226">
        <f t="shared" ref="G46:G50" si="35">E46*F46</f>
        <v>72772</v>
      </c>
      <c r="H46" s="237" t="s">
        <v>5</v>
      </c>
      <c r="I46" s="227">
        <v>17</v>
      </c>
      <c r="J46" s="58">
        <v>2000</v>
      </c>
      <c r="K46" s="59">
        <f t="shared" si="1"/>
        <v>117.64705882352941</v>
      </c>
      <c r="L46" s="227">
        <v>17</v>
      </c>
      <c r="M46" s="60">
        <f t="shared" ref="M46:M50" si="36">F46/V46*60</f>
        <v>1937.1428571428576</v>
      </c>
      <c r="N46" s="60">
        <f t="shared" si="3"/>
        <v>113.94957983193279</v>
      </c>
      <c r="O46" s="61">
        <f t="shared" si="4"/>
        <v>0</v>
      </c>
      <c r="P46" s="62">
        <f t="shared" si="5"/>
        <v>-3.6974789915966113</v>
      </c>
      <c r="Q46" s="232">
        <f t="shared" si="6"/>
        <v>0.96857142857142875</v>
      </c>
      <c r="R46" s="566">
        <f>Q51</f>
        <v>0.9644817431708036</v>
      </c>
      <c r="S46" s="63">
        <v>0.20833333333333334</v>
      </c>
      <c r="T46" s="63">
        <v>0.24236111111111111</v>
      </c>
      <c r="U46" s="68"/>
      <c r="V46" s="228">
        <f t="shared" ref="V46:V50" si="37">(T46-S46)*24*60</f>
        <v>48.999999999999986</v>
      </c>
      <c r="W46" s="68"/>
      <c r="X46" s="68"/>
      <c r="Y46" s="559"/>
      <c r="Z46" s="559"/>
      <c r="AA46" s="61">
        <f t="shared" si="8"/>
        <v>-62.857142857142435</v>
      </c>
      <c r="AB46" s="232">
        <f t="shared" si="9"/>
        <v>0.96857142857142875</v>
      </c>
      <c r="AC46" s="566">
        <f>AB51</f>
        <v>0.9644817431708036</v>
      </c>
    </row>
    <row r="47" spans="1:29" ht="15.75" customHeight="1">
      <c r="A47" s="574" t="s">
        <v>934</v>
      </c>
      <c r="B47" s="57" t="s">
        <v>10</v>
      </c>
      <c r="C47" s="560" t="s">
        <v>38</v>
      </c>
      <c r="D47" s="560"/>
      <c r="E47" s="57">
        <v>46</v>
      </c>
      <c r="F47" s="69">
        <v>1691</v>
      </c>
      <c r="G47" s="226">
        <f t="shared" si="35"/>
        <v>77786</v>
      </c>
      <c r="H47" s="237" t="s">
        <v>5</v>
      </c>
      <c r="I47" s="227">
        <v>17</v>
      </c>
      <c r="J47" s="58">
        <v>2000</v>
      </c>
      <c r="K47" s="59">
        <f t="shared" si="1"/>
        <v>117.64705882352941</v>
      </c>
      <c r="L47" s="227">
        <v>17</v>
      </c>
      <c r="M47" s="60">
        <f t="shared" si="36"/>
        <v>1914.3396226415091</v>
      </c>
      <c r="N47" s="60">
        <f t="shared" si="3"/>
        <v>112.60821309655935</v>
      </c>
      <c r="O47" s="61">
        <f t="shared" si="4"/>
        <v>0</v>
      </c>
      <c r="P47" s="62">
        <f t="shared" si="5"/>
        <v>-5.0388457269700524</v>
      </c>
      <c r="Q47" s="232">
        <f t="shared" si="6"/>
        <v>0.95716981132075452</v>
      </c>
      <c r="R47" s="566"/>
      <c r="S47" s="63">
        <v>0.24583333333333332</v>
      </c>
      <c r="T47" s="63">
        <v>0.28263888888888888</v>
      </c>
      <c r="U47" s="226">
        <f t="shared" ref="U47:U50" si="38">IF(S47=TIME(17,0,0),"",(S47-T46)*24*60)</f>
        <v>4.9999999999999822</v>
      </c>
      <c r="V47" s="228">
        <f t="shared" si="37"/>
        <v>53.000000000000014</v>
      </c>
      <c r="W47" s="64"/>
      <c r="X47" s="64"/>
      <c r="Y47" s="559"/>
      <c r="Z47" s="559"/>
      <c r="AA47" s="61">
        <f t="shared" si="8"/>
        <v>-85.660377358490905</v>
      </c>
      <c r="AB47" s="232">
        <f t="shared" si="9"/>
        <v>0.95716981132075452</v>
      </c>
      <c r="AC47" s="566"/>
    </row>
    <row r="48" spans="1:29" ht="15.75" customHeight="1">
      <c r="A48" s="574" t="s">
        <v>934</v>
      </c>
      <c r="B48" s="57" t="s">
        <v>6</v>
      </c>
      <c r="C48" s="567" t="s">
        <v>39</v>
      </c>
      <c r="D48" s="568"/>
      <c r="E48" s="57">
        <v>55.56</v>
      </c>
      <c r="F48" s="69">
        <v>1806</v>
      </c>
      <c r="G48" s="226">
        <f t="shared" si="35"/>
        <v>100341.36</v>
      </c>
      <c r="H48" s="237" t="s">
        <v>5</v>
      </c>
      <c r="I48" s="227">
        <v>17</v>
      </c>
      <c r="J48" s="58">
        <v>2000</v>
      </c>
      <c r="K48" s="59">
        <f t="shared" si="1"/>
        <v>117.64705882352941</v>
      </c>
      <c r="L48" s="227">
        <v>17</v>
      </c>
      <c r="M48" s="60">
        <f t="shared" si="36"/>
        <v>1935.0000000000014</v>
      </c>
      <c r="N48" s="60">
        <f t="shared" si="3"/>
        <v>113.82352941176478</v>
      </c>
      <c r="O48" s="61">
        <f t="shared" si="4"/>
        <v>0</v>
      </c>
      <c r="P48" s="62">
        <f t="shared" si="5"/>
        <v>-3.8235294117646248</v>
      </c>
      <c r="Q48" s="232">
        <f t="shared" si="6"/>
        <v>0.96750000000000069</v>
      </c>
      <c r="R48" s="566"/>
      <c r="S48" s="63">
        <v>0.70833333333333337</v>
      </c>
      <c r="T48" s="63">
        <v>0.74722222222222223</v>
      </c>
      <c r="U48" s="226" t="str">
        <f t="shared" si="38"/>
        <v/>
      </c>
      <c r="V48" s="228">
        <f t="shared" si="37"/>
        <v>55.999999999999957</v>
      </c>
      <c r="W48" s="64"/>
      <c r="X48" s="64"/>
      <c r="Y48" s="229"/>
      <c r="Z48" s="230"/>
      <c r="AA48" s="61">
        <f t="shared" si="8"/>
        <v>-64.999999999998636</v>
      </c>
      <c r="AB48" s="232">
        <f t="shared" si="9"/>
        <v>0.96750000000000069</v>
      </c>
      <c r="AC48" s="566"/>
    </row>
    <row r="49" spans="1:29" ht="15.75" customHeight="1">
      <c r="A49" s="574" t="s">
        <v>934</v>
      </c>
      <c r="B49" s="57" t="s">
        <v>6</v>
      </c>
      <c r="C49" s="233" t="s">
        <v>40</v>
      </c>
      <c r="D49" s="234"/>
      <c r="E49" s="57">
        <v>55.32</v>
      </c>
      <c r="F49" s="69">
        <v>1389</v>
      </c>
      <c r="G49" s="226">
        <f t="shared" si="35"/>
        <v>76839.48</v>
      </c>
      <c r="H49" s="237" t="s">
        <v>5</v>
      </c>
      <c r="I49" s="227">
        <v>15</v>
      </c>
      <c r="J49" s="58">
        <v>2000</v>
      </c>
      <c r="K49" s="59">
        <f t="shared" si="1"/>
        <v>133.33333333333334</v>
      </c>
      <c r="L49" s="227">
        <v>15</v>
      </c>
      <c r="M49" s="60">
        <f t="shared" si="36"/>
        <v>1938.1395348837207</v>
      </c>
      <c r="N49" s="60">
        <f t="shared" si="3"/>
        <v>129.20930232558138</v>
      </c>
      <c r="O49" s="61">
        <f t="shared" si="4"/>
        <v>0</v>
      </c>
      <c r="P49" s="62">
        <f t="shared" si="5"/>
        <v>-4.1240310077519666</v>
      </c>
      <c r="Q49" s="232">
        <f t="shared" si="6"/>
        <v>0.96906976744186024</v>
      </c>
      <c r="R49" s="566"/>
      <c r="S49" s="63">
        <v>0.75138888888888888</v>
      </c>
      <c r="T49" s="63">
        <v>0.78125</v>
      </c>
      <c r="U49" s="226">
        <f t="shared" si="38"/>
        <v>5.9999999999999787</v>
      </c>
      <c r="V49" s="228">
        <f t="shared" si="37"/>
        <v>43.000000000000007</v>
      </c>
      <c r="W49" s="64"/>
      <c r="X49" s="64"/>
      <c r="Y49" s="229"/>
      <c r="Z49" s="230"/>
      <c r="AA49" s="61">
        <f t="shared" si="8"/>
        <v>-61.860465116279329</v>
      </c>
      <c r="AB49" s="232">
        <f t="shared" si="9"/>
        <v>0.96906976744186035</v>
      </c>
      <c r="AC49" s="566"/>
    </row>
    <row r="50" spans="1:29" ht="15.75" customHeight="1">
      <c r="A50" s="574" t="s">
        <v>934</v>
      </c>
      <c r="B50" s="57" t="s">
        <v>6</v>
      </c>
      <c r="C50" s="233" t="s">
        <v>99</v>
      </c>
      <c r="D50" s="234"/>
      <c r="E50" s="57">
        <v>53.68</v>
      </c>
      <c r="F50" s="69">
        <v>2109</v>
      </c>
      <c r="G50" s="226">
        <f t="shared" si="35"/>
        <v>113211.12</v>
      </c>
      <c r="H50" s="237" t="s">
        <v>5</v>
      </c>
      <c r="I50" s="227">
        <v>16</v>
      </c>
      <c r="J50" s="58">
        <v>1500</v>
      </c>
      <c r="K50" s="59">
        <f t="shared" si="1"/>
        <v>93.75</v>
      </c>
      <c r="L50" s="227">
        <v>16</v>
      </c>
      <c r="M50" s="60">
        <f t="shared" si="36"/>
        <v>1437.9545454545455</v>
      </c>
      <c r="N50" s="60">
        <f t="shared" si="3"/>
        <v>89.872159090909093</v>
      </c>
      <c r="O50" s="61">
        <f t="shared" si="4"/>
        <v>0</v>
      </c>
      <c r="P50" s="62">
        <f t="shared" si="5"/>
        <v>-3.8778409090909065</v>
      </c>
      <c r="Q50" s="232">
        <f t="shared" si="6"/>
        <v>0.95863636363636362</v>
      </c>
      <c r="R50" s="566"/>
      <c r="S50" s="63">
        <v>0.78611111111111109</v>
      </c>
      <c r="T50" s="63">
        <v>0.84722222222222221</v>
      </c>
      <c r="U50" s="226">
        <f t="shared" si="38"/>
        <v>6.9999999999999751</v>
      </c>
      <c r="V50" s="228">
        <f t="shared" si="37"/>
        <v>88</v>
      </c>
      <c r="W50" s="64"/>
      <c r="X50" s="64"/>
      <c r="Y50" s="229"/>
      <c r="Z50" s="230"/>
      <c r="AA50" s="61">
        <f t="shared" si="8"/>
        <v>-62.045454545454504</v>
      </c>
      <c r="AB50" s="232">
        <f t="shared" si="9"/>
        <v>0.95863636363636362</v>
      </c>
      <c r="AC50" s="566"/>
    </row>
    <row r="51" spans="1:29">
      <c r="A51" s="575" t="s">
        <v>934</v>
      </c>
      <c r="B51" s="57" t="s">
        <v>928</v>
      </c>
      <c r="C51" s="571"/>
      <c r="D51" s="571"/>
      <c r="E51" s="231"/>
      <c r="F51" s="66"/>
      <c r="G51" s="59"/>
      <c r="H51" s="236"/>
      <c r="I51" s="67">
        <v>16.399999999999999</v>
      </c>
      <c r="J51" s="58">
        <v>1900</v>
      </c>
      <c r="K51" s="59">
        <f t="shared" si="1"/>
        <v>115.85365853658537</v>
      </c>
      <c r="L51" s="67">
        <v>16.399999999999999</v>
      </c>
      <c r="M51" s="60">
        <f>AVERAGE(M46:M50)</f>
        <v>1832.5153120245268</v>
      </c>
      <c r="N51" s="59">
        <f t="shared" si="3"/>
        <v>111.73873853808091</v>
      </c>
      <c r="O51" s="61">
        <f t="shared" si="4"/>
        <v>0</v>
      </c>
      <c r="P51" s="62">
        <f t="shared" si="5"/>
        <v>-4.1149199985044618</v>
      </c>
      <c r="Q51" s="232">
        <f t="shared" si="6"/>
        <v>0.9644817431708036</v>
      </c>
      <c r="R51" s="566"/>
      <c r="S51" s="70"/>
      <c r="T51" s="63"/>
      <c r="U51" s="59"/>
      <c r="V51" s="228"/>
      <c r="W51" s="59"/>
      <c r="X51" s="59"/>
      <c r="Y51" s="559"/>
      <c r="Z51" s="559"/>
      <c r="AA51" s="61">
        <f t="shared" si="8"/>
        <v>-67.484687975473207</v>
      </c>
      <c r="AB51" s="232">
        <f t="shared" si="9"/>
        <v>0.9644817431708036</v>
      </c>
      <c r="AC51" s="566"/>
    </row>
    <row r="52" spans="1:29" ht="15.75" customHeight="1">
      <c r="A52" s="572" t="s">
        <v>935</v>
      </c>
      <c r="B52" s="236" t="s">
        <v>10</v>
      </c>
      <c r="C52" s="560" t="s">
        <v>42</v>
      </c>
      <c r="D52" s="560"/>
      <c r="E52" s="57">
        <v>26.97</v>
      </c>
      <c r="F52" s="69">
        <v>2370</v>
      </c>
      <c r="G52" s="226">
        <f t="shared" ref="G52:G57" si="39">E52*F52</f>
        <v>63918.899999999994</v>
      </c>
      <c r="H52" s="237" t="s">
        <v>5</v>
      </c>
      <c r="I52" s="227">
        <v>8</v>
      </c>
      <c r="J52" s="58">
        <v>1500</v>
      </c>
      <c r="K52" s="59">
        <f t="shared" si="1"/>
        <v>187.5</v>
      </c>
      <c r="L52" s="227">
        <v>8</v>
      </c>
      <c r="M52" s="60">
        <f t="shared" ref="M52:M57" si="40">F52/V52*60</f>
        <v>1436.3636363636363</v>
      </c>
      <c r="N52" s="59">
        <f t="shared" si="3"/>
        <v>179.54545454545453</v>
      </c>
      <c r="O52" s="61">
        <f t="shared" si="4"/>
        <v>0</v>
      </c>
      <c r="P52" s="62">
        <f t="shared" si="5"/>
        <v>-7.9545454545454675</v>
      </c>
      <c r="Q52" s="232">
        <f t="shared" si="6"/>
        <v>0.95757575757575752</v>
      </c>
      <c r="R52" s="566">
        <f>Q58</f>
        <v>0.9683502745521092</v>
      </c>
      <c r="S52" s="63">
        <v>0.20833333333333334</v>
      </c>
      <c r="T52" s="63">
        <v>0.27708333333333335</v>
      </c>
      <c r="U52" s="226"/>
      <c r="V52" s="228">
        <f t="shared" ref="V52:V57" si="41">(T52-S52)*24*60</f>
        <v>99.000000000000014</v>
      </c>
      <c r="W52" s="68"/>
      <c r="X52" s="68"/>
      <c r="Y52" s="559"/>
      <c r="Z52" s="559"/>
      <c r="AA52" s="61">
        <f t="shared" si="8"/>
        <v>-63.63636363636374</v>
      </c>
      <c r="AB52" s="232">
        <f t="shared" si="9"/>
        <v>0.95757575757575752</v>
      </c>
      <c r="AC52" s="566">
        <f>AB58</f>
        <v>0.96835027455210909</v>
      </c>
    </row>
    <row r="53" spans="1:29" ht="15.75" customHeight="1">
      <c r="A53" s="572" t="s">
        <v>935</v>
      </c>
      <c r="B53" s="236" t="s">
        <v>31</v>
      </c>
      <c r="C53" s="560" t="s">
        <v>41</v>
      </c>
      <c r="D53" s="560"/>
      <c r="E53" s="57">
        <v>26.78</v>
      </c>
      <c r="F53" s="69">
        <v>2069</v>
      </c>
      <c r="G53" s="226">
        <f t="shared" si="39"/>
        <v>55407.82</v>
      </c>
      <c r="H53" s="237" t="s">
        <v>5</v>
      </c>
      <c r="I53" s="227">
        <v>10</v>
      </c>
      <c r="J53" s="58">
        <v>3000</v>
      </c>
      <c r="K53" s="59">
        <f t="shared" si="1"/>
        <v>300</v>
      </c>
      <c r="L53" s="227">
        <v>10</v>
      </c>
      <c r="M53" s="60">
        <f t="shared" si="40"/>
        <v>2886.9767441860463</v>
      </c>
      <c r="N53" s="59">
        <f t="shared" si="3"/>
        <v>288.69767441860461</v>
      </c>
      <c r="O53" s="61">
        <f t="shared" si="4"/>
        <v>0</v>
      </c>
      <c r="P53" s="62">
        <f t="shared" si="5"/>
        <v>-11.302325581395394</v>
      </c>
      <c r="Q53" s="232">
        <f t="shared" si="6"/>
        <v>0.96232558139534874</v>
      </c>
      <c r="R53" s="566"/>
      <c r="S53" s="63">
        <v>0.28194444444444444</v>
      </c>
      <c r="T53" s="63">
        <v>0.31180555555555556</v>
      </c>
      <c r="U53" s="226">
        <f t="shared" ref="U53:U57" si="42">(S53-T52)*24*60</f>
        <v>6.9999999999999751</v>
      </c>
      <c r="V53" s="228">
        <f t="shared" si="41"/>
        <v>43.000000000000007</v>
      </c>
      <c r="W53" s="226"/>
      <c r="X53" s="226"/>
      <c r="Y53" s="559"/>
      <c r="Z53" s="559"/>
      <c r="AA53" s="61">
        <f t="shared" si="8"/>
        <v>-113.02325581395371</v>
      </c>
      <c r="AB53" s="232">
        <f t="shared" si="9"/>
        <v>0.96232558139534874</v>
      </c>
      <c r="AC53" s="566"/>
    </row>
    <row r="54" spans="1:29" ht="15.75" customHeight="1">
      <c r="A54" s="572" t="s">
        <v>935</v>
      </c>
      <c r="B54" s="236" t="s">
        <v>31</v>
      </c>
      <c r="C54" s="560" t="s">
        <v>64</v>
      </c>
      <c r="D54" s="560"/>
      <c r="E54" s="57">
        <v>37.880000000000003</v>
      </c>
      <c r="F54" s="69">
        <v>2304</v>
      </c>
      <c r="G54" s="226">
        <f t="shared" si="39"/>
        <v>87275.520000000004</v>
      </c>
      <c r="H54" s="237" t="s">
        <v>5</v>
      </c>
      <c r="I54" s="227">
        <v>10</v>
      </c>
      <c r="J54" s="58">
        <v>3000</v>
      </c>
      <c r="K54" s="59">
        <f t="shared" si="1"/>
        <v>300</v>
      </c>
      <c r="L54" s="227">
        <v>10</v>
      </c>
      <c r="M54" s="60">
        <f t="shared" si="40"/>
        <v>2880.0000000000009</v>
      </c>
      <c r="N54" s="59">
        <f t="shared" si="3"/>
        <v>288.00000000000011</v>
      </c>
      <c r="O54" s="61">
        <f t="shared" si="4"/>
        <v>0</v>
      </c>
      <c r="P54" s="62">
        <f t="shared" si="5"/>
        <v>-11.999999999999886</v>
      </c>
      <c r="Q54" s="232">
        <f t="shared" si="6"/>
        <v>0.96000000000000041</v>
      </c>
      <c r="R54" s="566"/>
      <c r="S54" s="63">
        <v>0.31666666666666665</v>
      </c>
      <c r="T54" s="63">
        <v>0.35</v>
      </c>
      <c r="U54" s="226">
        <f t="shared" si="42"/>
        <v>6.9999999999999751</v>
      </c>
      <c r="V54" s="228">
        <f t="shared" si="41"/>
        <v>47.999999999999986</v>
      </c>
      <c r="W54" s="226"/>
      <c r="X54" s="226"/>
      <c r="Y54" s="559"/>
      <c r="Z54" s="559"/>
      <c r="AA54" s="61">
        <f t="shared" si="8"/>
        <v>-119.99999999999909</v>
      </c>
      <c r="AB54" s="232">
        <f t="shared" si="9"/>
        <v>0.9600000000000003</v>
      </c>
      <c r="AC54" s="566"/>
    </row>
    <row r="55" spans="1:29" ht="15.75" customHeight="1">
      <c r="A55" s="572" t="s">
        <v>935</v>
      </c>
      <c r="B55" s="236" t="s">
        <v>31</v>
      </c>
      <c r="C55" s="560" t="s">
        <v>72</v>
      </c>
      <c r="D55" s="560"/>
      <c r="E55" s="57">
        <v>40.51</v>
      </c>
      <c r="F55" s="69">
        <v>2106</v>
      </c>
      <c r="G55" s="226">
        <f t="shared" si="39"/>
        <v>85314.06</v>
      </c>
      <c r="H55" s="237" t="s">
        <v>5</v>
      </c>
      <c r="I55" s="227">
        <v>8</v>
      </c>
      <c r="J55" s="58">
        <v>3000</v>
      </c>
      <c r="K55" s="59">
        <f t="shared" si="1"/>
        <v>375</v>
      </c>
      <c r="L55" s="227">
        <v>8</v>
      </c>
      <c r="M55" s="60">
        <f t="shared" si="40"/>
        <v>2871.818181818182</v>
      </c>
      <c r="N55" s="59">
        <f t="shared" si="3"/>
        <v>358.97727272727275</v>
      </c>
      <c r="O55" s="61">
        <f t="shared" si="4"/>
        <v>0</v>
      </c>
      <c r="P55" s="62">
        <f t="shared" si="5"/>
        <v>-16.022727272727252</v>
      </c>
      <c r="Q55" s="232">
        <f t="shared" si="6"/>
        <v>0.95727272727272728</v>
      </c>
      <c r="R55" s="566"/>
      <c r="S55" s="63">
        <v>0.35486111111111107</v>
      </c>
      <c r="T55" s="63">
        <v>0.38541666666666663</v>
      </c>
      <c r="U55" s="226">
        <f t="shared" si="42"/>
        <v>6.9999999999999751</v>
      </c>
      <c r="V55" s="228">
        <f t="shared" si="41"/>
        <v>44</v>
      </c>
      <c r="W55" s="226"/>
      <c r="X55" s="226"/>
      <c r="Y55" s="559"/>
      <c r="Z55" s="559"/>
      <c r="AA55" s="61">
        <f t="shared" si="8"/>
        <v>-128.18181818181802</v>
      </c>
      <c r="AB55" s="232">
        <f t="shared" si="9"/>
        <v>0.95727272727272728</v>
      </c>
      <c r="AC55" s="566"/>
    </row>
    <row r="56" spans="1:29">
      <c r="A56" s="573" t="s">
        <v>935</v>
      </c>
      <c r="B56" s="236" t="s">
        <v>31</v>
      </c>
      <c r="C56" s="560" t="s">
        <v>36</v>
      </c>
      <c r="D56" s="560"/>
      <c r="E56" s="57">
        <v>36.14</v>
      </c>
      <c r="F56" s="69">
        <v>789</v>
      </c>
      <c r="G56" s="226">
        <f t="shared" si="39"/>
        <v>28514.46</v>
      </c>
      <c r="H56" s="237" t="s">
        <v>5</v>
      </c>
      <c r="I56" s="227">
        <v>9</v>
      </c>
      <c r="J56" s="58">
        <v>3000</v>
      </c>
      <c r="K56" s="59">
        <f t="shared" si="1"/>
        <v>333.33333333333331</v>
      </c>
      <c r="L56" s="227">
        <v>9</v>
      </c>
      <c r="M56" s="60">
        <f t="shared" si="40"/>
        <v>2958.7499999999964</v>
      </c>
      <c r="N56" s="59">
        <f t="shared" si="3"/>
        <v>328.7499999999996</v>
      </c>
      <c r="O56" s="61">
        <f t="shared" si="4"/>
        <v>0</v>
      </c>
      <c r="P56" s="62">
        <f t="shared" si="5"/>
        <v>-4.5833333333337123</v>
      </c>
      <c r="Q56" s="232">
        <f t="shared" si="6"/>
        <v>0.98624999999999885</v>
      </c>
      <c r="R56" s="566"/>
      <c r="S56" s="63">
        <v>0.39027777777777772</v>
      </c>
      <c r="T56" s="63">
        <v>0.40138888888888885</v>
      </c>
      <c r="U56" s="226">
        <f t="shared" si="42"/>
        <v>6.9999999999999751</v>
      </c>
      <c r="V56" s="228">
        <f t="shared" si="41"/>
        <v>16.000000000000021</v>
      </c>
      <c r="W56" s="64"/>
      <c r="X56" s="64"/>
      <c r="Y56" s="559"/>
      <c r="Z56" s="559"/>
      <c r="AA56" s="61">
        <f t="shared" si="8"/>
        <v>-41.250000000003638</v>
      </c>
      <c r="AB56" s="232">
        <f t="shared" si="9"/>
        <v>0.98624999999999874</v>
      </c>
      <c r="AC56" s="566"/>
    </row>
    <row r="57" spans="1:29" ht="15" customHeight="1">
      <c r="A57" s="573" t="s">
        <v>935</v>
      </c>
      <c r="B57" s="236" t="s">
        <v>31</v>
      </c>
      <c r="C57" s="567" t="s">
        <v>63</v>
      </c>
      <c r="D57" s="568"/>
      <c r="E57" s="57">
        <v>34.36</v>
      </c>
      <c r="F57" s="69">
        <v>1521</v>
      </c>
      <c r="G57" s="226">
        <f t="shared" si="39"/>
        <v>52261.56</v>
      </c>
      <c r="H57" s="237" t="s">
        <v>5</v>
      </c>
      <c r="I57" s="227">
        <v>10</v>
      </c>
      <c r="J57" s="58">
        <v>3000</v>
      </c>
      <c r="K57" s="59">
        <f t="shared" si="1"/>
        <v>300</v>
      </c>
      <c r="L57" s="227">
        <v>10</v>
      </c>
      <c r="M57" s="60">
        <f t="shared" si="40"/>
        <v>2943.8709677419383</v>
      </c>
      <c r="N57" s="59">
        <f t="shared" si="3"/>
        <v>294.38709677419382</v>
      </c>
      <c r="O57" s="61">
        <f t="shared" si="4"/>
        <v>0</v>
      </c>
      <c r="P57" s="62">
        <f t="shared" si="5"/>
        <v>-5.6129032258061784</v>
      </c>
      <c r="Q57" s="232">
        <f t="shared" si="6"/>
        <v>0.98129032258064608</v>
      </c>
      <c r="R57" s="566"/>
      <c r="S57" s="63">
        <v>0.4055555555555555</v>
      </c>
      <c r="T57" s="63">
        <v>0.42708333333333326</v>
      </c>
      <c r="U57" s="226">
        <f t="shared" si="42"/>
        <v>5.9999999999999787</v>
      </c>
      <c r="V57" s="228">
        <f t="shared" si="41"/>
        <v>30.999999999999972</v>
      </c>
      <c r="W57" s="226"/>
      <c r="X57" s="226"/>
      <c r="Y57" s="569"/>
      <c r="Z57" s="570"/>
      <c r="AA57" s="61">
        <f t="shared" si="8"/>
        <v>-56.12903225806167</v>
      </c>
      <c r="AB57" s="232">
        <f t="shared" si="9"/>
        <v>0.98129032258064608</v>
      </c>
      <c r="AC57" s="566"/>
    </row>
    <row r="58" spans="1:29">
      <c r="A58" s="573" t="s">
        <v>935</v>
      </c>
      <c r="B58" s="57" t="s">
        <v>928</v>
      </c>
      <c r="C58" s="571"/>
      <c r="D58" s="571"/>
      <c r="E58" s="231"/>
      <c r="F58" s="66"/>
      <c r="G58" s="59"/>
      <c r="H58" s="236"/>
      <c r="I58" s="67">
        <v>9.1666666666666661</v>
      </c>
      <c r="J58" s="58">
        <v>2750</v>
      </c>
      <c r="K58" s="59">
        <f t="shared" si="1"/>
        <v>300</v>
      </c>
      <c r="L58" s="67">
        <v>9.1666666666666661</v>
      </c>
      <c r="M58" s="60">
        <f>AVERAGE(M52:M57)</f>
        <v>2662.9632550183001</v>
      </c>
      <c r="N58" s="59">
        <f t="shared" si="3"/>
        <v>290.50508236563275</v>
      </c>
      <c r="O58" s="61">
        <f t="shared" si="4"/>
        <v>0</v>
      </c>
      <c r="P58" s="62">
        <f t="shared" si="5"/>
        <v>-9.4949176343672548</v>
      </c>
      <c r="Q58" s="232">
        <f t="shared" si="6"/>
        <v>0.9683502745521092</v>
      </c>
      <c r="R58" s="566"/>
      <c r="S58" s="63"/>
      <c r="T58" s="63"/>
      <c r="U58" s="59"/>
      <c r="V58" s="228"/>
      <c r="W58" s="59"/>
      <c r="X58" s="59"/>
      <c r="Y58" s="559"/>
      <c r="Z58" s="559"/>
      <c r="AA58" s="61">
        <f t="shared" si="8"/>
        <v>-87.03674498169994</v>
      </c>
      <c r="AB58" s="232">
        <f t="shared" si="9"/>
        <v>0.96835027455210909</v>
      </c>
      <c r="AC58" s="566"/>
    </row>
    <row r="59" spans="1:29" ht="15.75" customHeight="1">
      <c r="A59" s="563" t="s">
        <v>936</v>
      </c>
      <c r="B59" s="236" t="s">
        <v>15</v>
      </c>
      <c r="C59" s="560" t="s">
        <v>43</v>
      </c>
      <c r="D59" s="560"/>
      <c r="E59" s="57">
        <v>20.2</v>
      </c>
      <c r="F59" s="236">
        <v>1786</v>
      </c>
      <c r="G59" s="226">
        <f t="shared" ref="G59:G64" si="43">E59*F59</f>
        <v>36077.199999999997</v>
      </c>
      <c r="H59" s="237" t="s">
        <v>5</v>
      </c>
      <c r="I59" s="227">
        <v>19</v>
      </c>
      <c r="J59" s="58">
        <v>2400</v>
      </c>
      <c r="K59" s="59">
        <f t="shared" si="1"/>
        <v>126.31578947368421</v>
      </c>
      <c r="L59" s="227">
        <v>19</v>
      </c>
      <c r="M59" s="60">
        <f t="shared" ref="M59:M64" si="44">F59/V59*60</f>
        <v>2329.5652173913036</v>
      </c>
      <c r="N59" s="59">
        <f t="shared" si="3"/>
        <v>122.60869565217388</v>
      </c>
      <c r="O59" s="61">
        <f t="shared" si="4"/>
        <v>0</v>
      </c>
      <c r="P59" s="62">
        <f t="shared" si="5"/>
        <v>-3.7070938215103268</v>
      </c>
      <c r="Q59" s="232">
        <f t="shared" si="6"/>
        <v>0.97065217391304326</v>
      </c>
      <c r="R59" s="566">
        <f>Q65</f>
        <v>0.95983255371121246</v>
      </c>
      <c r="S59" s="63">
        <v>8.3333333333333329E-2</v>
      </c>
      <c r="T59" s="63">
        <v>0.11527777777777778</v>
      </c>
      <c r="U59" s="68"/>
      <c r="V59" s="228">
        <f t="shared" ref="V59:V64" si="45">(T59-S59)*24*60</f>
        <v>46.000000000000014</v>
      </c>
      <c r="W59" s="64">
        <f>T59</f>
        <v>0.11527777777777778</v>
      </c>
      <c r="X59" s="64">
        <f>S60</f>
        <v>0.13611111111111113</v>
      </c>
      <c r="Y59" s="559"/>
      <c r="Z59" s="559"/>
      <c r="AA59" s="61">
        <f t="shared" si="8"/>
        <v>-70.434782608696423</v>
      </c>
      <c r="AB59" s="232">
        <f t="shared" si="9"/>
        <v>0.97065217391304315</v>
      </c>
      <c r="AC59" s="566">
        <f>AB65</f>
        <v>0.95983255371121246</v>
      </c>
    </row>
    <row r="60" spans="1:29" ht="15.75" customHeight="1">
      <c r="A60" s="564" t="s">
        <v>936</v>
      </c>
      <c r="B60" s="236" t="s">
        <v>15</v>
      </c>
      <c r="C60" s="560" t="s">
        <v>16</v>
      </c>
      <c r="D60" s="560"/>
      <c r="E60" s="57">
        <v>24.45</v>
      </c>
      <c r="F60" s="236">
        <v>2048</v>
      </c>
      <c r="G60" s="226">
        <f t="shared" si="43"/>
        <v>50073.599999999999</v>
      </c>
      <c r="H60" s="237" t="s">
        <v>5</v>
      </c>
      <c r="I60" s="227">
        <v>20</v>
      </c>
      <c r="J60" s="58">
        <v>2400</v>
      </c>
      <c r="K60" s="59">
        <f t="shared" si="1"/>
        <v>120</v>
      </c>
      <c r="L60" s="227">
        <v>20</v>
      </c>
      <c r="M60" s="60">
        <f t="shared" si="44"/>
        <v>2318.4905660377353</v>
      </c>
      <c r="N60" s="59">
        <f t="shared" si="3"/>
        <v>115.92452830188677</v>
      </c>
      <c r="O60" s="61">
        <f t="shared" si="4"/>
        <v>0</v>
      </c>
      <c r="P60" s="62">
        <f t="shared" si="5"/>
        <v>-4.0754716981132333</v>
      </c>
      <c r="Q60" s="232">
        <f t="shared" si="6"/>
        <v>0.96603773584905639</v>
      </c>
      <c r="R60" s="566"/>
      <c r="S60" s="63">
        <v>0.13611111111111113</v>
      </c>
      <c r="T60" s="63">
        <v>0.17291666666666669</v>
      </c>
      <c r="U60" s="226">
        <f t="shared" ref="U60:U64" si="46">(S60-T59)*24*60</f>
        <v>30.000000000000014</v>
      </c>
      <c r="V60" s="228">
        <f t="shared" si="45"/>
        <v>53.000000000000014</v>
      </c>
      <c r="W60" s="64"/>
      <c r="X60" s="64"/>
      <c r="Y60" s="559"/>
      <c r="Z60" s="559"/>
      <c r="AA60" s="61">
        <f t="shared" si="8"/>
        <v>-81.509433962264666</v>
      </c>
      <c r="AB60" s="232">
        <f t="shared" si="9"/>
        <v>0.96603773584905639</v>
      </c>
      <c r="AC60" s="566"/>
    </row>
    <row r="61" spans="1:29" ht="15.75" customHeight="1">
      <c r="A61" s="564" t="s">
        <v>936</v>
      </c>
      <c r="B61" s="236" t="s">
        <v>15</v>
      </c>
      <c r="C61" s="560" t="s">
        <v>100</v>
      </c>
      <c r="D61" s="560"/>
      <c r="E61" s="57">
        <v>28.51</v>
      </c>
      <c r="F61" s="236">
        <v>1495</v>
      </c>
      <c r="G61" s="226">
        <f t="shared" si="43"/>
        <v>42622.450000000004</v>
      </c>
      <c r="H61" s="237" t="s">
        <v>5</v>
      </c>
      <c r="I61" s="227">
        <v>16</v>
      </c>
      <c r="J61" s="58">
        <v>2400</v>
      </c>
      <c r="K61" s="59">
        <f t="shared" si="1"/>
        <v>150</v>
      </c>
      <c r="L61" s="227">
        <v>16</v>
      </c>
      <c r="M61" s="60">
        <f t="shared" si="44"/>
        <v>2300.0000000000014</v>
      </c>
      <c r="N61" s="59">
        <f t="shared" si="3"/>
        <v>143.75000000000009</v>
      </c>
      <c r="O61" s="61">
        <f t="shared" si="4"/>
        <v>0</v>
      </c>
      <c r="P61" s="62">
        <f t="shared" si="5"/>
        <v>-6.2499999999999147</v>
      </c>
      <c r="Q61" s="232">
        <f t="shared" si="6"/>
        <v>0.95833333333333393</v>
      </c>
      <c r="R61" s="566"/>
      <c r="S61" s="63">
        <v>0.1763888888888889</v>
      </c>
      <c r="T61" s="63">
        <v>0.20347222222222222</v>
      </c>
      <c r="U61" s="226">
        <f t="shared" si="46"/>
        <v>4.9999999999999822</v>
      </c>
      <c r="V61" s="228">
        <f t="shared" si="45"/>
        <v>38.999999999999979</v>
      </c>
      <c r="W61" s="64"/>
      <c r="X61" s="64"/>
      <c r="Y61" s="559"/>
      <c r="Z61" s="559"/>
      <c r="AA61" s="61">
        <f t="shared" si="8"/>
        <v>-99.999999999998636</v>
      </c>
      <c r="AB61" s="232">
        <f t="shared" si="9"/>
        <v>0.95833333333333393</v>
      </c>
      <c r="AC61" s="566"/>
    </row>
    <row r="62" spans="1:29" ht="15.75" customHeight="1">
      <c r="A62" s="564" t="s">
        <v>936</v>
      </c>
      <c r="B62" s="236" t="s">
        <v>15</v>
      </c>
      <c r="C62" s="560" t="s">
        <v>24</v>
      </c>
      <c r="D62" s="560"/>
      <c r="E62" s="57">
        <v>20.52</v>
      </c>
      <c r="F62" s="236">
        <v>2794</v>
      </c>
      <c r="G62" s="226">
        <f t="shared" si="43"/>
        <v>57332.88</v>
      </c>
      <c r="H62" s="237" t="s">
        <v>5</v>
      </c>
      <c r="I62" s="227">
        <v>18</v>
      </c>
      <c r="J62" s="58">
        <v>2400</v>
      </c>
      <c r="K62" s="59">
        <f t="shared" si="1"/>
        <v>133.33333333333334</v>
      </c>
      <c r="L62" s="227">
        <v>18</v>
      </c>
      <c r="M62" s="60">
        <f t="shared" si="44"/>
        <v>2296.438356164384</v>
      </c>
      <c r="N62" s="59">
        <f t="shared" si="3"/>
        <v>127.57990867579912</v>
      </c>
      <c r="O62" s="61">
        <f t="shared" si="4"/>
        <v>0</v>
      </c>
      <c r="P62" s="62">
        <f t="shared" si="5"/>
        <v>-5.7534246575342252</v>
      </c>
      <c r="Q62" s="232">
        <f t="shared" si="6"/>
        <v>0.95684931506849336</v>
      </c>
      <c r="R62" s="566"/>
      <c r="S62" s="63">
        <v>0.20694444444444443</v>
      </c>
      <c r="T62" s="63">
        <v>0.25763888888888886</v>
      </c>
      <c r="U62" s="226">
        <f t="shared" si="46"/>
        <v>4.9999999999999822</v>
      </c>
      <c r="V62" s="228">
        <f t="shared" si="45"/>
        <v>72.999999999999986</v>
      </c>
      <c r="W62" s="64"/>
      <c r="X62" s="64"/>
      <c r="Y62" s="559"/>
      <c r="Z62" s="559"/>
      <c r="AA62" s="61">
        <f t="shared" si="8"/>
        <v>-103.561643835616</v>
      </c>
      <c r="AB62" s="232">
        <f t="shared" si="9"/>
        <v>0.95684931506849336</v>
      </c>
      <c r="AC62" s="566"/>
    </row>
    <row r="63" spans="1:29" ht="15.75" customHeight="1">
      <c r="A63" s="564" t="s">
        <v>936</v>
      </c>
      <c r="B63" s="236" t="s">
        <v>15</v>
      </c>
      <c r="C63" s="560" t="s">
        <v>44</v>
      </c>
      <c r="D63" s="560"/>
      <c r="E63" s="57">
        <v>19.02</v>
      </c>
      <c r="F63" s="236">
        <v>8040</v>
      </c>
      <c r="G63" s="226">
        <f t="shared" si="43"/>
        <v>152920.79999999999</v>
      </c>
      <c r="H63" s="237" t="s">
        <v>5</v>
      </c>
      <c r="I63" s="227">
        <v>15</v>
      </c>
      <c r="J63" s="58">
        <v>2400</v>
      </c>
      <c r="K63" s="59">
        <f t="shared" si="1"/>
        <v>160</v>
      </c>
      <c r="L63" s="227">
        <v>15</v>
      </c>
      <c r="M63" s="60">
        <f t="shared" si="44"/>
        <v>2286.2559241706158</v>
      </c>
      <c r="N63" s="59">
        <f t="shared" si="3"/>
        <v>152.41706161137438</v>
      </c>
      <c r="O63" s="61">
        <f t="shared" si="4"/>
        <v>0</v>
      </c>
      <c r="P63" s="62">
        <f t="shared" si="5"/>
        <v>-7.582938388625621</v>
      </c>
      <c r="Q63" s="232">
        <f t="shared" si="6"/>
        <v>0.95260663507108989</v>
      </c>
      <c r="R63" s="566"/>
      <c r="S63" s="63">
        <v>0.26111111111111107</v>
      </c>
      <c r="T63" s="63">
        <v>0.40763888888888888</v>
      </c>
      <c r="U63" s="226">
        <f t="shared" si="46"/>
        <v>4.9999999999999822</v>
      </c>
      <c r="V63" s="228">
        <f t="shared" si="45"/>
        <v>211.00000000000006</v>
      </c>
      <c r="W63" s="64"/>
      <c r="X63" s="64"/>
      <c r="Y63" s="559"/>
      <c r="Z63" s="559"/>
      <c r="AA63" s="61">
        <f t="shared" si="8"/>
        <v>-113.7440758293842</v>
      </c>
      <c r="AB63" s="232">
        <f t="shared" si="9"/>
        <v>0.95260663507108989</v>
      </c>
      <c r="AC63" s="566"/>
    </row>
    <row r="64" spans="1:29" ht="15.75" customHeight="1">
      <c r="A64" s="564" t="s">
        <v>936</v>
      </c>
      <c r="B64" s="236" t="s">
        <v>15</v>
      </c>
      <c r="C64" s="560" t="s">
        <v>29</v>
      </c>
      <c r="D64" s="560"/>
      <c r="E64" s="57">
        <v>24.43</v>
      </c>
      <c r="F64" s="236">
        <v>5918</v>
      </c>
      <c r="G64" s="226">
        <f t="shared" si="43"/>
        <v>144576.74</v>
      </c>
      <c r="H64" s="237" t="s">
        <v>5</v>
      </c>
      <c r="I64" s="227">
        <v>14</v>
      </c>
      <c r="J64" s="58">
        <v>2400</v>
      </c>
      <c r="K64" s="59">
        <f t="shared" si="1"/>
        <v>171.42857142857142</v>
      </c>
      <c r="L64" s="227">
        <v>14</v>
      </c>
      <c r="M64" s="60">
        <f t="shared" si="44"/>
        <v>2290.8387096774181</v>
      </c>
      <c r="N64" s="59">
        <f t="shared" si="3"/>
        <v>163.63133640552988</v>
      </c>
      <c r="O64" s="61">
        <f t="shared" si="4"/>
        <v>0</v>
      </c>
      <c r="P64" s="62">
        <f t="shared" si="5"/>
        <v>-7.7972350230415373</v>
      </c>
      <c r="Q64" s="232">
        <f t="shared" si="6"/>
        <v>0.95451612903225769</v>
      </c>
      <c r="R64" s="566"/>
      <c r="S64" s="63">
        <v>0.41111111111111109</v>
      </c>
      <c r="T64" s="63">
        <v>0.51875000000000004</v>
      </c>
      <c r="U64" s="226">
        <f t="shared" si="46"/>
        <v>4.9999999999999822</v>
      </c>
      <c r="V64" s="228">
        <f t="shared" si="45"/>
        <v>155.00000000000009</v>
      </c>
      <c r="W64" s="64"/>
      <c r="X64" s="64"/>
      <c r="Y64" s="559"/>
      <c r="Z64" s="559"/>
      <c r="AA64" s="61">
        <f t="shared" si="8"/>
        <v>-109.16129032258186</v>
      </c>
      <c r="AB64" s="232">
        <f t="shared" si="9"/>
        <v>0.95451612903225758</v>
      </c>
      <c r="AC64" s="566"/>
    </row>
    <row r="65" spans="1:29" ht="16.5" customHeight="1">
      <c r="A65" s="565" t="s">
        <v>936</v>
      </c>
      <c r="B65" s="57" t="s">
        <v>928</v>
      </c>
      <c r="C65" s="561"/>
      <c r="D65" s="562"/>
      <c r="E65" s="231"/>
      <c r="F65" s="66"/>
      <c r="G65" s="59"/>
      <c r="H65" s="236"/>
      <c r="I65" s="67">
        <v>17</v>
      </c>
      <c r="J65" s="58">
        <v>2400</v>
      </c>
      <c r="K65" s="59">
        <f t="shared" si="1"/>
        <v>141.1764705882353</v>
      </c>
      <c r="L65" s="67">
        <v>17</v>
      </c>
      <c r="M65" s="60">
        <f>AVERAGE(M59:M64)</f>
        <v>2303.59812890691</v>
      </c>
      <c r="N65" s="59">
        <f t="shared" si="3"/>
        <v>135.50577228864177</v>
      </c>
      <c r="O65" s="61">
        <f t="shared" si="4"/>
        <v>0</v>
      </c>
      <c r="P65" s="62">
        <f t="shared" si="5"/>
        <v>-5.6706982995935391</v>
      </c>
      <c r="Q65" s="232">
        <f t="shared" si="6"/>
        <v>0.95983255371121246</v>
      </c>
      <c r="R65" s="566"/>
      <c r="S65" s="63"/>
      <c r="T65" s="63"/>
      <c r="U65" s="59"/>
      <c r="V65" s="228"/>
      <c r="W65" s="59"/>
      <c r="X65" s="59"/>
      <c r="Y65" s="559"/>
      <c r="Z65" s="559"/>
      <c r="AA65" s="61">
        <f t="shared" si="8"/>
        <v>-96.401871093089994</v>
      </c>
      <c r="AB65" s="232">
        <f t="shared" si="9"/>
        <v>0.95983255371121246</v>
      </c>
      <c r="AC65" s="566"/>
    </row>
    <row r="66" spans="1:29">
      <c r="D66" s="122"/>
      <c r="E66" s="122"/>
    </row>
  </sheetData>
  <mergeCells count="178">
    <mergeCell ref="Y62:Z62"/>
    <mergeCell ref="C63:D63"/>
    <mergeCell ref="Y63:Z63"/>
    <mergeCell ref="A59:A65"/>
    <mergeCell ref="C59:D59"/>
    <mergeCell ref="R59:R65"/>
    <mergeCell ref="Y59:Z59"/>
    <mergeCell ref="AC59:AC65"/>
    <mergeCell ref="C60:D60"/>
    <mergeCell ref="Y60:Z60"/>
    <mergeCell ref="C61:D61"/>
    <mergeCell ref="Y61:Z61"/>
    <mergeCell ref="C62:D62"/>
    <mergeCell ref="C64:D64"/>
    <mergeCell ref="Y64:Z64"/>
    <mergeCell ref="C65:D65"/>
    <mergeCell ref="Y65:Z65"/>
    <mergeCell ref="A52:A58"/>
    <mergeCell ref="C52:D52"/>
    <mergeCell ref="R52:R58"/>
    <mergeCell ref="Y52:Z52"/>
    <mergeCell ref="AC52:AC58"/>
    <mergeCell ref="C53:D53"/>
    <mergeCell ref="Y53:Z53"/>
    <mergeCell ref="C54:D54"/>
    <mergeCell ref="Y54:Z54"/>
    <mergeCell ref="C55:D55"/>
    <mergeCell ref="Y55:Z55"/>
    <mergeCell ref="C56:D56"/>
    <mergeCell ref="Y56:Z56"/>
    <mergeCell ref="C57:D57"/>
    <mergeCell ref="Y57:Z57"/>
    <mergeCell ref="C58:D58"/>
    <mergeCell ref="Y58:Z58"/>
    <mergeCell ref="A39:A45"/>
    <mergeCell ref="C39:D39"/>
    <mergeCell ref="R39:R45"/>
    <mergeCell ref="Y39:Z39"/>
    <mergeCell ref="A46:A51"/>
    <mergeCell ref="C46:D46"/>
    <mergeCell ref="R46:R51"/>
    <mergeCell ref="Y46:Z46"/>
    <mergeCell ref="AC46:AC51"/>
    <mergeCell ref="C47:D47"/>
    <mergeCell ref="Y47:Z47"/>
    <mergeCell ref="C48:D48"/>
    <mergeCell ref="C51:D51"/>
    <mergeCell ref="Y51:Z51"/>
    <mergeCell ref="AC39:AC45"/>
    <mergeCell ref="C40:D40"/>
    <mergeCell ref="Y40:Z40"/>
    <mergeCell ref="C41:D41"/>
    <mergeCell ref="Y41:Z41"/>
    <mergeCell ref="C42:D42"/>
    <mergeCell ref="C44:D44"/>
    <mergeCell ref="Y44:Z44"/>
    <mergeCell ref="C45:D45"/>
    <mergeCell ref="Y45:Z45"/>
    <mergeCell ref="Y35:Z35"/>
    <mergeCell ref="C36:D36"/>
    <mergeCell ref="Y36:Z36"/>
    <mergeCell ref="C37:D37"/>
    <mergeCell ref="Y37:Z37"/>
    <mergeCell ref="C38:D38"/>
    <mergeCell ref="Y38:Z38"/>
    <mergeCell ref="Y42:Z42"/>
    <mergeCell ref="C43:D43"/>
    <mergeCell ref="Y43:Z43"/>
    <mergeCell ref="C31:D31"/>
    <mergeCell ref="A32:A38"/>
    <mergeCell ref="C32:D32"/>
    <mergeCell ref="R32:R38"/>
    <mergeCell ref="Y32:Z32"/>
    <mergeCell ref="AC32:AC38"/>
    <mergeCell ref="C33:D33"/>
    <mergeCell ref="Y33:Z33"/>
    <mergeCell ref="C34:D34"/>
    <mergeCell ref="Y34:Z34"/>
    <mergeCell ref="C35:D35"/>
    <mergeCell ref="A26:A31"/>
    <mergeCell ref="C26:D26"/>
    <mergeCell ref="R26:R31"/>
    <mergeCell ref="Y26:Z26"/>
    <mergeCell ref="Y31:Z31"/>
    <mergeCell ref="AC26:AC31"/>
    <mergeCell ref="C27:D27"/>
    <mergeCell ref="Y27:Z27"/>
    <mergeCell ref="C28:D28"/>
    <mergeCell ref="Y28:Z28"/>
    <mergeCell ref="C29:D29"/>
    <mergeCell ref="Y29:Z29"/>
    <mergeCell ref="C30:D30"/>
    <mergeCell ref="AC17:AC25"/>
    <mergeCell ref="C18:D18"/>
    <mergeCell ref="Y18:Z18"/>
    <mergeCell ref="C19:D19"/>
    <mergeCell ref="Y19:Z19"/>
    <mergeCell ref="C20:D20"/>
    <mergeCell ref="Y20:Z20"/>
    <mergeCell ref="C21:D21"/>
    <mergeCell ref="Y21:Z21"/>
    <mergeCell ref="C22:D22"/>
    <mergeCell ref="Y30:Z30"/>
    <mergeCell ref="A17:A25"/>
    <mergeCell ref="C17:D17"/>
    <mergeCell ref="R17:R25"/>
    <mergeCell ref="Y17:Z17"/>
    <mergeCell ref="Y22:Z22"/>
    <mergeCell ref="C23:D23"/>
    <mergeCell ref="Y23:Z23"/>
    <mergeCell ref="C24:D24"/>
    <mergeCell ref="A12:A16"/>
    <mergeCell ref="Y24:Z24"/>
    <mergeCell ref="C25:D25"/>
    <mergeCell ref="Y25:Z25"/>
    <mergeCell ref="C13:D13"/>
    <mergeCell ref="Y13:Z13"/>
    <mergeCell ref="C14:D14"/>
    <mergeCell ref="Y14:Z14"/>
    <mergeCell ref="C15:D15"/>
    <mergeCell ref="Y15:Z15"/>
    <mergeCell ref="AC9:AC11"/>
    <mergeCell ref="C10:D10"/>
    <mergeCell ref="Y10:Z10"/>
    <mergeCell ref="C11:D11"/>
    <mergeCell ref="Y11:Z11"/>
    <mergeCell ref="C12:D12"/>
    <mergeCell ref="R12:R16"/>
    <mergeCell ref="Y12:Z12"/>
    <mergeCell ref="AC12:AC16"/>
    <mergeCell ref="C16:D16"/>
    <mergeCell ref="Y16:Z16"/>
    <mergeCell ref="C8:D8"/>
    <mergeCell ref="Y8:Z8"/>
    <mergeCell ref="A9:A11"/>
    <mergeCell ref="C9:D9"/>
    <mergeCell ref="R9:R11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</mergeCells>
  <phoneticPr fontId="3" type="noConversion"/>
  <conditionalFormatting sqref="O5:O9 O11:O13 O16:O52 O55:O65">
    <cfRule type="cellIs" dxfId="853" priority="34" operator="greaterThan">
      <formula>0</formula>
    </cfRule>
  </conditionalFormatting>
  <conditionalFormatting sqref="P5:P7 P55:P57 AA55:AA57 P26:P30 P52 P9 P11:P13 P17:P24 P46:P50 P32:P44 AA5:AA52 P59:P64 AA59:AA65">
    <cfRule type="cellIs" dxfId="852" priority="38" operator="lessThan">
      <formula>0</formula>
    </cfRule>
  </conditionalFormatting>
  <conditionalFormatting sqref="AB55:AB57 Q5:Q9 Q11:Q13 Q16:Q52 AB5:AB52 Q55:Q65 AB59:AB65">
    <cfRule type="cellIs" dxfId="851" priority="35" operator="greaterThan">
      <formula>1</formula>
    </cfRule>
    <cfRule type="cellIs" dxfId="850" priority="36" operator="lessThan">
      <formula>0.8</formula>
    </cfRule>
  </conditionalFormatting>
  <conditionalFormatting sqref="AC12:AC13 R12:R13 AC55 R16:R22 AC16:AC22 AC5:AC9 R5:R9 AC25:AC52 R25:R52 R55:R65">
    <cfRule type="cellIs" dxfId="849" priority="40" operator="lessThan">
      <formula>0.8</formula>
    </cfRule>
  </conditionalFormatting>
  <conditionalFormatting sqref="AC39">
    <cfRule type="cellIs" dxfId="848" priority="42" operator="lessThan">
      <formula>0.8</formula>
    </cfRule>
  </conditionalFormatting>
  <conditionalFormatting sqref="AC17:AC22">
    <cfRule type="cellIs" dxfId="847" priority="39" operator="lessThan">
      <formula>0.8</formula>
    </cfRule>
  </conditionalFormatting>
  <conditionalFormatting sqref="AC26">
    <cfRule type="cellIs" dxfId="846" priority="41" operator="lessThan">
      <formula>0.8</formula>
    </cfRule>
  </conditionalFormatting>
  <conditionalFormatting sqref="AC32:AC37">
    <cfRule type="cellIs" dxfId="845" priority="37" operator="lessThan">
      <formula>0.8</formula>
    </cfRule>
  </conditionalFormatting>
  <conditionalFormatting sqref="AA58">
    <cfRule type="cellIs" dxfId="844" priority="33" operator="lessThan">
      <formula>0</formula>
    </cfRule>
  </conditionalFormatting>
  <conditionalFormatting sqref="AB58">
    <cfRule type="cellIs" dxfId="843" priority="31" operator="greaterThan">
      <formula>1</formula>
    </cfRule>
    <cfRule type="cellIs" dxfId="842" priority="32" operator="lessThan">
      <formula>0.8</formula>
    </cfRule>
  </conditionalFormatting>
  <conditionalFormatting sqref="O14:O15">
    <cfRule type="cellIs" dxfId="841" priority="26" operator="greaterThan">
      <formula>0</formula>
    </cfRule>
  </conditionalFormatting>
  <conditionalFormatting sqref="P14:P15">
    <cfRule type="cellIs" dxfId="840" priority="29" operator="lessThan">
      <formula>0</formula>
    </cfRule>
  </conditionalFormatting>
  <conditionalFormatting sqref="Q14:Q15">
    <cfRule type="cellIs" dxfId="839" priority="27" operator="greaterThan">
      <formula>1</formula>
    </cfRule>
    <cfRule type="cellIs" dxfId="838" priority="28" operator="lessThan">
      <formula>0.8</formula>
    </cfRule>
  </conditionalFormatting>
  <conditionalFormatting sqref="R14:R15 AC14:AC15">
    <cfRule type="cellIs" dxfId="837" priority="30" operator="lessThan">
      <formula>0.8</formula>
    </cfRule>
  </conditionalFormatting>
  <conditionalFormatting sqref="O10">
    <cfRule type="cellIs" dxfId="836" priority="22" operator="greaterThan">
      <formula>0</formula>
    </cfRule>
  </conditionalFormatting>
  <conditionalFormatting sqref="P10">
    <cfRule type="cellIs" dxfId="835" priority="25" operator="lessThan">
      <formula>0</formula>
    </cfRule>
  </conditionalFormatting>
  <conditionalFormatting sqref="Q10">
    <cfRule type="cellIs" dxfId="834" priority="23" operator="greaterThan">
      <formula>1</formula>
    </cfRule>
    <cfRule type="cellIs" dxfId="833" priority="24" operator="lessThan">
      <formula>0.8</formula>
    </cfRule>
  </conditionalFormatting>
  <conditionalFormatting sqref="AC24 R24">
    <cfRule type="cellIs" dxfId="832" priority="21" operator="lessThan">
      <formula>0.8</formula>
    </cfRule>
  </conditionalFormatting>
  <conditionalFormatting sqref="O54">
    <cfRule type="cellIs" dxfId="831" priority="16" operator="greaterThan">
      <formula>0</formula>
    </cfRule>
  </conditionalFormatting>
  <conditionalFormatting sqref="P54 AA54">
    <cfRule type="cellIs" dxfId="830" priority="19" operator="lessThan">
      <formula>0</formula>
    </cfRule>
  </conditionalFormatting>
  <conditionalFormatting sqref="Q54 AB54">
    <cfRule type="cellIs" dxfId="829" priority="17" operator="greaterThan">
      <formula>1</formula>
    </cfRule>
    <cfRule type="cellIs" dxfId="828" priority="18" operator="lessThan">
      <formula>0.8</formula>
    </cfRule>
  </conditionalFormatting>
  <conditionalFormatting sqref="R54 AC54">
    <cfRule type="cellIs" dxfId="827" priority="20" operator="lessThan">
      <formula>0.8</formula>
    </cfRule>
  </conditionalFormatting>
  <conditionalFormatting sqref="R23 AC23">
    <cfRule type="cellIs" dxfId="826" priority="15" operator="lessThan">
      <formula>0.8</formula>
    </cfRule>
  </conditionalFormatting>
  <conditionalFormatting sqref="AC23">
    <cfRule type="cellIs" dxfId="825" priority="14" operator="lessThan">
      <formula>0.8</formula>
    </cfRule>
  </conditionalFormatting>
  <conditionalFormatting sqref="O53">
    <cfRule type="cellIs" dxfId="824" priority="9" operator="greaterThan">
      <formula>0</formula>
    </cfRule>
  </conditionalFormatting>
  <conditionalFormatting sqref="P53 AA53">
    <cfRule type="cellIs" dxfId="823" priority="12" operator="lessThan">
      <formula>0</formula>
    </cfRule>
  </conditionalFormatting>
  <conditionalFormatting sqref="Q53 AB53">
    <cfRule type="cellIs" dxfId="822" priority="10" operator="greaterThan">
      <formula>1</formula>
    </cfRule>
    <cfRule type="cellIs" dxfId="821" priority="11" operator="lessThan">
      <formula>0.8</formula>
    </cfRule>
  </conditionalFormatting>
  <conditionalFormatting sqref="R53 AC53">
    <cfRule type="cellIs" dxfId="820" priority="13" operator="lessThan">
      <formula>0.8</formula>
    </cfRule>
  </conditionalFormatting>
  <conditionalFormatting sqref="P8">
    <cfRule type="cellIs" dxfId="819" priority="8" operator="lessThan">
      <formula>0</formula>
    </cfRule>
  </conditionalFormatting>
  <conditionalFormatting sqref="P16">
    <cfRule type="cellIs" dxfId="818" priority="7" operator="lessThan">
      <formula>0</formula>
    </cfRule>
  </conditionalFormatting>
  <conditionalFormatting sqref="P25">
    <cfRule type="cellIs" dxfId="817" priority="6" operator="lessThan">
      <formula>0</formula>
    </cfRule>
  </conditionalFormatting>
  <conditionalFormatting sqref="P31">
    <cfRule type="cellIs" dxfId="816" priority="5" operator="lessThan">
      <formula>0</formula>
    </cfRule>
  </conditionalFormatting>
  <conditionalFormatting sqref="P45">
    <cfRule type="cellIs" dxfId="815" priority="4" operator="lessThan">
      <formula>0</formula>
    </cfRule>
  </conditionalFormatting>
  <conditionalFormatting sqref="P51">
    <cfRule type="cellIs" dxfId="814" priority="3" operator="lessThan">
      <formula>0</formula>
    </cfRule>
  </conditionalFormatting>
  <conditionalFormatting sqref="P58">
    <cfRule type="cellIs" dxfId="813" priority="2" operator="lessThan">
      <formula>0</formula>
    </cfRule>
  </conditionalFormatting>
  <conditionalFormatting sqref="P65">
    <cfRule type="cellIs" dxfId="812" priority="1" operator="lessThan">
      <formula>0</formula>
    </cfRule>
  </conditionalFormatting>
  <dataValidations count="1">
    <dataValidation type="list" allowBlank="1" showInputMessage="1" showErrorMessage="1" sqref="Z8 Z56:Z57 Y5:Z7 Y8:Y57 Z10:Z52 Y58:Z65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="85" zoomScaleNormal="85" workbookViewId="0">
      <selection activeCell="G7" sqref="G7:H7"/>
    </sheetView>
  </sheetViews>
  <sheetFormatPr defaultColWidth="8.75" defaultRowHeight="15.75"/>
  <cols>
    <col min="1" max="1" width="8.75" style="2"/>
    <col min="2" max="2" width="17.875" style="2" customWidth="1"/>
    <col min="3" max="3" width="9.25" style="9" customWidth="1"/>
    <col min="4" max="13" width="12.625" style="2" customWidth="1"/>
    <col min="14" max="14" width="11" style="2" bestFit="1" customWidth="1"/>
    <col min="15" max="15" width="17.75" style="2" bestFit="1" customWidth="1"/>
    <col min="16" max="16" width="12.25" style="2" bestFit="1" customWidth="1"/>
    <col min="17" max="22" width="9.25" style="2" customWidth="1"/>
    <col min="23" max="23" width="10.75" style="2" customWidth="1"/>
    <col min="24" max="24" width="11" style="2" customWidth="1"/>
    <col min="25" max="16384" width="8.75" style="2"/>
  </cols>
  <sheetData>
    <row r="1" spans="2:17" ht="27.75" customHeight="1">
      <c r="B1" s="546" t="s">
        <v>836</v>
      </c>
      <c r="C1" s="546"/>
      <c r="D1" s="546"/>
      <c r="E1" s="546"/>
      <c r="F1" s="546"/>
      <c r="G1" s="546"/>
      <c r="H1" s="546"/>
      <c r="I1" s="546"/>
      <c r="J1" s="546"/>
      <c r="K1" s="1"/>
      <c r="L1" s="1"/>
      <c r="M1" s="1"/>
      <c r="N1" s="1"/>
      <c r="O1" s="1"/>
      <c r="P1" s="1"/>
    </row>
    <row r="2" spans="2:17" ht="27.75" customHeight="1">
      <c r="B2" s="547"/>
      <c r="C2" s="547"/>
      <c r="D2" s="547"/>
      <c r="E2" s="547"/>
      <c r="F2" s="547"/>
      <c r="G2" s="547"/>
      <c r="H2" s="547"/>
      <c r="I2" s="547"/>
      <c r="J2" s="547"/>
      <c r="K2" s="3"/>
      <c r="L2" s="3"/>
      <c r="M2" s="3"/>
      <c r="N2" s="1"/>
      <c r="O2" s="1"/>
      <c r="P2" s="1"/>
    </row>
    <row r="3" spans="2:17" ht="46.5" customHeight="1">
      <c r="B3" s="4" t="s">
        <v>837</v>
      </c>
      <c r="C3" s="548" t="str">
        <f>TEXT('1211 4度C'!A2,"yyyy.mm.ddaaaa")</f>
        <v>2025.12.11星期四</v>
      </c>
      <c r="D3" s="549"/>
      <c r="E3" s="4" t="s">
        <v>104</v>
      </c>
      <c r="F3" s="550">
        <f>'1211 4度C'!D1</f>
        <v>164306</v>
      </c>
      <c r="G3" s="551"/>
      <c r="H3" s="4" t="s">
        <v>838</v>
      </c>
      <c r="I3" s="552">
        <f>'1211 4度C'!F1</f>
        <v>5423171.8200000003</v>
      </c>
      <c r="J3" s="553"/>
      <c r="K3" s="5"/>
      <c r="L3" s="6"/>
      <c r="M3" s="7"/>
      <c r="N3" s="7"/>
    </row>
    <row r="4" spans="2:17" ht="28.5" customHeight="1">
      <c r="B4" s="554" t="s">
        <v>376</v>
      </c>
      <c r="C4" s="536" t="s">
        <v>839</v>
      </c>
      <c r="D4" s="537"/>
      <c r="E4" s="557" t="s">
        <v>118</v>
      </c>
      <c r="F4" s="558"/>
      <c r="G4" s="557" t="s">
        <v>840</v>
      </c>
      <c r="H4" s="558"/>
      <c r="I4" s="557" t="s">
        <v>120</v>
      </c>
      <c r="J4" s="558"/>
      <c r="L4" s="7"/>
      <c r="M4" s="7"/>
      <c r="N4" s="7"/>
    </row>
    <row r="5" spans="2:17" ht="28.5" customHeight="1">
      <c r="B5" s="555"/>
      <c r="C5" s="536" t="s">
        <v>381</v>
      </c>
      <c r="D5" s="537"/>
      <c r="E5" s="536" t="s">
        <v>122</v>
      </c>
      <c r="F5" s="537"/>
      <c r="G5" s="538" t="s">
        <v>337</v>
      </c>
      <c r="H5" s="539"/>
      <c r="I5" s="540" t="s">
        <v>841</v>
      </c>
      <c r="J5" s="541"/>
      <c r="K5" s="7"/>
      <c r="L5" s="7"/>
      <c r="M5" s="7"/>
      <c r="N5" s="7"/>
    </row>
    <row r="6" spans="2:17" ht="28.5" customHeight="1">
      <c r="B6" s="555"/>
      <c r="C6" s="536" t="s">
        <v>46</v>
      </c>
      <c r="D6" s="537"/>
      <c r="E6" s="542">
        <f>AVERAGE(D13:M13)</f>
        <v>151.51140896115959</v>
      </c>
      <c r="F6" s="543">
        <f>AVERAGE(D27:O27,D13:J13)</f>
        <v>156.31060988908692</v>
      </c>
      <c r="G6" s="544">
        <f>AVERAGE(D13:J13)</f>
        <v>156.31060988908692</v>
      </c>
      <c r="H6" s="545"/>
      <c r="I6" s="544">
        <f>AVERAGE(K13:M13)</f>
        <v>140.31327346266252</v>
      </c>
      <c r="J6" s="545"/>
      <c r="K6" s="7"/>
      <c r="L6" s="7"/>
      <c r="M6" s="7"/>
      <c r="N6" s="7"/>
    </row>
    <row r="7" spans="2:17" ht="28.5" customHeight="1">
      <c r="B7" s="555"/>
      <c r="C7" s="526" t="s">
        <v>47</v>
      </c>
      <c r="D7" s="527"/>
      <c r="E7" s="528">
        <f>AVERAGE(D14:M14)</f>
        <v>145.3860885215648</v>
      </c>
      <c r="F7" s="529">
        <f>AVERAGE(D28:O28,D14:J14)</f>
        <v>150.20110858557638</v>
      </c>
      <c r="G7" s="530">
        <f>AVERAGE(D14:J14)</f>
        <v>150.20110858557638</v>
      </c>
      <c r="H7" s="531"/>
      <c r="I7" s="530">
        <f>AVERAGE(K14:M14)</f>
        <v>134.15104170553784</v>
      </c>
      <c r="J7" s="531"/>
      <c r="K7" s="7"/>
      <c r="L7" s="7"/>
      <c r="M7" s="7"/>
      <c r="N7" s="7"/>
    </row>
    <row r="8" spans="2:17" ht="28.5" customHeight="1">
      <c r="B8" s="556"/>
      <c r="C8" s="526" t="s">
        <v>48</v>
      </c>
      <c r="D8" s="527"/>
      <c r="E8" s="532">
        <f>AVERAGE(D15:M15)</f>
        <v>0.95878171502915777</v>
      </c>
      <c r="F8" s="533">
        <f>AVERAGE(D15:J15,D29:O29)</f>
        <v>0.95993695392718659</v>
      </c>
      <c r="G8" s="534">
        <f>AVERAGE(D15:J15)</f>
        <v>0.95993695392718659</v>
      </c>
      <c r="H8" s="535"/>
      <c r="I8" s="534">
        <f>AVERAGE(K15:M15)</f>
        <v>0.9560861576004237</v>
      </c>
      <c r="J8" s="535"/>
      <c r="K8" s="8" t="s">
        <v>842</v>
      </c>
      <c r="L8" s="7"/>
      <c r="M8" s="7"/>
      <c r="N8" s="7"/>
    </row>
    <row r="9" spans="2:17" ht="28.5" customHeight="1" thickBot="1">
      <c r="H9" s="10"/>
      <c r="N9" s="7"/>
      <c r="O9" s="7"/>
      <c r="P9" s="7"/>
      <c r="Q9" s="7"/>
    </row>
    <row r="10" spans="2:17" ht="30" customHeight="1">
      <c r="B10" s="509" t="s">
        <v>339</v>
      </c>
      <c r="C10" s="510"/>
      <c r="D10" s="511" t="s">
        <v>340</v>
      </c>
      <c r="E10" s="512"/>
      <c r="F10" s="512"/>
      <c r="G10" s="512"/>
      <c r="H10" s="512"/>
      <c r="I10" s="512"/>
      <c r="J10" s="513"/>
      <c r="K10" s="514" t="s">
        <v>843</v>
      </c>
      <c r="L10" s="515"/>
      <c r="M10" s="516"/>
      <c r="P10" s="11"/>
      <c r="Q10" s="11"/>
    </row>
    <row r="11" spans="2:17" ht="17.25" customHeight="1">
      <c r="B11" s="517" t="s">
        <v>844</v>
      </c>
      <c r="C11" s="518"/>
      <c r="D11" s="12">
        <v>1</v>
      </c>
      <c r="E11" s="13">
        <v>2</v>
      </c>
      <c r="F11" s="13">
        <v>3</v>
      </c>
      <c r="G11" s="13">
        <v>4</v>
      </c>
      <c r="H11" s="13">
        <v>5</v>
      </c>
      <c r="I11" s="13">
        <v>6</v>
      </c>
      <c r="J11" s="14">
        <v>7</v>
      </c>
      <c r="K11" s="12">
        <v>1</v>
      </c>
      <c r="L11" s="13">
        <v>2</v>
      </c>
      <c r="M11" s="14">
        <v>3</v>
      </c>
      <c r="P11" s="11"/>
      <c r="Q11" s="11"/>
    </row>
    <row r="12" spans="2:17" ht="34.15" customHeight="1">
      <c r="B12" s="519"/>
      <c r="C12" s="520"/>
      <c r="D12" s="15" t="s">
        <v>49</v>
      </c>
      <c r="E12" s="16" t="s">
        <v>50</v>
      </c>
      <c r="F12" s="16" t="s">
        <v>51</v>
      </c>
      <c r="G12" s="16" t="s">
        <v>52</v>
      </c>
      <c r="H12" s="16" t="s">
        <v>53</v>
      </c>
      <c r="I12" s="16" t="s">
        <v>54</v>
      </c>
      <c r="J12" s="17" t="s">
        <v>55</v>
      </c>
      <c r="K12" s="15" t="s">
        <v>56</v>
      </c>
      <c r="L12" s="16" t="s">
        <v>57</v>
      </c>
      <c r="M12" s="17" t="s">
        <v>58</v>
      </c>
    </row>
    <row r="13" spans="2:17" ht="40.15" customHeight="1">
      <c r="B13" s="521" t="s">
        <v>845</v>
      </c>
      <c r="C13" s="18" t="s">
        <v>391</v>
      </c>
      <c r="D13" s="19">
        <f>SUMIFS('1211 4度C'!$K:$K,'1211 4度C'!$A:$A,"新豐6線",'1211 4度C'!$B:$B,"平均")</f>
        <v>133.33333333333334</v>
      </c>
      <c r="E13" s="20">
        <f>SUMIFS('1211 4度C'!$K:$K,'1211 4度C'!$A:$A,"新豐2線",'1211 4度C'!$B:$B,"平均")</f>
        <v>83.333333333333329</v>
      </c>
      <c r="F13" s="21">
        <f>SUMIFS('1211 4度C'!$K:$K,'1211 4度C'!$A:$A,"新豐5線",'1211 4度C'!$B:$B,"平均")</f>
        <v>93.333333333333329</v>
      </c>
      <c r="G13" s="21">
        <f>SUMIFS('1211 4度C'!$K:$K,'1211 4度C'!$A:$A,"新豐7線",'1211 4度C'!$B:$B,"平均")</f>
        <v>118.32061068702291</v>
      </c>
      <c r="H13" s="21">
        <f>SUMIFS('1211 4度C'!$K:$K,'1211 4度C'!$A:$A,"新豐3線",'1211 4度C'!$B:$B,"平均")</f>
        <v>250</v>
      </c>
      <c r="I13" s="21">
        <f>SUMIFS('1211 4度C'!$K:$K,'1211 4度C'!$A:$A,"新豐1線",'1211 4度C'!$B:$B,"平均")</f>
        <v>115.85365853658537</v>
      </c>
      <c r="J13" s="22">
        <f>SUMIFS('1211 4度C'!$K:$K,'1211 4度C'!$A:$A,"新豐10線",'1211 4度C'!$B:$B,"平均")</f>
        <v>300</v>
      </c>
      <c r="K13" s="23">
        <f>SUMIFS('1211 4度C'!$K:$K,'1211 4度C'!$A:$A,"新豐8線",'1211 4度C'!$B:$B,"平均")</f>
        <v>129.72972972972974</v>
      </c>
      <c r="L13" s="24">
        <f>SUMIFS('1211 4度C'!$K:$K,'1211 4度C'!$A:$A,"新豐9線",'1211 4度C'!$B:$B,"平均")</f>
        <v>142.37288135593221</v>
      </c>
      <c r="M13" s="22">
        <f>SUMIFS('1211 4度C'!$K:$K,'1211 4度C'!$A:$A,"新豐4線",'1211 4度C'!$B:$B,"平均")</f>
        <v>148.83720930232559</v>
      </c>
    </row>
    <row r="14" spans="2:17" ht="39.6" customHeight="1">
      <c r="B14" s="522"/>
      <c r="C14" s="25" t="s">
        <v>343</v>
      </c>
      <c r="D14" s="26">
        <f>SUMIFS('1211 4度C'!$N:$N,'1211 4度C'!$A:$A,"新豐6線",'1211 4度C'!$B:$B,"平均")</f>
        <v>127.68675942885918</v>
      </c>
      <c r="E14" s="27">
        <f>SUMIFS('1211 4度C'!$N:$N,'1211 4度C'!$A:$A,"新豐2線",'1211 4度C'!$B:$B,"平均")</f>
        <v>79.35198469631753</v>
      </c>
      <c r="F14" s="27">
        <f>SUMIFS('1211 4度C'!$N:$N,'1211 4度C'!$A:$A,"新豐5線",'1211 4度C'!$B:$B,"平均")</f>
        <v>89.743172778466899</v>
      </c>
      <c r="G14" s="27">
        <f>SUMIFS('1211 4度C'!$N:$N,'1211 4度C'!$A:$A,"新豐7線",'1211 4度C'!$B:$B,"平均")</f>
        <v>114.0181280943395</v>
      </c>
      <c r="H14" s="27">
        <f>SUMIFS('1211 4度C'!$N:$N,'1211 4度C'!$A:$A,"新豐3線",'1211 4度C'!$B:$B,"平均")</f>
        <v>239.9639667715696</v>
      </c>
      <c r="I14" s="27">
        <f>SUMIFS('1211 4度C'!$N:$N,'1211 4度C'!$A:$A,"新豐1線",'1211 4度C'!$B:$B,"平均")</f>
        <v>111.20248163165328</v>
      </c>
      <c r="J14" s="28">
        <f>SUMIFS('1211 4度C'!$N:$N,'1211 4度C'!$A:$A,"新豐10線",'1211 4度C'!$B:$B,"平均")</f>
        <v>289.44126669782878</v>
      </c>
      <c r="K14" s="29">
        <f>SUMIFS('1211 4度C'!$N:$N,'1211 4度C'!$A:$A,"新豐8線",'1211 4度C'!$B:$B,"平均")</f>
        <v>124.140856663796</v>
      </c>
      <c r="L14" s="30">
        <f>SUMIFS('1211 4度C'!$N:$N,'1211 4度C'!$A:$A,"新豐9線",'1211 4度C'!$B:$B,"平均")</f>
        <v>135.80567872936433</v>
      </c>
      <c r="M14" s="28">
        <f>SUMIFS('1211 4度C'!$N:$N,'1211 4度C'!$A:$A,"新豐4線",'1211 4度C'!$B:$B,"平均")</f>
        <v>142.5065897234532</v>
      </c>
    </row>
    <row r="15" spans="2:17" ht="40.15" customHeight="1">
      <c r="B15" s="523"/>
      <c r="C15" s="31" t="s">
        <v>846</v>
      </c>
      <c r="D15" s="32">
        <f t="shared" ref="D15:M15" si="0">D14/D13</f>
        <v>0.95765069571644379</v>
      </c>
      <c r="E15" s="33">
        <f t="shared" si="0"/>
        <v>0.95222381635581044</v>
      </c>
      <c r="F15" s="33">
        <f t="shared" si="0"/>
        <v>0.96153399405500251</v>
      </c>
      <c r="G15" s="33">
        <f t="shared" si="0"/>
        <v>0.96363708260377257</v>
      </c>
      <c r="H15" s="33">
        <f t="shared" si="0"/>
        <v>0.95985586708627846</v>
      </c>
      <c r="I15" s="33">
        <f t="shared" si="0"/>
        <v>0.95985299934690205</v>
      </c>
      <c r="J15" s="34">
        <f t="shared" si="0"/>
        <v>0.96480422232609597</v>
      </c>
      <c r="K15" s="32">
        <f t="shared" si="0"/>
        <v>0.95691910345009412</v>
      </c>
      <c r="L15" s="33">
        <f t="shared" si="0"/>
        <v>0.95387321964672567</v>
      </c>
      <c r="M15" s="34">
        <f t="shared" si="0"/>
        <v>0.95746614970445121</v>
      </c>
    </row>
    <row r="16" spans="2:17" ht="17.25" customHeight="1">
      <c r="B16" s="524" t="s">
        <v>394</v>
      </c>
      <c r="C16" s="35" t="s">
        <v>344</v>
      </c>
      <c r="D16" s="49">
        <f>VLOOKUP("新豐6線",'1211 4度C'!$A:$T,19,0)</f>
        <v>0.70833333333333337</v>
      </c>
      <c r="E16" s="50">
        <f>VLOOKUP("新豐2線",'1211 4度C'!$A:$T,19,0)</f>
        <v>0.16666666666666666</v>
      </c>
      <c r="F16" s="50">
        <f>VLOOKUP("新豐5線",'1211 4度C'!$A:$T,19,0)</f>
        <v>0.20833333333333334</v>
      </c>
      <c r="G16" s="50">
        <f>VLOOKUP("新豐7線",'1211 4度C'!$A:$T,19,0)</f>
        <v>0.20833333333333334</v>
      </c>
      <c r="H16" s="50">
        <f>VLOOKUP("新豐3線",'1211 4度C'!$A:$T,19,0)</f>
        <v>8.3333333333333329E-2</v>
      </c>
      <c r="I16" s="50">
        <f>VLOOKUP("新豐1線",'1211 4度C'!$A:$T,19,0)</f>
        <v>0.20833333333333334</v>
      </c>
      <c r="J16" s="51">
        <f>VLOOKUP("新豐10線",'1211 4度C'!$A:$T,19,0)</f>
        <v>0.20833333333333334</v>
      </c>
      <c r="K16" s="36">
        <f>VLOOKUP("新豐8線",'1211 4度C'!$A:$T,19,0)</f>
        <v>8.3333333333333329E-2</v>
      </c>
      <c r="L16" s="37">
        <f>VLOOKUP("新豐9線",'1211 4度C'!$A:$T,19,0)</f>
        <v>8.3333333333333329E-2</v>
      </c>
      <c r="M16" s="38">
        <f>VLOOKUP("新豐4線",'1211 4度C'!$A:$T,19,0)</f>
        <v>8.3333333333333329E-2</v>
      </c>
    </row>
    <row r="17" spans="2:13" ht="17.25" customHeight="1">
      <c r="B17" s="525"/>
      <c r="C17" s="35" t="s">
        <v>73</v>
      </c>
      <c r="D17" s="36">
        <f>LOOKUP(2,1/(('1211 4度C'!$A:$A="新豐6線")*('1211 4度C'!$T:$T&lt;&gt;"")),'1211 4度C'!$T:$T)</f>
        <v>0.83194444444444438</v>
      </c>
      <c r="E17" s="50">
        <f>LOOKUP(2,1/(('1211 4度C'!$A:$A="新豐2線")*('1211 4度C'!$T:$T&lt;&gt;"")),'1211 4度C'!$T:$T)</f>
        <v>0.46458333333333335</v>
      </c>
      <c r="F17" s="50">
        <f>LOOKUP(2,1/(('1211 4度C'!$A:$A="新豐5線")*('1211 4度C'!$T:$T&lt;&gt;"")),'1211 4度C'!$T:$T)</f>
        <v>0.80555555555555558</v>
      </c>
      <c r="G17" s="50">
        <f>LOOKUP(2,1/(('1211 4度C'!$A:$A="新豐7線")*('1211 4度C'!$T:$T&lt;&gt;"")),'1211 4度C'!$T:$T)</f>
        <v>0.82013888888888886</v>
      </c>
      <c r="H17" s="50">
        <f>LOOKUP(2,1/(('1211 4度C'!$A:$A="新豐3線")*('1211 4度C'!$T:$T&lt;&gt;"")),'1211 4度C'!$T:$T)</f>
        <v>0.60416666666666663</v>
      </c>
      <c r="I17" s="50">
        <f>LOOKUP(2,1/(('1211 4度C'!$A:$A="新豐1線")*('1211 4度C'!$T:$T&lt;&gt;"")),'1211 4度C'!$T:$T)</f>
        <v>0.84652777777777777</v>
      </c>
      <c r="J17" s="51">
        <f>LOOKUP(2,1/(('1211 4度C'!$A:$A="新豐10線")*('1211 4度C'!$T:$T&lt;&gt;"")),'1211 4度C'!$T:$T)</f>
        <v>0.47847222222222219</v>
      </c>
      <c r="K17" s="49">
        <f>LOOKUP(2,1/(('1211 4度C'!$A:$A="新豐8線")*('1211 4度C'!$T:$T&lt;&gt;"")),'1211 4度C'!$T:$T)</f>
        <v>0.68958333333333321</v>
      </c>
      <c r="L17" s="50">
        <f>LOOKUP(2,1/(('1211 4度C'!$A:$A="新豐9線")*('1211 4度C'!$T:$T&lt;&gt;"")),'1211 4度C'!$T:$T)</f>
        <v>0.66736111111111085</v>
      </c>
      <c r="M17" s="51">
        <f>LOOKUP(2,1/(('1211 4度C'!$A:$A="新豐4線")*('1211 4度C'!$T:$T&lt;&gt;"")),'1211 4度C'!$T:$T)</f>
        <v>0.57152777777777775</v>
      </c>
    </row>
    <row r="18" spans="2:13" ht="17.25" customHeight="1">
      <c r="B18" s="503" t="s">
        <v>847</v>
      </c>
      <c r="C18" s="504"/>
      <c r="D18" s="39">
        <f>SUMIFS('1211 4度C'!$I:$I,'1211 4度C'!$A:$A,"新豐6線",'1211 4度C'!$B:$B,"平均")</f>
        <v>15</v>
      </c>
      <c r="E18" s="40">
        <f>SUMIFS('1211 4度C'!$I:$I,'1211 4度C'!$A:$A,"新豐2線",'1211 4度C'!$B:$B,"平均")</f>
        <v>18</v>
      </c>
      <c r="F18" s="40">
        <f>SUMIFS('1211 4度C'!$I:$I,'1211 4度C'!$A:$A,"新豐5線",'1211 4度C'!$B:$B,"平均")</f>
        <v>18.75</v>
      </c>
      <c r="G18" s="40">
        <f>SUMIFS('1211 4度C'!$I:$I,'1211 4度C'!$A:$A,"新豐7線",'1211 4度C'!$B:$B,"平均")</f>
        <v>16.375</v>
      </c>
      <c r="H18" s="40">
        <f>SUMIFS('1211 4度C'!$I:$I,'1211 4度C'!$A:$A,"新豐3線",'1211 4度C'!$B:$B,"平均")</f>
        <v>11</v>
      </c>
      <c r="I18" s="40">
        <f>SUMIFS('1211 4度C'!$I:$I,'1211 4度C'!$A:$A,"新豐1線",'1211 4度C'!$B:$B,"平均")</f>
        <v>16.399999999999999</v>
      </c>
      <c r="J18" s="41">
        <f>SUMIFS('1211 4度C'!$I:$I,'1211 4度C'!$A:$A,"新豐10線",'1211 4度C'!$B:$B,"平均")</f>
        <v>9.1666666666666661</v>
      </c>
      <c r="K18" s="39">
        <f>SUMIFS('1211 4度C'!$I:$I,'1211 4度C'!$A:$A,"新豐8線",'1211 4度C'!$B:$B,"平均")</f>
        <v>18.5</v>
      </c>
      <c r="L18" s="40">
        <f>SUMIFS('1211 4度C'!$I:$I,'1211 4度C'!$A:$A,"新豐9線",'1211 4度C'!$B:$B,"平均")</f>
        <v>16.857142857142858</v>
      </c>
      <c r="M18" s="41">
        <f>SUMIFS('1211 4度C'!$I:$I,'1211 4度C'!$A:$A,"新豐4線",'1211 4度C'!$B:$B,"平均")</f>
        <v>16.125</v>
      </c>
    </row>
    <row r="19" spans="2:13" ht="17.25" customHeight="1">
      <c r="B19" s="503" t="s">
        <v>346</v>
      </c>
      <c r="C19" s="504"/>
      <c r="D19" s="42" t="s">
        <v>59</v>
      </c>
      <c r="E19" s="43" t="s">
        <v>60</v>
      </c>
      <c r="F19" s="43" t="s">
        <v>848</v>
      </c>
      <c r="G19" s="43" t="s">
        <v>848</v>
      </c>
      <c r="H19" s="43" t="s">
        <v>61</v>
      </c>
      <c r="I19" s="43" t="s">
        <v>59</v>
      </c>
      <c r="J19" s="44" t="s">
        <v>61</v>
      </c>
      <c r="K19" s="42" t="s">
        <v>349</v>
      </c>
      <c r="L19" s="43" t="s">
        <v>849</v>
      </c>
      <c r="M19" s="44" t="s">
        <v>849</v>
      </c>
    </row>
    <row r="20" spans="2:13" ht="17.25" customHeight="1">
      <c r="B20" s="503" t="s">
        <v>401</v>
      </c>
      <c r="C20" s="504"/>
      <c r="D20" s="42"/>
      <c r="E20" s="43"/>
      <c r="F20" s="43" t="s">
        <v>850</v>
      </c>
      <c r="G20" s="43" t="s">
        <v>59</v>
      </c>
      <c r="H20" s="43"/>
      <c r="I20" s="43"/>
      <c r="J20" s="44"/>
      <c r="K20" s="42"/>
      <c r="L20" s="43"/>
      <c r="M20" s="44"/>
    </row>
    <row r="21" spans="2:13" ht="17.25" customHeight="1" thickBot="1">
      <c r="B21" s="505" t="s">
        <v>351</v>
      </c>
      <c r="C21" s="506"/>
      <c r="D21" s="45"/>
      <c r="E21" s="46" t="s">
        <v>352</v>
      </c>
      <c r="F21" s="507" t="s">
        <v>851</v>
      </c>
      <c r="G21" s="508"/>
      <c r="H21" s="46" t="s">
        <v>852</v>
      </c>
      <c r="I21" s="46" t="s">
        <v>853</v>
      </c>
      <c r="J21" s="47" t="s">
        <v>354</v>
      </c>
      <c r="K21" s="48"/>
      <c r="L21" s="46"/>
      <c r="M21" s="4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20:C20"/>
    <mergeCell ref="B21:C21"/>
    <mergeCell ref="F21:G21"/>
    <mergeCell ref="K10:M10"/>
    <mergeCell ref="B11:C12"/>
    <mergeCell ref="B13:B15"/>
    <mergeCell ref="B18:C18"/>
    <mergeCell ref="B19:C19"/>
  </mergeCells>
  <phoneticPr fontId="3" type="noConversion"/>
  <conditionalFormatting sqref="D15:M15">
    <cfRule type="cellIs" dxfId="811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C74"/>
  <sheetViews>
    <sheetView zoomScale="80" zoomScaleNormal="80" workbookViewId="0">
      <pane ySplit="4" topLeftCell="A15" activePane="bottomLeft" state="frozen"/>
      <selection activeCell="G7" sqref="G7:H7"/>
      <selection pane="bottomLeft" activeCell="E16" sqref="E16"/>
    </sheetView>
  </sheetViews>
  <sheetFormatPr defaultColWidth="8" defaultRowHeight="15.75"/>
  <cols>
    <col min="1" max="1" width="15.125" style="54" customWidth="1"/>
    <col min="2" max="2" width="19.375" style="54" customWidth="1"/>
    <col min="3" max="3" width="15.25" style="54" customWidth="1"/>
    <col min="4" max="4" width="17.5" style="54" customWidth="1"/>
    <col min="5" max="5" width="7.5" style="54" bestFit="1" customWidth="1"/>
    <col min="6" max="6" width="14.375" style="54" bestFit="1" customWidth="1"/>
    <col min="7" max="7" width="14.375" style="54" customWidth="1"/>
    <col min="8" max="8" width="8" style="54" customWidth="1"/>
    <col min="9" max="9" width="5.875" style="54" customWidth="1"/>
    <col min="10" max="10" width="10.625" style="54" customWidth="1"/>
    <col min="11" max="11" width="14.625" style="54" customWidth="1"/>
    <col min="12" max="12" width="7.25" style="54" bestFit="1" customWidth="1"/>
    <col min="13" max="13" width="8" style="54" customWidth="1"/>
    <col min="14" max="14" width="12" style="54" customWidth="1"/>
    <col min="15" max="15" width="6" style="54" customWidth="1"/>
    <col min="16" max="16" width="9.25" style="54" customWidth="1"/>
    <col min="17" max="17" width="11.5" style="54" customWidth="1"/>
    <col min="18" max="18" width="8.5" style="54" customWidth="1"/>
    <col min="19" max="19" width="10.125" style="73" bestFit="1" customWidth="1"/>
    <col min="20" max="20" width="7.625" style="73" bestFit="1" customWidth="1"/>
    <col min="21" max="21" width="10.25" style="54" bestFit="1" customWidth="1"/>
    <col min="22" max="22" width="8.75" style="71" customWidth="1"/>
    <col min="23" max="23" width="7.375" style="54" customWidth="1"/>
    <col min="24" max="24" width="6.875" style="54" bestFit="1" customWidth="1"/>
    <col min="25" max="25" width="12.75" style="54" customWidth="1"/>
    <col min="26" max="26" width="18.875" style="54" customWidth="1"/>
    <col min="27" max="27" width="13.125" style="54" bestFit="1" customWidth="1"/>
    <col min="28" max="28" width="10.375" style="54" customWidth="1"/>
    <col min="29" max="29" width="9.375" style="54" customWidth="1"/>
    <col min="30" max="30" width="8" style="54"/>
    <col min="31" max="31" width="24.625" style="54" bestFit="1" customWidth="1"/>
    <col min="32" max="16384" width="8" style="54"/>
  </cols>
  <sheetData>
    <row r="1" spans="1:29" ht="26.25" customHeight="1">
      <c r="A1" s="52" t="s">
        <v>408</v>
      </c>
      <c r="B1" s="52"/>
      <c r="C1" s="117" t="s">
        <v>356</v>
      </c>
      <c r="D1" s="118">
        <f>SUM(F5:F73)</f>
        <v>164306</v>
      </c>
      <c r="E1" s="215" t="s">
        <v>410</v>
      </c>
      <c r="F1" s="52">
        <f>SUM(G5:G73)</f>
        <v>5423171.8200000003</v>
      </c>
      <c r="G1" s="52" t="s">
        <v>357</v>
      </c>
      <c r="H1" s="53">
        <f>L8+L11+L51+L57+L16+L64+L34+L42+L25+L73</f>
        <v>156.17380952380955</v>
      </c>
      <c r="I1" s="607" t="s">
        <v>76</v>
      </c>
      <c r="J1" s="607"/>
      <c r="K1" s="607"/>
      <c r="L1" s="607" t="s">
        <v>108</v>
      </c>
      <c r="M1" s="607"/>
      <c r="N1" s="607"/>
      <c r="O1" s="607" t="s">
        <v>359</v>
      </c>
      <c r="P1" s="607"/>
      <c r="Q1" s="607"/>
      <c r="R1" s="607"/>
      <c r="S1" s="607" t="s">
        <v>415</v>
      </c>
      <c r="T1" s="607"/>
      <c r="U1" s="607"/>
      <c r="V1" s="607"/>
      <c r="W1" s="607"/>
      <c r="X1" s="607"/>
      <c r="Y1" s="607" t="s">
        <v>77</v>
      </c>
      <c r="Z1" s="607"/>
      <c r="AA1" s="607" t="s">
        <v>110</v>
      </c>
      <c r="AB1" s="608"/>
      <c r="AC1" s="608"/>
    </row>
    <row r="2" spans="1:29" ht="26.25" customHeight="1">
      <c r="A2" s="55">
        <v>46002</v>
      </c>
      <c r="B2" s="56" t="s">
        <v>329</v>
      </c>
      <c r="C2" s="117" t="s">
        <v>342</v>
      </c>
      <c r="D2" s="119">
        <f>AVERAGE(N8,N11,N51,N57,N16,N64,N25,N34,N42,N73)</f>
        <v>145.38608852156486</v>
      </c>
      <c r="E2" s="120" t="s">
        <v>0</v>
      </c>
      <c r="F2" s="121">
        <f>F1/D1</f>
        <v>33.006535488661399</v>
      </c>
      <c r="G2" s="52" t="s">
        <v>419</v>
      </c>
      <c r="H2" s="222">
        <f>COUNT(H5:H73)</f>
        <v>3</v>
      </c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8"/>
      <c r="AB2" s="608"/>
      <c r="AC2" s="608"/>
    </row>
    <row r="3" spans="1:29" ht="23.25" customHeight="1">
      <c r="A3" s="559" t="s">
        <v>420</v>
      </c>
      <c r="B3" s="559" t="s">
        <v>362</v>
      </c>
      <c r="C3" s="559" t="s">
        <v>422</v>
      </c>
      <c r="D3" s="559"/>
      <c r="E3" s="605" t="s">
        <v>111</v>
      </c>
      <c r="F3" s="559" t="s">
        <v>79</v>
      </c>
      <c r="G3" s="605" t="s">
        <v>80</v>
      </c>
      <c r="H3" s="598" t="s">
        <v>81</v>
      </c>
      <c r="I3" s="596" t="s">
        <v>82</v>
      </c>
      <c r="J3" s="601" t="s">
        <v>366</v>
      </c>
      <c r="K3" s="603" t="s">
        <v>342</v>
      </c>
      <c r="L3" s="596" t="s">
        <v>82</v>
      </c>
      <c r="M3" s="601" t="s">
        <v>366</v>
      </c>
      <c r="N3" s="603" t="s">
        <v>854</v>
      </c>
      <c r="O3" s="596" t="s">
        <v>82</v>
      </c>
      <c r="P3" s="603" t="s">
        <v>342</v>
      </c>
      <c r="Q3" s="602" t="s">
        <v>84</v>
      </c>
      <c r="R3" s="574" t="s">
        <v>368</v>
      </c>
      <c r="S3" s="604" t="s">
        <v>1</v>
      </c>
      <c r="T3" s="604"/>
      <c r="U3" s="598" t="s">
        <v>2</v>
      </c>
      <c r="V3" s="598" t="s">
        <v>855</v>
      </c>
      <c r="W3" s="559" t="s">
        <v>112</v>
      </c>
      <c r="X3" s="559"/>
      <c r="Y3" s="599" t="s">
        <v>113</v>
      </c>
      <c r="Z3" s="600"/>
      <c r="AA3" s="601" t="s">
        <v>366</v>
      </c>
      <c r="AB3" s="602" t="s">
        <v>84</v>
      </c>
      <c r="AC3" s="574" t="s">
        <v>368</v>
      </c>
    </row>
    <row r="4" spans="1:29">
      <c r="A4" s="559"/>
      <c r="B4" s="559"/>
      <c r="C4" s="559"/>
      <c r="D4" s="559"/>
      <c r="E4" s="606"/>
      <c r="F4" s="559"/>
      <c r="G4" s="606"/>
      <c r="H4" s="598"/>
      <c r="I4" s="596"/>
      <c r="J4" s="601"/>
      <c r="K4" s="603"/>
      <c r="L4" s="596"/>
      <c r="M4" s="601"/>
      <c r="N4" s="603"/>
      <c r="O4" s="596"/>
      <c r="P4" s="603"/>
      <c r="Q4" s="602"/>
      <c r="R4" s="574"/>
      <c r="S4" s="223" t="s">
        <v>3</v>
      </c>
      <c r="T4" s="223" t="s">
        <v>4</v>
      </c>
      <c r="U4" s="598"/>
      <c r="V4" s="598"/>
      <c r="W4" s="215" t="s">
        <v>115</v>
      </c>
      <c r="X4" s="215" t="s">
        <v>438</v>
      </c>
      <c r="Y4" s="600"/>
      <c r="Z4" s="600"/>
      <c r="AA4" s="601"/>
      <c r="AB4" s="602"/>
      <c r="AC4" s="574"/>
    </row>
    <row r="5" spans="1:29">
      <c r="A5" s="595" t="s">
        <v>856</v>
      </c>
      <c r="B5" s="57" t="s">
        <v>6</v>
      </c>
      <c r="C5" s="597" t="s">
        <v>9</v>
      </c>
      <c r="D5" s="597"/>
      <c r="E5" s="57">
        <v>50.67</v>
      </c>
      <c r="F5" s="223">
        <v>1311</v>
      </c>
      <c r="G5" s="215">
        <f t="shared" ref="G5:G7" si="0">E5*F5</f>
        <v>66428.37</v>
      </c>
      <c r="H5" s="224" t="s">
        <v>5</v>
      </c>
      <c r="I5" s="220">
        <v>17</v>
      </c>
      <c r="J5" s="58">
        <v>2000</v>
      </c>
      <c r="K5" s="59">
        <f t="shared" ref="K5:K68" si="1">J5/I5</f>
        <v>117.64705882352941</v>
      </c>
      <c r="L5" s="220">
        <v>17</v>
      </c>
      <c r="M5" s="60">
        <f t="shared" ref="M5:M7" si="2">F5/V5*60</f>
        <v>1918.5365853658532</v>
      </c>
      <c r="N5" s="59">
        <f t="shared" ref="N5:N68" si="3">M5/L5</f>
        <v>112.8550932568149</v>
      </c>
      <c r="O5" s="61">
        <f t="shared" ref="O5:O68" si="4">L5-I5</f>
        <v>0</v>
      </c>
      <c r="P5" s="62">
        <f t="shared" ref="P5:P68" si="5">N5-K5</f>
        <v>-4.7919655667145094</v>
      </c>
      <c r="Q5" s="216">
        <f t="shared" ref="Q5:Q68" si="6">N5/K5</f>
        <v>0.95926829268292668</v>
      </c>
      <c r="R5" s="566">
        <f>Q8</f>
        <v>0.95765069571644379</v>
      </c>
      <c r="S5" s="63">
        <v>0.70833333333333337</v>
      </c>
      <c r="T5" s="63">
        <v>0.7368055555555556</v>
      </c>
      <c r="U5" s="215"/>
      <c r="V5" s="221">
        <f t="shared" ref="V5:V7" si="7">(T5-S5)*24*60</f>
        <v>41.000000000000014</v>
      </c>
      <c r="W5" s="64"/>
      <c r="X5" s="65"/>
      <c r="Y5" s="559"/>
      <c r="Z5" s="559"/>
      <c r="AA5" s="61">
        <f t="shared" ref="AA5:AA68" si="8">M5-J5</f>
        <v>-81.463414634146829</v>
      </c>
      <c r="AB5" s="216">
        <f t="shared" ref="AB5:AB68" si="9">M5/J5</f>
        <v>0.95926829268292657</v>
      </c>
      <c r="AC5" s="566">
        <f>AB8</f>
        <v>0.95765069571644379</v>
      </c>
    </row>
    <row r="6" spans="1:29">
      <c r="A6" s="596" t="s">
        <v>116</v>
      </c>
      <c r="B6" s="57" t="s">
        <v>6</v>
      </c>
      <c r="C6" s="597" t="s">
        <v>8</v>
      </c>
      <c r="D6" s="597"/>
      <c r="E6" s="57">
        <v>50.49</v>
      </c>
      <c r="F6" s="223">
        <v>1754</v>
      </c>
      <c r="G6" s="215">
        <f t="shared" si="0"/>
        <v>88559.46</v>
      </c>
      <c r="H6" s="224" t="s">
        <v>5</v>
      </c>
      <c r="I6" s="220">
        <v>15</v>
      </c>
      <c r="J6" s="58">
        <v>2000</v>
      </c>
      <c r="K6" s="59">
        <f t="shared" si="1"/>
        <v>133.33333333333334</v>
      </c>
      <c r="L6" s="220">
        <v>15</v>
      </c>
      <c r="M6" s="60">
        <f t="shared" si="2"/>
        <v>1913.4545454545466</v>
      </c>
      <c r="N6" s="59">
        <f t="shared" si="3"/>
        <v>127.56363636363645</v>
      </c>
      <c r="O6" s="61">
        <f t="shared" si="4"/>
        <v>0</v>
      </c>
      <c r="P6" s="62">
        <f t="shared" si="5"/>
        <v>-5.7696969696968949</v>
      </c>
      <c r="Q6" s="216">
        <f t="shared" si="6"/>
        <v>0.95672727272727331</v>
      </c>
      <c r="R6" s="566"/>
      <c r="S6" s="63">
        <v>0.7416666666666667</v>
      </c>
      <c r="T6" s="63">
        <v>0.77986111111111112</v>
      </c>
      <c r="U6" s="215">
        <f t="shared" ref="U6:U7" si="10">IF(S6=TIME(17,0,0),"",(S6-T5)*24*60)</f>
        <v>6.9999999999999751</v>
      </c>
      <c r="V6" s="221">
        <f t="shared" si="7"/>
        <v>54.999999999999964</v>
      </c>
      <c r="W6" s="64"/>
      <c r="X6" s="64"/>
      <c r="Y6" s="559"/>
      <c r="Z6" s="559"/>
      <c r="AA6" s="61">
        <f t="shared" si="8"/>
        <v>-86.545454545453367</v>
      </c>
      <c r="AB6" s="216">
        <f t="shared" si="9"/>
        <v>0.95672727272727331</v>
      </c>
      <c r="AC6" s="566"/>
    </row>
    <row r="7" spans="1:29">
      <c r="A7" s="596" t="s">
        <v>116</v>
      </c>
      <c r="B7" s="57" t="s">
        <v>6</v>
      </c>
      <c r="C7" s="590" t="s">
        <v>94</v>
      </c>
      <c r="D7" s="591"/>
      <c r="E7" s="57">
        <v>57.3</v>
      </c>
      <c r="F7" s="223">
        <v>2201</v>
      </c>
      <c r="G7" s="215">
        <f t="shared" si="0"/>
        <v>126117.29999999999</v>
      </c>
      <c r="H7" s="224" t="s">
        <v>5</v>
      </c>
      <c r="I7" s="220">
        <v>13</v>
      </c>
      <c r="J7" s="58">
        <v>2000</v>
      </c>
      <c r="K7" s="59">
        <f t="shared" si="1"/>
        <v>153.84615384615384</v>
      </c>
      <c r="L7" s="220">
        <v>13</v>
      </c>
      <c r="M7" s="60">
        <f t="shared" si="2"/>
        <v>1913.913043478263</v>
      </c>
      <c r="N7" s="59">
        <f t="shared" si="3"/>
        <v>147.22408026755869</v>
      </c>
      <c r="O7" s="61">
        <f t="shared" si="4"/>
        <v>0</v>
      </c>
      <c r="P7" s="62">
        <f t="shared" si="5"/>
        <v>-6.622073578595149</v>
      </c>
      <c r="Q7" s="216">
        <f t="shared" si="6"/>
        <v>0.95695652173913148</v>
      </c>
      <c r="R7" s="566"/>
      <c r="S7" s="63">
        <v>0.78402777777777777</v>
      </c>
      <c r="T7" s="63">
        <v>0.83194444444444438</v>
      </c>
      <c r="U7" s="215">
        <f t="shared" si="10"/>
        <v>5.9999999999999787</v>
      </c>
      <c r="V7" s="221">
        <f t="shared" si="7"/>
        <v>68.999999999999915</v>
      </c>
      <c r="W7" s="64"/>
      <c r="X7" s="64"/>
      <c r="Y7" s="569"/>
      <c r="Z7" s="570"/>
      <c r="AA7" s="61">
        <f t="shared" si="8"/>
        <v>-86.086956521736965</v>
      </c>
      <c r="AB7" s="216">
        <f t="shared" si="9"/>
        <v>0.95695652173913148</v>
      </c>
      <c r="AC7" s="566"/>
    </row>
    <row r="8" spans="1:29">
      <c r="A8" s="596" t="s">
        <v>116</v>
      </c>
      <c r="B8" s="57" t="s">
        <v>371</v>
      </c>
      <c r="C8" s="571"/>
      <c r="D8" s="571"/>
      <c r="E8" s="219"/>
      <c r="F8" s="66"/>
      <c r="G8" s="59"/>
      <c r="H8" s="223"/>
      <c r="I8" s="67">
        <v>15</v>
      </c>
      <c r="J8" s="58">
        <v>2000</v>
      </c>
      <c r="K8" s="59">
        <f t="shared" si="1"/>
        <v>133.33333333333334</v>
      </c>
      <c r="L8" s="67">
        <v>15</v>
      </c>
      <c r="M8" s="60">
        <f>AVERAGE(M5:M7)</f>
        <v>1915.3013914328876</v>
      </c>
      <c r="N8" s="59">
        <f t="shared" si="3"/>
        <v>127.68675942885918</v>
      </c>
      <c r="O8" s="61">
        <f t="shared" si="4"/>
        <v>0</v>
      </c>
      <c r="P8" s="62">
        <f t="shared" si="5"/>
        <v>-5.6465739044741667</v>
      </c>
      <c r="Q8" s="216">
        <f t="shared" si="6"/>
        <v>0.95765069571644379</v>
      </c>
      <c r="R8" s="566"/>
      <c r="S8" s="63"/>
      <c r="T8" s="63"/>
      <c r="U8" s="215"/>
      <c r="V8" s="221"/>
      <c r="W8" s="59"/>
      <c r="X8" s="59"/>
      <c r="Y8" s="559"/>
      <c r="Z8" s="559"/>
      <c r="AA8" s="61">
        <f t="shared" si="8"/>
        <v>-84.698608567112387</v>
      </c>
      <c r="AB8" s="216">
        <f t="shared" si="9"/>
        <v>0.95765069571644379</v>
      </c>
      <c r="AC8" s="566"/>
    </row>
    <row r="9" spans="1:29" ht="15.75" customHeight="1">
      <c r="A9" s="594" t="s">
        <v>857</v>
      </c>
      <c r="B9" s="57" t="s">
        <v>10</v>
      </c>
      <c r="C9" s="590" t="s">
        <v>14</v>
      </c>
      <c r="D9" s="591"/>
      <c r="E9" s="57">
        <v>39.619999999999997</v>
      </c>
      <c r="F9" s="223">
        <v>3906</v>
      </c>
      <c r="G9" s="215">
        <f t="shared" ref="G9:G10" si="11">E9*F9</f>
        <v>154755.72</v>
      </c>
      <c r="H9" s="224" t="s">
        <v>5</v>
      </c>
      <c r="I9" s="220">
        <v>19</v>
      </c>
      <c r="J9" s="58">
        <v>1500</v>
      </c>
      <c r="K9" s="59">
        <f t="shared" si="1"/>
        <v>78.94736842105263</v>
      </c>
      <c r="L9" s="220">
        <v>19</v>
      </c>
      <c r="M9" s="60">
        <f t="shared" ref="M9:M10" si="12">F9/V9*60</f>
        <v>1429.0243902439024</v>
      </c>
      <c r="N9" s="59">
        <f t="shared" si="3"/>
        <v>75.211810012836963</v>
      </c>
      <c r="O9" s="61">
        <f t="shared" si="4"/>
        <v>0</v>
      </c>
      <c r="P9" s="62">
        <f t="shared" si="5"/>
        <v>-3.7355584082156668</v>
      </c>
      <c r="Q9" s="216">
        <f t="shared" si="6"/>
        <v>0.95268292682926825</v>
      </c>
      <c r="R9" s="566">
        <f>Q11</f>
        <v>0.95222381635581044</v>
      </c>
      <c r="S9" s="63">
        <v>0.16666666666666666</v>
      </c>
      <c r="T9" s="63">
        <v>0.28055555555555556</v>
      </c>
      <c r="U9" s="215"/>
      <c r="V9" s="221">
        <f t="shared" ref="V9:V10" si="13">(T9-S9)*24*60</f>
        <v>164</v>
      </c>
      <c r="W9" s="64">
        <f>T9</f>
        <v>0.28055555555555556</v>
      </c>
      <c r="X9" s="64">
        <f>S10</f>
        <v>0.29930555555555555</v>
      </c>
      <c r="Y9" s="559"/>
      <c r="Z9" s="559"/>
      <c r="AA9" s="61">
        <f t="shared" si="8"/>
        <v>-70.975609756097583</v>
      </c>
      <c r="AB9" s="216">
        <f t="shared" si="9"/>
        <v>0.95268292682926825</v>
      </c>
      <c r="AC9" s="566">
        <f>AB11</f>
        <v>0.95222381635581044</v>
      </c>
    </row>
    <row r="10" spans="1:29" ht="15.75" customHeight="1">
      <c r="A10" s="594" t="s">
        <v>858</v>
      </c>
      <c r="B10" s="57" t="s">
        <v>10</v>
      </c>
      <c r="C10" s="590" t="s">
        <v>11</v>
      </c>
      <c r="D10" s="591"/>
      <c r="E10" s="57">
        <v>39.799999999999997</v>
      </c>
      <c r="F10" s="223">
        <v>5663</v>
      </c>
      <c r="G10" s="215">
        <f t="shared" si="11"/>
        <v>225387.4</v>
      </c>
      <c r="H10" s="224" t="s">
        <v>5</v>
      </c>
      <c r="I10" s="220">
        <v>17</v>
      </c>
      <c r="J10" s="58">
        <v>1500</v>
      </c>
      <c r="K10" s="59">
        <f t="shared" si="1"/>
        <v>88.235294117647058</v>
      </c>
      <c r="L10" s="220">
        <v>17</v>
      </c>
      <c r="M10" s="60">
        <f t="shared" si="12"/>
        <v>1427.6470588235291</v>
      </c>
      <c r="N10" s="59">
        <f t="shared" si="3"/>
        <v>83.979238754325237</v>
      </c>
      <c r="O10" s="61">
        <f t="shared" si="4"/>
        <v>0</v>
      </c>
      <c r="P10" s="62">
        <f t="shared" si="5"/>
        <v>-4.2560553633218206</v>
      </c>
      <c r="Q10" s="216">
        <f t="shared" si="6"/>
        <v>0.95176470588235274</v>
      </c>
      <c r="R10" s="566"/>
      <c r="S10" s="63">
        <v>0.29930555555555555</v>
      </c>
      <c r="T10" s="63">
        <v>0.46458333333333335</v>
      </c>
      <c r="U10" s="215">
        <f t="shared" ref="U10" si="14">IF(S10=TIME(17,0,0),"",(S10-T9)*24*60)</f>
        <v>26.999999999999986</v>
      </c>
      <c r="V10" s="221">
        <f t="shared" si="13"/>
        <v>238.00000000000003</v>
      </c>
      <c r="W10" s="64"/>
      <c r="X10" s="64"/>
      <c r="Y10" s="559"/>
      <c r="Z10" s="559"/>
      <c r="AA10" s="61">
        <f t="shared" si="8"/>
        <v>-72.352941176470949</v>
      </c>
      <c r="AB10" s="216">
        <f t="shared" si="9"/>
        <v>0.95176470588235274</v>
      </c>
      <c r="AC10" s="566"/>
    </row>
    <row r="11" spans="1:29" ht="16.5" customHeight="1">
      <c r="A11" s="594" t="s">
        <v>85</v>
      </c>
      <c r="B11" s="57" t="s">
        <v>859</v>
      </c>
      <c r="C11" s="571"/>
      <c r="D11" s="571"/>
      <c r="E11" s="219"/>
      <c r="F11" s="58"/>
      <c r="G11" s="60"/>
      <c r="H11" s="223"/>
      <c r="I11" s="67">
        <v>18</v>
      </c>
      <c r="J11" s="58">
        <v>1500</v>
      </c>
      <c r="K11" s="59">
        <f t="shared" si="1"/>
        <v>83.333333333333329</v>
      </c>
      <c r="L11" s="67">
        <v>18</v>
      </c>
      <c r="M11" s="60">
        <f>AVERAGE(M9:M10)</f>
        <v>1428.3357245337156</v>
      </c>
      <c r="N11" s="59">
        <f t="shared" si="3"/>
        <v>79.35198469631753</v>
      </c>
      <c r="O11" s="61">
        <f t="shared" si="4"/>
        <v>0</v>
      </c>
      <c r="P11" s="62">
        <f t="shared" si="5"/>
        <v>-3.9813486370157989</v>
      </c>
      <c r="Q11" s="216">
        <f t="shared" si="6"/>
        <v>0.95222381635581044</v>
      </c>
      <c r="R11" s="566"/>
      <c r="S11" s="63"/>
      <c r="T11" s="63"/>
      <c r="U11" s="59"/>
      <c r="V11" s="221"/>
      <c r="W11" s="59"/>
      <c r="X11" s="59"/>
      <c r="Y11" s="559"/>
      <c r="Z11" s="559"/>
      <c r="AA11" s="61">
        <f t="shared" si="8"/>
        <v>-71.66427546628438</v>
      </c>
      <c r="AB11" s="216">
        <f t="shared" si="9"/>
        <v>0.95222381635581044</v>
      </c>
      <c r="AC11" s="566"/>
    </row>
    <row r="12" spans="1:29" ht="16.5" customHeight="1">
      <c r="A12" s="592" t="s">
        <v>860</v>
      </c>
      <c r="B12" s="223" t="s">
        <v>12</v>
      </c>
      <c r="C12" s="584" t="s">
        <v>13</v>
      </c>
      <c r="D12" s="584"/>
      <c r="E12" s="57">
        <v>41</v>
      </c>
      <c r="F12" s="223">
        <v>2187</v>
      </c>
      <c r="G12" s="215">
        <f t="shared" ref="G12:G15" si="15">E12*F12</f>
        <v>89667</v>
      </c>
      <c r="H12" s="224" t="s">
        <v>5</v>
      </c>
      <c r="I12" s="220">
        <v>26</v>
      </c>
      <c r="J12" s="58">
        <v>1500</v>
      </c>
      <c r="K12" s="59">
        <f t="shared" si="1"/>
        <v>57.692307692307693</v>
      </c>
      <c r="L12" s="220">
        <v>26</v>
      </c>
      <c r="M12" s="60">
        <f t="shared" ref="M12:M15" si="16">F12/V12*60</f>
        <v>1441.9780219780214</v>
      </c>
      <c r="N12" s="59">
        <f t="shared" si="3"/>
        <v>55.460693153000825</v>
      </c>
      <c r="O12" s="61">
        <f t="shared" si="4"/>
        <v>0</v>
      </c>
      <c r="P12" s="62">
        <f t="shared" si="5"/>
        <v>-2.231614539306868</v>
      </c>
      <c r="Q12" s="216">
        <f t="shared" si="6"/>
        <v>0.96131868131868092</v>
      </c>
      <c r="R12" s="566">
        <f>Q16</f>
        <v>0.96153399405500251</v>
      </c>
      <c r="S12" s="63">
        <v>0.20833333333333334</v>
      </c>
      <c r="T12" s="63">
        <v>0.27152777777777781</v>
      </c>
      <c r="U12" s="215"/>
      <c r="V12" s="221">
        <f t="shared" ref="V12:V15" si="17">(T12-S12)*24*60</f>
        <v>91.000000000000043</v>
      </c>
      <c r="W12" s="68"/>
      <c r="X12" s="68"/>
      <c r="Y12" s="559"/>
      <c r="Z12" s="559"/>
      <c r="AA12" s="61">
        <f t="shared" si="8"/>
        <v>-58.021978021978612</v>
      </c>
      <c r="AB12" s="216">
        <f t="shared" si="9"/>
        <v>0.96131868131868092</v>
      </c>
      <c r="AC12" s="566">
        <f>AB16</f>
        <v>0.96153399405500239</v>
      </c>
    </row>
    <row r="13" spans="1:29" ht="16.5" customHeight="1">
      <c r="A13" s="593" t="s">
        <v>443</v>
      </c>
      <c r="B13" s="223" t="s">
        <v>657</v>
      </c>
      <c r="C13" s="584" t="s">
        <v>236</v>
      </c>
      <c r="D13" s="584"/>
      <c r="E13" s="57">
        <v>72.400000000000006</v>
      </c>
      <c r="F13" s="223">
        <v>1781</v>
      </c>
      <c r="G13" s="215">
        <f t="shared" si="15"/>
        <v>128944.40000000001</v>
      </c>
      <c r="H13" s="224" t="s">
        <v>5</v>
      </c>
      <c r="I13" s="220">
        <v>18</v>
      </c>
      <c r="J13" s="58">
        <v>1500</v>
      </c>
      <c r="K13" s="59">
        <f t="shared" si="1"/>
        <v>83.333333333333329</v>
      </c>
      <c r="L13" s="220">
        <v>18</v>
      </c>
      <c r="M13" s="60">
        <f t="shared" si="16"/>
        <v>1444.0540540540546</v>
      </c>
      <c r="N13" s="59">
        <f t="shared" si="3"/>
        <v>80.225225225225259</v>
      </c>
      <c r="O13" s="61">
        <f t="shared" si="4"/>
        <v>0</v>
      </c>
      <c r="P13" s="62">
        <f t="shared" si="5"/>
        <v>-3.1081081081080697</v>
      </c>
      <c r="Q13" s="216">
        <f t="shared" si="6"/>
        <v>0.96270270270270319</v>
      </c>
      <c r="R13" s="566"/>
      <c r="S13" s="63">
        <v>0.27708333333333335</v>
      </c>
      <c r="T13" s="63">
        <v>0.32847222222222222</v>
      </c>
      <c r="U13" s="215">
        <f t="shared" ref="U13:U15" si="18">IF(S13=TIME(17,0,0),"",(S13-T12)*24*60)</f>
        <v>7.9999999999999716</v>
      </c>
      <c r="V13" s="221">
        <f t="shared" si="17"/>
        <v>73.999999999999972</v>
      </c>
      <c r="W13" s="64"/>
      <c r="X13" s="64"/>
      <c r="Y13" s="559"/>
      <c r="Z13" s="559"/>
      <c r="AA13" s="61">
        <f t="shared" si="8"/>
        <v>-55.945945945945368</v>
      </c>
      <c r="AB13" s="216">
        <f t="shared" si="9"/>
        <v>0.96270270270270308</v>
      </c>
      <c r="AC13" s="566"/>
    </row>
    <row r="14" spans="1:29" ht="16.5" customHeight="1">
      <c r="A14" s="593" t="s">
        <v>443</v>
      </c>
      <c r="B14" s="223" t="s">
        <v>6</v>
      </c>
      <c r="C14" s="584" t="s">
        <v>95</v>
      </c>
      <c r="D14" s="584"/>
      <c r="E14" s="57">
        <v>50.98</v>
      </c>
      <c r="F14" s="223">
        <v>2170</v>
      </c>
      <c r="G14" s="215">
        <f t="shared" si="15"/>
        <v>110626.59999999999</v>
      </c>
      <c r="H14" s="224" t="s">
        <v>5</v>
      </c>
      <c r="I14" s="220">
        <v>16</v>
      </c>
      <c r="J14" s="58">
        <v>2000</v>
      </c>
      <c r="K14" s="59">
        <f t="shared" si="1"/>
        <v>125</v>
      </c>
      <c r="L14" s="220">
        <v>16</v>
      </c>
      <c r="M14" s="60">
        <f t="shared" si="16"/>
        <v>1914.7058823529437</v>
      </c>
      <c r="N14" s="59">
        <f t="shared" si="3"/>
        <v>119.66911764705898</v>
      </c>
      <c r="O14" s="61">
        <f t="shared" si="4"/>
        <v>0</v>
      </c>
      <c r="P14" s="62">
        <f t="shared" si="5"/>
        <v>-5.3308823529410176</v>
      </c>
      <c r="Q14" s="216">
        <f t="shared" si="6"/>
        <v>0.95735294117647185</v>
      </c>
      <c r="R14" s="566"/>
      <c r="S14" s="63">
        <v>0.70833333333333337</v>
      </c>
      <c r="T14" s="63">
        <v>0.75555555555555554</v>
      </c>
      <c r="U14" s="215" t="str">
        <f t="shared" si="18"/>
        <v/>
      </c>
      <c r="V14" s="221">
        <f t="shared" si="17"/>
        <v>67.999999999999915</v>
      </c>
      <c r="W14" s="64"/>
      <c r="X14" s="64"/>
      <c r="Y14" s="559"/>
      <c r="Z14" s="559"/>
      <c r="AA14" s="61">
        <f t="shared" si="8"/>
        <v>-85.294117647056282</v>
      </c>
      <c r="AB14" s="216">
        <f t="shared" si="9"/>
        <v>0.95735294117647185</v>
      </c>
      <c r="AC14" s="566"/>
    </row>
    <row r="15" spans="1:29" ht="16.5" customHeight="1">
      <c r="A15" s="593" t="s">
        <v>861</v>
      </c>
      <c r="B15" s="223" t="s">
        <v>6</v>
      </c>
      <c r="C15" s="584" t="s">
        <v>18</v>
      </c>
      <c r="D15" s="584"/>
      <c r="E15" s="57">
        <v>50.92</v>
      </c>
      <c r="F15" s="223">
        <v>2123</v>
      </c>
      <c r="G15" s="215">
        <f t="shared" si="15"/>
        <v>108103.16</v>
      </c>
      <c r="H15" s="224" t="s">
        <v>5</v>
      </c>
      <c r="I15" s="220">
        <v>15</v>
      </c>
      <c r="J15" s="58">
        <v>2000</v>
      </c>
      <c r="K15" s="59">
        <f t="shared" si="1"/>
        <v>133.33333333333334</v>
      </c>
      <c r="L15" s="220">
        <v>15</v>
      </c>
      <c r="M15" s="60">
        <f t="shared" si="16"/>
        <v>1929.9999999999973</v>
      </c>
      <c r="N15" s="59">
        <f t="shared" si="3"/>
        <v>128.66666666666649</v>
      </c>
      <c r="O15" s="61">
        <f t="shared" si="4"/>
        <v>0</v>
      </c>
      <c r="P15" s="62">
        <f t="shared" si="5"/>
        <v>-4.6666666666668561</v>
      </c>
      <c r="Q15" s="216">
        <f t="shared" si="6"/>
        <v>0.96499999999999864</v>
      </c>
      <c r="R15" s="566"/>
      <c r="S15" s="63">
        <v>0.75972222222222219</v>
      </c>
      <c r="T15" s="63">
        <v>0.80555555555555558</v>
      </c>
      <c r="U15" s="215">
        <f t="shared" si="18"/>
        <v>5.9999999999999787</v>
      </c>
      <c r="V15" s="221">
        <f t="shared" si="17"/>
        <v>66.000000000000085</v>
      </c>
      <c r="W15" s="64"/>
      <c r="X15" s="64"/>
      <c r="Y15" s="559"/>
      <c r="Z15" s="559"/>
      <c r="AA15" s="61">
        <f t="shared" si="8"/>
        <v>-70.000000000002728</v>
      </c>
      <c r="AB15" s="216">
        <f t="shared" si="9"/>
        <v>0.96499999999999864</v>
      </c>
      <c r="AC15" s="566"/>
    </row>
    <row r="16" spans="1:29" ht="16.5" customHeight="1">
      <c r="A16" s="593" t="s">
        <v>860</v>
      </c>
      <c r="B16" s="57" t="s">
        <v>371</v>
      </c>
      <c r="C16" s="571"/>
      <c r="D16" s="571"/>
      <c r="E16" s="219"/>
      <c r="F16" s="66"/>
      <c r="G16" s="59"/>
      <c r="H16" s="223"/>
      <c r="I16" s="67">
        <v>18.75</v>
      </c>
      <c r="J16" s="58">
        <v>1750</v>
      </c>
      <c r="K16" s="59">
        <f t="shared" si="1"/>
        <v>93.333333333333329</v>
      </c>
      <c r="L16" s="67">
        <v>18.75</v>
      </c>
      <c r="M16" s="60">
        <f>AVERAGE(M12:M15)</f>
        <v>1682.6844895962543</v>
      </c>
      <c r="N16" s="59">
        <f t="shared" si="3"/>
        <v>89.743172778466899</v>
      </c>
      <c r="O16" s="61">
        <f t="shared" si="4"/>
        <v>0</v>
      </c>
      <c r="P16" s="62">
        <f t="shared" si="5"/>
        <v>-3.5901605548664293</v>
      </c>
      <c r="Q16" s="216">
        <f t="shared" si="6"/>
        <v>0.96153399405500251</v>
      </c>
      <c r="R16" s="566"/>
      <c r="S16" s="63"/>
      <c r="T16" s="63"/>
      <c r="U16" s="215"/>
      <c r="V16" s="221"/>
      <c r="W16" s="59"/>
      <c r="X16" s="59"/>
      <c r="Y16" s="559"/>
      <c r="Z16" s="559"/>
      <c r="AA16" s="61">
        <f t="shared" si="8"/>
        <v>-67.315510403745748</v>
      </c>
      <c r="AB16" s="216">
        <f t="shared" si="9"/>
        <v>0.96153399405500239</v>
      </c>
      <c r="AC16" s="566"/>
    </row>
    <row r="17" spans="1:29" ht="15.75" customHeight="1">
      <c r="A17" s="588" t="s">
        <v>444</v>
      </c>
      <c r="B17" s="57" t="s">
        <v>12</v>
      </c>
      <c r="C17" s="584" t="s">
        <v>19</v>
      </c>
      <c r="D17" s="584"/>
      <c r="E17" s="57">
        <v>43.14</v>
      </c>
      <c r="F17" s="223">
        <v>1102</v>
      </c>
      <c r="G17" s="215">
        <f t="shared" ref="G17:G24" si="19">E17*F17</f>
        <v>47540.28</v>
      </c>
      <c r="H17" s="224" t="s">
        <v>5</v>
      </c>
      <c r="I17" s="220">
        <v>17</v>
      </c>
      <c r="J17" s="58">
        <v>2000</v>
      </c>
      <c r="K17" s="59">
        <f t="shared" si="1"/>
        <v>117.64705882352941</v>
      </c>
      <c r="L17" s="220">
        <v>17</v>
      </c>
      <c r="M17" s="60">
        <f t="shared" ref="M17:M24" si="20">F17/V17*60</f>
        <v>1944.7058823529412</v>
      </c>
      <c r="N17" s="59">
        <f t="shared" si="3"/>
        <v>114.39446366782008</v>
      </c>
      <c r="O17" s="61">
        <f t="shared" si="4"/>
        <v>0</v>
      </c>
      <c r="P17" s="62">
        <f t="shared" si="5"/>
        <v>-3.2525951557093293</v>
      </c>
      <c r="Q17" s="216">
        <f t="shared" si="6"/>
        <v>0.97235294117647075</v>
      </c>
      <c r="R17" s="566">
        <f>Q25</f>
        <v>0.96363708260377257</v>
      </c>
      <c r="S17" s="63">
        <v>0.20833333333333334</v>
      </c>
      <c r="T17" s="63">
        <v>0.23194444444444445</v>
      </c>
      <c r="U17" s="215"/>
      <c r="V17" s="221">
        <f t="shared" ref="V17:V24" si="21">(T17-S17)*24*60</f>
        <v>34</v>
      </c>
      <c r="W17" s="68"/>
      <c r="X17" s="68"/>
      <c r="Y17" s="559"/>
      <c r="Z17" s="559"/>
      <c r="AA17" s="61">
        <f t="shared" si="8"/>
        <v>-55.294117647058783</v>
      </c>
      <c r="AB17" s="216">
        <f t="shared" si="9"/>
        <v>0.97235294117647064</v>
      </c>
      <c r="AC17" s="566">
        <f>AB25</f>
        <v>0.96363708260377257</v>
      </c>
    </row>
    <row r="18" spans="1:29" ht="15.75" customHeight="1">
      <c r="A18" s="589" t="s">
        <v>444</v>
      </c>
      <c r="B18" s="57" t="s">
        <v>65</v>
      </c>
      <c r="C18" s="584" t="s">
        <v>97</v>
      </c>
      <c r="D18" s="584"/>
      <c r="E18" s="57">
        <v>49.9</v>
      </c>
      <c r="F18" s="223">
        <v>1389</v>
      </c>
      <c r="G18" s="215">
        <f t="shared" si="19"/>
        <v>69311.099999999991</v>
      </c>
      <c r="H18" s="224" t="s">
        <v>5</v>
      </c>
      <c r="I18" s="220">
        <v>17</v>
      </c>
      <c r="J18" s="58">
        <v>2000</v>
      </c>
      <c r="K18" s="59">
        <f t="shared" si="1"/>
        <v>117.64705882352941</v>
      </c>
      <c r="L18" s="220">
        <v>17</v>
      </c>
      <c r="M18" s="60">
        <f t="shared" si="20"/>
        <v>1938.1395348837223</v>
      </c>
      <c r="N18" s="59">
        <f t="shared" si="3"/>
        <v>114.00820793433661</v>
      </c>
      <c r="O18" s="61">
        <f t="shared" si="4"/>
        <v>0</v>
      </c>
      <c r="P18" s="62">
        <f t="shared" si="5"/>
        <v>-3.6388508891927955</v>
      </c>
      <c r="Q18" s="216">
        <f t="shared" si="6"/>
        <v>0.96906976744186124</v>
      </c>
      <c r="R18" s="566"/>
      <c r="S18" s="63">
        <v>0.23750000000000002</v>
      </c>
      <c r="T18" s="63">
        <v>0.2673611111111111</v>
      </c>
      <c r="U18" s="215">
        <f t="shared" ref="U18:U24" si="22">IF(S18=TIME(17,0,0),"",(S18-T17)*24*60)</f>
        <v>8.0000000000000107</v>
      </c>
      <c r="V18" s="221">
        <f t="shared" si="21"/>
        <v>42.999999999999964</v>
      </c>
      <c r="W18" s="64"/>
      <c r="X18" s="215"/>
      <c r="Y18" s="559"/>
      <c r="Z18" s="559"/>
      <c r="AA18" s="61">
        <f t="shared" si="8"/>
        <v>-61.860465116277737</v>
      </c>
      <c r="AB18" s="216">
        <f t="shared" si="9"/>
        <v>0.96906976744186113</v>
      </c>
      <c r="AC18" s="566"/>
    </row>
    <row r="19" spans="1:29" ht="15.75" customHeight="1">
      <c r="A19" s="589" t="s">
        <v>444</v>
      </c>
      <c r="B19" s="57" t="s">
        <v>6</v>
      </c>
      <c r="C19" s="584" t="s">
        <v>20</v>
      </c>
      <c r="D19" s="584"/>
      <c r="E19" s="57">
        <v>57.73</v>
      </c>
      <c r="F19" s="223">
        <v>2278</v>
      </c>
      <c r="G19" s="215">
        <f t="shared" si="19"/>
        <v>131508.94</v>
      </c>
      <c r="H19" s="224" t="s">
        <v>5</v>
      </c>
      <c r="I19" s="220">
        <v>14</v>
      </c>
      <c r="J19" s="58">
        <v>2000</v>
      </c>
      <c r="K19" s="59">
        <f t="shared" si="1"/>
        <v>142.85714285714286</v>
      </c>
      <c r="L19" s="220">
        <v>14</v>
      </c>
      <c r="M19" s="60">
        <f t="shared" si="20"/>
        <v>1925.0704225352117</v>
      </c>
      <c r="N19" s="59">
        <f t="shared" si="3"/>
        <v>137.50503018108654</v>
      </c>
      <c r="O19" s="61">
        <f t="shared" si="4"/>
        <v>0</v>
      </c>
      <c r="P19" s="62">
        <f t="shared" si="5"/>
        <v>-5.352112676056322</v>
      </c>
      <c r="Q19" s="216">
        <f t="shared" si="6"/>
        <v>0.96253521126760577</v>
      </c>
      <c r="R19" s="566"/>
      <c r="S19" s="63">
        <v>0.27291666666666664</v>
      </c>
      <c r="T19" s="63">
        <v>0.32222222222222219</v>
      </c>
      <c r="U19" s="215">
        <f t="shared" si="22"/>
        <v>7.9999999999999716</v>
      </c>
      <c r="V19" s="221">
        <f t="shared" si="21"/>
        <v>70.999999999999986</v>
      </c>
      <c r="W19" s="64"/>
      <c r="X19" s="215"/>
      <c r="Y19" s="559"/>
      <c r="Z19" s="559"/>
      <c r="AA19" s="61">
        <f t="shared" si="8"/>
        <v>-74.929577464788281</v>
      </c>
      <c r="AB19" s="216">
        <f t="shared" si="9"/>
        <v>0.96253521126760588</v>
      </c>
      <c r="AC19" s="566"/>
    </row>
    <row r="20" spans="1:29" ht="15.75" customHeight="1">
      <c r="A20" s="589" t="s">
        <v>444</v>
      </c>
      <c r="B20" s="57" t="s">
        <v>6</v>
      </c>
      <c r="C20" s="584" t="s">
        <v>21</v>
      </c>
      <c r="D20" s="584"/>
      <c r="E20" s="57">
        <v>53.68</v>
      </c>
      <c r="F20" s="223">
        <v>1500</v>
      </c>
      <c r="G20" s="215">
        <f t="shared" si="19"/>
        <v>80520</v>
      </c>
      <c r="H20" s="224" t="s">
        <v>5</v>
      </c>
      <c r="I20" s="220">
        <v>16</v>
      </c>
      <c r="J20" s="58">
        <v>2000</v>
      </c>
      <c r="K20" s="59">
        <f t="shared" si="1"/>
        <v>125</v>
      </c>
      <c r="L20" s="220">
        <v>16</v>
      </c>
      <c r="M20" s="60">
        <f t="shared" si="20"/>
        <v>1914.8936170212769</v>
      </c>
      <c r="N20" s="59">
        <f t="shared" si="3"/>
        <v>119.68085106382981</v>
      </c>
      <c r="O20" s="61">
        <f t="shared" si="4"/>
        <v>0</v>
      </c>
      <c r="P20" s="62">
        <f t="shared" si="5"/>
        <v>-5.319148936170194</v>
      </c>
      <c r="Q20" s="216">
        <f t="shared" si="6"/>
        <v>0.95744680851063846</v>
      </c>
      <c r="R20" s="566"/>
      <c r="S20" s="63">
        <v>0.32777777777777772</v>
      </c>
      <c r="T20" s="63">
        <v>0.36041666666666661</v>
      </c>
      <c r="U20" s="215">
        <f t="shared" si="22"/>
        <v>7.9999999999999716</v>
      </c>
      <c r="V20" s="221">
        <f t="shared" si="21"/>
        <v>46.999999999999993</v>
      </c>
      <c r="W20" s="64"/>
      <c r="X20" s="215"/>
      <c r="Y20" s="559"/>
      <c r="Z20" s="559"/>
      <c r="AA20" s="61">
        <f t="shared" si="8"/>
        <v>-85.106382978723104</v>
      </c>
      <c r="AB20" s="216">
        <f t="shared" si="9"/>
        <v>0.95744680851063846</v>
      </c>
      <c r="AC20" s="566"/>
    </row>
    <row r="21" spans="1:29" ht="15.75" customHeight="1">
      <c r="A21" s="589" t="s">
        <v>444</v>
      </c>
      <c r="B21" s="57" t="s">
        <v>6</v>
      </c>
      <c r="C21" s="584" t="s">
        <v>96</v>
      </c>
      <c r="D21" s="584"/>
      <c r="E21" s="57">
        <v>49.91</v>
      </c>
      <c r="F21" s="223">
        <v>1257</v>
      </c>
      <c r="G21" s="215">
        <f t="shared" si="19"/>
        <v>62736.869999999995</v>
      </c>
      <c r="H21" s="224" t="s">
        <v>5</v>
      </c>
      <c r="I21" s="220">
        <v>17</v>
      </c>
      <c r="J21" s="58">
        <v>2000</v>
      </c>
      <c r="K21" s="59">
        <f t="shared" si="1"/>
        <v>117.64705882352941</v>
      </c>
      <c r="L21" s="220">
        <v>17</v>
      </c>
      <c r="M21" s="60">
        <f t="shared" si="20"/>
        <v>1933.8461538461527</v>
      </c>
      <c r="N21" s="59">
        <f t="shared" si="3"/>
        <v>113.75565610859722</v>
      </c>
      <c r="O21" s="61">
        <f t="shared" si="4"/>
        <v>0</v>
      </c>
      <c r="P21" s="62">
        <f t="shared" si="5"/>
        <v>-3.8914027149321839</v>
      </c>
      <c r="Q21" s="216">
        <f t="shared" si="6"/>
        <v>0.96692307692307644</v>
      </c>
      <c r="R21" s="566"/>
      <c r="S21" s="63">
        <v>0.36458333333333326</v>
      </c>
      <c r="T21" s="63">
        <v>0.39166666666666661</v>
      </c>
      <c r="U21" s="215">
        <f t="shared" si="22"/>
        <v>5.9999999999999787</v>
      </c>
      <c r="V21" s="221">
        <f t="shared" si="21"/>
        <v>39.000000000000021</v>
      </c>
      <c r="W21" s="64"/>
      <c r="X21" s="215"/>
      <c r="Y21" s="559"/>
      <c r="Z21" s="559"/>
      <c r="AA21" s="61">
        <f t="shared" si="8"/>
        <v>-66.153846153847326</v>
      </c>
      <c r="AB21" s="216">
        <f t="shared" si="9"/>
        <v>0.96692307692307633</v>
      </c>
      <c r="AC21" s="566"/>
    </row>
    <row r="22" spans="1:29" ht="15.75" customHeight="1">
      <c r="A22" s="589" t="s">
        <v>862</v>
      </c>
      <c r="B22" s="57" t="s">
        <v>6</v>
      </c>
      <c r="C22" s="584" t="s">
        <v>22</v>
      </c>
      <c r="D22" s="584"/>
      <c r="E22" s="57">
        <v>54.09</v>
      </c>
      <c r="F22" s="223">
        <v>1359</v>
      </c>
      <c r="G22" s="215">
        <f t="shared" si="19"/>
        <v>73508.31</v>
      </c>
      <c r="H22" s="224" t="s">
        <v>5</v>
      </c>
      <c r="I22" s="220">
        <v>19</v>
      </c>
      <c r="J22" s="58">
        <v>2000</v>
      </c>
      <c r="K22" s="59">
        <f t="shared" si="1"/>
        <v>105.26315789473684</v>
      </c>
      <c r="L22" s="220">
        <v>19</v>
      </c>
      <c r="M22" s="60">
        <f t="shared" si="20"/>
        <v>1941.4285714285709</v>
      </c>
      <c r="N22" s="59">
        <f t="shared" si="3"/>
        <v>102.18045112781952</v>
      </c>
      <c r="O22" s="61">
        <f t="shared" si="4"/>
        <v>0</v>
      </c>
      <c r="P22" s="62">
        <f t="shared" si="5"/>
        <v>-3.0827067669173118</v>
      </c>
      <c r="Q22" s="216">
        <f t="shared" si="6"/>
        <v>0.97071428571428553</v>
      </c>
      <c r="R22" s="566"/>
      <c r="S22" s="63">
        <v>0.70833333333333337</v>
      </c>
      <c r="T22" s="63">
        <v>0.73750000000000004</v>
      </c>
      <c r="U22" s="215" t="str">
        <f t="shared" si="22"/>
        <v/>
      </c>
      <c r="V22" s="221">
        <f t="shared" si="21"/>
        <v>42.000000000000014</v>
      </c>
      <c r="W22" s="64"/>
      <c r="X22" s="68"/>
      <c r="Y22" s="559"/>
      <c r="Z22" s="559"/>
      <c r="AA22" s="61">
        <f t="shared" si="8"/>
        <v>-58.571428571429124</v>
      </c>
      <c r="AB22" s="216">
        <f t="shared" si="9"/>
        <v>0.97071428571428542</v>
      </c>
      <c r="AC22" s="566"/>
    </row>
    <row r="23" spans="1:29" ht="15.75" customHeight="1">
      <c r="A23" s="589" t="s">
        <v>862</v>
      </c>
      <c r="B23" s="57" t="s">
        <v>6</v>
      </c>
      <c r="C23" s="584" t="s">
        <v>69</v>
      </c>
      <c r="D23" s="584"/>
      <c r="E23" s="57">
        <v>57.73</v>
      </c>
      <c r="F23" s="223">
        <v>1291</v>
      </c>
      <c r="G23" s="215">
        <f t="shared" si="19"/>
        <v>74529.429999999993</v>
      </c>
      <c r="H23" s="224" t="s">
        <v>5</v>
      </c>
      <c r="I23" s="220">
        <v>16</v>
      </c>
      <c r="J23" s="58">
        <v>1500</v>
      </c>
      <c r="K23" s="59">
        <f t="shared" si="1"/>
        <v>93.75</v>
      </c>
      <c r="L23" s="220">
        <v>16</v>
      </c>
      <c r="M23" s="60">
        <f t="shared" si="20"/>
        <v>1434.4444444444453</v>
      </c>
      <c r="N23" s="59">
        <f t="shared" si="3"/>
        <v>89.652777777777828</v>
      </c>
      <c r="O23" s="61">
        <f t="shared" si="4"/>
        <v>0</v>
      </c>
      <c r="P23" s="62">
        <f t="shared" si="5"/>
        <v>-4.0972222222221717</v>
      </c>
      <c r="Q23" s="216">
        <f t="shared" si="6"/>
        <v>0.95629629629629687</v>
      </c>
      <c r="R23" s="566"/>
      <c r="S23" s="63">
        <v>0.74097222222222225</v>
      </c>
      <c r="T23" s="63">
        <v>0.77847222222222223</v>
      </c>
      <c r="U23" s="215">
        <f t="shared" si="22"/>
        <v>4.9999999999999822</v>
      </c>
      <c r="V23" s="221">
        <f t="shared" si="21"/>
        <v>53.999999999999972</v>
      </c>
      <c r="W23" s="64"/>
      <c r="X23" s="68"/>
      <c r="Y23" s="569"/>
      <c r="Z23" s="570"/>
      <c r="AA23" s="61">
        <f t="shared" si="8"/>
        <v>-65.555555555554747</v>
      </c>
      <c r="AB23" s="216">
        <f t="shared" si="9"/>
        <v>0.95629629629629687</v>
      </c>
      <c r="AC23" s="566"/>
    </row>
    <row r="24" spans="1:29" ht="15.75" customHeight="1">
      <c r="A24" s="589" t="s">
        <v>444</v>
      </c>
      <c r="B24" s="57" t="s">
        <v>6</v>
      </c>
      <c r="C24" s="585" t="s">
        <v>68</v>
      </c>
      <c r="D24" s="586"/>
      <c r="E24" s="57">
        <v>50.67</v>
      </c>
      <c r="F24" s="223">
        <v>1650</v>
      </c>
      <c r="G24" s="215">
        <f t="shared" si="19"/>
        <v>83605.5</v>
      </c>
      <c r="H24" s="224" t="s">
        <v>5</v>
      </c>
      <c r="I24" s="220">
        <v>15</v>
      </c>
      <c r="J24" s="58">
        <v>2000</v>
      </c>
      <c r="K24" s="59">
        <f t="shared" si="1"/>
        <v>133.33333333333334</v>
      </c>
      <c r="L24" s="220">
        <v>15</v>
      </c>
      <c r="M24" s="60">
        <f t="shared" si="20"/>
        <v>1903.8461538461549</v>
      </c>
      <c r="N24" s="59">
        <f t="shared" si="3"/>
        <v>126.92307692307699</v>
      </c>
      <c r="O24" s="61">
        <f t="shared" si="4"/>
        <v>0</v>
      </c>
      <c r="P24" s="62">
        <f t="shared" si="5"/>
        <v>-6.410256410256352</v>
      </c>
      <c r="Q24" s="216">
        <f t="shared" si="6"/>
        <v>0.95192307692307732</v>
      </c>
      <c r="R24" s="566"/>
      <c r="S24" s="63">
        <v>0.78402777777777777</v>
      </c>
      <c r="T24" s="63">
        <v>0.82013888888888886</v>
      </c>
      <c r="U24" s="215">
        <f t="shared" si="22"/>
        <v>7.9999999999999716</v>
      </c>
      <c r="V24" s="221">
        <f t="shared" si="21"/>
        <v>51.999999999999972</v>
      </c>
      <c r="W24" s="64"/>
      <c r="X24" s="64"/>
      <c r="Y24" s="569"/>
      <c r="Z24" s="570"/>
      <c r="AA24" s="61">
        <f t="shared" si="8"/>
        <v>-96.153846153845052</v>
      </c>
      <c r="AB24" s="216">
        <f t="shared" si="9"/>
        <v>0.95192307692307743</v>
      </c>
      <c r="AC24" s="566"/>
    </row>
    <row r="25" spans="1:29" ht="15.75" customHeight="1">
      <c r="A25" s="589" t="s">
        <v>863</v>
      </c>
      <c r="B25" s="57" t="s">
        <v>371</v>
      </c>
      <c r="C25" s="571"/>
      <c r="D25" s="571"/>
      <c r="E25" s="219"/>
      <c r="F25" s="223"/>
      <c r="G25" s="215"/>
      <c r="H25" s="223"/>
      <c r="I25" s="67">
        <v>16.375</v>
      </c>
      <c r="J25" s="58">
        <v>1937.5</v>
      </c>
      <c r="K25" s="59">
        <f t="shared" si="1"/>
        <v>118.32061068702291</v>
      </c>
      <c r="L25" s="67">
        <v>16.375</v>
      </c>
      <c r="M25" s="60">
        <f>AVERAGE(M17:M24)</f>
        <v>1867.0468475448095</v>
      </c>
      <c r="N25" s="59">
        <f t="shared" si="3"/>
        <v>114.0181280943395</v>
      </c>
      <c r="O25" s="61">
        <f t="shared" si="4"/>
        <v>0</v>
      </c>
      <c r="P25" s="62">
        <f t="shared" si="5"/>
        <v>-4.3024825926834041</v>
      </c>
      <c r="Q25" s="216">
        <f t="shared" si="6"/>
        <v>0.96363708260377257</v>
      </c>
      <c r="R25" s="566"/>
      <c r="S25" s="63"/>
      <c r="T25" s="63"/>
      <c r="U25" s="59"/>
      <c r="V25" s="221"/>
      <c r="W25" s="59"/>
      <c r="X25" s="59"/>
      <c r="Y25" s="559"/>
      <c r="Z25" s="559"/>
      <c r="AA25" s="61">
        <f t="shared" si="8"/>
        <v>-70.453152455190548</v>
      </c>
      <c r="AB25" s="216">
        <f t="shared" si="9"/>
        <v>0.96363708260377257</v>
      </c>
      <c r="AC25" s="566"/>
    </row>
    <row r="26" spans="1:29" ht="15.75" customHeight="1">
      <c r="A26" s="587" t="s">
        <v>87</v>
      </c>
      <c r="B26" s="57" t="s">
        <v>15</v>
      </c>
      <c r="C26" s="584" t="s">
        <v>26</v>
      </c>
      <c r="D26" s="584"/>
      <c r="E26" s="57">
        <v>31.29</v>
      </c>
      <c r="F26" s="223">
        <v>4700</v>
      </c>
      <c r="G26" s="215">
        <f t="shared" ref="G26:G33" si="23">E26*F26</f>
        <v>147063</v>
      </c>
      <c r="H26" s="224" t="s">
        <v>5</v>
      </c>
      <c r="I26" s="220">
        <v>18</v>
      </c>
      <c r="J26" s="58">
        <v>2400</v>
      </c>
      <c r="K26" s="59">
        <f t="shared" si="1"/>
        <v>133.33333333333334</v>
      </c>
      <c r="L26" s="220">
        <v>18</v>
      </c>
      <c r="M26" s="60">
        <f t="shared" ref="M26:M33" si="24">F26/V26*60</f>
        <v>2292.6829268292686</v>
      </c>
      <c r="N26" s="59">
        <f t="shared" si="3"/>
        <v>127.37127371273715</v>
      </c>
      <c r="O26" s="61">
        <f t="shared" si="4"/>
        <v>0</v>
      </c>
      <c r="P26" s="62">
        <f t="shared" si="5"/>
        <v>-5.9620596205961931</v>
      </c>
      <c r="Q26" s="216">
        <f t="shared" si="6"/>
        <v>0.9552845528455286</v>
      </c>
      <c r="R26" s="566">
        <f>Q34</f>
        <v>0.95691910345009412</v>
      </c>
      <c r="S26" s="63">
        <v>8.3333333333333329E-2</v>
      </c>
      <c r="T26" s="63">
        <v>0.16874999999999998</v>
      </c>
      <c r="U26" s="215"/>
      <c r="V26" s="221">
        <f t="shared" ref="V26:V33" si="25">(T26-S26)*24*60</f>
        <v>122.99999999999999</v>
      </c>
      <c r="W26" s="64">
        <f>T26</f>
        <v>0.16874999999999998</v>
      </c>
      <c r="X26" s="64">
        <f>S27</f>
        <v>0.18958333333333333</v>
      </c>
      <c r="Y26" s="559"/>
      <c r="Z26" s="559"/>
      <c r="AA26" s="61">
        <f t="shared" si="8"/>
        <v>-107.31707317073142</v>
      </c>
      <c r="AB26" s="216">
        <f t="shared" si="9"/>
        <v>0.9552845528455286</v>
      </c>
      <c r="AC26" s="566">
        <f>AB34</f>
        <v>0.95691910345009412</v>
      </c>
    </row>
    <row r="27" spans="1:29" ht="15.75" customHeight="1">
      <c r="A27" s="587" t="s">
        <v>87</v>
      </c>
      <c r="B27" s="57" t="s">
        <v>15</v>
      </c>
      <c r="C27" s="584" t="s">
        <v>23</v>
      </c>
      <c r="D27" s="584"/>
      <c r="E27" s="57">
        <v>26.2</v>
      </c>
      <c r="F27" s="223">
        <v>2800</v>
      </c>
      <c r="G27" s="215">
        <f t="shared" si="23"/>
        <v>73360</v>
      </c>
      <c r="H27" s="224">
        <v>2</v>
      </c>
      <c r="I27" s="220">
        <v>20</v>
      </c>
      <c r="J27" s="58">
        <v>2400</v>
      </c>
      <c r="K27" s="59">
        <f t="shared" si="1"/>
        <v>120</v>
      </c>
      <c r="L27" s="220">
        <v>20</v>
      </c>
      <c r="M27" s="60">
        <f t="shared" si="24"/>
        <v>2301.3698630136987</v>
      </c>
      <c r="N27" s="59">
        <f t="shared" si="3"/>
        <v>115.06849315068493</v>
      </c>
      <c r="O27" s="61">
        <f t="shared" si="4"/>
        <v>0</v>
      </c>
      <c r="P27" s="62">
        <f t="shared" si="5"/>
        <v>-4.9315068493150704</v>
      </c>
      <c r="Q27" s="216">
        <f t="shared" si="6"/>
        <v>0.95890410958904104</v>
      </c>
      <c r="R27" s="566"/>
      <c r="S27" s="63">
        <v>0.18958333333333333</v>
      </c>
      <c r="T27" s="63">
        <v>0.24027777777777776</v>
      </c>
      <c r="U27" s="215">
        <f t="shared" ref="U27:U33" si="26">(S27-T26)*24*60</f>
        <v>30.000000000000014</v>
      </c>
      <c r="V27" s="221">
        <f t="shared" si="25"/>
        <v>72.999999999999986</v>
      </c>
      <c r="W27" s="64"/>
      <c r="X27" s="64"/>
      <c r="Y27" s="559"/>
      <c r="Z27" s="559"/>
      <c r="AA27" s="61">
        <f t="shared" si="8"/>
        <v>-98.630136986301295</v>
      </c>
      <c r="AB27" s="216">
        <f t="shared" si="9"/>
        <v>0.95890410958904115</v>
      </c>
      <c r="AC27" s="566"/>
    </row>
    <row r="28" spans="1:29" ht="15.75" customHeight="1">
      <c r="A28" s="587" t="s">
        <v>87</v>
      </c>
      <c r="B28" s="57" t="s">
        <v>15</v>
      </c>
      <c r="C28" s="584" t="s">
        <v>70</v>
      </c>
      <c r="D28" s="584"/>
      <c r="E28" s="57">
        <v>25.99</v>
      </c>
      <c r="F28" s="223">
        <v>4752</v>
      </c>
      <c r="G28" s="215">
        <f t="shared" si="23"/>
        <v>123504.48</v>
      </c>
      <c r="H28" s="224" t="s">
        <v>5</v>
      </c>
      <c r="I28" s="220">
        <v>14</v>
      </c>
      <c r="J28" s="58">
        <v>2400</v>
      </c>
      <c r="K28" s="59">
        <f t="shared" si="1"/>
        <v>171.42857142857142</v>
      </c>
      <c r="L28" s="220">
        <v>14</v>
      </c>
      <c r="M28" s="60">
        <f t="shared" si="24"/>
        <v>2299.3548387096776</v>
      </c>
      <c r="N28" s="59">
        <f t="shared" si="3"/>
        <v>164.23963133640555</v>
      </c>
      <c r="O28" s="61">
        <f t="shared" si="4"/>
        <v>0</v>
      </c>
      <c r="P28" s="62">
        <f t="shared" si="5"/>
        <v>-7.1889400921658648</v>
      </c>
      <c r="Q28" s="216">
        <f t="shared" si="6"/>
        <v>0.95806451612903243</v>
      </c>
      <c r="R28" s="566"/>
      <c r="S28" s="63">
        <v>0.24444444444444444</v>
      </c>
      <c r="T28" s="63">
        <v>0.33055555555555555</v>
      </c>
      <c r="U28" s="215">
        <f t="shared" si="26"/>
        <v>6.0000000000000187</v>
      </c>
      <c r="V28" s="221">
        <f t="shared" si="25"/>
        <v>123.99999999999999</v>
      </c>
      <c r="W28" s="64"/>
      <c r="X28" s="64"/>
      <c r="Y28" s="559"/>
      <c r="Z28" s="559"/>
      <c r="AA28" s="61">
        <f t="shared" si="8"/>
        <v>-100.64516129032245</v>
      </c>
      <c r="AB28" s="216">
        <f t="shared" si="9"/>
        <v>0.95806451612903232</v>
      </c>
      <c r="AC28" s="566"/>
    </row>
    <row r="29" spans="1:29" ht="15.75" customHeight="1">
      <c r="A29" s="587" t="s">
        <v>87</v>
      </c>
      <c r="B29" s="57" t="s">
        <v>15</v>
      </c>
      <c r="C29" s="584" t="s">
        <v>45</v>
      </c>
      <c r="D29" s="584"/>
      <c r="E29" s="57">
        <v>20.52</v>
      </c>
      <c r="F29" s="223">
        <v>4462</v>
      </c>
      <c r="G29" s="215">
        <f t="shared" si="23"/>
        <v>91560.24</v>
      </c>
      <c r="H29" s="224" t="s">
        <v>5</v>
      </c>
      <c r="I29" s="220">
        <v>18</v>
      </c>
      <c r="J29" s="58">
        <v>2400</v>
      </c>
      <c r="K29" s="59">
        <f t="shared" si="1"/>
        <v>133.33333333333334</v>
      </c>
      <c r="L29" s="220">
        <v>18</v>
      </c>
      <c r="M29" s="60">
        <f t="shared" si="24"/>
        <v>2288.2051282051284</v>
      </c>
      <c r="N29" s="59">
        <f t="shared" si="3"/>
        <v>127.12250712250713</v>
      </c>
      <c r="O29" s="61">
        <f t="shared" si="4"/>
        <v>0</v>
      </c>
      <c r="P29" s="62">
        <f t="shared" si="5"/>
        <v>-6.2108262108262124</v>
      </c>
      <c r="Q29" s="216">
        <f t="shared" si="6"/>
        <v>0.95341880341880336</v>
      </c>
      <c r="R29" s="566"/>
      <c r="S29" s="63">
        <v>0.3347222222222222</v>
      </c>
      <c r="T29" s="63">
        <v>0.41597222222222219</v>
      </c>
      <c r="U29" s="215">
        <f t="shared" si="26"/>
        <v>5.9999999999999787</v>
      </c>
      <c r="V29" s="221">
        <f t="shared" si="25"/>
        <v>116.99999999999999</v>
      </c>
      <c r="W29" s="64"/>
      <c r="X29" s="64"/>
      <c r="Y29" s="559"/>
      <c r="Z29" s="559"/>
      <c r="AA29" s="61">
        <f t="shared" si="8"/>
        <v>-111.7948717948716</v>
      </c>
      <c r="AB29" s="216">
        <f t="shared" si="9"/>
        <v>0.95341880341880347</v>
      </c>
      <c r="AC29" s="566"/>
    </row>
    <row r="30" spans="1:29" ht="15.75" customHeight="1">
      <c r="A30" s="587" t="s">
        <v>87</v>
      </c>
      <c r="B30" s="57" t="s">
        <v>15</v>
      </c>
      <c r="C30" s="584" t="s">
        <v>98</v>
      </c>
      <c r="D30" s="584"/>
      <c r="E30" s="57">
        <v>25.98</v>
      </c>
      <c r="F30" s="223">
        <v>4249</v>
      </c>
      <c r="G30" s="215">
        <f t="shared" si="23"/>
        <v>110389.02</v>
      </c>
      <c r="H30" s="224" t="s">
        <v>5</v>
      </c>
      <c r="I30" s="220">
        <v>21</v>
      </c>
      <c r="J30" s="58">
        <v>2400</v>
      </c>
      <c r="K30" s="59">
        <f t="shared" si="1"/>
        <v>114.28571428571429</v>
      </c>
      <c r="L30" s="220">
        <v>21</v>
      </c>
      <c r="M30" s="60">
        <f t="shared" si="24"/>
        <v>2296.7567567567567</v>
      </c>
      <c r="N30" s="59">
        <f t="shared" si="3"/>
        <v>109.36936936936937</v>
      </c>
      <c r="O30" s="61">
        <f t="shared" si="4"/>
        <v>0</v>
      </c>
      <c r="P30" s="62">
        <f t="shared" si="5"/>
        <v>-4.9163449163449258</v>
      </c>
      <c r="Q30" s="216">
        <f t="shared" si="6"/>
        <v>0.95698198198198192</v>
      </c>
      <c r="R30" s="566"/>
      <c r="S30" s="63">
        <v>0.42013888888888884</v>
      </c>
      <c r="T30" s="63">
        <v>0.49722222222222218</v>
      </c>
      <c r="U30" s="215">
        <f t="shared" si="26"/>
        <v>5.9999999999999787</v>
      </c>
      <c r="V30" s="221">
        <f t="shared" si="25"/>
        <v>111</v>
      </c>
      <c r="W30" s="64">
        <f>T30</f>
        <v>0.49722222222222218</v>
      </c>
      <c r="X30" s="64">
        <f>S31</f>
        <v>0.53680555555555554</v>
      </c>
      <c r="Y30" s="559"/>
      <c r="Z30" s="559"/>
      <c r="AA30" s="61">
        <f t="shared" si="8"/>
        <v>-103.24324324324334</v>
      </c>
      <c r="AB30" s="216">
        <f t="shared" si="9"/>
        <v>0.95698198198198192</v>
      </c>
      <c r="AC30" s="566"/>
    </row>
    <row r="31" spans="1:29" ht="15.75" customHeight="1">
      <c r="A31" s="587" t="s">
        <v>87</v>
      </c>
      <c r="B31" s="57" t="s">
        <v>15</v>
      </c>
      <c r="C31" s="584" t="s">
        <v>26</v>
      </c>
      <c r="D31" s="584"/>
      <c r="E31" s="57">
        <v>31.29</v>
      </c>
      <c r="F31" s="223">
        <v>3358</v>
      </c>
      <c r="G31" s="215">
        <f t="shared" si="23"/>
        <v>105071.81999999999</v>
      </c>
      <c r="H31" s="224" t="s">
        <v>5</v>
      </c>
      <c r="I31" s="220">
        <v>18</v>
      </c>
      <c r="J31" s="58">
        <v>2400</v>
      </c>
      <c r="K31" s="59">
        <f t="shared" si="1"/>
        <v>133.33333333333334</v>
      </c>
      <c r="L31" s="220">
        <v>18</v>
      </c>
      <c r="M31" s="60">
        <f t="shared" si="24"/>
        <v>2289.5454545454545</v>
      </c>
      <c r="N31" s="59">
        <f t="shared" si="3"/>
        <v>127.19696969696969</v>
      </c>
      <c r="O31" s="61">
        <f t="shared" si="4"/>
        <v>0</v>
      </c>
      <c r="P31" s="62">
        <f t="shared" si="5"/>
        <v>-6.1363636363636545</v>
      </c>
      <c r="Q31" s="216">
        <f t="shared" si="6"/>
        <v>0.95397727272727262</v>
      </c>
      <c r="R31" s="566"/>
      <c r="S31" s="63">
        <v>0.53680555555555554</v>
      </c>
      <c r="T31" s="63">
        <v>0.59791666666666665</v>
      </c>
      <c r="U31" s="215">
        <f t="shared" si="26"/>
        <v>57.000000000000036</v>
      </c>
      <c r="V31" s="221">
        <f t="shared" si="25"/>
        <v>88</v>
      </c>
      <c r="W31" s="64"/>
      <c r="X31" s="64"/>
      <c r="Y31" s="559"/>
      <c r="Z31" s="559"/>
      <c r="AA31" s="61">
        <f t="shared" si="8"/>
        <v>-110.4545454545455</v>
      </c>
      <c r="AB31" s="216">
        <f t="shared" si="9"/>
        <v>0.95397727272727273</v>
      </c>
      <c r="AC31" s="566"/>
    </row>
    <row r="32" spans="1:29" ht="15.75" customHeight="1">
      <c r="A32" s="587" t="s">
        <v>87</v>
      </c>
      <c r="B32" s="57" t="s">
        <v>15</v>
      </c>
      <c r="C32" s="584" t="s">
        <v>23</v>
      </c>
      <c r="D32" s="584"/>
      <c r="E32" s="57">
        <v>26.2</v>
      </c>
      <c r="F32" s="223">
        <v>2114</v>
      </c>
      <c r="G32" s="215">
        <f t="shared" si="23"/>
        <v>55386.799999999996</v>
      </c>
      <c r="H32" s="224" t="s">
        <v>5</v>
      </c>
      <c r="I32" s="220">
        <v>20</v>
      </c>
      <c r="J32" s="58">
        <v>2400</v>
      </c>
      <c r="K32" s="59">
        <f t="shared" si="1"/>
        <v>120</v>
      </c>
      <c r="L32" s="220">
        <v>20</v>
      </c>
      <c r="M32" s="60">
        <f t="shared" si="24"/>
        <v>2306.1818181818194</v>
      </c>
      <c r="N32" s="59">
        <f t="shared" si="3"/>
        <v>115.30909090909097</v>
      </c>
      <c r="O32" s="61">
        <f t="shared" si="4"/>
        <v>0</v>
      </c>
      <c r="P32" s="62">
        <f t="shared" si="5"/>
        <v>-4.690909090909031</v>
      </c>
      <c r="Q32" s="216">
        <f t="shared" si="6"/>
        <v>0.96090909090909138</v>
      </c>
      <c r="R32" s="566"/>
      <c r="S32" s="63">
        <v>0.60138888888888886</v>
      </c>
      <c r="T32" s="63">
        <v>0.63958333333333328</v>
      </c>
      <c r="U32" s="215">
        <f t="shared" si="26"/>
        <v>4.9999999999999822</v>
      </c>
      <c r="V32" s="221">
        <f t="shared" si="25"/>
        <v>54.999999999999964</v>
      </c>
      <c r="W32" s="64"/>
      <c r="X32" s="64"/>
      <c r="Y32" s="559"/>
      <c r="Z32" s="559"/>
      <c r="AA32" s="61">
        <f t="shared" si="8"/>
        <v>-93.818181818180619</v>
      </c>
      <c r="AB32" s="216">
        <f t="shared" si="9"/>
        <v>0.96090909090909138</v>
      </c>
      <c r="AC32" s="566"/>
    </row>
    <row r="33" spans="1:29" ht="15.75" customHeight="1">
      <c r="A33" s="587" t="s">
        <v>87</v>
      </c>
      <c r="B33" s="57" t="s">
        <v>15</v>
      </c>
      <c r="C33" s="584" t="s">
        <v>28</v>
      </c>
      <c r="D33" s="584"/>
      <c r="E33" s="57">
        <v>26.39</v>
      </c>
      <c r="F33" s="223">
        <v>2452</v>
      </c>
      <c r="G33" s="215">
        <f t="shared" si="23"/>
        <v>64708.28</v>
      </c>
      <c r="H33" s="224" t="s">
        <v>5</v>
      </c>
      <c r="I33" s="220">
        <v>19</v>
      </c>
      <c r="J33" s="58">
        <v>2400</v>
      </c>
      <c r="K33" s="59">
        <f t="shared" si="1"/>
        <v>126.31578947368421</v>
      </c>
      <c r="L33" s="220">
        <v>19</v>
      </c>
      <c r="M33" s="60">
        <f t="shared" si="24"/>
        <v>2298.7500000000027</v>
      </c>
      <c r="N33" s="59">
        <f t="shared" si="3"/>
        <v>120.98684210526331</v>
      </c>
      <c r="O33" s="61">
        <f t="shared" si="4"/>
        <v>0</v>
      </c>
      <c r="P33" s="62">
        <f t="shared" si="5"/>
        <v>-5.3289473684208986</v>
      </c>
      <c r="Q33" s="216">
        <f t="shared" si="6"/>
        <v>0.95781250000000118</v>
      </c>
      <c r="R33" s="566"/>
      <c r="S33" s="63">
        <v>0.64513888888888882</v>
      </c>
      <c r="T33" s="63">
        <v>0.68958333333333321</v>
      </c>
      <c r="U33" s="215">
        <f t="shared" si="26"/>
        <v>7.9999999999999716</v>
      </c>
      <c r="V33" s="221">
        <f t="shared" si="25"/>
        <v>63.999999999999929</v>
      </c>
      <c r="W33" s="64"/>
      <c r="X33" s="64"/>
      <c r="Y33" s="559"/>
      <c r="Z33" s="559"/>
      <c r="AA33" s="61">
        <f t="shared" si="8"/>
        <v>-101.24999999999727</v>
      </c>
      <c r="AB33" s="216">
        <f t="shared" si="9"/>
        <v>0.95781250000000118</v>
      </c>
      <c r="AC33" s="566"/>
    </row>
    <row r="34" spans="1:29" ht="15.75" customHeight="1">
      <c r="A34" s="587" t="s">
        <v>87</v>
      </c>
      <c r="B34" s="57" t="s">
        <v>371</v>
      </c>
      <c r="C34" s="571"/>
      <c r="D34" s="571"/>
      <c r="E34" s="219"/>
      <c r="F34" s="223"/>
      <c r="G34" s="215"/>
      <c r="H34" s="223"/>
      <c r="I34" s="67">
        <v>18.5</v>
      </c>
      <c r="J34" s="58">
        <v>2400</v>
      </c>
      <c r="K34" s="59">
        <f t="shared" si="1"/>
        <v>129.72972972972974</v>
      </c>
      <c r="L34" s="67">
        <v>18.5</v>
      </c>
      <c r="M34" s="60">
        <f>AVERAGE(M26:M33)</f>
        <v>2296.6058482802259</v>
      </c>
      <c r="N34" s="59">
        <f t="shared" si="3"/>
        <v>124.140856663796</v>
      </c>
      <c r="O34" s="61">
        <f t="shared" si="4"/>
        <v>0</v>
      </c>
      <c r="P34" s="62">
        <f t="shared" si="5"/>
        <v>-5.5888730659337398</v>
      </c>
      <c r="Q34" s="216">
        <f t="shared" si="6"/>
        <v>0.95691910345009412</v>
      </c>
      <c r="R34" s="566"/>
      <c r="S34" s="63"/>
      <c r="T34" s="63"/>
      <c r="U34" s="215"/>
      <c r="V34" s="221"/>
      <c r="W34" s="215"/>
      <c r="X34" s="215"/>
      <c r="Y34" s="559"/>
      <c r="Z34" s="559"/>
      <c r="AA34" s="61">
        <f t="shared" si="8"/>
        <v>-103.39415171977407</v>
      </c>
      <c r="AB34" s="216">
        <f t="shared" si="9"/>
        <v>0.95691910345009412</v>
      </c>
      <c r="AC34" s="566"/>
    </row>
    <row r="35" spans="1:29" ht="15.75" customHeight="1">
      <c r="A35" s="582" t="s">
        <v>88</v>
      </c>
      <c r="B35" s="57" t="s">
        <v>15</v>
      </c>
      <c r="C35" s="560" t="s">
        <v>44</v>
      </c>
      <c r="D35" s="560"/>
      <c r="E35" s="57">
        <v>19.02</v>
      </c>
      <c r="F35" s="223">
        <v>5100</v>
      </c>
      <c r="G35" s="215">
        <f t="shared" ref="G35:G41" si="27">E35*F35</f>
        <v>97002</v>
      </c>
      <c r="H35" s="224">
        <v>2</v>
      </c>
      <c r="I35" s="220">
        <v>15</v>
      </c>
      <c r="J35" s="58">
        <v>2400</v>
      </c>
      <c r="K35" s="59">
        <f t="shared" si="1"/>
        <v>160</v>
      </c>
      <c r="L35" s="220">
        <v>15</v>
      </c>
      <c r="M35" s="60">
        <f t="shared" ref="M35:M41" si="28">F35/V35*60</f>
        <v>2283.5820895522393</v>
      </c>
      <c r="N35" s="59">
        <f t="shared" si="3"/>
        <v>152.23880597014929</v>
      </c>
      <c r="O35" s="61">
        <f t="shared" si="4"/>
        <v>0</v>
      </c>
      <c r="P35" s="62">
        <f t="shared" si="5"/>
        <v>-7.7611940298507136</v>
      </c>
      <c r="Q35" s="216">
        <f t="shared" si="6"/>
        <v>0.95149253731343308</v>
      </c>
      <c r="R35" s="566">
        <f>Q42</f>
        <v>0.95387321964672567</v>
      </c>
      <c r="S35" s="63">
        <v>8.3333333333333329E-2</v>
      </c>
      <c r="T35" s="63">
        <v>0.17638888888888887</v>
      </c>
      <c r="U35" s="215"/>
      <c r="V35" s="221">
        <f t="shared" ref="V35:V41" si="29">(T35-S35)*24*60</f>
        <v>133.99999999999997</v>
      </c>
      <c r="W35" s="68">
        <f>T35</f>
        <v>0.17638888888888887</v>
      </c>
      <c r="X35" s="68">
        <f>S36</f>
        <v>0.19444444444444442</v>
      </c>
      <c r="Y35" s="559"/>
      <c r="Z35" s="559"/>
      <c r="AA35" s="61">
        <f t="shared" si="8"/>
        <v>-116.41791044776073</v>
      </c>
      <c r="AB35" s="216">
        <f t="shared" si="9"/>
        <v>0.95149253731343297</v>
      </c>
      <c r="AC35" s="566">
        <f>AB42</f>
        <v>0.95387321964672578</v>
      </c>
    </row>
    <row r="36" spans="1:29" ht="15.75" customHeight="1">
      <c r="A36" s="582" t="s">
        <v>88</v>
      </c>
      <c r="B36" s="57" t="s">
        <v>15</v>
      </c>
      <c r="C36" s="560" t="s">
        <v>27</v>
      </c>
      <c r="D36" s="560"/>
      <c r="E36" s="57">
        <v>26.2</v>
      </c>
      <c r="F36" s="223">
        <v>5957</v>
      </c>
      <c r="G36" s="215">
        <f t="shared" si="27"/>
        <v>156073.4</v>
      </c>
      <c r="H36" s="224" t="s">
        <v>5</v>
      </c>
      <c r="I36" s="220">
        <v>18</v>
      </c>
      <c r="J36" s="58">
        <v>2400</v>
      </c>
      <c r="K36" s="59">
        <f t="shared" si="1"/>
        <v>133.33333333333334</v>
      </c>
      <c r="L36" s="220">
        <v>18</v>
      </c>
      <c r="M36" s="60">
        <f t="shared" si="28"/>
        <v>2291.1538461538462</v>
      </c>
      <c r="N36" s="59">
        <f t="shared" si="3"/>
        <v>127.28632478632478</v>
      </c>
      <c r="O36" s="61">
        <f t="shared" si="4"/>
        <v>0</v>
      </c>
      <c r="P36" s="62">
        <f t="shared" si="5"/>
        <v>-6.0470085470085593</v>
      </c>
      <c r="Q36" s="216">
        <f t="shared" si="6"/>
        <v>0.95464743589743584</v>
      </c>
      <c r="R36" s="566"/>
      <c r="S36" s="63">
        <v>0.19444444444444442</v>
      </c>
      <c r="T36" s="63">
        <v>0.30277777777777776</v>
      </c>
      <c r="U36" s="215">
        <f t="shared" ref="U36:U41" si="30">(S36-T35)*24*60</f>
        <v>25.999999999999986</v>
      </c>
      <c r="V36" s="221">
        <f t="shared" si="29"/>
        <v>156</v>
      </c>
      <c r="W36" s="215"/>
      <c r="X36" s="215"/>
      <c r="Y36" s="559"/>
      <c r="Z36" s="559"/>
      <c r="AA36" s="61">
        <f t="shared" si="8"/>
        <v>-108.84615384615381</v>
      </c>
      <c r="AB36" s="216">
        <f t="shared" si="9"/>
        <v>0.95464743589743595</v>
      </c>
      <c r="AC36" s="566"/>
    </row>
    <row r="37" spans="1:29">
      <c r="A37" s="583" t="s">
        <v>88</v>
      </c>
      <c r="B37" s="57" t="s">
        <v>15</v>
      </c>
      <c r="C37" s="560" t="s">
        <v>25</v>
      </c>
      <c r="D37" s="560"/>
      <c r="E37" s="57">
        <v>26.18</v>
      </c>
      <c r="F37" s="223">
        <v>2682</v>
      </c>
      <c r="G37" s="215">
        <f t="shared" si="27"/>
        <v>70214.759999999995</v>
      </c>
      <c r="H37" s="224" t="s">
        <v>5</v>
      </c>
      <c r="I37" s="220">
        <v>19</v>
      </c>
      <c r="J37" s="58">
        <v>2400</v>
      </c>
      <c r="K37" s="59">
        <f t="shared" si="1"/>
        <v>126.31578947368421</v>
      </c>
      <c r="L37" s="220">
        <v>19</v>
      </c>
      <c r="M37" s="60">
        <f t="shared" si="28"/>
        <v>2298.8571428571436</v>
      </c>
      <c r="N37" s="59">
        <f t="shared" si="3"/>
        <v>120.99248120300756</v>
      </c>
      <c r="O37" s="61">
        <f t="shared" si="4"/>
        <v>0</v>
      </c>
      <c r="P37" s="62">
        <f t="shared" si="5"/>
        <v>-5.3233082706766481</v>
      </c>
      <c r="Q37" s="216">
        <f t="shared" si="6"/>
        <v>0.95785714285714318</v>
      </c>
      <c r="R37" s="566"/>
      <c r="S37" s="63">
        <v>0.30624999999999997</v>
      </c>
      <c r="T37" s="63">
        <v>0.35486111111111107</v>
      </c>
      <c r="U37" s="215">
        <f t="shared" si="30"/>
        <v>4.9999999999999822</v>
      </c>
      <c r="V37" s="221">
        <f t="shared" si="29"/>
        <v>69.999999999999986</v>
      </c>
      <c r="W37" s="215"/>
      <c r="X37" s="215"/>
      <c r="Y37" s="559"/>
      <c r="Z37" s="559"/>
      <c r="AA37" s="61">
        <f t="shared" si="8"/>
        <v>-101.14285714285643</v>
      </c>
      <c r="AB37" s="216">
        <f t="shared" si="9"/>
        <v>0.95785714285714318</v>
      </c>
      <c r="AC37" s="566"/>
    </row>
    <row r="38" spans="1:29">
      <c r="A38" s="583" t="s">
        <v>88</v>
      </c>
      <c r="B38" s="57" t="s">
        <v>15</v>
      </c>
      <c r="C38" s="560" t="s">
        <v>28</v>
      </c>
      <c r="D38" s="560"/>
      <c r="E38" s="57">
        <v>26.39</v>
      </c>
      <c r="F38" s="223">
        <v>3500</v>
      </c>
      <c r="G38" s="215">
        <f t="shared" si="27"/>
        <v>92365</v>
      </c>
      <c r="H38" s="224">
        <v>2</v>
      </c>
      <c r="I38" s="220">
        <v>19</v>
      </c>
      <c r="J38" s="58">
        <v>2400</v>
      </c>
      <c r="K38" s="59">
        <f t="shared" si="1"/>
        <v>126.31578947368421</v>
      </c>
      <c r="L38" s="220">
        <v>19</v>
      </c>
      <c r="M38" s="60">
        <f t="shared" si="28"/>
        <v>2282.608695652174</v>
      </c>
      <c r="N38" s="59">
        <f t="shared" si="3"/>
        <v>120.13729977116705</v>
      </c>
      <c r="O38" s="61">
        <f t="shared" si="4"/>
        <v>0</v>
      </c>
      <c r="P38" s="62">
        <f t="shared" si="5"/>
        <v>-6.1784897025171546</v>
      </c>
      <c r="Q38" s="216">
        <f t="shared" si="6"/>
        <v>0.95108695652173925</v>
      </c>
      <c r="R38" s="566"/>
      <c r="S38" s="63">
        <v>0.35833333333333328</v>
      </c>
      <c r="T38" s="63">
        <v>0.42222222222222217</v>
      </c>
      <c r="U38" s="215">
        <f t="shared" si="30"/>
        <v>4.9999999999999822</v>
      </c>
      <c r="V38" s="221">
        <f t="shared" si="29"/>
        <v>92</v>
      </c>
      <c r="W38" s="64"/>
      <c r="X38" s="64"/>
      <c r="Y38" s="559"/>
      <c r="Z38" s="559"/>
      <c r="AA38" s="61">
        <f t="shared" si="8"/>
        <v>-117.39130434782601</v>
      </c>
      <c r="AB38" s="216">
        <f t="shared" si="9"/>
        <v>0.95108695652173914</v>
      </c>
      <c r="AC38" s="566"/>
    </row>
    <row r="39" spans="1:29">
      <c r="A39" s="583" t="s">
        <v>88</v>
      </c>
      <c r="B39" s="57" t="s">
        <v>15</v>
      </c>
      <c r="C39" s="560" t="s">
        <v>658</v>
      </c>
      <c r="D39" s="560"/>
      <c r="E39" s="57">
        <v>21.68</v>
      </c>
      <c r="F39" s="223">
        <v>2900</v>
      </c>
      <c r="G39" s="215">
        <f t="shared" si="27"/>
        <v>62872</v>
      </c>
      <c r="H39" s="224" t="s">
        <v>5</v>
      </c>
      <c r="I39" s="220">
        <v>16</v>
      </c>
      <c r="J39" s="58">
        <v>2400</v>
      </c>
      <c r="K39" s="59">
        <f t="shared" si="1"/>
        <v>150</v>
      </c>
      <c r="L39" s="220">
        <v>16</v>
      </c>
      <c r="M39" s="60">
        <f t="shared" si="28"/>
        <v>2289.4736842105272</v>
      </c>
      <c r="N39" s="59">
        <f t="shared" si="3"/>
        <v>143.09210526315795</v>
      </c>
      <c r="O39" s="61">
        <f t="shared" si="4"/>
        <v>0</v>
      </c>
      <c r="P39" s="62">
        <f t="shared" si="5"/>
        <v>-6.9078947368420529</v>
      </c>
      <c r="Q39" s="216">
        <f t="shared" si="6"/>
        <v>0.95394736842105299</v>
      </c>
      <c r="R39" s="566"/>
      <c r="S39" s="63">
        <v>0.4277777777777777</v>
      </c>
      <c r="T39" s="63">
        <v>0.48055555555555546</v>
      </c>
      <c r="U39" s="215">
        <f t="shared" si="30"/>
        <v>7.9999999999999716</v>
      </c>
      <c r="V39" s="221">
        <f t="shared" si="29"/>
        <v>75.999999999999972</v>
      </c>
      <c r="W39" s="64">
        <f>T39</f>
        <v>0.48055555555555546</v>
      </c>
      <c r="X39" s="64">
        <f>S40</f>
        <v>0.52083333333333315</v>
      </c>
      <c r="Y39" s="559"/>
      <c r="Z39" s="559"/>
      <c r="AA39" s="61">
        <f t="shared" si="8"/>
        <v>-110.52631578947285</v>
      </c>
      <c r="AB39" s="216">
        <f t="shared" si="9"/>
        <v>0.95394736842105299</v>
      </c>
      <c r="AC39" s="566"/>
    </row>
    <row r="40" spans="1:29">
      <c r="A40" s="583" t="s">
        <v>88</v>
      </c>
      <c r="B40" s="57" t="s">
        <v>15</v>
      </c>
      <c r="C40" s="560" t="s">
        <v>658</v>
      </c>
      <c r="D40" s="560"/>
      <c r="E40" s="57">
        <v>21.68</v>
      </c>
      <c r="F40" s="223">
        <v>3917</v>
      </c>
      <c r="G40" s="215">
        <f t="shared" si="27"/>
        <v>84920.56</v>
      </c>
      <c r="H40" s="224" t="s">
        <v>5</v>
      </c>
      <c r="I40" s="220">
        <v>16</v>
      </c>
      <c r="J40" s="58">
        <v>2400</v>
      </c>
      <c r="K40" s="59">
        <f t="shared" si="1"/>
        <v>150</v>
      </c>
      <c r="L40" s="220">
        <v>16</v>
      </c>
      <c r="M40" s="60">
        <f t="shared" si="28"/>
        <v>2281.747572815535</v>
      </c>
      <c r="N40" s="59">
        <f t="shared" si="3"/>
        <v>142.60922330097094</v>
      </c>
      <c r="O40" s="61">
        <f t="shared" si="4"/>
        <v>0</v>
      </c>
      <c r="P40" s="62">
        <f t="shared" si="5"/>
        <v>-7.3907766990290611</v>
      </c>
      <c r="Q40" s="216">
        <f t="shared" si="6"/>
        <v>0.95072815533980626</v>
      </c>
      <c r="R40" s="566"/>
      <c r="S40" s="63">
        <v>0.52083333333333315</v>
      </c>
      <c r="T40" s="63">
        <v>0.59236111111111089</v>
      </c>
      <c r="U40" s="215">
        <f t="shared" si="30"/>
        <v>57.999999999999872</v>
      </c>
      <c r="V40" s="221">
        <f t="shared" si="29"/>
        <v>102.99999999999996</v>
      </c>
      <c r="W40" s="64"/>
      <c r="X40" s="64"/>
      <c r="Y40" s="559"/>
      <c r="Z40" s="559"/>
      <c r="AA40" s="61">
        <f t="shared" si="8"/>
        <v>-118.25242718446498</v>
      </c>
      <c r="AB40" s="216">
        <f t="shared" si="9"/>
        <v>0.95072815533980626</v>
      </c>
      <c r="AC40" s="566"/>
    </row>
    <row r="41" spans="1:29">
      <c r="A41" s="583" t="s">
        <v>88</v>
      </c>
      <c r="B41" s="57" t="s">
        <v>15</v>
      </c>
      <c r="C41" s="560" t="s">
        <v>44</v>
      </c>
      <c r="D41" s="560"/>
      <c r="E41" s="57">
        <v>19.02</v>
      </c>
      <c r="F41" s="223">
        <v>3906</v>
      </c>
      <c r="G41" s="215">
        <f t="shared" si="27"/>
        <v>74292.12</v>
      </c>
      <c r="H41" s="224" t="s">
        <v>5</v>
      </c>
      <c r="I41" s="220">
        <v>15</v>
      </c>
      <c r="J41" s="58">
        <v>2400</v>
      </c>
      <c r="K41" s="59">
        <f t="shared" si="1"/>
        <v>160</v>
      </c>
      <c r="L41" s="220">
        <v>15</v>
      </c>
      <c r="M41" s="60">
        <f t="shared" si="28"/>
        <v>2297.6470588235306</v>
      </c>
      <c r="N41" s="59">
        <f t="shared" si="3"/>
        <v>153.17647058823539</v>
      </c>
      <c r="O41" s="61">
        <f t="shared" si="4"/>
        <v>0</v>
      </c>
      <c r="P41" s="62">
        <f t="shared" si="5"/>
        <v>-6.8235294117646106</v>
      </c>
      <c r="Q41" s="216">
        <f t="shared" si="6"/>
        <v>0.95735294117647118</v>
      </c>
      <c r="R41" s="566"/>
      <c r="S41" s="63">
        <v>0.59652777777777755</v>
      </c>
      <c r="T41" s="63">
        <v>0.66736111111111085</v>
      </c>
      <c r="U41" s="215">
        <f t="shared" si="30"/>
        <v>5.9999999999999787</v>
      </c>
      <c r="V41" s="221">
        <f t="shared" si="29"/>
        <v>101.99999999999996</v>
      </c>
      <c r="W41" s="64"/>
      <c r="X41" s="64"/>
      <c r="Y41" s="569"/>
      <c r="Z41" s="570"/>
      <c r="AA41" s="61">
        <f t="shared" si="8"/>
        <v>-102.35294117646936</v>
      </c>
      <c r="AB41" s="216">
        <f t="shared" si="9"/>
        <v>0.95735294117647107</v>
      </c>
      <c r="AC41" s="566"/>
    </row>
    <row r="42" spans="1:29">
      <c r="A42" s="583" t="s">
        <v>88</v>
      </c>
      <c r="B42" s="66" t="s">
        <v>371</v>
      </c>
      <c r="C42" s="571"/>
      <c r="D42" s="571"/>
      <c r="E42" s="219"/>
      <c r="F42" s="66"/>
      <c r="G42" s="59"/>
      <c r="H42" s="223"/>
      <c r="I42" s="67">
        <v>16.857142857142858</v>
      </c>
      <c r="J42" s="58">
        <v>2400</v>
      </c>
      <c r="K42" s="59">
        <f t="shared" si="1"/>
        <v>142.37288135593221</v>
      </c>
      <c r="L42" s="67">
        <v>16.857142857142858</v>
      </c>
      <c r="M42" s="60">
        <f>AVERAGE(M35:M41)</f>
        <v>2289.2957271521418</v>
      </c>
      <c r="N42" s="59">
        <f t="shared" si="3"/>
        <v>135.80567872936433</v>
      </c>
      <c r="O42" s="61">
        <f t="shared" si="4"/>
        <v>0</v>
      </c>
      <c r="P42" s="62">
        <f t="shared" si="5"/>
        <v>-6.5672026265678767</v>
      </c>
      <c r="Q42" s="216">
        <f t="shared" si="6"/>
        <v>0.95387321964672567</v>
      </c>
      <c r="R42" s="566"/>
      <c r="S42" s="63"/>
      <c r="T42" s="63"/>
      <c r="U42" s="59"/>
      <c r="V42" s="221"/>
      <c r="W42" s="59"/>
      <c r="X42" s="59"/>
      <c r="Y42" s="559"/>
      <c r="Z42" s="559"/>
      <c r="AA42" s="61">
        <f t="shared" si="8"/>
        <v>-110.70427284785819</v>
      </c>
      <c r="AB42" s="216">
        <f t="shared" si="9"/>
        <v>0.95387321964672578</v>
      </c>
      <c r="AC42" s="566"/>
    </row>
    <row r="43" spans="1:29" ht="15.75" customHeight="1">
      <c r="A43" s="576" t="s">
        <v>89</v>
      </c>
      <c r="B43" s="57" t="s">
        <v>31</v>
      </c>
      <c r="C43" s="567" t="s">
        <v>32</v>
      </c>
      <c r="D43" s="568"/>
      <c r="E43" s="57">
        <v>21.13</v>
      </c>
      <c r="F43" s="223">
        <v>4811</v>
      </c>
      <c r="G43" s="215">
        <f t="shared" ref="G43:G50" si="31">E43*F43</f>
        <v>101656.43</v>
      </c>
      <c r="H43" s="224" t="s">
        <v>5</v>
      </c>
      <c r="I43" s="220">
        <v>10</v>
      </c>
      <c r="J43" s="58">
        <v>3000</v>
      </c>
      <c r="K43" s="59">
        <f t="shared" si="1"/>
        <v>300</v>
      </c>
      <c r="L43" s="220">
        <v>10</v>
      </c>
      <c r="M43" s="60">
        <f t="shared" ref="M43:M50" si="32">F43/V43*60</f>
        <v>2858.0198019801978</v>
      </c>
      <c r="N43" s="60">
        <f t="shared" si="3"/>
        <v>285.80198019801981</v>
      </c>
      <c r="O43" s="61">
        <f t="shared" si="4"/>
        <v>0</v>
      </c>
      <c r="P43" s="62">
        <f t="shared" si="5"/>
        <v>-14.198019801980195</v>
      </c>
      <c r="Q43" s="216">
        <f t="shared" si="6"/>
        <v>0.95267326732673263</v>
      </c>
      <c r="R43" s="579">
        <f>Q51</f>
        <v>0.95985586708627846</v>
      </c>
      <c r="S43" s="63">
        <v>8.3333333333333329E-2</v>
      </c>
      <c r="T43" s="63">
        <v>0.15347222222222223</v>
      </c>
      <c r="U43" s="68"/>
      <c r="V43" s="221">
        <f t="shared" ref="V43:V50" si="33">(T43-S43)*24*60</f>
        <v>101.00000000000001</v>
      </c>
      <c r="W43" s="64">
        <f>T43</f>
        <v>0.15347222222222223</v>
      </c>
      <c r="X43" s="64">
        <f>S44</f>
        <v>0.17152777777777778</v>
      </c>
      <c r="Y43" s="569"/>
      <c r="Z43" s="570"/>
      <c r="AA43" s="61">
        <f t="shared" si="8"/>
        <v>-141.98019801980217</v>
      </c>
      <c r="AB43" s="216">
        <f t="shared" si="9"/>
        <v>0.95267326732673263</v>
      </c>
      <c r="AC43" s="579">
        <f>AB51</f>
        <v>0.95985586708627835</v>
      </c>
    </row>
    <row r="44" spans="1:29" ht="15.75" customHeight="1">
      <c r="A44" s="577" t="s">
        <v>89</v>
      </c>
      <c r="B44" s="57" t="s">
        <v>31</v>
      </c>
      <c r="C44" s="567" t="s">
        <v>33</v>
      </c>
      <c r="D44" s="568"/>
      <c r="E44" s="57">
        <v>27.17</v>
      </c>
      <c r="F44" s="223">
        <v>3700</v>
      </c>
      <c r="G44" s="215">
        <f t="shared" si="31"/>
        <v>100529</v>
      </c>
      <c r="H44" s="224" t="s">
        <v>5</v>
      </c>
      <c r="I44" s="220">
        <v>10</v>
      </c>
      <c r="J44" s="58">
        <v>3000</v>
      </c>
      <c r="K44" s="59">
        <f t="shared" si="1"/>
        <v>300</v>
      </c>
      <c r="L44" s="220">
        <v>10</v>
      </c>
      <c r="M44" s="60">
        <f t="shared" si="32"/>
        <v>2883.1168831168829</v>
      </c>
      <c r="N44" s="60">
        <f t="shared" si="3"/>
        <v>288.31168831168827</v>
      </c>
      <c r="O44" s="61">
        <f t="shared" si="4"/>
        <v>0</v>
      </c>
      <c r="P44" s="62">
        <f t="shared" si="5"/>
        <v>-11.688311688311728</v>
      </c>
      <c r="Q44" s="216">
        <f t="shared" si="6"/>
        <v>0.96103896103896091</v>
      </c>
      <c r="R44" s="580"/>
      <c r="S44" s="63">
        <v>0.17152777777777778</v>
      </c>
      <c r="T44" s="63">
        <v>0.22500000000000001</v>
      </c>
      <c r="U44" s="215">
        <f t="shared" ref="U44:U50" si="34">(S44-T43)*24*60</f>
        <v>25.999999999999986</v>
      </c>
      <c r="V44" s="221">
        <f t="shared" si="33"/>
        <v>77</v>
      </c>
      <c r="W44" s="64"/>
      <c r="X44" s="64"/>
      <c r="Y44" s="569"/>
      <c r="Z44" s="570"/>
      <c r="AA44" s="61">
        <f t="shared" si="8"/>
        <v>-116.88311688311705</v>
      </c>
      <c r="AB44" s="216">
        <f t="shared" si="9"/>
        <v>0.96103896103896103</v>
      </c>
      <c r="AC44" s="580"/>
    </row>
    <row r="45" spans="1:29" ht="15.75" customHeight="1">
      <c r="A45" s="577" t="s">
        <v>89</v>
      </c>
      <c r="B45" s="57" t="s">
        <v>31</v>
      </c>
      <c r="C45" s="567" t="s">
        <v>35</v>
      </c>
      <c r="D45" s="568"/>
      <c r="E45" s="57">
        <v>35.869999999999997</v>
      </c>
      <c r="F45" s="223">
        <v>2734</v>
      </c>
      <c r="G45" s="215">
        <f t="shared" si="31"/>
        <v>98068.579999999987</v>
      </c>
      <c r="H45" s="224" t="s">
        <v>5</v>
      </c>
      <c r="I45" s="220">
        <v>9</v>
      </c>
      <c r="J45" s="58">
        <v>3000</v>
      </c>
      <c r="K45" s="59">
        <f t="shared" si="1"/>
        <v>333.33333333333331</v>
      </c>
      <c r="L45" s="220">
        <v>9</v>
      </c>
      <c r="M45" s="60">
        <f t="shared" si="32"/>
        <v>2877.8947368421036</v>
      </c>
      <c r="N45" s="60">
        <f t="shared" si="3"/>
        <v>319.76608187134485</v>
      </c>
      <c r="O45" s="61">
        <f t="shared" si="4"/>
        <v>0</v>
      </c>
      <c r="P45" s="62">
        <f t="shared" si="5"/>
        <v>-13.567251461988462</v>
      </c>
      <c r="Q45" s="216">
        <f t="shared" si="6"/>
        <v>0.95929824561403465</v>
      </c>
      <c r="R45" s="580"/>
      <c r="S45" s="63">
        <v>0.22986111111111113</v>
      </c>
      <c r="T45" s="63">
        <v>0.26944444444444449</v>
      </c>
      <c r="U45" s="215">
        <f t="shared" si="34"/>
        <v>7.0000000000000151</v>
      </c>
      <c r="V45" s="221">
        <f t="shared" si="33"/>
        <v>57.000000000000036</v>
      </c>
      <c r="W45" s="64"/>
      <c r="X45" s="64"/>
      <c r="Y45" s="569"/>
      <c r="Z45" s="570"/>
      <c r="AA45" s="61">
        <f t="shared" si="8"/>
        <v>-122.10526315789639</v>
      </c>
      <c r="AB45" s="216">
        <f t="shared" si="9"/>
        <v>0.95929824561403454</v>
      </c>
      <c r="AC45" s="580"/>
    </row>
    <row r="46" spans="1:29" ht="15.75" customHeight="1">
      <c r="A46" s="577" t="s">
        <v>89</v>
      </c>
      <c r="B46" s="57" t="s">
        <v>31</v>
      </c>
      <c r="C46" s="567" t="s">
        <v>34</v>
      </c>
      <c r="D46" s="568"/>
      <c r="E46" s="57">
        <v>35.119999999999997</v>
      </c>
      <c r="F46" s="223">
        <v>2300</v>
      </c>
      <c r="G46" s="215">
        <f t="shared" si="31"/>
        <v>80776</v>
      </c>
      <c r="H46" s="224" t="s">
        <v>5</v>
      </c>
      <c r="I46" s="220">
        <v>10</v>
      </c>
      <c r="J46" s="58">
        <v>3000</v>
      </c>
      <c r="K46" s="59">
        <f t="shared" si="1"/>
        <v>300</v>
      </c>
      <c r="L46" s="220">
        <v>10</v>
      </c>
      <c r="M46" s="60">
        <f t="shared" si="32"/>
        <v>2875.0000000000009</v>
      </c>
      <c r="N46" s="60">
        <f t="shared" si="3"/>
        <v>287.50000000000011</v>
      </c>
      <c r="O46" s="61">
        <f t="shared" si="4"/>
        <v>0</v>
      </c>
      <c r="P46" s="62">
        <f t="shared" si="5"/>
        <v>-12.499999999999886</v>
      </c>
      <c r="Q46" s="216">
        <f t="shared" si="6"/>
        <v>0.9583333333333337</v>
      </c>
      <c r="R46" s="580"/>
      <c r="S46" s="63">
        <v>0.27361111111111114</v>
      </c>
      <c r="T46" s="63">
        <v>0.30694444444444446</v>
      </c>
      <c r="U46" s="215">
        <f t="shared" si="34"/>
        <v>5.9999999999999787</v>
      </c>
      <c r="V46" s="221">
        <f t="shared" si="33"/>
        <v>47.999999999999986</v>
      </c>
      <c r="W46" s="64"/>
      <c r="X46" s="64"/>
      <c r="Y46" s="569"/>
      <c r="Z46" s="570"/>
      <c r="AA46" s="61">
        <f t="shared" si="8"/>
        <v>-124.99999999999909</v>
      </c>
      <c r="AB46" s="216">
        <f t="shared" si="9"/>
        <v>0.95833333333333359</v>
      </c>
      <c r="AC46" s="580"/>
    </row>
    <row r="47" spans="1:29" ht="15.75" customHeight="1">
      <c r="A47" s="577" t="s">
        <v>89</v>
      </c>
      <c r="B47" s="57" t="s">
        <v>31</v>
      </c>
      <c r="C47" s="567" t="s">
        <v>71</v>
      </c>
      <c r="D47" s="568"/>
      <c r="E47" s="57">
        <v>31</v>
      </c>
      <c r="F47" s="223">
        <v>2395</v>
      </c>
      <c r="G47" s="215">
        <f t="shared" si="31"/>
        <v>74245</v>
      </c>
      <c r="H47" s="224" t="s">
        <v>5</v>
      </c>
      <c r="I47" s="220">
        <v>13</v>
      </c>
      <c r="J47" s="58">
        <v>2000</v>
      </c>
      <c r="K47" s="59">
        <f t="shared" si="1"/>
        <v>153.84615384615384</v>
      </c>
      <c r="L47" s="220">
        <v>13</v>
      </c>
      <c r="M47" s="60">
        <f t="shared" si="32"/>
        <v>1916.0000000000007</v>
      </c>
      <c r="N47" s="60">
        <f t="shared" si="3"/>
        <v>147.38461538461544</v>
      </c>
      <c r="O47" s="61">
        <f t="shared" si="4"/>
        <v>0</v>
      </c>
      <c r="P47" s="62">
        <f t="shared" si="5"/>
        <v>-6.4615384615383959</v>
      </c>
      <c r="Q47" s="216">
        <f t="shared" si="6"/>
        <v>0.95800000000000041</v>
      </c>
      <c r="R47" s="580"/>
      <c r="S47" s="63">
        <v>0.3125</v>
      </c>
      <c r="T47" s="63">
        <v>0.36458333333333331</v>
      </c>
      <c r="U47" s="215">
        <f t="shared" si="34"/>
        <v>7.9999999999999716</v>
      </c>
      <c r="V47" s="221">
        <f t="shared" si="33"/>
        <v>74.999999999999972</v>
      </c>
      <c r="W47" s="64"/>
      <c r="X47" s="64"/>
      <c r="Y47" s="569"/>
      <c r="Z47" s="570"/>
      <c r="AA47" s="61">
        <f t="shared" si="8"/>
        <v>-83.999999999999318</v>
      </c>
      <c r="AB47" s="216">
        <f t="shared" si="9"/>
        <v>0.9580000000000003</v>
      </c>
      <c r="AC47" s="580"/>
    </row>
    <row r="48" spans="1:29" ht="15.75" customHeight="1">
      <c r="A48" s="577" t="s">
        <v>89</v>
      </c>
      <c r="B48" s="57" t="s">
        <v>31</v>
      </c>
      <c r="C48" s="567" t="s">
        <v>659</v>
      </c>
      <c r="D48" s="568"/>
      <c r="E48" s="57">
        <v>36.19</v>
      </c>
      <c r="F48" s="223">
        <v>5937</v>
      </c>
      <c r="G48" s="215">
        <f t="shared" si="31"/>
        <v>214860.03</v>
      </c>
      <c r="H48" s="224" t="s">
        <v>5</v>
      </c>
      <c r="I48" s="220">
        <v>16</v>
      </c>
      <c r="J48" s="58">
        <v>2000</v>
      </c>
      <c r="K48" s="59">
        <f t="shared" si="1"/>
        <v>125</v>
      </c>
      <c r="L48" s="220">
        <v>16</v>
      </c>
      <c r="M48" s="60">
        <f t="shared" si="32"/>
        <v>1915.16129032258</v>
      </c>
      <c r="N48" s="60">
        <f t="shared" si="3"/>
        <v>119.69758064516125</v>
      </c>
      <c r="O48" s="61">
        <f t="shared" si="4"/>
        <v>0</v>
      </c>
      <c r="P48" s="62">
        <f t="shared" si="5"/>
        <v>-5.3024193548387473</v>
      </c>
      <c r="Q48" s="216">
        <f t="shared" si="6"/>
        <v>0.95758064516129004</v>
      </c>
      <c r="R48" s="580"/>
      <c r="S48" s="63">
        <v>0.36805555555555552</v>
      </c>
      <c r="T48" s="63">
        <v>0.49722222222222223</v>
      </c>
      <c r="U48" s="215">
        <f t="shared" si="34"/>
        <v>4.9999999999999822</v>
      </c>
      <c r="V48" s="221">
        <f t="shared" si="33"/>
        <v>186.00000000000006</v>
      </c>
      <c r="W48" s="64">
        <f>T48</f>
        <v>0.49722222222222223</v>
      </c>
      <c r="X48" s="64">
        <f>S49</f>
        <v>0.53819444444444442</v>
      </c>
      <c r="Y48" s="569"/>
      <c r="Z48" s="570"/>
      <c r="AA48" s="61">
        <f t="shared" si="8"/>
        <v>-84.838709677419956</v>
      </c>
      <c r="AB48" s="216">
        <f t="shared" si="9"/>
        <v>0.95758064516129004</v>
      </c>
      <c r="AC48" s="580"/>
    </row>
    <row r="49" spans="1:29" ht="15.75" customHeight="1">
      <c r="A49" s="577" t="s">
        <v>89</v>
      </c>
      <c r="B49" s="57" t="s">
        <v>31</v>
      </c>
      <c r="C49" s="567" t="s">
        <v>33</v>
      </c>
      <c r="D49" s="568"/>
      <c r="E49" s="57">
        <v>27.17</v>
      </c>
      <c r="F49" s="223">
        <v>2629</v>
      </c>
      <c r="G49" s="215">
        <f t="shared" si="31"/>
        <v>71429.930000000008</v>
      </c>
      <c r="H49" s="224" t="s">
        <v>5</v>
      </c>
      <c r="I49" s="220">
        <v>10</v>
      </c>
      <c r="J49" s="58">
        <v>3000</v>
      </c>
      <c r="K49" s="59">
        <f t="shared" si="1"/>
        <v>300</v>
      </c>
      <c r="L49" s="220">
        <v>10</v>
      </c>
      <c r="M49" s="60">
        <f t="shared" si="32"/>
        <v>2868.0000000000018</v>
      </c>
      <c r="N49" s="60">
        <f t="shared" si="3"/>
        <v>286.80000000000018</v>
      </c>
      <c r="O49" s="61">
        <f t="shared" si="4"/>
        <v>0</v>
      </c>
      <c r="P49" s="62">
        <f t="shared" si="5"/>
        <v>-13.199999999999818</v>
      </c>
      <c r="Q49" s="216">
        <f t="shared" si="6"/>
        <v>0.95600000000000063</v>
      </c>
      <c r="R49" s="580"/>
      <c r="S49" s="63">
        <v>0.53819444444444442</v>
      </c>
      <c r="T49" s="63">
        <v>0.57638888888888884</v>
      </c>
      <c r="U49" s="215">
        <f t="shared" si="34"/>
        <v>58.99999999999995</v>
      </c>
      <c r="V49" s="221">
        <f t="shared" si="33"/>
        <v>54.999999999999964</v>
      </c>
      <c r="W49" s="64"/>
      <c r="X49" s="64"/>
      <c r="Y49" s="569"/>
      <c r="Z49" s="570"/>
      <c r="AA49" s="61">
        <f t="shared" si="8"/>
        <v>-131.99999999999818</v>
      </c>
      <c r="AB49" s="216">
        <f t="shared" si="9"/>
        <v>0.95600000000000063</v>
      </c>
      <c r="AC49" s="580"/>
    </row>
    <row r="50" spans="1:29" ht="15.75" customHeight="1">
      <c r="A50" s="577" t="s">
        <v>89</v>
      </c>
      <c r="B50" s="57" t="s">
        <v>31</v>
      </c>
      <c r="C50" s="567" t="s">
        <v>34</v>
      </c>
      <c r="D50" s="568"/>
      <c r="E50" s="57">
        <v>35.119999999999997</v>
      </c>
      <c r="F50" s="223">
        <v>1608</v>
      </c>
      <c r="G50" s="215">
        <f t="shared" si="31"/>
        <v>56472.959999999999</v>
      </c>
      <c r="H50" s="224" t="s">
        <v>5</v>
      </c>
      <c r="I50" s="220">
        <v>10</v>
      </c>
      <c r="J50" s="58">
        <v>3000</v>
      </c>
      <c r="K50" s="59">
        <f t="shared" si="1"/>
        <v>300</v>
      </c>
      <c r="L50" s="220">
        <v>10</v>
      </c>
      <c r="M50" s="60">
        <f t="shared" si="32"/>
        <v>2923.6363636363599</v>
      </c>
      <c r="N50" s="60">
        <f t="shared" si="3"/>
        <v>292.36363636363598</v>
      </c>
      <c r="O50" s="61">
        <f t="shared" si="4"/>
        <v>0</v>
      </c>
      <c r="P50" s="62">
        <f t="shared" si="5"/>
        <v>-7.6363636363640239</v>
      </c>
      <c r="Q50" s="216">
        <f t="shared" si="6"/>
        <v>0.97454545454545327</v>
      </c>
      <c r="R50" s="580"/>
      <c r="S50" s="63">
        <v>0.58124999999999993</v>
      </c>
      <c r="T50" s="63">
        <v>0.60416666666666663</v>
      </c>
      <c r="U50" s="215">
        <f t="shared" si="34"/>
        <v>6.9999999999999751</v>
      </c>
      <c r="V50" s="221">
        <f t="shared" si="33"/>
        <v>33.000000000000043</v>
      </c>
      <c r="W50" s="64"/>
      <c r="X50" s="64"/>
      <c r="Y50" s="569"/>
      <c r="Z50" s="570"/>
      <c r="AA50" s="61">
        <f t="shared" si="8"/>
        <v>-76.363636363640126</v>
      </c>
      <c r="AB50" s="216">
        <f t="shared" si="9"/>
        <v>0.97454545454545327</v>
      </c>
      <c r="AC50" s="580"/>
    </row>
    <row r="51" spans="1:29" ht="15.75" customHeight="1">
      <c r="A51" s="578" t="s">
        <v>89</v>
      </c>
      <c r="B51" s="57" t="s">
        <v>371</v>
      </c>
      <c r="C51" s="561"/>
      <c r="D51" s="562"/>
      <c r="E51" s="214"/>
      <c r="F51" s="223"/>
      <c r="G51" s="215"/>
      <c r="H51" s="223"/>
      <c r="I51" s="67">
        <v>11</v>
      </c>
      <c r="J51" s="58">
        <v>2750</v>
      </c>
      <c r="K51" s="59">
        <f t="shared" si="1"/>
        <v>250</v>
      </c>
      <c r="L51" s="67">
        <v>11</v>
      </c>
      <c r="M51" s="60">
        <f>AVERAGE(M43:M50)</f>
        <v>2639.6036344872655</v>
      </c>
      <c r="N51" s="59">
        <f t="shared" si="3"/>
        <v>239.9639667715696</v>
      </c>
      <c r="O51" s="61">
        <f t="shared" si="4"/>
        <v>0</v>
      </c>
      <c r="P51" s="62">
        <f t="shared" si="5"/>
        <v>-10.036033228430398</v>
      </c>
      <c r="Q51" s="216">
        <f t="shared" si="6"/>
        <v>0.95985586708627846</v>
      </c>
      <c r="R51" s="581"/>
      <c r="S51" s="63"/>
      <c r="T51" s="63"/>
      <c r="U51" s="215"/>
      <c r="V51" s="221"/>
      <c r="W51" s="64"/>
      <c r="X51" s="64"/>
      <c r="Y51" s="569"/>
      <c r="Z51" s="570"/>
      <c r="AA51" s="61">
        <f t="shared" si="8"/>
        <v>-110.39636551273452</v>
      </c>
      <c r="AB51" s="216">
        <f t="shared" si="9"/>
        <v>0.95985586708627835</v>
      </c>
      <c r="AC51" s="581"/>
    </row>
    <row r="52" spans="1:29" ht="15.75" customHeight="1">
      <c r="A52" s="574" t="s">
        <v>117</v>
      </c>
      <c r="B52" s="57" t="s">
        <v>10</v>
      </c>
      <c r="C52" s="560" t="s">
        <v>37</v>
      </c>
      <c r="D52" s="560"/>
      <c r="E52" s="57">
        <v>46</v>
      </c>
      <c r="F52" s="69">
        <v>2220</v>
      </c>
      <c r="G52" s="215">
        <f t="shared" ref="G52:G56" si="35">E52*F52</f>
        <v>102120</v>
      </c>
      <c r="H52" s="224" t="s">
        <v>5</v>
      </c>
      <c r="I52" s="220">
        <v>17</v>
      </c>
      <c r="J52" s="58">
        <v>2000</v>
      </c>
      <c r="K52" s="59">
        <f t="shared" si="1"/>
        <v>117.64705882352941</v>
      </c>
      <c r="L52" s="220">
        <v>17</v>
      </c>
      <c r="M52" s="60">
        <f t="shared" ref="M52:M56" si="36">F52/V52*60</f>
        <v>1930.4347826086969</v>
      </c>
      <c r="N52" s="60">
        <f t="shared" si="3"/>
        <v>113.55498721227629</v>
      </c>
      <c r="O52" s="61">
        <f t="shared" si="4"/>
        <v>0</v>
      </c>
      <c r="P52" s="62">
        <f t="shared" si="5"/>
        <v>-4.0920716112531181</v>
      </c>
      <c r="Q52" s="216">
        <f t="shared" si="6"/>
        <v>0.96521739130434847</v>
      </c>
      <c r="R52" s="566">
        <f>Q57</f>
        <v>0.95985299934690205</v>
      </c>
      <c r="S52" s="63">
        <v>0.20833333333333334</v>
      </c>
      <c r="T52" s="63">
        <v>0.25624999999999998</v>
      </c>
      <c r="U52" s="68"/>
      <c r="V52" s="221">
        <f t="shared" ref="V52:V56" si="37">(T52-S52)*24*60</f>
        <v>68.999999999999957</v>
      </c>
      <c r="W52" s="68"/>
      <c r="X52" s="68"/>
      <c r="Y52" s="559"/>
      <c r="Z52" s="559"/>
      <c r="AA52" s="61">
        <f t="shared" si="8"/>
        <v>-69.565217391303122</v>
      </c>
      <c r="AB52" s="216">
        <f t="shared" si="9"/>
        <v>0.96521739130434847</v>
      </c>
      <c r="AC52" s="566">
        <f>AB57</f>
        <v>0.95985299934690194</v>
      </c>
    </row>
    <row r="53" spans="1:29" ht="15.75" customHeight="1">
      <c r="A53" s="574" t="s">
        <v>117</v>
      </c>
      <c r="B53" s="57" t="s">
        <v>10</v>
      </c>
      <c r="C53" s="560" t="s">
        <v>38</v>
      </c>
      <c r="D53" s="560"/>
      <c r="E53" s="57">
        <v>46</v>
      </c>
      <c r="F53" s="69">
        <v>2316</v>
      </c>
      <c r="G53" s="215">
        <f t="shared" si="35"/>
        <v>106536</v>
      </c>
      <c r="H53" s="224" t="s">
        <v>5</v>
      </c>
      <c r="I53" s="220">
        <v>17</v>
      </c>
      <c r="J53" s="58">
        <v>2000</v>
      </c>
      <c r="K53" s="59">
        <f t="shared" si="1"/>
        <v>117.64705882352941</v>
      </c>
      <c r="L53" s="220">
        <v>17</v>
      </c>
      <c r="M53" s="60">
        <f t="shared" si="36"/>
        <v>1903.5616438356169</v>
      </c>
      <c r="N53" s="60">
        <f t="shared" si="3"/>
        <v>111.97421434327158</v>
      </c>
      <c r="O53" s="61">
        <f t="shared" si="4"/>
        <v>0</v>
      </c>
      <c r="P53" s="62">
        <f t="shared" si="5"/>
        <v>-5.6728444802578224</v>
      </c>
      <c r="Q53" s="216">
        <f t="shared" si="6"/>
        <v>0.95178082191780855</v>
      </c>
      <c r="R53" s="566"/>
      <c r="S53" s="63">
        <v>0.26180555555555551</v>
      </c>
      <c r="T53" s="63">
        <v>0.31249999999999994</v>
      </c>
      <c r="U53" s="215">
        <f t="shared" ref="U53:U56" si="38">IF(S53=TIME(17,0,0),"",(S53-T52)*24*60)</f>
        <v>7.9999999999999716</v>
      </c>
      <c r="V53" s="221">
        <f t="shared" si="37"/>
        <v>72.999999999999986</v>
      </c>
      <c r="W53" s="64"/>
      <c r="X53" s="64"/>
      <c r="Y53" s="559"/>
      <c r="Z53" s="559"/>
      <c r="AA53" s="61">
        <f t="shared" si="8"/>
        <v>-96.438356164383094</v>
      </c>
      <c r="AB53" s="216">
        <f t="shared" si="9"/>
        <v>0.95178082191780844</v>
      </c>
      <c r="AC53" s="566"/>
    </row>
    <row r="54" spans="1:29" ht="15.75" customHeight="1">
      <c r="A54" s="574" t="s">
        <v>117</v>
      </c>
      <c r="B54" s="57" t="s">
        <v>6</v>
      </c>
      <c r="C54" s="567" t="s">
        <v>39</v>
      </c>
      <c r="D54" s="568"/>
      <c r="E54" s="57">
        <v>55.56</v>
      </c>
      <c r="F54" s="69">
        <v>1762</v>
      </c>
      <c r="G54" s="215">
        <f t="shared" si="35"/>
        <v>97896.72</v>
      </c>
      <c r="H54" s="224" t="s">
        <v>5</v>
      </c>
      <c r="I54" s="220">
        <v>17</v>
      </c>
      <c r="J54" s="58">
        <v>2000</v>
      </c>
      <c r="K54" s="59">
        <f t="shared" si="1"/>
        <v>117.64705882352941</v>
      </c>
      <c r="L54" s="220">
        <v>17</v>
      </c>
      <c r="M54" s="60">
        <f t="shared" si="36"/>
        <v>1922.1818181818196</v>
      </c>
      <c r="N54" s="60">
        <f t="shared" si="3"/>
        <v>113.06951871657762</v>
      </c>
      <c r="O54" s="61">
        <f t="shared" si="4"/>
        <v>0</v>
      </c>
      <c r="P54" s="62">
        <f t="shared" si="5"/>
        <v>-4.5775401069517869</v>
      </c>
      <c r="Q54" s="216">
        <f t="shared" si="6"/>
        <v>0.96109090909090977</v>
      </c>
      <c r="R54" s="566"/>
      <c r="S54" s="63">
        <v>0.70833333333333337</v>
      </c>
      <c r="T54" s="63">
        <v>0.74652777777777779</v>
      </c>
      <c r="U54" s="215" t="str">
        <f t="shared" si="38"/>
        <v/>
      </c>
      <c r="V54" s="221">
        <f t="shared" si="37"/>
        <v>54.999999999999964</v>
      </c>
      <c r="W54" s="64"/>
      <c r="X54" s="64"/>
      <c r="Y54" s="212"/>
      <c r="Z54" s="213"/>
      <c r="AA54" s="61">
        <f t="shared" si="8"/>
        <v>-77.818181818180392</v>
      </c>
      <c r="AB54" s="216">
        <f t="shared" si="9"/>
        <v>0.96109090909090977</v>
      </c>
      <c r="AC54" s="566"/>
    </row>
    <row r="55" spans="1:29" ht="15.75" customHeight="1">
      <c r="A55" s="574" t="s">
        <v>117</v>
      </c>
      <c r="B55" s="57" t="s">
        <v>6</v>
      </c>
      <c r="C55" s="217" t="s">
        <v>40</v>
      </c>
      <c r="D55" s="218"/>
      <c r="E55" s="57">
        <v>55.32</v>
      </c>
      <c r="F55" s="69">
        <v>1354</v>
      </c>
      <c r="G55" s="215">
        <f t="shared" si="35"/>
        <v>74903.28</v>
      </c>
      <c r="H55" s="224" t="s">
        <v>5</v>
      </c>
      <c r="I55" s="220">
        <v>15</v>
      </c>
      <c r="J55" s="58">
        <v>2000</v>
      </c>
      <c r="K55" s="59">
        <f t="shared" si="1"/>
        <v>133.33333333333334</v>
      </c>
      <c r="L55" s="220">
        <v>15</v>
      </c>
      <c r="M55" s="60">
        <f t="shared" si="36"/>
        <v>1934.2857142857135</v>
      </c>
      <c r="N55" s="60">
        <f t="shared" si="3"/>
        <v>128.95238095238091</v>
      </c>
      <c r="O55" s="61">
        <f t="shared" si="4"/>
        <v>0</v>
      </c>
      <c r="P55" s="62">
        <f t="shared" si="5"/>
        <v>-4.3809523809524364</v>
      </c>
      <c r="Q55" s="216">
        <f t="shared" si="6"/>
        <v>0.96714285714285675</v>
      </c>
      <c r="R55" s="566"/>
      <c r="S55" s="63">
        <v>0.75208333333333333</v>
      </c>
      <c r="T55" s="63">
        <v>0.78125</v>
      </c>
      <c r="U55" s="215">
        <f t="shared" si="38"/>
        <v>7.9999999999999716</v>
      </c>
      <c r="V55" s="221">
        <f t="shared" si="37"/>
        <v>42.000000000000014</v>
      </c>
      <c r="W55" s="64"/>
      <c r="X55" s="64"/>
      <c r="Y55" s="212"/>
      <c r="Z55" s="213"/>
      <c r="AA55" s="61">
        <f t="shared" si="8"/>
        <v>-65.714285714286461</v>
      </c>
      <c r="AB55" s="216">
        <f t="shared" si="9"/>
        <v>0.96714285714285675</v>
      </c>
      <c r="AC55" s="566"/>
    </row>
    <row r="56" spans="1:29" ht="15.75" customHeight="1">
      <c r="A56" s="574" t="s">
        <v>117</v>
      </c>
      <c r="B56" s="57" t="s">
        <v>6</v>
      </c>
      <c r="C56" s="217" t="s">
        <v>99</v>
      </c>
      <c r="D56" s="218"/>
      <c r="E56" s="57">
        <v>53.68</v>
      </c>
      <c r="F56" s="69">
        <v>2047</v>
      </c>
      <c r="G56" s="215">
        <f t="shared" si="35"/>
        <v>109882.96</v>
      </c>
      <c r="H56" s="224" t="s">
        <v>5</v>
      </c>
      <c r="I56" s="220">
        <v>16</v>
      </c>
      <c r="J56" s="58">
        <v>1500</v>
      </c>
      <c r="K56" s="59">
        <f t="shared" si="1"/>
        <v>93.75</v>
      </c>
      <c r="L56" s="220">
        <v>16</v>
      </c>
      <c r="M56" s="60">
        <f t="shared" si="36"/>
        <v>1428.1395348837207</v>
      </c>
      <c r="N56" s="60">
        <f t="shared" si="3"/>
        <v>89.258720930232542</v>
      </c>
      <c r="O56" s="61">
        <f t="shared" si="4"/>
        <v>0</v>
      </c>
      <c r="P56" s="62">
        <f t="shared" si="5"/>
        <v>-4.4912790697674581</v>
      </c>
      <c r="Q56" s="216">
        <f t="shared" si="6"/>
        <v>0.9520930232558138</v>
      </c>
      <c r="R56" s="566"/>
      <c r="S56" s="63">
        <v>0.78680555555555554</v>
      </c>
      <c r="T56" s="63">
        <v>0.84652777777777777</v>
      </c>
      <c r="U56" s="215">
        <f t="shared" si="38"/>
        <v>7.9999999999999716</v>
      </c>
      <c r="V56" s="221">
        <f t="shared" si="37"/>
        <v>86.000000000000014</v>
      </c>
      <c r="W56" s="64"/>
      <c r="X56" s="64"/>
      <c r="Y56" s="212"/>
      <c r="Z56" s="213"/>
      <c r="AA56" s="61">
        <f t="shared" si="8"/>
        <v>-71.860465116279329</v>
      </c>
      <c r="AB56" s="216">
        <f t="shared" si="9"/>
        <v>0.9520930232558138</v>
      </c>
      <c r="AC56" s="566"/>
    </row>
    <row r="57" spans="1:29">
      <c r="A57" s="575" t="s">
        <v>117</v>
      </c>
      <c r="B57" s="57" t="s">
        <v>371</v>
      </c>
      <c r="C57" s="571"/>
      <c r="D57" s="571"/>
      <c r="E57" s="219"/>
      <c r="F57" s="66"/>
      <c r="G57" s="59"/>
      <c r="H57" s="223"/>
      <c r="I57" s="67">
        <v>16.399999999999999</v>
      </c>
      <c r="J57" s="58">
        <v>1900</v>
      </c>
      <c r="K57" s="59">
        <f t="shared" si="1"/>
        <v>115.85365853658537</v>
      </c>
      <c r="L57" s="67">
        <v>16.399999999999999</v>
      </c>
      <c r="M57" s="60">
        <f>AVERAGE(M52:M56)</f>
        <v>1823.7206987591137</v>
      </c>
      <c r="N57" s="59">
        <f t="shared" si="3"/>
        <v>111.20248163165328</v>
      </c>
      <c r="O57" s="61">
        <f t="shared" si="4"/>
        <v>0</v>
      </c>
      <c r="P57" s="62">
        <f t="shared" si="5"/>
        <v>-4.6511769049320861</v>
      </c>
      <c r="Q57" s="216">
        <f t="shared" si="6"/>
        <v>0.95985299934690205</v>
      </c>
      <c r="R57" s="566"/>
      <c r="S57" s="70"/>
      <c r="T57" s="63"/>
      <c r="U57" s="59"/>
      <c r="V57" s="221"/>
      <c r="W57" s="59"/>
      <c r="X57" s="59"/>
      <c r="Y57" s="559"/>
      <c r="Z57" s="559"/>
      <c r="AA57" s="61">
        <f t="shared" si="8"/>
        <v>-76.279301240886298</v>
      </c>
      <c r="AB57" s="216">
        <f t="shared" si="9"/>
        <v>0.95985299934690194</v>
      </c>
      <c r="AC57" s="566"/>
    </row>
    <row r="58" spans="1:29" ht="15.75" customHeight="1">
      <c r="A58" s="572" t="s">
        <v>327</v>
      </c>
      <c r="B58" s="223" t="s">
        <v>10</v>
      </c>
      <c r="C58" s="560" t="s">
        <v>42</v>
      </c>
      <c r="D58" s="560"/>
      <c r="E58" s="57">
        <v>26.97</v>
      </c>
      <c r="F58" s="69">
        <v>2873</v>
      </c>
      <c r="G58" s="215">
        <f t="shared" ref="G58:G63" si="39">E58*F58</f>
        <v>77484.81</v>
      </c>
      <c r="H58" s="224" t="s">
        <v>5</v>
      </c>
      <c r="I58" s="220">
        <v>8</v>
      </c>
      <c r="J58" s="58">
        <v>1500</v>
      </c>
      <c r="K58" s="59">
        <f t="shared" si="1"/>
        <v>187.5</v>
      </c>
      <c r="L58" s="220">
        <v>8</v>
      </c>
      <c r="M58" s="60">
        <f t="shared" ref="M58:M63" si="40">F58/V58*60</f>
        <v>1436.5</v>
      </c>
      <c r="N58" s="59">
        <f t="shared" si="3"/>
        <v>179.5625</v>
      </c>
      <c r="O58" s="61">
        <f t="shared" si="4"/>
        <v>0</v>
      </c>
      <c r="P58" s="62">
        <f t="shared" si="5"/>
        <v>-7.9375</v>
      </c>
      <c r="Q58" s="216">
        <f t="shared" si="6"/>
        <v>0.95766666666666667</v>
      </c>
      <c r="R58" s="566">
        <f>Q64</f>
        <v>0.96480422232609597</v>
      </c>
      <c r="S58" s="63">
        <v>0.20833333333333334</v>
      </c>
      <c r="T58" s="63">
        <v>0.29166666666666669</v>
      </c>
      <c r="U58" s="215"/>
      <c r="V58" s="221">
        <f t="shared" ref="V58:V63" si="41">(T58-S58)*24*60</f>
        <v>120</v>
      </c>
      <c r="W58" s="68"/>
      <c r="X58" s="68"/>
      <c r="Y58" s="559"/>
      <c r="Z58" s="559"/>
      <c r="AA58" s="61">
        <f t="shared" si="8"/>
        <v>-63.5</v>
      </c>
      <c r="AB58" s="216">
        <f t="shared" si="9"/>
        <v>0.95766666666666667</v>
      </c>
      <c r="AC58" s="566">
        <f>AB64</f>
        <v>0.96480422232609586</v>
      </c>
    </row>
    <row r="59" spans="1:29" ht="15.75" customHeight="1">
      <c r="A59" s="572" t="s">
        <v>327</v>
      </c>
      <c r="B59" s="223" t="s">
        <v>31</v>
      </c>
      <c r="C59" s="560" t="s">
        <v>41</v>
      </c>
      <c r="D59" s="560"/>
      <c r="E59" s="57">
        <v>26.78</v>
      </c>
      <c r="F59" s="69">
        <v>2869</v>
      </c>
      <c r="G59" s="215">
        <f t="shared" si="39"/>
        <v>76831.820000000007</v>
      </c>
      <c r="H59" s="224" t="s">
        <v>5</v>
      </c>
      <c r="I59" s="220">
        <v>10</v>
      </c>
      <c r="J59" s="58">
        <v>3000</v>
      </c>
      <c r="K59" s="59">
        <f t="shared" si="1"/>
        <v>300</v>
      </c>
      <c r="L59" s="220">
        <v>10</v>
      </c>
      <c r="M59" s="60">
        <f t="shared" si="40"/>
        <v>2868.9999999999986</v>
      </c>
      <c r="N59" s="59">
        <f t="shared" si="3"/>
        <v>286.89999999999986</v>
      </c>
      <c r="O59" s="61">
        <f t="shared" si="4"/>
        <v>0</v>
      </c>
      <c r="P59" s="62">
        <f t="shared" si="5"/>
        <v>-13.100000000000136</v>
      </c>
      <c r="Q59" s="216">
        <f t="shared" si="6"/>
        <v>0.95633333333333292</v>
      </c>
      <c r="R59" s="566"/>
      <c r="S59" s="63">
        <v>0.29722222222222222</v>
      </c>
      <c r="T59" s="63">
        <v>0.33888888888888891</v>
      </c>
      <c r="U59" s="215">
        <f t="shared" ref="U59:U63" si="42">(S59-T58)*24*60</f>
        <v>7.9999999999999716</v>
      </c>
      <c r="V59" s="221">
        <f t="shared" si="41"/>
        <v>60.000000000000028</v>
      </c>
      <c r="W59" s="215"/>
      <c r="X59" s="215"/>
      <c r="Y59" s="559"/>
      <c r="Z59" s="559"/>
      <c r="AA59" s="61">
        <f t="shared" si="8"/>
        <v>-131.00000000000136</v>
      </c>
      <c r="AB59" s="216">
        <f t="shared" si="9"/>
        <v>0.95633333333333292</v>
      </c>
      <c r="AC59" s="566"/>
    </row>
    <row r="60" spans="1:29" ht="15.75" customHeight="1">
      <c r="A60" s="572" t="s">
        <v>327</v>
      </c>
      <c r="B60" s="223" t="s">
        <v>31</v>
      </c>
      <c r="C60" s="560" t="s">
        <v>64</v>
      </c>
      <c r="D60" s="560"/>
      <c r="E60" s="57">
        <v>37.880000000000003</v>
      </c>
      <c r="F60" s="69">
        <v>2788</v>
      </c>
      <c r="G60" s="215">
        <f t="shared" si="39"/>
        <v>105609.44</v>
      </c>
      <c r="H60" s="224" t="s">
        <v>5</v>
      </c>
      <c r="I60" s="220">
        <v>10</v>
      </c>
      <c r="J60" s="58">
        <v>3000</v>
      </c>
      <c r="K60" s="59">
        <f t="shared" si="1"/>
        <v>300</v>
      </c>
      <c r="L60" s="220">
        <v>10</v>
      </c>
      <c r="M60" s="60">
        <f t="shared" si="40"/>
        <v>2884.137931034481</v>
      </c>
      <c r="N60" s="59">
        <f t="shared" si="3"/>
        <v>288.41379310344809</v>
      </c>
      <c r="O60" s="61">
        <f t="shared" si="4"/>
        <v>0</v>
      </c>
      <c r="P60" s="62">
        <f t="shared" si="5"/>
        <v>-11.586206896551914</v>
      </c>
      <c r="Q60" s="216">
        <f t="shared" si="6"/>
        <v>0.96137931034482693</v>
      </c>
      <c r="R60" s="566"/>
      <c r="S60" s="63">
        <v>0.34236111111111112</v>
      </c>
      <c r="T60" s="63">
        <v>0.38263888888888892</v>
      </c>
      <c r="U60" s="215">
        <f t="shared" si="42"/>
        <v>4.9999999999999822</v>
      </c>
      <c r="V60" s="221">
        <f t="shared" si="41"/>
        <v>58.000000000000036</v>
      </c>
      <c r="W60" s="215"/>
      <c r="X60" s="215"/>
      <c r="Y60" s="559"/>
      <c r="Z60" s="559"/>
      <c r="AA60" s="61">
        <f t="shared" si="8"/>
        <v>-115.86206896551903</v>
      </c>
      <c r="AB60" s="216">
        <f t="shared" si="9"/>
        <v>0.96137931034482704</v>
      </c>
      <c r="AC60" s="566"/>
    </row>
    <row r="61" spans="1:29" ht="15.75" customHeight="1">
      <c r="A61" s="572" t="s">
        <v>327</v>
      </c>
      <c r="B61" s="223" t="s">
        <v>31</v>
      </c>
      <c r="C61" s="560" t="s">
        <v>72</v>
      </c>
      <c r="D61" s="560"/>
      <c r="E61" s="57">
        <v>40.51</v>
      </c>
      <c r="F61" s="69">
        <v>2434</v>
      </c>
      <c r="G61" s="215">
        <f t="shared" si="39"/>
        <v>98601.34</v>
      </c>
      <c r="H61" s="224" t="s">
        <v>5</v>
      </c>
      <c r="I61" s="220">
        <v>8</v>
      </c>
      <c r="J61" s="58">
        <v>3000</v>
      </c>
      <c r="K61" s="59">
        <f t="shared" si="1"/>
        <v>375</v>
      </c>
      <c r="L61" s="220">
        <v>8</v>
      </c>
      <c r="M61" s="60">
        <f t="shared" si="40"/>
        <v>2863.5294117647072</v>
      </c>
      <c r="N61" s="59">
        <f t="shared" si="3"/>
        <v>357.9411764705884</v>
      </c>
      <c r="O61" s="61">
        <f t="shared" si="4"/>
        <v>0</v>
      </c>
      <c r="P61" s="62">
        <f t="shared" si="5"/>
        <v>-17.058823529411598</v>
      </c>
      <c r="Q61" s="216">
        <f t="shared" si="6"/>
        <v>0.95450980392156903</v>
      </c>
      <c r="R61" s="566"/>
      <c r="S61" s="63">
        <v>0.38750000000000001</v>
      </c>
      <c r="T61" s="63">
        <v>0.42291666666666666</v>
      </c>
      <c r="U61" s="215">
        <f t="shared" si="42"/>
        <v>6.9999999999999751</v>
      </c>
      <c r="V61" s="221">
        <f t="shared" si="41"/>
        <v>50.999999999999979</v>
      </c>
      <c r="W61" s="215"/>
      <c r="X61" s="215"/>
      <c r="Y61" s="559"/>
      <c r="Z61" s="559"/>
      <c r="AA61" s="61">
        <f t="shared" si="8"/>
        <v>-136.47058823529278</v>
      </c>
      <c r="AB61" s="216">
        <f t="shared" si="9"/>
        <v>0.95450980392156903</v>
      </c>
      <c r="AC61" s="566"/>
    </row>
    <row r="62" spans="1:29">
      <c r="A62" s="573" t="s">
        <v>327</v>
      </c>
      <c r="B62" s="223" t="s">
        <v>31</v>
      </c>
      <c r="C62" s="560" t="s">
        <v>36</v>
      </c>
      <c r="D62" s="560"/>
      <c r="E62" s="57">
        <v>36.14</v>
      </c>
      <c r="F62" s="69">
        <v>1232</v>
      </c>
      <c r="G62" s="215">
        <f t="shared" si="39"/>
        <v>44524.480000000003</v>
      </c>
      <c r="H62" s="224" t="s">
        <v>5</v>
      </c>
      <c r="I62" s="220">
        <v>9</v>
      </c>
      <c r="J62" s="58">
        <v>3000</v>
      </c>
      <c r="K62" s="59">
        <f t="shared" si="1"/>
        <v>333.33333333333331</v>
      </c>
      <c r="L62" s="220">
        <v>9</v>
      </c>
      <c r="M62" s="60">
        <f t="shared" si="40"/>
        <v>2956.8000000000011</v>
      </c>
      <c r="N62" s="59">
        <f t="shared" si="3"/>
        <v>328.53333333333347</v>
      </c>
      <c r="O62" s="61">
        <f t="shared" si="4"/>
        <v>0</v>
      </c>
      <c r="P62" s="62">
        <f t="shared" si="5"/>
        <v>-4.7999999999998408</v>
      </c>
      <c r="Q62" s="216">
        <f t="shared" si="6"/>
        <v>0.98560000000000048</v>
      </c>
      <c r="R62" s="566"/>
      <c r="S62" s="63">
        <v>0.42638888888888887</v>
      </c>
      <c r="T62" s="63">
        <v>0.44374999999999998</v>
      </c>
      <c r="U62" s="215">
        <f t="shared" si="42"/>
        <v>4.9999999999999822</v>
      </c>
      <c r="V62" s="221">
        <f t="shared" si="41"/>
        <v>24.999999999999993</v>
      </c>
      <c r="W62" s="64"/>
      <c r="X62" s="64"/>
      <c r="Y62" s="559"/>
      <c r="Z62" s="559"/>
      <c r="AA62" s="61">
        <f t="shared" si="8"/>
        <v>-43.199999999998909</v>
      </c>
      <c r="AB62" s="216">
        <f t="shared" si="9"/>
        <v>0.98560000000000036</v>
      </c>
      <c r="AC62" s="566"/>
    </row>
    <row r="63" spans="1:29" ht="15" customHeight="1">
      <c r="A63" s="573" t="s">
        <v>327</v>
      </c>
      <c r="B63" s="223" t="s">
        <v>31</v>
      </c>
      <c r="C63" s="567" t="s">
        <v>63</v>
      </c>
      <c r="D63" s="568"/>
      <c r="E63" s="57">
        <v>34.36</v>
      </c>
      <c r="F63" s="69">
        <v>2085</v>
      </c>
      <c r="G63" s="215">
        <f t="shared" si="39"/>
        <v>71640.600000000006</v>
      </c>
      <c r="H63" s="224" t="s">
        <v>5</v>
      </c>
      <c r="I63" s="220">
        <v>10</v>
      </c>
      <c r="J63" s="58">
        <v>3000</v>
      </c>
      <c r="K63" s="59">
        <f t="shared" si="1"/>
        <v>300</v>
      </c>
      <c r="L63" s="220">
        <v>10</v>
      </c>
      <c r="M63" s="60">
        <f t="shared" si="40"/>
        <v>2909.3023255813951</v>
      </c>
      <c r="N63" s="59">
        <f t="shared" si="3"/>
        <v>290.93023255813949</v>
      </c>
      <c r="O63" s="61">
        <f t="shared" si="4"/>
        <v>0</v>
      </c>
      <c r="P63" s="62">
        <f t="shared" si="5"/>
        <v>-9.0697674418605061</v>
      </c>
      <c r="Q63" s="216">
        <f t="shared" si="6"/>
        <v>0.96976744186046493</v>
      </c>
      <c r="R63" s="566"/>
      <c r="S63" s="63">
        <v>0.44861111111111107</v>
      </c>
      <c r="T63" s="63">
        <v>0.47847222222222219</v>
      </c>
      <c r="U63" s="215">
        <f t="shared" si="42"/>
        <v>6.9999999999999751</v>
      </c>
      <c r="V63" s="221">
        <f t="shared" si="41"/>
        <v>43.000000000000007</v>
      </c>
      <c r="W63" s="215"/>
      <c r="X63" s="215"/>
      <c r="Y63" s="569"/>
      <c r="Z63" s="570"/>
      <c r="AA63" s="61">
        <f t="shared" si="8"/>
        <v>-90.697674418604947</v>
      </c>
      <c r="AB63" s="216">
        <f t="shared" si="9"/>
        <v>0.96976744186046504</v>
      </c>
      <c r="AC63" s="566"/>
    </row>
    <row r="64" spans="1:29">
      <c r="A64" s="573" t="s">
        <v>327</v>
      </c>
      <c r="B64" s="57" t="s">
        <v>371</v>
      </c>
      <c r="C64" s="571"/>
      <c r="D64" s="571"/>
      <c r="E64" s="219"/>
      <c r="F64" s="66"/>
      <c r="G64" s="59"/>
      <c r="H64" s="223"/>
      <c r="I64" s="67">
        <v>9.1666666666666661</v>
      </c>
      <c r="J64" s="58">
        <v>2750</v>
      </c>
      <c r="K64" s="59">
        <f t="shared" si="1"/>
        <v>300</v>
      </c>
      <c r="L64" s="67">
        <v>9.1666666666666661</v>
      </c>
      <c r="M64" s="60">
        <f>AVERAGE(M58:M63)</f>
        <v>2653.2116113967636</v>
      </c>
      <c r="N64" s="59">
        <f t="shared" si="3"/>
        <v>289.44126669782878</v>
      </c>
      <c r="O64" s="61">
        <f t="shared" si="4"/>
        <v>0</v>
      </c>
      <c r="P64" s="62">
        <f t="shared" si="5"/>
        <v>-10.55873330217122</v>
      </c>
      <c r="Q64" s="216">
        <f t="shared" si="6"/>
        <v>0.96480422232609597</v>
      </c>
      <c r="R64" s="566"/>
      <c r="S64" s="63"/>
      <c r="T64" s="63"/>
      <c r="U64" s="59"/>
      <c r="V64" s="221"/>
      <c r="W64" s="59"/>
      <c r="X64" s="59"/>
      <c r="Y64" s="559"/>
      <c r="Z64" s="559"/>
      <c r="AA64" s="61">
        <f t="shared" si="8"/>
        <v>-96.788388603236399</v>
      </c>
      <c r="AB64" s="216">
        <f t="shared" si="9"/>
        <v>0.96480422232609586</v>
      </c>
      <c r="AC64" s="566"/>
    </row>
    <row r="65" spans="1:29" ht="15.75" customHeight="1">
      <c r="A65" s="563" t="s">
        <v>90</v>
      </c>
      <c r="B65" s="223" t="s">
        <v>15</v>
      </c>
      <c r="C65" s="560" t="s">
        <v>43</v>
      </c>
      <c r="D65" s="560"/>
      <c r="E65" s="57">
        <v>20.2</v>
      </c>
      <c r="F65" s="223">
        <v>2365</v>
      </c>
      <c r="G65" s="215">
        <f t="shared" ref="G65:G72" si="43">E65*F65</f>
        <v>47773</v>
      </c>
      <c r="H65" s="224" t="s">
        <v>5</v>
      </c>
      <c r="I65" s="220">
        <v>19</v>
      </c>
      <c r="J65" s="58">
        <v>2400</v>
      </c>
      <c r="K65" s="59">
        <f t="shared" si="1"/>
        <v>126.31578947368421</v>
      </c>
      <c r="L65" s="220">
        <v>19</v>
      </c>
      <c r="M65" s="60">
        <f t="shared" ref="M65:M72" si="44">F65/V65*60</f>
        <v>2288.7096774193551</v>
      </c>
      <c r="N65" s="59">
        <f t="shared" si="3"/>
        <v>120.4584040747029</v>
      </c>
      <c r="O65" s="61">
        <f t="shared" si="4"/>
        <v>0</v>
      </c>
      <c r="P65" s="62">
        <f t="shared" si="5"/>
        <v>-5.8573853989813074</v>
      </c>
      <c r="Q65" s="216">
        <f t="shared" si="6"/>
        <v>0.95362903225806461</v>
      </c>
      <c r="R65" s="566">
        <f>Q73</f>
        <v>0.95746614970445121</v>
      </c>
      <c r="S65" s="63">
        <v>8.3333333333333329E-2</v>
      </c>
      <c r="T65" s="63">
        <v>0.12638888888888888</v>
      </c>
      <c r="U65" s="68"/>
      <c r="V65" s="221">
        <f t="shared" ref="V65:V72" si="45">(T65-S65)*24*60</f>
        <v>61.999999999999993</v>
      </c>
      <c r="W65" s="64">
        <f>T65</f>
        <v>0.12638888888888888</v>
      </c>
      <c r="X65" s="64">
        <f>S66</f>
        <v>0.14513888888888887</v>
      </c>
      <c r="Y65" s="559"/>
      <c r="Z65" s="559"/>
      <c r="AA65" s="61">
        <f t="shared" si="8"/>
        <v>-111.2903225806449</v>
      </c>
      <c r="AB65" s="216">
        <f t="shared" si="9"/>
        <v>0.95362903225806461</v>
      </c>
      <c r="AC65" s="566">
        <f>AB73</f>
        <v>0.95746614970445121</v>
      </c>
    </row>
    <row r="66" spans="1:29" ht="15.75" customHeight="1">
      <c r="A66" s="564" t="s">
        <v>90</v>
      </c>
      <c r="B66" s="223" t="s">
        <v>15</v>
      </c>
      <c r="C66" s="560" t="s">
        <v>16</v>
      </c>
      <c r="D66" s="560"/>
      <c r="E66" s="57">
        <v>24.45</v>
      </c>
      <c r="F66" s="223">
        <v>2542</v>
      </c>
      <c r="G66" s="215">
        <f t="shared" si="43"/>
        <v>62151.9</v>
      </c>
      <c r="H66" s="224" t="s">
        <v>5</v>
      </c>
      <c r="I66" s="220">
        <v>20</v>
      </c>
      <c r="J66" s="58">
        <v>2400</v>
      </c>
      <c r="K66" s="59">
        <f t="shared" si="1"/>
        <v>120</v>
      </c>
      <c r="L66" s="220">
        <v>20</v>
      </c>
      <c r="M66" s="60">
        <f t="shared" si="44"/>
        <v>2310.909090909091</v>
      </c>
      <c r="N66" s="59">
        <f t="shared" si="3"/>
        <v>115.54545454545455</v>
      </c>
      <c r="O66" s="61">
        <f t="shared" si="4"/>
        <v>0</v>
      </c>
      <c r="P66" s="62">
        <f t="shared" si="5"/>
        <v>-4.4545454545454533</v>
      </c>
      <c r="Q66" s="216">
        <f t="shared" si="6"/>
        <v>0.96287878787878789</v>
      </c>
      <c r="R66" s="566"/>
      <c r="S66" s="63">
        <v>0.14513888888888887</v>
      </c>
      <c r="T66" s="63">
        <v>0.19097222222222221</v>
      </c>
      <c r="U66" s="215">
        <f t="shared" ref="U66:U72" si="46">(S66-T65)*24*60</f>
        <v>26.999999999999986</v>
      </c>
      <c r="V66" s="221">
        <f t="shared" si="45"/>
        <v>66</v>
      </c>
      <c r="W66" s="64"/>
      <c r="X66" s="64"/>
      <c r="Y66" s="559"/>
      <c r="Z66" s="559"/>
      <c r="AA66" s="61">
        <f t="shared" si="8"/>
        <v>-89.090909090909008</v>
      </c>
      <c r="AB66" s="216">
        <f t="shared" si="9"/>
        <v>0.96287878787878789</v>
      </c>
      <c r="AC66" s="566"/>
    </row>
    <row r="67" spans="1:29" ht="15.75" customHeight="1">
      <c r="A67" s="564" t="s">
        <v>90</v>
      </c>
      <c r="B67" s="223" t="s">
        <v>15</v>
      </c>
      <c r="C67" s="560" t="s">
        <v>100</v>
      </c>
      <c r="D67" s="560"/>
      <c r="E67" s="57">
        <v>28.51</v>
      </c>
      <c r="F67" s="223">
        <v>2214</v>
      </c>
      <c r="G67" s="215">
        <f t="shared" si="43"/>
        <v>63121.140000000007</v>
      </c>
      <c r="H67" s="224" t="s">
        <v>5</v>
      </c>
      <c r="I67" s="220">
        <v>16</v>
      </c>
      <c r="J67" s="58">
        <v>2400</v>
      </c>
      <c r="K67" s="59">
        <f t="shared" si="1"/>
        <v>150</v>
      </c>
      <c r="L67" s="220">
        <v>16</v>
      </c>
      <c r="M67" s="60">
        <f t="shared" si="44"/>
        <v>2290.344827586207</v>
      </c>
      <c r="N67" s="59">
        <f t="shared" si="3"/>
        <v>143.14655172413794</v>
      </c>
      <c r="O67" s="61">
        <f t="shared" si="4"/>
        <v>0</v>
      </c>
      <c r="P67" s="62">
        <f t="shared" si="5"/>
        <v>-6.8534482758620641</v>
      </c>
      <c r="Q67" s="216">
        <f t="shared" si="6"/>
        <v>0.95431034482758625</v>
      </c>
      <c r="R67" s="566"/>
      <c r="S67" s="63">
        <v>0.19444444444444442</v>
      </c>
      <c r="T67" s="63">
        <v>0.23472222222222219</v>
      </c>
      <c r="U67" s="215">
        <f t="shared" si="46"/>
        <v>4.9999999999999822</v>
      </c>
      <c r="V67" s="221">
        <f t="shared" si="45"/>
        <v>57.999999999999993</v>
      </c>
      <c r="W67" s="64"/>
      <c r="X67" s="64"/>
      <c r="Y67" s="559"/>
      <c r="Z67" s="559"/>
      <c r="AA67" s="61">
        <f t="shared" si="8"/>
        <v>-109.65517241379303</v>
      </c>
      <c r="AB67" s="216">
        <f t="shared" si="9"/>
        <v>0.95431034482758625</v>
      </c>
      <c r="AC67" s="566"/>
    </row>
    <row r="68" spans="1:29" ht="15.75" customHeight="1">
      <c r="A68" s="564" t="s">
        <v>90</v>
      </c>
      <c r="B68" s="223" t="s">
        <v>15</v>
      </c>
      <c r="C68" s="560" t="s">
        <v>30</v>
      </c>
      <c r="D68" s="560"/>
      <c r="E68" s="57">
        <v>24.25</v>
      </c>
      <c r="F68" s="223">
        <v>2271</v>
      </c>
      <c r="G68" s="215">
        <f t="shared" si="43"/>
        <v>55071.75</v>
      </c>
      <c r="H68" s="224" t="s">
        <v>5</v>
      </c>
      <c r="I68" s="220">
        <v>13</v>
      </c>
      <c r="J68" s="58">
        <v>2400</v>
      </c>
      <c r="K68" s="59">
        <f t="shared" si="1"/>
        <v>184.61538461538461</v>
      </c>
      <c r="L68" s="220">
        <v>13</v>
      </c>
      <c r="M68" s="60">
        <f t="shared" si="44"/>
        <v>2309.4915254237276</v>
      </c>
      <c r="N68" s="59">
        <f t="shared" si="3"/>
        <v>177.65319426336367</v>
      </c>
      <c r="O68" s="61">
        <f t="shared" si="4"/>
        <v>0</v>
      </c>
      <c r="P68" s="62">
        <f t="shared" si="5"/>
        <v>-6.9621903520209401</v>
      </c>
      <c r="Q68" s="216">
        <f t="shared" si="6"/>
        <v>0.96228813559321991</v>
      </c>
      <c r="R68" s="566"/>
      <c r="S68" s="63">
        <v>0.24027777777777776</v>
      </c>
      <c r="T68" s="63">
        <v>0.28125</v>
      </c>
      <c r="U68" s="215">
        <f t="shared" si="46"/>
        <v>8.0000000000000107</v>
      </c>
      <c r="V68" s="221">
        <f t="shared" si="45"/>
        <v>59.000000000000028</v>
      </c>
      <c r="W68" s="64"/>
      <c r="X68" s="64"/>
      <c r="Y68" s="559"/>
      <c r="Z68" s="559"/>
      <c r="AA68" s="61">
        <f t="shared" si="8"/>
        <v>-90.50847457627242</v>
      </c>
      <c r="AB68" s="216">
        <f t="shared" si="9"/>
        <v>0.9622881355932198</v>
      </c>
      <c r="AC68" s="566"/>
    </row>
    <row r="69" spans="1:29" ht="15.75" customHeight="1">
      <c r="A69" s="564" t="s">
        <v>90</v>
      </c>
      <c r="B69" s="223" t="s">
        <v>15</v>
      </c>
      <c r="C69" s="560" t="s">
        <v>24</v>
      </c>
      <c r="D69" s="560"/>
      <c r="E69" s="57">
        <v>20.52</v>
      </c>
      <c r="F69" s="223">
        <v>3392</v>
      </c>
      <c r="G69" s="215">
        <f t="shared" si="43"/>
        <v>69603.839999999997</v>
      </c>
      <c r="H69" s="224" t="s">
        <v>5</v>
      </c>
      <c r="I69" s="220">
        <v>18</v>
      </c>
      <c r="J69" s="58">
        <v>2400</v>
      </c>
      <c r="K69" s="59">
        <f t="shared" ref="K69:K73" si="47">J69/I69</f>
        <v>133.33333333333334</v>
      </c>
      <c r="L69" s="220">
        <v>18</v>
      </c>
      <c r="M69" s="60">
        <f t="shared" si="44"/>
        <v>2286.7415730337079</v>
      </c>
      <c r="N69" s="59">
        <f t="shared" ref="N69:N73" si="48">M69/L69</f>
        <v>127.04119850187266</v>
      </c>
      <c r="O69" s="61">
        <f t="shared" ref="O69:O73" si="49">L69-I69</f>
        <v>0</v>
      </c>
      <c r="P69" s="62">
        <f t="shared" ref="P69:P73" si="50">N69-K69</f>
        <v>-6.292134831460686</v>
      </c>
      <c r="Q69" s="216">
        <f t="shared" ref="Q69:Q73" si="51">N69/K69</f>
        <v>0.95280898876404485</v>
      </c>
      <c r="R69" s="566"/>
      <c r="S69" s="63">
        <v>0.28472222222222221</v>
      </c>
      <c r="T69" s="63">
        <v>0.34652777777777777</v>
      </c>
      <c r="U69" s="215">
        <f t="shared" si="46"/>
        <v>4.9999999999999822</v>
      </c>
      <c r="V69" s="221">
        <f t="shared" si="45"/>
        <v>89</v>
      </c>
      <c r="W69" s="64"/>
      <c r="X69" s="64"/>
      <c r="Y69" s="559"/>
      <c r="Z69" s="559"/>
      <c r="AA69" s="61">
        <f t="shared" ref="AA69:AA73" si="52">M69-J69</f>
        <v>-113.25842696629206</v>
      </c>
      <c r="AB69" s="216">
        <f t="shared" ref="AB69:AB73" si="53">M69/J69</f>
        <v>0.95280898876404496</v>
      </c>
      <c r="AC69" s="566"/>
    </row>
    <row r="70" spans="1:29" ht="15.75" customHeight="1">
      <c r="A70" s="564" t="s">
        <v>90</v>
      </c>
      <c r="B70" s="223" t="s">
        <v>15</v>
      </c>
      <c r="C70" s="560" t="s">
        <v>101</v>
      </c>
      <c r="D70" s="560"/>
      <c r="E70" s="57">
        <v>22.69</v>
      </c>
      <c r="F70" s="223">
        <v>2973</v>
      </c>
      <c r="G70" s="215">
        <f t="shared" si="43"/>
        <v>67457.37000000001</v>
      </c>
      <c r="H70" s="224" t="s">
        <v>5</v>
      </c>
      <c r="I70" s="220">
        <v>15</v>
      </c>
      <c r="J70" s="58">
        <v>2400</v>
      </c>
      <c r="K70" s="59">
        <f t="shared" si="47"/>
        <v>160</v>
      </c>
      <c r="L70" s="220">
        <v>15</v>
      </c>
      <c r="M70" s="60">
        <f t="shared" si="44"/>
        <v>2286.9230769230753</v>
      </c>
      <c r="N70" s="59">
        <f t="shared" si="48"/>
        <v>152.46153846153837</v>
      </c>
      <c r="O70" s="61">
        <f t="shared" si="49"/>
        <v>0</v>
      </c>
      <c r="P70" s="62">
        <f t="shared" si="50"/>
        <v>-7.5384615384616325</v>
      </c>
      <c r="Q70" s="216">
        <f t="shared" si="51"/>
        <v>0.95288461538461477</v>
      </c>
      <c r="R70" s="566"/>
      <c r="S70" s="63">
        <v>0.35138888888888886</v>
      </c>
      <c r="T70" s="63">
        <v>0.40555555555555556</v>
      </c>
      <c r="U70" s="215">
        <f t="shared" si="46"/>
        <v>6.9999999999999751</v>
      </c>
      <c r="V70" s="221">
        <f t="shared" si="45"/>
        <v>78.000000000000043</v>
      </c>
      <c r="W70" s="64"/>
      <c r="X70" s="64"/>
      <c r="Y70" s="559"/>
      <c r="Z70" s="559"/>
      <c r="AA70" s="61">
        <f t="shared" si="52"/>
        <v>-113.07692307692469</v>
      </c>
      <c r="AB70" s="216">
        <f t="shared" si="53"/>
        <v>0.95288461538461466</v>
      </c>
      <c r="AC70" s="566"/>
    </row>
    <row r="71" spans="1:29" ht="15.75" customHeight="1">
      <c r="A71" s="564" t="s">
        <v>90</v>
      </c>
      <c r="B71" s="223" t="s">
        <v>15</v>
      </c>
      <c r="C71" s="560" t="s">
        <v>29</v>
      </c>
      <c r="D71" s="560"/>
      <c r="E71" s="57">
        <v>24.43</v>
      </c>
      <c r="F71" s="223">
        <v>3800</v>
      </c>
      <c r="G71" s="215">
        <f t="shared" si="43"/>
        <v>92834</v>
      </c>
      <c r="H71" s="224" t="s">
        <v>5</v>
      </c>
      <c r="I71" s="220">
        <v>14</v>
      </c>
      <c r="J71" s="58">
        <v>2400</v>
      </c>
      <c r="K71" s="59">
        <f t="shared" si="47"/>
        <v>171.42857142857142</v>
      </c>
      <c r="L71" s="220">
        <v>14</v>
      </c>
      <c r="M71" s="60">
        <f t="shared" si="44"/>
        <v>2303.0303030303039</v>
      </c>
      <c r="N71" s="59">
        <f t="shared" si="48"/>
        <v>164.50216450216456</v>
      </c>
      <c r="O71" s="61">
        <f t="shared" si="49"/>
        <v>0</v>
      </c>
      <c r="P71" s="62">
        <f t="shared" si="50"/>
        <v>-6.9264069264068553</v>
      </c>
      <c r="Q71" s="216">
        <f t="shared" si="51"/>
        <v>0.95959595959596</v>
      </c>
      <c r="R71" s="566"/>
      <c r="S71" s="63">
        <v>0.41111111111111109</v>
      </c>
      <c r="T71" s="63">
        <v>0.47986111111111107</v>
      </c>
      <c r="U71" s="215">
        <f t="shared" si="46"/>
        <v>7.9999999999999716</v>
      </c>
      <c r="V71" s="221">
        <f t="shared" si="45"/>
        <v>98.999999999999972</v>
      </c>
      <c r="W71" s="64">
        <f>T71</f>
        <v>0.47986111111111107</v>
      </c>
      <c r="X71" s="64">
        <f>S72</f>
        <v>0.51944444444444438</v>
      </c>
      <c r="Y71" s="569"/>
      <c r="Z71" s="570"/>
      <c r="AA71" s="61">
        <f t="shared" si="52"/>
        <v>-96.969696969696088</v>
      </c>
      <c r="AB71" s="216">
        <f t="shared" si="53"/>
        <v>0.95959595959596</v>
      </c>
      <c r="AC71" s="566"/>
    </row>
    <row r="72" spans="1:29" ht="15.75" customHeight="1">
      <c r="A72" s="564" t="s">
        <v>90</v>
      </c>
      <c r="B72" s="223" t="s">
        <v>15</v>
      </c>
      <c r="C72" s="560" t="s">
        <v>29</v>
      </c>
      <c r="D72" s="560"/>
      <c r="E72" s="57">
        <v>24.43</v>
      </c>
      <c r="F72" s="223">
        <v>2884</v>
      </c>
      <c r="G72" s="215">
        <f t="shared" si="43"/>
        <v>70456.12</v>
      </c>
      <c r="H72" s="224" t="s">
        <v>5</v>
      </c>
      <c r="I72" s="220">
        <v>14</v>
      </c>
      <c r="J72" s="58">
        <v>2400</v>
      </c>
      <c r="K72" s="59">
        <f t="shared" si="47"/>
        <v>171.42857142857142</v>
      </c>
      <c r="L72" s="220">
        <v>14</v>
      </c>
      <c r="M72" s="60">
        <f t="shared" si="44"/>
        <v>2307.1999999999985</v>
      </c>
      <c r="N72" s="59">
        <f t="shared" si="48"/>
        <v>164.7999999999999</v>
      </c>
      <c r="O72" s="61">
        <f t="shared" si="49"/>
        <v>0</v>
      </c>
      <c r="P72" s="62">
        <f t="shared" si="50"/>
        <v>-6.6285714285715187</v>
      </c>
      <c r="Q72" s="216">
        <f t="shared" si="51"/>
        <v>0.96133333333333282</v>
      </c>
      <c r="R72" s="566"/>
      <c r="S72" s="63">
        <v>0.51944444444444438</v>
      </c>
      <c r="T72" s="63">
        <v>0.57152777777777775</v>
      </c>
      <c r="U72" s="215">
        <f t="shared" si="46"/>
        <v>56.999999999999957</v>
      </c>
      <c r="V72" s="221">
        <f t="shared" si="45"/>
        <v>75.000000000000057</v>
      </c>
      <c r="W72" s="64"/>
      <c r="X72" s="64"/>
      <c r="Y72" s="569"/>
      <c r="Z72" s="570"/>
      <c r="AA72" s="61">
        <f t="shared" si="52"/>
        <v>-92.800000000001546</v>
      </c>
      <c r="AB72" s="216">
        <f t="shared" si="53"/>
        <v>0.96133333333333271</v>
      </c>
      <c r="AC72" s="566"/>
    </row>
    <row r="73" spans="1:29" ht="16.5" customHeight="1">
      <c r="A73" s="565" t="s">
        <v>90</v>
      </c>
      <c r="B73" s="57" t="s">
        <v>371</v>
      </c>
      <c r="C73" s="561"/>
      <c r="D73" s="562"/>
      <c r="E73" s="219"/>
      <c r="F73" s="66"/>
      <c r="G73" s="59"/>
      <c r="H73" s="223"/>
      <c r="I73" s="67">
        <v>16.125</v>
      </c>
      <c r="J73" s="58">
        <v>2400</v>
      </c>
      <c r="K73" s="59">
        <f t="shared" si="47"/>
        <v>148.83720930232559</v>
      </c>
      <c r="L73" s="67">
        <v>16.125</v>
      </c>
      <c r="M73" s="60">
        <f>AVERAGE(M65:M72)</f>
        <v>2297.9187592906828</v>
      </c>
      <c r="N73" s="59">
        <f t="shared" si="48"/>
        <v>142.5065897234532</v>
      </c>
      <c r="O73" s="61">
        <f t="shared" si="49"/>
        <v>0</v>
      </c>
      <c r="P73" s="62">
        <f t="shared" si="50"/>
        <v>-6.3306195788723869</v>
      </c>
      <c r="Q73" s="216">
        <f t="shared" si="51"/>
        <v>0.95746614970445121</v>
      </c>
      <c r="R73" s="566"/>
      <c r="S73" s="63"/>
      <c r="T73" s="63"/>
      <c r="U73" s="59"/>
      <c r="V73" s="221"/>
      <c r="W73" s="59"/>
      <c r="X73" s="59"/>
      <c r="Y73" s="559"/>
      <c r="Z73" s="559"/>
      <c r="AA73" s="61">
        <f t="shared" si="52"/>
        <v>-102.08124070931717</v>
      </c>
      <c r="AB73" s="216">
        <f t="shared" si="53"/>
        <v>0.95746614970445121</v>
      </c>
      <c r="AC73" s="566"/>
    </row>
    <row r="74" spans="1:29">
      <c r="D74" s="122"/>
      <c r="E74" s="122"/>
    </row>
  </sheetData>
  <mergeCells count="194"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C8:D8"/>
    <mergeCell ref="Y8:Z8"/>
    <mergeCell ref="A9:A11"/>
    <mergeCell ref="C9:D9"/>
    <mergeCell ref="R9:R11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AC9:AC11"/>
    <mergeCell ref="C10:D10"/>
    <mergeCell ref="Y10:Z10"/>
    <mergeCell ref="C11:D11"/>
    <mergeCell ref="Y11:Z11"/>
    <mergeCell ref="C12:D12"/>
    <mergeCell ref="R12:R16"/>
    <mergeCell ref="Y12:Z12"/>
    <mergeCell ref="AC12:AC16"/>
    <mergeCell ref="C16:D16"/>
    <mergeCell ref="Y16:Z16"/>
    <mergeCell ref="A17:A25"/>
    <mergeCell ref="C17:D17"/>
    <mergeCell ref="R17:R25"/>
    <mergeCell ref="Y17:Z17"/>
    <mergeCell ref="Y22:Z22"/>
    <mergeCell ref="C23:D23"/>
    <mergeCell ref="Y23:Z23"/>
    <mergeCell ref="C24:D24"/>
    <mergeCell ref="A12:A16"/>
    <mergeCell ref="C13:D13"/>
    <mergeCell ref="Y13:Z13"/>
    <mergeCell ref="C14:D14"/>
    <mergeCell ref="Y14:Z14"/>
    <mergeCell ref="C15:D15"/>
    <mergeCell ref="Y15:Z15"/>
    <mergeCell ref="AC17:AC25"/>
    <mergeCell ref="C18:D18"/>
    <mergeCell ref="Y18:Z18"/>
    <mergeCell ref="C19:D19"/>
    <mergeCell ref="Y19:Z19"/>
    <mergeCell ref="C20:D20"/>
    <mergeCell ref="Y20:Z20"/>
    <mergeCell ref="C21:D21"/>
    <mergeCell ref="Y21:Z21"/>
    <mergeCell ref="C22:D22"/>
    <mergeCell ref="Y24:Z24"/>
    <mergeCell ref="C25:D25"/>
    <mergeCell ref="Y25:Z25"/>
    <mergeCell ref="A26:A34"/>
    <mergeCell ref="C26:D26"/>
    <mergeCell ref="R26:R34"/>
    <mergeCell ref="Y26:Z26"/>
    <mergeCell ref="Y31:Z31"/>
    <mergeCell ref="C32:D32"/>
    <mergeCell ref="Y32:Z32"/>
    <mergeCell ref="AC26:AC34"/>
    <mergeCell ref="C27:D27"/>
    <mergeCell ref="Y27:Z27"/>
    <mergeCell ref="C28:D28"/>
    <mergeCell ref="Y28:Z28"/>
    <mergeCell ref="C29:D29"/>
    <mergeCell ref="Y29:Z29"/>
    <mergeCell ref="C30:D30"/>
    <mergeCell ref="Y30:Z30"/>
    <mergeCell ref="C31:D31"/>
    <mergeCell ref="C33:D33"/>
    <mergeCell ref="Y33:Z33"/>
    <mergeCell ref="C34:D34"/>
    <mergeCell ref="Y34:Z34"/>
    <mergeCell ref="Y51:Z51"/>
    <mergeCell ref="A35:A42"/>
    <mergeCell ref="C35:D35"/>
    <mergeCell ref="R35:R42"/>
    <mergeCell ref="Y35:Z35"/>
    <mergeCell ref="Y40:Z40"/>
    <mergeCell ref="C41:D41"/>
    <mergeCell ref="AC35:AC42"/>
    <mergeCell ref="C36:D36"/>
    <mergeCell ref="Y36:Z36"/>
    <mergeCell ref="C37:D37"/>
    <mergeCell ref="Y37:Z37"/>
    <mergeCell ref="C38:D38"/>
    <mergeCell ref="Y38:Z38"/>
    <mergeCell ref="C39:D39"/>
    <mergeCell ref="Y39:Z39"/>
    <mergeCell ref="C40:D40"/>
    <mergeCell ref="Y41:Z41"/>
    <mergeCell ref="C42:D42"/>
    <mergeCell ref="Y42:Z42"/>
    <mergeCell ref="A52:A57"/>
    <mergeCell ref="C52:D52"/>
    <mergeCell ref="R52:R57"/>
    <mergeCell ref="Y52:Z52"/>
    <mergeCell ref="AC43:AC51"/>
    <mergeCell ref="C44:D44"/>
    <mergeCell ref="Y44:Z44"/>
    <mergeCell ref="C45:D45"/>
    <mergeCell ref="Y45:Z45"/>
    <mergeCell ref="C46:D46"/>
    <mergeCell ref="Y46:Z46"/>
    <mergeCell ref="C47:D47"/>
    <mergeCell ref="Y47:Z47"/>
    <mergeCell ref="C48:D48"/>
    <mergeCell ref="A43:A51"/>
    <mergeCell ref="C43:D43"/>
    <mergeCell ref="R43:R51"/>
    <mergeCell ref="Y43:Z43"/>
    <mergeCell ref="Y48:Z48"/>
    <mergeCell ref="C49:D49"/>
    <mergeCell ref="Y49:Z49"/>
    <mergeCell ref="C50:D50"/>
    <mergeCell ref="Y50:Z50"/>
    <mergeCell ref="C51:D51"/>
    <mergeCell ref="Y71:Z71"/>
    <mergeCell ref="AC58:AC64"/>
    <mergeCell ref="C59:D59"/>
    <mergeCell ref="Y59:Z59"/>
    <mergeCell ref="C60:D60"/>
    <mergeCell ref="Y60:Z60"/>
    <mergeCell ref="C61:D61"/>
    <mergeCell ref="AC52:AC57"/>
    <mergeCell ref="C53:D53"/>
    <mergeCell ref="Y53:Z53"/>
    <mergeCell ref="C54:D54"/>
    <mergeCell ref="C57:D57"/>
    <mergeCell ref="Y57:Z57"/>
    <mergeCell ref="Y61:Z61"/>
    <mergeCell ref="C62:D62"/>
    <mergeCell ref="Y62:Z62"/>
    <mergeCell ref="C63:D63"/>
    <mergeCell ref="Y63:Z63"/>
    <mergeCell ref="C64:D64"/>
    <mergeCell ref="Y64:Z64"/>
    <mergeCell ref="A58:A64"/>
    <mergeCell ref="C58:D58"/>
    <mergeCell ref="R58:R64"/>
    <mergeCell ref="Y58:Z58"/>
    <mergeCell ref="A65:A73"/>
    <mergeCell ref="C65:D65"/>
    <mergeCell ref="R65:R73"/>
    <mergeCell ref="Y65:Z65"/>
    <mergeCell ref="AC65:AC73"/>
    <mergeCell ref="C66:D66"/>
    <mergeCell ref="Y66:Z66"/>
    <mergeCell ref="C67:D67"/>
    <mergeCell ref="Y67:Z67"/>
    <mergeCell ref="C68:D68"/>
    <mergeCell ref="C72:D72"/>
    <mergeCell ref="Y72:Z72"/>
    <mergeCell ref="C73:D73"/>
    <mergeCell ref="Y73:Z73"/>
    <mergeCell ref="Y68:Z68"/>
    <mergeCell ref="C69:D69"/>
    <mergeCell ref="Y69:Z69"/>
    <mergeCell ref="C70:D70"/>
    <mergeCell ref="Y70:Z70"/>
    <mergeCell ref="C71:D71"/>
  </mergeCells>
  <phoneticPr fontId="3" type="noConversion"/>
  <conditionalFormatting sqref="O61:O70 O73 O5:O9 O11:O13 O51:O58 O16:O48">
    <cfRule type="cellIs" dxfId="810" priority="56" operator="greaterThan">
      <formula>0</formula>
    </cfRule>
  </conditionalFormatting>
  <conditionalFormatting sqref="P5:P7 P61:P63 AA61:AA63 P65:P70 P26:P33 P58 P9 P11:P13 P17:P24 P52:P56 P35:P48 AA5:AA58 AA65:AA73">
    <cfRule type="cellIs" dxfId="809" priority="60" operator="lessThan">
      <formula>0</formula>
    </cfRule>
  </conditionalFormatting>
  <conditionalFormatting sqref="AB61:AB63 Q61:Q70 Q73 Q5:Q9 Q11:Q13 Q51:Q58 Q16:Q48 AB5:AB58 AB65:AB73">
    <cfRule type="cellIs" dxfId="808" priority="57" operator="greaterThan">
      <formula>1</formula>
    </cfRule>
    <cfRule type="cellIs" dxfId="807" priority="58" operator="lessThan">
      <formula>0.8</formula>
    </cfRule>
  </conditionalFormatting>
  <conditionalFormatting sqref="AC12:AC13 R12:R13 AC61 R61:R70 R16:R22 AC16:AC22 R73 AC5:AC9 R5:R9 R25:R48 AC25:AC48 AC51:AC58 R51:R58">
    <cfRule type="cellIs" dxfId="806" priority="62" operator="lessThan">
      <formula>0.8</formula>
    </cfRule>
  </conditionalFormatting>
  <conditionalFormatting sqref="AC43">
    <cfRule type="cellIs" dxfId="805" priority="64" operator="lessThan">
      <formula>0.8</formula>
    </cfRule>
  </conditionalFormatting>
  <conditionalFormatting sqref="AC17:AC22">
    <cfRule type="cellIs" dxfId="804" priority="61" operator="lessThan">
      <formula>0.8</formula>
    </cfRule>
  </conditionalFormatting>
  <conditionalFormatting sqref="AC26">
    <cfRule type="cellIs" dxfId="803" priority="63" operator="lessThan">
      <formula>0.8</formula>
    </cfRule>
  </conditionalFormatting>
  <conditionalFormatting sqref="AC35:AC41">
    <cfRule type="cellIs" dxfId="802" priority="59" operator="lessThan">
      <formula>0.8</formula>
    </cfRule>
  </conditionalFormatting>
  <conditionalFormatting sqref="AA64">
    <cfRule type="cellIs" dxfId="801" priority="55" operator="lessThan">
      <formula>0</formula>
    </cfRule>
  </conditionalFormatting>
  <conditionalFormatting sqref="AB64">
    <cfRule type="cellIs" dxfId="800" priority="53" operator="greaterThan">
      <formula>1</formula>
    </cfRule>
    <cfRule type="cellIs" dxfId="799" priority="54" operator="lessThan">
      <formula>0.8</formula>
    </cfRule>
  </conditionalFormatting>
  <conditionalFormatting sqref="O14:O15">
    <cfRule type="cellIs" dxfId="798" priority="48" operator="greaterThan">
      <formula>0</formula>
    </cfRule>
  </conditionalFormatting>
  <conditionalFormatting sqref="P14:P15">
    <cfRule type="cellIs" dxfId="797" priority="51" operator="lessThan">
      <formula>0</formula>
    </cfRule>
  </conditionalFormatting>
  <conditionalFormatting sqref="Q14:Q15">
    <cfRule type="cellIs" dxfId="796" priority="49" operator="greaterThan">
      <formula>1</formula>
    </cfRule>
    <cfRule type="cellIs" dxfId="795" priority="50" operator="lessThan">
      <formula>0.8</formula>
    </cfRule>
  </conditionalFormatting>
  <conditionalFormatting sqref="R14:R15 AC14:AC15">
    <cfRule type="cellIs" dxfId="794" priority="52" operator="lessThan">
      <formula>0.8</formula>
    </cfRule>
  </conditionalFormatting>
  <conditionalFormatting sqref="O10">
    <cfRule type="cellIs" dxfId="793" priority="44" operator="greaterThan">
      <formula>0</formula>
    </cfRule>
  </conditionalFormatting>
  <conditionalFormatting sqref="P10">
    <cfRule type="cellIs" dxfId="792" priority="47" operator="lessThan">
      <formula>0</formula>
    </cfRule>
  </conditionalFormatting>
  <conditionalFormatting sqref="Q10">
    <cfRule type="cellIs" dxfId="791" priority="45" operator="greaterThan">
      <formula>1</formula>
    </cfRule>
    <cfRule type="cellIs" dxfId="790" priority="46" operator="lessThan">
      <formula>0.8</formula>
    </cfRule>
  </conditionalFormatting>
  <conditionalFormatting sqref="AC24 R24">
    <cfRule type="cellIs" dxfId="789" priority="43" operator="lessThan">
      <formula>0.8</formula>
    </cfRule>
  </conditionalFormatting>
  <conditionalFormatting sqref="O60">
    <cfRule type="cellIs" dxfId="788" priority="38" operator="greaterThan">
      <formula>0</formula>
    </cfRule>
  </conditionalFormatting>
  <conditionalFormatting sqref="P60 AA60">
    <cfRule type="cellIs" dxfId="787" priority="41" operator="lessThan">
      <formula>0</formula>
    </cfRule>
  </conditionalFormatting>
  <conditionalFormatting sqref="Q60 AB60">
    <cfRule type="cellIs" dxfId="786" priority="39" operator="greaterThan">
      <formula>1</formula>
    </cfRule>
    <cfRule type="cellIs" dxfId="785" priority="40" operator="lessThan">
      <formula>0.8</formula>
    </cfRule>
  </conditionalFormatting>
  <conditionalFormatting sqref="R60 AC60">
    <cfRule type="cellIs" dxfId="784" priority="42" operator="lessThan">
      <formula>0.8</formula>
    </cfRule>
  </conditionalFormatting>
  <conditionalFormatting sqref="O71">
    <cfRule type="cellIs" dxfId="783" priority="33" operator="greaterThan">
      <formula>0</formula>
    </cfRule>
  </conditionalFormatting>
  <conditionalFormatting sqref="P71">
    <cfRule type="cellIs" dxfId="782" priority="36" operator="lessThan">
      <formula>0</formula>
    </cfRule>
  </conditionalFormatting>
  <conditionalFormatting sqref="Q71">
    <cfRule type="cellIs" dxfId="781" priority="34" operator="greaterThan">
      <formula>1</formula>
    </cfRule>
    <cfRule type="cellIs" dxfId="780" priority="35" operator="lessThan">
      <formula>0.8</formula>
    </cfRule>
  </conditionalFormatting>
  <conditionalFormatting sqref="R71">
    <cfRule type="cellIs" dxfId="779" priority="37" operator="lessThan">
      <formula>0.8</formula>
    </cfRule>
  </conditionalFormatting>
  <conditionalFormatting sqref="O49">
    <cfRule type="cellIs" dxfId="778" priority="27" operator="greaterThan">
      <formula>0</formula>
    </cfRule>
  </conditionalFormatting>
  <conditionalFormatting sqref="P49">
    <cfRule type="cellIs" dxfId="777" priority="31" operator="lessThan">
      <formula>0</formula>
    </cfRule>
  </conditionalFormatting>
  <conditionalFormatting sqref="Q49">
    <cfRule type="cellIs" dxfId="776" priority="28" operator="greaterThan">
      <formula>1</formula>
    </cfRule>
    <cfRule type="cellIs" dxfId="775" priority="29" operator="lessThan">
      <formula>0.8</formula>
    </cfRule>
  </conditionalFormatting>
  <conditionalFormatting sqref="R49 AC49">
    <cfRule type="cellIs" dxfId="774" priority="32" operator="lessThan">
      <formula>0.8</formula>
    </cfRule>
  </conditionalFormatting>
  <conditionalFormatting sqref="AC49">
    <cfRule type="cellIs" dxfId="773" priority="30" operator="lessThan">
      <formula>0.8</formula>
    </cfRule>
  </conditionalFormatting>
  <conditionalFormatting sqref="O50">
    <cfRule type="cellIs" dxfId="772" priority="21" operator="greaterThan">
      <formula>0</formula>
    </cfRule>
  </conditionalFormatting>
  <conditionalFormatting sqref="P50">
    <cfRule type="cellIs" dxfId="771" priority="25" operator="lessThan">
      <formula>0</formula>
    </cfRule>
  </conditionalFormatting>
  <conditionalFormatting sqref="Q50">
    <cfRule type="cellIs" dxfId="770" priority="22" operator="greaterThan">
      <formula>1</formula>
    </cfRule>
    <cfRule type="cellIs" dxfId="769" priority="23" operator="lessThan">
      <formula>0.8</formula>
    </cfRule>
  </conditionalFormatting>
  <conditionalFormatting sqref="R50 AC50">
    <cfRule type="cellIs" dxfId="768" priority="26" operator="lessThan">
      <formula>0.8</formula>
    </cfRule>
  </conditionalFormatting>
  <conditionalFormatting sqref="AC50">
    <cfRule type="cellIs" dxfId="767" priority="24" operator="lessThan">
      <formula>0.8</formula>
    </cfRule>
  </conditionalFormatting>
  <conditionalFormatting sqref="R23 AC23">
    <cfRule type="cellIs" dxfId="766" priority="20" operator="lessThan">
      <formula>0.8</formula>
    </cfRule>
  </conditionalFormatting>
  <conditionalFormatting sqref="AC23">
    <cfRule type="cellIs" dxfId="765" priority="19" operator="lessThan">
      <formula>0.8</formula>
    </cfRule>
  </conditionalFormatting>
  <conditionalFormatting sqref="O59">
    <cfRule type="cellIs" dxfId="764" priority="14" operator="greaterThan">
      <formula>0</formula>
    </cfRule>
  </conditionalFormatting>
  <conditionalFormatting sqref="P59 AA59">
    <cfRule type="cellIs" dxfId="763" priority="17" operator="lessThan">
      <formula>0</formula>
    </cfRule>
  </conditionalFormatting>
  <conditionalFormatting sqref="Q59 AB59">
    <cfRule type="cellIs" dxfId="762" priority="15" operator="greaterThan">
      <formula>1</formula>
    </cfRule>
    <cfRule type="cellIs" dxfId="761" priority="16" operator="lessThan">
      <formula>0.8</formula>
    </cfRule>
  </conditionalFormatting>
  <conditionalFormatting sqref="R59 AC59">
    <cfRule type="cellIs" dxfId="760" priority="18" operator="lessThan">
      <formula>0.8</formula>
    </cfRule>
  </conditionalFormatting>
  <conditionalFormatting sqref="P8">
    <cfRule type="cellIs" dxfId="759" priority="13" operator="lessThan">
      <formula>0</formula>
    </cfRule>
  </conditionalFormatting>
  <conditionalFormatting sqref="P16">
    <cfRule type="cellIs" dxfId="758" priority="12" operator="lessThan">
      <formula>0</formula>
    </cfRule>
  </conditionalFormatting>
  <conditionalFormatting sqref="P25">
    <cfRule type="cellIs" dxfId="757" priority="11" operator="lessThan">
      <formula>0</formula>
    </cfRule>
  </conditionalFormatting>
  <conditionalFormatting sqref="P34">
    <cfRule type="cellIs" dxfId="756" priority="10" operator="lessThan">
      <formula>0</formula>
    </cfRule>
  </conditionalFormatting>
  <conditionalFormatting sqref="P51">
    <cfRule type="cellIs" dxfId="755" priority="9" operator="lessThan">
      <formula>0</formula>
    </cfRule>
  </conditionalFormatting>
  <conditionalFormatting sqref="P57">
    <cfRule type="cellIs" dxfId="754" priority="8" operator="lessThan">
      <formula>0</formula>
    </cfRule>
  </conditionalFormatting>
  <conditionalFormatting sqref="P64">
    <cfRule type="cellIs" dxfId="753" priority="7" operator="lessThan">
      <formula>0</formula>
    </cfRule>
  </conditionalFormatting>
  <conditionalFormatting sqref="P73">
    <cfRule type="cellIs" dxfId="752" priority="6" operator="lessThan">
      <formula>0</formula>
    </cfRule>
  </conditionalFormatting>
  <conditionalFormatting sqref="O72">
    <cfRule type="cellIs" dxfId="751" priority="1" operator="greaterThan">
      <formula>0</formula>
    </cfRule>
  </conditionalFormatting>
  <conditionalFormatting sqref="P72">
    <cfRule type="cellIs" dxfId="750" priority="4" operator="lessThan">
      <formula>0</formula>
    </cfRule>
  </conditionalFormatting>
  <conditionalFormatting sqref="Q72">
    <cfRule type="cellIs" dxfId="749" priority="2" operator="greaterThan">
      <formula>1</formula>
    </cfRule>
    <cfRule type="cellIs" dxfId="748" priority="3" operator="lessThan">
      <formula>0.8</formula>
    </cfRule>
  </conditionalFormatting>
  <conditionalFormatting sqref="R72">
    <cfRule type="cellIs" dxfId="747" priority="5" operator="lessThan">
      <formula>0.8</formula>
    </cfRule>
  </conditionalFormatting>
  <dataValidations count="1">
    <dataValidation type="list" allowBlank="1" showInputMessage="1" showErrorMessage="1" sqref="Z8 Z62:Z63 Y5:Z7 Y8:Y63 Z10:Z58 Y64:Z73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="85" zoomScaleNormal="85" workbookViewId="0">
      <selection activeCell="F9" sqref="F9"/>
    </sheetView>
  </sheetViews>
  <sheetFormatPr defaultColWidth="8.75" defaultRowHeight="15.75"/>
  <cols>
    <col min="1" max="1" width="8.75" style="2"/>
    <col min="2" max="2" width="17.875" style="2" customWidth="1"/>
    <col min="3" max="3" width="9.25" style="9" customWidth="1"/>
    <col min="4" max="13" width="12.625" style="2" customWidth="1"/>
    <col min="14" max="14" width="11" style="2" bestFit="1" customWidth="1"/>
    <col min="15" max="15" width="17.75" style="2" bestFit="1" customWidth="1"/>
    <col min="16" max="16" width="12.25" style="2" bestFit="1" customWidth="1"/>
    <col min="17" max="22" width="9.25" style="2" customWidth="1"/>
    <col min="23" max="23" width="10.75" style="2" customWidth="1"/>
    <col min="24" max="24" width="11" style="2" customWidth="1"/>
    <col min="25" max="16384" width="8.75" style="2"/>
  </cols>
  <sheetData>
    <row r="1" spans="2:17" ht="27.75" customHeight="1">
      <c r="B1" s="546" t="s">
        <v>660</v>
      </c>
      <c r="C1" s="546"/>
      <c r="D1" s="546"/>
      <c r="E1" s="546"/>
      <c r="F1" s="546"/>
      <c r="G1" s="546"/>
      <c r="H1" s="546"/>
      <c r="I1" s="546"/>
      <c r="J1" s="546"/>
      <c r="K1" s="1"/>
      <c r="L1" s="1"/>
      <c r="M1" s="1"/>
      <c r="N1" s="1"/>
      <c r="O1" s="1"/>
      <c r="P1" s="1"/>
    </row>
    <row r="2" spans="2:17" ht="27.75" customHeight="1">
      <c r="B2" s="547"/>
      <c r="C2" s="547"/>
      <c r="D2" s="547"/>
      <c r="E2" s="547"/>
      <c r="F2" s="547"/>
      <c r="G2" s="547"/>
      <c r="H2" s="547"/>
      <c r="I2" s="547"/>
      <c r="J2" s="547"/>
      <c r="K2" s="3"/>
      <c r="L2" s="3"/>
      <c r="M2" s="3"/>
      <c r="N2" s="1"/>
      <c r="O2" s="1"/>
      <c r="P2" s="1"/>
    </row>
    <row r="3" spans="2:17" ht="46.5" customHeight="1">
      <c r="B3" s="4" t="s">
        <v>661</v>
      </c>
      <c r="C3" s="548" t="str">
        <f>TEXT('1210 4度C'!A2,"yyyy.mm.ddaaaa")</f>
        <v>2025.12.10星期三</v>
      </c>
      <c r="D3" s="549"/>
      <c r="E3" s="4" t="s">
        <v>662</v>
      </c>
      <c r="F3" s="550">
        <f>'1210 4度C'!D1</f>
        <v>183999</v>
      </c>
      <c r="G3" s="551"/>
      <c r="H3" s="4" t="s">
        <v>663</v>
      </c>
      <c r="I3" s="552">
        <f>'1210 4度C'!F1</f>
        <v>6107481.2400000012</v>
      </c>
      <c r="J3" s="553"/>
      <c r="K3" s="5"/>
      <c r="L3" s="6"/>
      <c r="M3" s="7"/>
      <c r="N3" s="7"/>
    </row>
    <row r="4" spans="2:17" ht="28.5" customHeight="1">
      <c r="B4" s="554" t="s">
        <v>664</v>
      </c>
      <c r="C4" s="536" t="s">
        <v>665</v>
      </c>
      <c r="D4" s="537"/>
      <c r="E4" s="557" t="s">
        <v>666</v>
      </c>
      <c r="F4" s="558"/>
      <c r="G4" s="557" t="s">
        <v>667</v>
      </c>
      <c r="H4" s="558"/>
      <c r="I4" s="557" t="s">
        <v>668</v>
      </c>
      <c r="J4" s="558"/>
      <c r="L4" s="7"/>
      <c r="M4" s="7"/>
      <c r="N4" s="7"/>
    </row>
    <row r="5" spans="2:17" ht="28.5" customHeight="1">
      <c r="B5" s="555"/>
      <c r="C5" s="536" t="s">
        <v>669</v>
      </c>
      <c r="D5" s="537"/>
      <c r="E5" s="536" t="s">
        <v>670</v>
      </c>
      <c r="F5" s="537"/>
      <c r="G5" s="538" t="s">
        <v>671</v>
      </c>
      <c r="H5" s="539"/>
      <c r="I5" s="540" t="s">
        <v>672</v>
      </c>
      <c r="J5" s="541"/>
      <c r="K5" s="7"/>
      <c r="L5" s="7"/>
      <c r="M5" s="7"/>
      <c r="N5" s="7"/>
    </row>
    <row r="6" spans="2:17" ht="28.5" customHeight="1">
      <c r="B6" s="555"/>
      <c r="C6" s="536" t="s">
        <v>46</v>
      </c>
      <c r="D6" s="537"/>
      <c r="E6" s="542">
        <f>AVERAGE(D13:M13)</f>
        <v>149.92054338909318</v>
      </c>
      <c r="F6" s="543">
        <f>AVERAGE(D27:O27,D13:J13)</f>
        <v>153.70463436640895</v>
      </c>
      <c r="G6" s="544">
        <f>AVERAGE(D13:J13)</f>
        <v>153.70463436640895</v>
      </c>
      <c r="H6" s="545"/>
      <c r="I6" s="544">
        <f>AVERAGE(K13:M13)</f>
        <v>141.09099777535633</v>
      </c>
      <c r="J6" s="545"/>
      <c r="K6" s="7"/>
      <c r="L6" s="7"/>
      <c r="M6" s="7"/>
      <c r="N6" s="7"/>
    </row>
    <row r="7" spans="2:17" ht="28.5" customHeight="1">
      <c r="B7" s="555"/>
      <c r="C7" s="526" t="s">
        <v>47</v>
      </c>
      <c r="D7" s="527"/>
      <c r="E7" s="528">
        <f>AVERAGE(D14:M14)</f>
        <v>143.60897686265929</v>
      </c>
      <c r="F7" s="529">
        <f>AVERAGE(D28:O28,D14:J14)</f>
        <v>147.26597354927921</v>
      </c>
      <c r="G7" s="530">
        <f>AVERAGE(D14:J14)</f>
        <v>147.26597354927921</v>
      </c>
      <c r="H7" s="531"/>
      <c r="I7" s="530">
        <f>AVERAGE(K14:M14)</f>
        <v>135.07598459387947</v>
      </c>
      <c r="J7" s="531"/>
      <c r="K7" s="7"/>
      <c r="L7" s="7"/>
      <c r="M7" s="7"/>
      <c r="N7" s="7"/>
    </row>
    <row r="8" spans="2:17" ht="28.5" customHeight="1">
      <c r="B8" s="556"/>
      <c r="C8" s="526" t="s">
        <v>48</v>
      </c>
      <c r="D8" s="527"/>
      <c r="E8" s="532">
        <f>AVERAGE(D15:M15)</f>
        <v>0.95777323196755904</v>
      </c>
      <c r="F8" s="533">
        <f>AVERAGE(D15:J15,D29:O29)</f>
        <v>0.95793500673555176</v>
      </c>
      <c r="G8" s="534">
        <f>AVERAGE(D15:J15)</f>
        <v>0.95793500673555176</v>
      </c>
      <c r="H8" s="535"/>
      <c r="I8" s="534">
        <f>AVERAGE(K15:M15)</f>
        <v>0.95739575750890937</v>
      </c>
      <c r="J8" s="535"/>
      <c r="K8" s="8" t="s">
        <v>673</v>
      </c>
      <c r="L8" s="7"/>
      <c r="M8" s="7"/>
      <c r="N8" s="7"/>
    </row>
    <row r="9" spans="2:17" ht="28.5" customHeight="1" thickBot="1">
      <c r="H9" s="10"/>
      <c r="N9" s="7"/>
      <c r="O9" s="7"/>
      <c r="P9" s="7"/>
      <c r="Q9" s="7"/>
    </row>
    <row r="10" spans="2:17" ht="30" customHeight="1">
      <c r="B10" s="509" t="s">
        <v>674</v>
      </c>
      <c r="C10" s="510"/>
      <c r="D10" s="511" t="s">
        <v>263</v>
      </c>
      <c r="E10" s="512"/>
      <c r="F10" s="512"/>
      <c r="G10" s="512"/>
      <c r="H10" s="512"/>
      <c r="I10" s="512"/>
      <c r="J10" s="513"/>
      <c r="K10" s="514" t="s">
        <v>675</v>
      </c>
      <c r="L10" s="515"/>
      <c r="M10" s="516"/>
      <c r="P10" s="11"/>
      <c r="Q10" s="11"/>
    </row>
    <row r="11" spans="2:17" ht="17.25" customHeight="1">
      <c r="B11" s="517" t="s">
        <v>676</v>
      </c>
      <c r="C11" s="518"/>
      <c r="D11" s="12">
        <v>1</v>
      </c>
      <c r="E11" s="13">
        <v>2</v>
      </c>
      <c r="F11" s="13">
        <v>3</v>
      </c>
      <c r="G11" s="13">
        <v>4</v>
      </c>
      <c r="H11" s="13">
        <v>5</v>
      </c>
      <c r="I11" s="13">
        <v>6</v>
      </c>
      <c r="J11" s="14">
        <v>7</v>
      </c>
      <c r="K11" s="12">
        <v>1</v>
      </c>
      <c r="L11" s="13">
        <v>2</v>
      </c>
      <c r="M11" s="14">
        <v>3</v>
      </c>
      <c r="P11" s="11"/>
      <c r="Q11" s="11"/>
    </row>
    <row r="12" spans="2:17" ht="34.15" customHeight="1">
      <c r="B12" s="519"/>
      <c r="C12" s="520"/>
      <c r="D12" s="15" t="s">
        <v>49</v>
      </c>
      <c r="E12" s="16" t="s">
        <v>50</v>
      </c>
      <c r="F12" s="16" t="s">
        <v>51</v>
      </c>
      <c r="G12" s="16" t="s">
        <v>52</v>
      </c>
      <c r="H12" s="16" t="s">
        <v>53</v>
      </c>
      <c r="I12" s="16" t="s">
        <v>54</v>
      </c>
      <c r="J12" s="17" t="s">
        <v>55</v>
      </c>
      <c r="K12" s="15" t="s">
        <v>56</v>
      </c>
      <c r="L12" s="16" t="s">
        <v>57</v>
      </c>
      <c r="M12" s="17" t="s">
        <v>58</v>
      </c>
    </row>
    <row r="13" spans="2:17" ht="40.15" customHeight="1">
      <c r="B13" s="521" t="s">
        <v>677</v>
      </c>
      <c r="C13" s="18" t="s">
        <v>678</v>
      </c>
      <c r="D13" s="19">
        <f>SUMIFS('1210 4度C'!$K:$K,'1210 4度C'!$A:$A,"新豐6線",'1210 4度C'!$B:$B,"平均")</f>
        <v>137.93103448275863</v>
      </c>
      <c r="E13" s="20">
        <f>SUMIFS('1210 4度C'!$K:$K,'1210 4度C'!$A:$A,"新豐2線",'1210 4度C'!$B:$B,"平均")</f>
        <v>83.333333333333329</v>
      </c>
      <c r="F13" s="21">
        <f>SUMIFS('1210 4度C'!$K:$K,'1210 4度C'!$A:$A,"新豐5線",'1210 4度C'!$B:$B,"平均")</f>
        <v>93.333333333333329</v>
      </c>
      <c r="G13" s="21">
        <f>SUMIFS('1210 4度C'!$K:$K,'1210 4度C'!$A:$A,"新豐7線",'1210 4度C'!$B:$B,"平均")</f>
        <v>118.32061068702291</v>
      </c>
      <c r="H13" s="21">
        <f>SUMIFS('1210 4度C'!$K:$K,'1210 4度C'!$A:$A,"新豐3線",'1210 4度C'!$B:$B,"平均")</f>
        <v>230.76923076923077</v>
      </c>
      <c r="I13" s="21">
        <f>SUMIFS('1210 4度C'!$K:$K,'1210 4度C'!$A:$A,"新豐1線",'1210 4度C'!$B:$B,"平均")</f>
        <v>112.24489795918367</v>
      </c>
      <c r="J13" s="22">
        <f>SUMIFS('1210 4度C'!$K:$K,'1210 4度C'!$A:$A,"新豐10線",'1210 4度C'!$B:$B,"平均")</f>
        <v>300</v>
      </c>
      <c r="K13" s="23">
        <f>SUMIFS('1210 4度C'!$K:$K,'1210 4度C'!$A:$A,"新豐8線",'1210 4度C'!$B:$B,"平均")</f>
        <v>134.1614906832298</v>
      </c>
      <c r="L13" s="24">
        <f>SUMIFS('1210 4度C'!$K:$K,'1210 4度C'!$A:$A,"新豐9線",'1210 4度C'!$B:$B,"平均")</f>
        <v>140.14598540145985</v>
      </c>
      <c r="M13" s="22">
        <f>SUMIFS('1210 4度C'!$K:$K,'1210 4度C'!$A:$A,"新豐4線",'1210 4度C'!$B:$B,"平均")</f>
        <v>148.9655172413793</v>
      </c>
    </row>
    <row r="14" spans="2:17" ht="39.6" customHeight="1">
      <c r="B14" s="522"/>
      <c r="C14" s="25" t="s">
        <v>679</v>
      </c>
      <c r="D14" s="26">
        <f>SUMIFS('1210 4度C'!$N:$N,'1210 4度C'!$A:$A,"新豐6線",'1210 4度C'!$B:$B,"平均")</f>
        <v>132.77003042596343</v>
      </c>
      <c r="E14" s="27">
        <f>SUMIFS('1210 4度C'!$N:$N,'1210 4度C'!$A:$A,"新豐2線",'1210 4度C'!$B:$B,"平均")</f>
        <v>79.465875261591066</v>
      </c>
      <c r="F14" s="27">
        <f>SUMIFS('1210 4度C'!$N:$N,'1210 4度C'!$A:$A,"新豐5線",'1210 4度C'!$B:$B,"平均")</f>
        <v>89.30912025412799</v>
      </c>
      <c r="G14" s="27">
        <f>SUMIFS('1210 4度C'!$N:$N,'1210 4度C'!$A:$A,"新豐7線",'1210 4度C'!$B:$B,"平均")</f>
        <v>113.53735493703195</v>
      </c>
      <c r="H14" s="27">
        <f>SUMIFS('1210 4度C'!$N:$N,'1210 4度C'!$A:$A,"新豐3線",'1210 4度C'!$B:$B,"平均")</f>
        <v>220.85446390177668</v>
      </c>
      <c r="I14" s="27">
        <f>SUMIFS('1210 4度C'!$N:$N,'1210 4度C'!$A:$A,"新豐1線",'1210 4度C'!$B:$B,"平均")</f>
        <v>107.51221387872722</v>
      </c>
      <c r="J14" s="28">
        <f>SUMIFS('1210 4度C'!$N:$N,'1210 4度C'!$A:$A,"新豐10線",'1210 4度C'!$B:$B,"平均")</f>
        <v>287.41275618573627</v>
      </c>
      <c r="K14" s="29">
        <f>SUMIFS('1210 4度C'!$N:$N,'1210 4度C'!$A:$A,"新豐8線",'1210 4度C'!$B:$B,"平均")</f>
        <v>128.60070050141275</v>
      </c>
      <c r="L14" s="30">
        <f>SUMIFS('1210 4度C'!$N:$N,'1210 4度C'!$A:$A,"新豐9線",'1210 4度C'!$B:$B,"平均")</f>
        <v>134.09102248955034</v>
      </c>
      <c r="M14" s="28">
        <f>SUMIFS('1210 4度C'!$N:$N,'1210 4度C'!$A:$A,"新豐4線",'1210 4度C'!$B:$B,"平均")</f>
        <v>142.53623079067535</v>
      </c>
    </row>
    <row r="15" spans="2:17" ht="40.15" customHeight="1">
      <c r="B15" s="523"/>
      <c r="C15" s="31" t="s">
        <v>680</v>
      </c>
      <c r="D15" s="32">
        <f t="shared" ref="D15:M15" si="0">D14/D13</f>
        <v>0.9625827205882348</v>
      </c>
      <c r="E15" s="33">
        <f t="shared" si="0"/>
        <v>0.95359050313909288</v>
      </c>
      <c r="F15" s="33">
        <f t="shared" si="0"/>
        <v>0.95688343129422848</v>
      </c>
      <c r="G15" s="33">
        <f t="shared" si="0"/>
        <v>0.95957377398394739</v>
      </c>
      <c r="H15" s="33">
        <f t="shared" si="0"/>
        <v>0.95703601024103224</v>
      </c>
      <c r="I15" s="33">
        <f t="shared" si="0"/>
        <v>0.95783608728320613</v>
      </c>
      <c r="J15" s="34">
        <f t="shared" si="0"/>
        <v>0.95804252061912087</v>
      </c>
      <c r="K15" s="32">
        <f t="shared" si="0"/>
        <v>0.958551517626271</v>
      </c>
      <c r="L15" s="33">
        <f t="shared" si="0"/>
        <v>0.95679531672231233</v>
      </c>
      <c r="M15" s="34">
        <f t="shared" si="0"/>
        <v>0.95684043817814479</v>
      </c>
    </row>
    <row r="16" spans="2:17" ht="17.25" customHeight="1">
      <c r="B16" s="524" t="s">
        <v>681</v>
      </c>
      <c r="C16" s="35" t="s">
        <v>682</v>
      </c>
      <c r="D16" s="49">
        <f>VLOOKUP("新豐6線",'1210 4度C'!$A:$T,19,0)</f>
        <v>0.70833333333333337</v>
      </c>
      <c r="E16" s="50">
        <f>VLOOKUP("新豐2線",'1210 4度C'!$A:$T,19,0)</f>
        <v>0.16666666666666666</v>
      </c>
      <c r="F16" s="50">
        <f>VLOOKUP("新豐5線",'1210 4度C'!$A:$T,19,0)</f>
        <v>0.20833333333333334</v>
      </c>
      <c r="G16" s="50">
        <f>VLOOKUP("新豐7線",'1210 4度C'!$A:$T,19,0)</f>
        <v>0.20833333333333334</v>
      </c>
      <c r="H16" s="50">
        <f>VLOOKUP("新豐3線",'1210 4度C'!$A:$T,19,0)</f>
        <v>8.3333333333333329E-2</v>
      </c>
      <c r="I16" s="50">
        <f>VLOOKUP("新豐1線",'1210 4度C'!$A:$T,19,0)</f>
        <v>0.20833333333333334</v>
      </c>
      <c r="J16" s="51">
        <f>VLOOKUP("新豐10線",'1210 4度C'!$A:$T,19,0)</f>
        <v>0.20833333333333334</v>
      </c>
      <c r="K16" s="36">
        <f>VLOOKUP("新豐8線",'1210 4度C'!$A:$T,19,0)</f>
        <v>8.3333333333333329E-2</v>
      </c>
      <c r="L16" s="37">
        <f>VLOOKUP("新豐9線",'1210 4度C'!$A:$T,19,0)</f>
        <v>8.3333333333333329E-2</v>
      </c>
      <c r="M16" s="38">
        <f>VLOOKUP("新豐4線",'1210 4度C'!$A:$T,19,0)</f>
        <v>8.3333333333333329E-2</v>
      </c>
    </row>
    <row r="17" spans="2:13" ht="17.25" customHeight="1">
      <c r="B17" s="525"/>
      <c r="C17" s="35" t="s">
        <v>683</v>
      </c>
      <c r="D17" s="36">
        <f>LOOKUP(2,1/(('1210 4度C'!$A:$A="新豐6線")*('1210 4度C'!$T:$T&lt;&gt;"")),'1210 4度C'!$T:$T)</f>
        <v>0.89513888888888893</v>
      </c>
      <c r="E17" s="50">
        <f>LOOKUP(2,1/(('1210 4度C'!$A:$A="新豐2線")*('1210 4度C'!$T:$T&lt;&gt;"")),'1210 4度C'!$T:$T)</f>
        <v>0.48819444444444443</v>
      </c>
      <c r="F17" s="50">
        <f>LOOKUP(2,1/(('1210 4度C'!$A:$A="新豐5線")*('1210 4度C'!$T:$T&lt;&gt;"")),'1210 4度C'!$T:$T)</f>
        <v>0.81875000000000009</v>
      </c>
      <c r="G17" s="50">
        <f>LOOKUP(2,1/(('1210 4度C'!$A:$A="新豐7線")*('1210 4度C'!$T:$T&lt;&gt;"")),'1210 4度C'!$T:$T)</f>
        <v>0.84305555555555556</v>
      </c>
      <c r="H17" s="50">
        <f>LOOKUP(2,1/(('1210 4度C'!$A:$A="新豐3線")*('1210 4度C'!$T:$T&lt;&gt;"")),'1210 4度C'!$T:$T)</f>
        <v>0.70486111111111094</v>
      </c>
      <c r="I17" s="50">
        <f>LOOKUP(2,1/(('1210 4度C'!$A:$A="新豐1線")*('1210 4度C'!$T:$T&lt;&gt;"")),'1210 4度C'!$T:$T)</f>
        <v>0.91041666666666665</v>
      </c>
      <c r="J17" s="51">
        <f>LOOKUP(2,1/(('1210 4度C'!$A:$A="新豐10線")*('1210 4度C'!$T:$T&lt;&gt;"")),'1210 4度C'!$T:$T)</f>
        <v>0.49236111111111103</v>
      </c>
      <c r="K17" s="49">
        <f>LOOKUP(2,1/(('1210 4度C'!$A:$A="新豐8線")*('1210 4度C'!$T:$T&lt;&gt;"")),'1210 4度C'!$T:$T)</f>
        <v>0.73749999999999982</v>
      </c>
      <c r="L17" s="50">
        <f>LOOKUP(2,1/(('1210 4度C'!$A:$A="新豐9線")*('1210 4度C'!$T:$T&lt;&gt;"")),'1210 4度C'!$T:$T)</f>
        <v>0.70902777777777759</v>
      </c>
      <c r="M17" s="51">
        <f>LOOKUP(2,1/(('1210 4度C'!$A:$A="新豐4線")*('1210 4度C'!$T:$T&lt;&gt;"")),'1210 4度C'!$T:$T)</f>
        <v>0.64999999999999991</v>
      </c>
    </row>
    <row r="18" spans="2:13" ht="17.25" customHeight="1">
      <c r="B18" s="503" t="s">
        <v>684</v>
      </c>
      <c r="C18" s="504"/>
      <c r="D18" s="39">
        <f>SUMIFS('1210 4度C'!$I:$I,'1210 4度C'!$A:$A,"新豐6線",'1210 4度C'!$B:$B,"平均")</f>
        <v>14.5</v>
      </c>
      <c r="E18" s="40">
        <f>SUMIFS('1210 4度C'!$I:$I,'1210 4度C'!$A:$A,"新豐2線",'1210 4度C'!$B:$B,"平均")</f>
        <v>18</v>
      </c>
      <c r="F18" s="40">
        <f>SUMIFS('1210 4度C'!$I:$I,'1210 4度C'!$A:$A,"新豐5線",'1210 4度C'!$B:$B,"平均")</f>
        <v>18.75</v>
      </c>
      <c r="G18" s="40">
        <f>SUMIFS('1210 4度C'!$I:$I,'1210 4度C'!$A:$A,"新豐7線",'1210 4度C'!$B:$B,"平均")</f>
        <v>16.375</v>
      </c>
      <c r="H18" s="40">
        <f>SUMIFS('1210 4度C'!$I:$I,'1210 4度C'!$A:$A,"新豐3線",'1210 4度C'!$B:$B,"平均")</f>
        <v>11.555555555555555</v>
      </c>
      <c r="I18" s="40">
        <f>SUMIFS('1210 4度C'!$I:$I,'1210 4度C'!$A:$A,"新豐1線",'1210 4度C'!$B:$B,"平均")</f>
        <v>16.333333333333332</v>
      </c>
      <c r="J18" s="41">
        <f>SUMIFS('1210 4度C'!$I:$I,'1210 4度C'!$A:$A,"新豐10線",'1210 4度C'!$B:$B,"平均")</f>
        <v>9.1666666666666661</v>
      </c>
      <c r="K18" s="39">
        <f>SUMIFS('1210 4度C'!$I:$I,'1210 4度C'!$A:$A,"新豐8線",'1210 4度C'!$B:$B,"平均")</f>
        <v>17.888888888888889</v>
      </c>
      <c r="L18" s="40">
        <f>SUMIFS('1210 4度C'!$I:$I,'1210 4度C'!$A:$A,"新豐9線",'1210 4度C'!$B:$B,"平均")</f>
        <v>17.125</v>
      </c>
      <c r="M18" s="41">
        <f>SUMIFS('1210 4度C'!$I:$I,'1210 4度C'!$A:$A,"新豐4線",'1210 4度C'!$B:$B,"平均")</f>
        <v>16.111111111111111</v>
      </c>
    </row>
    <row r="19" spans="2:13" ht="17.25" customHeight="1">
      <c r="B19" s="503" t="s">
        <v>685</v>
      </c>
      <c r="C19" s="504"/>
      <c r="D19" s="42" t="s">
        <v>59</v>
      </c>
      <c r="E19" s="43" t="s">
        <v>60</v>
      </c>
      <c r="F19" s="43" t="s">
        <v>686</v>
      </c>
      <c r="G19" s="43" t="s">
        <v>62</v>
      </c>
      <c r="H19" s="43" t="s">
        <v>61</v>
      </c>
      <c r="I19" s="43" t="s">
        <v>59</v>
      </c>
      <c r="J19" s="44" t="s">
        <v>61</v>
      </c>
      <c r="K19" s="42" t="s">
        <v>687</v>
      </c>
      <c r="L19" s="43" t="s">
        <v>687</v>
      </c>
      <c r="M19" s="44" t="s">
        <v>195</v>
      </c>
    </row>
    <row r="20" spans="2:13" ht="17.25" customHeight="1">
      <c r="B20" s="503" t="s">
        <v>688</v>
      </c>
      <c r="C20" s="504"/>
      <c r="D20" s="42"/>
      <c r="E20" s="43"/>
      <c r="F20" s="43" t="s">
        <v>689</v>
      </c>
      <c r="G20" s="43" t="s">
        <v>59</v>
      </c>
      <c r="H20" s="43"/>
      <c r="I20" s="43"/>
      <c r="J20" s="44"/>
      <c r="K20" s="42"/>
      <c r="L20" s="43"/>
      <c r="M20" s="44"/>
    </row>
    <row r="21" spans="2:13" ht="17.25" customHeight="1" thickBot="1">
      <c r="B21" s="505" t="s">
        <v>690</v>
      </c>
      <c r="C21" s="506"/>
      <c r="D21" s="45"/>
      <c r="E21" s="46" t="s">
        <v>691</v>
      </c>
      <c r="F21" s="507" t="s">
        <v>282</v>
      </c>
      <c r="G21" s="508"/>
      <c r="H21" s="46" t="s">
        <v>692</v>
      </c>
      <c r="I21" s="46" t="s">
        <v>693</v>
      </c>
      <c r="J21" s="47" t="s">
        <v>75</v>
      </c>
      <c r="K21" s="48"/>
      <c r="L21" s="46"/>
      <c r="M21" s="4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20:C20"/>
    <mergeCell ref="B21:C21"/>
    <mergeCell ref="F21:G21"/>
    <mergeCell ref="K10:M10"/>
    <mergeCell ref="B11:C12"/>
    <mergeCell ref="B13:B15"/>
    <mergeCell ref="B18:C18"/>
    <mergeCell ref="B19:C19"/>
  </mergeCells>
  <phoneticPr fontId="3" type="noConversion"/>
  <conditionalFormatting sqref="D15:M15">
    <cfRule type="cellIs" dxfId="746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C80"/>
  <sheetViews>
    <sheetView zoomScale="80" zoomScaleNormal="80" workbookViewId="0">
      <pane ySplit="4" topLeftCell="A59" activePane="bottomLeft" state="frozen"/>
      <selection activeCell="F9" sqref="F9"/>
      <selection pane="bottomLeft" activeCell="F9" sqref="F9"/>
    </sheetView>
  </sheetViews>
  <sheetFormatPr defaultColWidth="8" defaultRowHeight="15.75"/>
  <cols>
    <col min="1" max="1" width="15.125" style="54" customWidth="1"/>
    <col min="2" max="2" width="19.375" style="54" customWidth="1"/>
    <col min="3" max="3" width="15.25" style="54" customWidth="1"/>
    <col min="4" max="4" width="17.5" style="54" customWidth="1"/>
    <col min="5" max="5" width="7.5" style="54" bestFit="1" customWidth="1"/>
    <col min="6" max="6" width="14.375" style="54" bestFit="1" customWidth="1"/>
    <col min="7" max="7" width="14.375" style="54" customWidth="1"/>
    <col min="8" max="8" width="8" style="54" customWidth="1"/>
    <col min="9" max="9" width="5.875" style="54" customWidth="1"/>
    <col min="10" max="10" width="10.625" style="54" customWidth="1"/>
    <col min="11" max="11" width="14.625" style="54" customWidth="1"/>
    <col min="12" max="12" width="7.25" style="54" bestFit="1" customWidth="1"/>
    <col min="13" max="13" width="8" style="54" customWidth="1"/>
    <col min="14" max="14" width="12" style="54" customWidth="1"/>
    <col min="15" max="15" width="6" style="54" customWidth="1"/>
    <col min="16" max="16" width="9.25" style="54" customWidth="1"/>
    <col min="17" max="17" width="11.5" style="54" customWidth="1"/>
    <col min="18" max="18" width="8.5" style="54" customWidth="1"/>
    <col min="19" max="19" width="10.125" style="54" bestFit="1" customWidth="1"/>
    <col min="20" max="20" width="7.625" style="54" bestFit="1" customWidth="1"/>
    <col min="21" max="21" width="10.25" style="54" bestFit="1" customWidth="1"/>
    <col min="22" max="22" width="8.75" style="71" customWidth="1"/>
    <col min="23" max="23" width="7.375" style="54" customWidth="1"/>
    <col min="24" max="24" width="6.875" style="54" bestFit="1" customWidth="1"/>
    <col min="25" max="25" width="12.75" style="54" customWidth="1"/>
    <col min="26" max="26" width="18.875" style="54" customWidth="1"/>
    <col min="27" max="27" width="13.125" style="54" bestFit="1" customWidth="1"/>
    <col min="28" max="28" width="10.375" style="54" customWidth="1"/>
    <col min="29" max="29" width="9.375" style="54" customWidth="1"/>
    <col min="30" max="30" width="8" style="54"/>
    <col min="31" max="31" width="24.625" style="54" bestFit="1" customWidth="1"/>
    <col min="32" max="16384" width="8" style="54"/>
  </cols>
  <sheetData>
    <row r="1" spans="1:29" ht="26.25" customHeight="1">
      <c r="A1" s="52" t="s">
        <v>694</v>
      </c>
      <c r="B1" s="52"/>
      <c r="C1" s="117" t="s">
        <v>203</v>
      </c>
      <c r="D1" s="118">
        <f>SUM(F5:F79)</f>
        <v>183999</v>
      </c>
      <c r="E1" s="187" t="s">
        <v>695</v>
      </c>
      <c r="F1" s="52">
        <f>SUM(G5:G79)</f>
        <v>6107481.2400000012</v>
      </c>
      <c r="G1" s="52" t="s">
        <v>696</v>
      </c>
      <c r="H1" s="53">
        <f>L9+L12+L55+L62+L17+L69+L36+L45+L26+L79</f>
        <v>155.80555555555557</v>
      </c>
      <c r="I1" s="607" t="s">
        <v>697</v>
      </c>
      <c r="J1" s="607"/>
      <c r="K1" s="607"/>
      <c r="L1" s="607" t="s">
        <v>698</v>
      </c>
      <c r="M1" s="607"/>
      <c r="N1" s="607"/>
      <c r="O1" s="607" t="s">
        <v>699</v>
      </c>
      <c r="P1" s="607"/>
      <c r="Q1" s="607"/>
      <c r="R1" s="607"/>
      <c r="S1" s="607" t="s">
        <v>700</v>
      </c>
      <c r="T1" s="607"/>
      <c r="U1" s="607"/>
      <c r="V1" s="607"/>
      <c r="W1" s="607"/>
      <c r="X1" s="607"/>
      <c r="Y1" s="607" t="s">
        <v>701</v>
      </c>
      <c r="Z1" s="607"/>
      <c r="AA1" s="607" t="s">
        <v>110</v>
      </c>
      <c r="AB1" s="608"/>
      <c r="AC1" s="608"/>
    </row>
    <row r="2" spans="1:29" ht="26.25" customHeight="1">
      <c r="A2" s="55">
        <v>46001</v>
      </c>
      <c r="B2" s="56" t="s">
        <v>295</v>
      </c>
      <c r="C2" s="117" t="s">
        <v>677</v>
      </c>
      <c r="D2" s="119">
        <f>AVERAGE(N9,N12,N55,N62,N17,N69,N26,N36,N45,N79)</f>
        <v>143.60897686265929</v>
      </c>
      <c r="E2" s="120" t="s">
        <v>0</v>
      </c>
      <c r="F2" s="121">
        <f>F1/D1</f>
        <v>33.19301322289796</v>
      </c>
      <c r="G2" s="52" t="s">
        <v>702</v>
      </c>
      <c r="H2" s="186">
        <f>COUNT(H5:H79)</f>
        <v>13</v>
      </c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8"/>
      <c r="AB2" s="608"/>
      <c r="AC2" s="608"/>
    </row>
    <row r="3" spans="1:29" ht="23.25" customHeight="1">
      <c r="A3" s="559" t="s">
        <v>703</v>
      </c>
      <c r="B3" s="559" t="s">
        <v>704</v>
      </c>
      <c r="C3" s="559" t="s">
        <v>705</v>
      </c>
      <c r="D3" s="559"/>
      <c r="E3" s="605" t="s">
        <v>706</v>
      </c>
      <c r="F3" s="559" t="s">
        <v>707</v>
      </c>
      <c r="G3" s="605" t="s">
        <v>708</v>
      </c>
      <c r="H3" s="598" t="s">
        <v>709</v>
      </c>
      <c r="I3" s="596" t="s">
        <v>710</v>
      </c>
      <c r="J3" s="601" t="s">
        <v>711</v>
      </c>
      <c r="K3" s="603" t="s">
        <v>677</v>
      </c>
      <c r="L3" s="596" t="s">
        <v>710</v>
      </c>
      <c r="M3" s="601" t="s">
        <v>711</v>
      </c>
      <c r="N3" s="603" t="s">
        <v>677</v>
      </c>
      <c r="O3" s="596" t="s">
        <v>710</v>
      </c>
      <c r="P3" s="603" t="s">
        <v>677</v>
      </c>
      <c r="Q3" s="602" t="s">
        <v>712</v>
      </c>
      <c r="R3" s="574" t="s">
        <v>713</v>
      </c>
      <c r="S3" s="559" t="s">
        <v>1</v>
      </c>
      <c r="T3" s="559"/>
      <c r="U3" s="598" t="s">
        <v>2</v>
      </c>
      <c r="V3" s="598" t="s">
        <v>714</v>
      </c>
      <c r="W3" s="559" t="s">
        <v>715</v>
      </c>
      <c r="X3" s="559"/>
      <c r="Y3" s="599" t="s">
        <v>716</v>
      </c>
      <c r="Z3" s="600"/>
      <c r="AA3" s="601" t="s">
        <v>717</v>
      </c>
      <c r="AB3" s="602" t="s">
        <v>718</v>
      </c>
      <c r="AC3" s="574" t="s">
        <v>719</v>
      </c>
    </row>
    <row r="4" spans="1:29">
      <c r="A4" s="559"/>
      <c r="B4" s="559"/>
      <c r="C4" s="559"/>
      <c r="D4" s="559"/>
      <c r="E4" s="606"/>
      <c r="F4" s="559"/>
      <c r="G4" s="606"/>
      <c r="H4" s="598"/>
      <c r="I4" s="596"/>
      <c r="J4" s="601"/>
      <c r="K4" s="603"/>
      <c r="L4" s="596"/>
      <c r="M4" s="601"/>
      <c r="N4" s="603"/>
      <c r="O4" s="596"/>
      <c r="P4" s="603"/>
      <c r="Q4" s="602"/>
      <c r="R4" s="574"/>
      <c r="S4" s="187" t="s">
        <v>3</v>
      </c>
      <c r="T4" s="187" t="s">
        <v>4</v>
      </c>
      <c r="U4" s="598"/>
      <c r="V4" s="598"/>
      <c r="W4" s="187" t="s">
        <v>720</v>
      </c>
      <c r="X4" s="187" t="s">
        <v>721</v>
      </c>
      <c r="Y4" s="600"/>
      <c r="Z4" s="600"/>
      <c r="AA4" s="601"/>
      <c r="AB4" s="602"/>
      <c r="AC4" s="574"/>
    </row>
    <row r="5" spans="1:29">
      <c r="A5" s="595" t="s">
        <v>722</v>
      </c>
      <c r="B5" s="57" t="s">
        <v>6</v>
      </c>
      <c r="C5" s="597" t="s">
        <v>9</v>
      </c>
      <c r="D5" s="597"/>
      <c r="E5" s="57">
        <v>50.67</v>
      </c>
      <c r="F5" s="189">
        <v>1549</v>
      </c>
      <c r="G5" s="187">
        <f t="shared" ref="G5:G8" si="0">E5*F5</f>
        <v>78487.83</v>
      </c>
      <c r="H5" s="198" t="s">
        <v>5</v>
      </c>
      <c r="I5" s="188">
        <v>17</v>
      </c>
      <c r="J5" s="58">
        <v>2000</v>
      </c>
      <c r="K5" s="59">
        <f t="shared" ref="K5:K68" si="1">J5/I5</f>
        <v>117.64705882352941</v>
      </c>
      <c r="L5" s="188">
        <v>17</v>
      </c>
      <c r="M5" s="60">
        <f t="shared" ref="M5:M8" si="2">F5/V5*60</f>
        <v>1936.2500000000005</v>
      </c>
      <c r="N5" s="59">
        <f t="shared" ref="N5:N68" si="3">M5/L5</f>
        <v>113.89705882352943</v>
      </c>
      <c r="O5" s="61">
        <f t="shared" ref="O5:O68" si="4">L5-I5</f>
        <v>0</v>
      </c>
      <c r="P5" s="62">
        <f t="shared" ref="P5:P68" si="5">N5-K5</f>
        <v>-3.7499999999999716</v>
      </c>
      <c r="Q5" s="194">
        <f t="shared" ref="Q5:Q68" si="6">N5/K5</f>
        <v>0.96812500000000024</v>
      </c>
      <c r="R5" s="566">
        <f>Q9</f>
        <v>0.9625827205882348</v>
      </c>
      <c r="S5" s="63">
        <v>0.70833333333333337</v>
      </c>
      <c r="T5" s="63">
        <v>0.7416666666666667</v>
      </c>
      <c r="U5" s="187"/>
      <c r="V5" s="190">
        <f t="shared" ref="V5:V8" si="7">(T5-S5)*24*60</f>
        <v>47.999999999999986</v>
      </c>
      <c r="W5" s="64"/>
      <c r="X5" s="65"/>
      <c r="Y5" s="559"/>
      <c r="Z5" s="559"/>
      <c r="AA5" s="61">
        <f t="shared" ref="AA5:AA68" si="8">M5-J5</f>
        <v>-63.749999999999545</v>
      </c>
      <c r="AB5" s="194">
        <f t="shared" ref="AB5:AB68" si="9">M5/J5</f>
        <v>0.96812500000000024</v>
      </c>
      <c r="AC5" s="566">
        <f>AB9</f>
        <v>0.9625827205882348</v>
      </c>
    </row>
    <row r="6" spans="1:29">
      <c r="A6" s="596" t="s">
        <v>723</v>
      </c>
      <c r="B6" s="57" t="s">
        <v>6</v>
      </c>
      <c r="C6" s="597" t="s">
        <v>8</v>
      </c>
      <c r="D6" s="597"/>
      <c r="E6" s="57">
        <v>50.49</v>
      </c>
      <c r="F6" s="189">
        <v>2169</v>
      </c>
      <c r="G6" s="187">
        <f t="shared" si="0"/>
        <v>109512.81</v>
      </c>
      <c r="H6" s="198" t="s">
        <v>5</v>
      </c>
      <c r="I6" s="188">
        <v>15</v>
      </c>
      <c r="J6" s="58">
        <v>2000</v>
      </c>
      <c r="K6" s="59">
        <f t="shared" si="1"/>
        <v>133.33333333333334</v>
      </c>
      <c r="L6" s="188">
        <v>15</v>
      </c>
      <c r="M6" s="60">
        <f t="shared" si="2"/>
        <v>1913.8235294117621</v>
      </c>
      <c r="N6" s="59">
        <f t="shared" si="3"/>
        <v>127.58823529411748</v>
      </c>
      <c r="O6" s="61">
        <f t="shared" si="4"/>
        <v>0</v>
      </c>
      <c r="P6" s="62">
        <f t="shared" si="5"/>
        <v>-5.7450980392158613</v>
      </c>
      <c r="Q6" s="194">
        <f t="shared" si="6"/>
        <v>0.95691176470588102</v>
      </c>
      <c r="R6" s="566"/>
      <c r="S6" s="63">
        <v>0.74583333333333335</v>
      </c>
      <c r="T6" s="63">
        <v>0.79305555555555562</v>
      </c>
      <c r="U6" s="187">
        <f t="shared" ref="U6:U8" si="10">IF(S6=TIME(17,0,0),"",(S6-T5)*24*60)</f>
        <v>5.9999999999999787</v>
      </c>
      <c r="V6" s="190">
        <f t="shared" si="7"/>
        <v>68.000000000000085</v>
      </c>
      <c r="W6" s="64"/>
      <c r="X6" s="64"/>
      <c r="Y6" s="559"/>
      <c r="Z6" s="559"/>
      <c r="AA6" s="61">
        <f t="shared" si="8"/>
        <v>-86.176470588237862</v>
      </c>
      <c r="AB6" s="194">
        <f t="shared" si="9"/>
        <v>0.95691176470588102</v>
      </c>
      <c r="AC6" s="566"/>
    </row>
    <row r="7" spans="1:29">
      <c r="A7" s="596" t="s">
        <v>723</v>
      </c>
      <c r="B7" s="57" t="s">
        <v>6</v>
      </c>
      <c r="C7" s="590" t="s">
        <v>94</v>
      </c>
      <c r="D7" s="591"/>
      <c r="E7" s="57">
        <v>57.3</v>
      </c>
      <c r="F7" s="189">
        <v>1600</v>
      </c>
      <c r="G7" s="187">
        <f t="shared" si="0"/>
        <v>91680</v>
      </c>
      <c r="H7" s="198">
        <v>2</v>
      </c>
      <c r="I7" s="188">
        <v>13</v>
      </c>
      <c r="J7" s="58">
        <v>2000</v>
      </c>
      <c r="K7" s="59">
        <f t="shared" si="1"/>
        <v>153.84615384615384</v>
      </c>
      <c r="L7" s="188">
        <v>13</v>
      </c>
      <c r="M7" s="60">
        <f t="shared" si="2"/>
        <v>1920.0000000000005</v>
      </c>
      <c r="N7" s="59">
        <f t="shared" si="3"/>
        <v>147.69230769230774</v>
      </c>
      <c r="O7" s="61">
        <f t="shared" si="4"/>
        <v>0</v>
      </c>
      <c r="P7" s="62">
        <f t="shared" si="5"/>
        <v>-6.1538461538461036</v>
      </c>
      <c r="Q7" s="194">
        <f t="shared" si="6"/>
        <v>0.9600000000000003</v>
      </c>
      <c r="R7" s="566"/>
      <c r="S7" s="63">
        <v>0.79652777777777783</v>
      </c>
      <c r="T7" s="63">
        <v>0.83125000000000004</v>
      </c>
      <c r="U7" s="187">
        <f t="shared" si="10"/>
        <v>4.9999999999999822</v>
      </c>
      <c r="V7" s="190">
        <f t="shared" si="7"/>
        <v>49.999999999999986</v>
      </c>
      <c r="W7" s="64">
        <f>T7</f>
        <v>0.83125000000000004</v>
      </c>
      <c r="X7" s="64">
        <f>S8</f>
        <v>0.87152777777777779</v>
      </c>
      <c r="Y7" s="569"/>
      <c r="Z7" s="570"/>
      <c r="AA7" s="61">
        <f t="shared" si="8"/>
        <v>-79.999999999999545</v>
      </c>
      <c r="AB7" s="194">
        <f t="shared" si="9"/>
        <v>0.96000000000000019</v>
      </c>
      <c r="AC7" s="566"/>
    </row>
    <row r="8" spans="1:29">
      <c r="A8" s="596" t="s">
        <v>723</v>
      </c>
      <c r="B8" s="57" t="s">
        <v>6</v>
      </c>
      <c r="C8" s="590" t="s">
        <v>94</v>
      </c>
      <c r="D8" s="591"/>
      <c r="E8" s="57">
        <v>57.3</v>
      </c>
      <c r="F8" s="189">
        <v>1094</v>
      </c>
      <c r="G8" s="187">
        <f t="shared" si="0"/>
        <v>62686.2</v>
      </c>
      <c r="H8" s="198" t="s">
        <v>5</v>
      </c>
      <c r="I8" s="188">
        <v>13</v>
      </c>
      <c r="J8" s="58">
        <v>2000</v>
      </c>
      <c r="K8" s="59">
        <f t="shared" si="1"/>
        <v>153.84615384615384</v>
      </c>
      <c r="L8" s="188">
        <v>13</v>
      </c>
      <c r="M8" s="60">
        <f t="shared" si="2"/>
        <v>1930.5882352941153</v>
      </c>
      <c r="N8" s="59">
        <f t="shared" si="3"/>
        <v>148.50678733031657</v>
      </c>
      <c r="O8" s="61">
        <f t="shared" si="4"/>
        <v>0</v>
      </c>
      <c r="P8" s="62">
        <f t="shared" si="5"/>
        <v>-5.3393665158372698</v>
      </c>
      <c r="Q8" s="194">
        <f t="shared" si="6"/>
        <v>0.96529411764705775</v>
      </c>
      <c r="R8" s="566"/>
      <c r="S8" s="63">
        <v>0.87152777777777779</v>
      </c>
      <c r="T8" s="63">
        <v>0.89513888888888893</v>
      </c>
      <c r="U8" s="187">
        <f t="shared" si="10"/>
        <v>57.999999999999957</v>
      </c>
      <c r="V8" s="190">
        <f t="shared" si="7"/>
        <v>34.000000000000043</v>
      </c>
      <c r="W8" s="68"/>
      <c r="X8" s="68"/>
      <c r="Y8" s="569"/>
      <c r="Z8" s="570"/>
      <c r="AA8" s="61">
        <f t="shared" si="8"/>
        <v>-69.411764705884707</v>
      </c>
      <c r="AB8" s="194">
        <f t="shared" si="9"/>
        <v>0.96529411764705764</v>
      </c>
      <c r="AC8" s="566"/>
    </row>
    <row r="9" spans="1:29">
      <c r="A9" s="596" t="s">
        <v>723</v>
      </c>
      <c r="B9" s="57" t="s">
        <v>724</v>
      </c>
      <c r="C9" s="571"/>
      <c r="D9" s="571"/>
      <c r="E9" s="193"/>
      <c r="F9" s="66"/>
      <c r="G9" s="59"/>
      <c r="H9" s="189"/>
      <c r="I9" s="67">
        <v>14.5</v>
      </c>
      <c r="J9" s="58">
        <v>2000</v>
      </c>
      <c r="K9" s="59">
        <f t="shared" si="1"/>
        <v>137.93103448275863</v>
      </c>
      <c r="L9" s="67">
        <v>14.5</v>
      </c>
      <c r="M9" s="60">
        <f>AVERAGE(M5:M8)</f>
        <v>1925.1654411764696</v>
      </c>
      <c r="N9" s="59">
        <f t="shared" si="3"/>
        <v>132.77003042596343</v>
      </c>
      <c r="O9" s="61">
        <f t="shared" si="4"/>
        <v>0</v>
      </c>
      <c r="P9" s="62">
        <f t="shared" si="5"/>
        <v>-5.1610040567952069</v>
      </c>
      <c r="Q9" s="194">
        <f t="shared" si="6"/>
        <v>0.9625827205882348</v>
      </c>
      <c r="R9" s="566"/>
      <c r="S9" s="63"/>
      <c r="T9" s="63"/>
      <c r="U9" s="187"/>
      <c r="V9" s="190"/>
      <c r="W9" s="59"/>
      <c r="X9" s="59"/>
      <c r="Y9" s="559"/>
      <c r="Z9" s="559"/>
      <c r="AA9" s="61">
        <f t="shared" si="8"/>
        <v>-74.834558823530415</v>
      </c>
      <c r="AB9" s="194">
        <f t="shared" si="9"/>
        <v>0.9625827205882348</v>
      </c>
      <c r="AC9" s="566"/>
    </row>
    <row r="10" spans="1:29" ht="15.75" customHeight="1">
      <c r="A10" s="594" t="s">
        <v>725</v>
      </c>
      <c r="B10" s="57" t="s">
        <v>10</v>
      </c>
      <c r="C10" s="590" t="s">
        <v>14</v>
      </c>
      <c r="D10" s="591"/>
      <c r="E10" s="57">
        <v>39.619999999999997</v>
      </c>
      <c r="F10" s="189">
        <v>4101</v>
      </c>
      <c r="G10" s="187">
        <f t="shared" ref="G10:G11" si="11">E10*F10</f>
        <v>162481.62</v>
      </c>
      <c r="H10" s="198" t="s">
        <v>5</v>
      </c>
      <c r="I10" s="188">
        <v>19</v>
      </c>
      <c r="J10" s="58">
        <v>1500</v>
      </c>
      <c r="K10" s="59">
        <f t="shared" si="1"/>
        <v>78.94736842105263</v>
      </c>
      <c r="L10" s="188">
        <v>19</v>
      </c>
      <c r="M10" s="60">
        <f t="shared" ref="M10:M11" si="12">F10/V10*60</f>
        <v>1430.5813953488375</v>
      </c>
      <c r="N10" s="59">
        <f t="shared" si="3"/>
        <v>75.293757649938811</v>
      </c>
      <c r="O10" s="61">
        <f t="shared" si="4"/>
        <v>0</v>
      </c>
      <c r="P10" s="62">
        <f t="shared" si="5"/>
        <v>-3.6536107711138186</v>
      </c>
      <c r="Q10" s="194">
        <f t="shared" si="6"/>
        <v>0.95372093023255833</v>
      </c>
      <c r="R10" s="566">
        <f>Q12</f>
        <v>0.95359050313909288</v>
      </c>
      <c r="S10" s="63">
        <v>0.16666666666666666</v>
      </c>
      <c r="T10" s="63">
        <v>0.28611111111111109</v>
      </c>
      <c r="U10" s="187"/>
      <c r="V10" s="190">
        <f t="shared" ref="V10:V11" si="13">(T10-S10)*24*60</f>
        <v>171.99999999999997</v>
      </c>
      <c r="W10" s="64">
        <f>T10</f>
        <v>0.28611111111111109</v>
      </c>
      <c r="X10" s="64">
        <f>S11</f>
        <v>0.30555555555555552</v>
      </c>
      <c r="Y10" s="559"/>
      <c r="Z10" s="559"/>
      <c r="AA10" s="61">
        <f t="shared" si="8"/>
        <v>-69.418604651162468</v>
      </c>
      <c r="AB10" s="194">
        <f t="shared" si="9"/>
        <v>0.95372093023255833</v>
      </c>
      <c r="AC10" s="566">
        <f>AB12</f>
        <v>0.95359050313909288</v>
      </c>
    </row>
    <row r="11" spans="1:29" ht="15.75" customHeight="1">
      <c r="A11" s="594" t="s">
        <v>725</v>
      </c>
      <c r="B11" s="57" t="s">
        <v>10</v>
      </c>
      <c r="C11" s="590" t="s">
        <v>11</v>
      </c>
      <c r="D11" s="591"/>
      <c r="E11" s="57">
        <v>39.799999999999997</v>
      </c>
      <c r="F11" s="189">
        <v>6269</v>
      </c>
      <c r="G11" s="187">
        <f t="shared" si="11"/>
        <v>249506.19999999998</v>
      </c>
      <c r="H11" s="198" t="s">
        <v>5</v>
      </c>
      <c r="I11" s="188">
        <v>17</v>
      </c>
      <c r="J11" s="58">
        <v>1500</v>
      </c>
      <c r="K11" s="59">
        <f t="shared" si="1"/>
        <v>88.235294117647058</v>
      </c>
      <c r="L11" s="188">
        <v>17</v>
      </c>
      <c r="M11" s="60">
        <f t="shared" si="12"/>
        <v>1430.1901140684411</v>
      </c>
      <c r="N11" s="59">
        <f t="shared" si="3"/>
        <v>84.128830239320067</v>
      </c>
      <c r="O11" s="61">
        <f t="shared" si="4"/>
        <v>0</v>
      </c>
      <c r="P11" s="62">
        <f t="shared" si="5"/>
        <v>-4.1064638783269913</v>
      </c>
      <c r="Q11" s="194">
        <f t="shared" si="6"/>
        <v>0.95346007604562744</v>
      </c>
      <c r="R11" s="566"/>
      <c r="S11" s="63">
        <v>0.30555555555555552</v>
      </c>
      <c r="T11" s="63">
        <v>0.48819444444444443</v>
      </c>
      <c r="U11" s="187">
        <f t="shared" ref="U11" si="14">IF(S11=TIME(17,0,0),"",(S11-T10)*24*60)</f>
        <v>27.999999999999979</v>
      </c>
      <c r="V11" s="190">
        <f t="shared" si="13"/>
        <v>263</v>
      </c>
      <c r="W11" s="64"/>
      <c r="X11" s="64"/>
      <c r="Y11" s="559"/>
      <c r="Z11" s="559"/>
      <c r="AA11" s="61">
        <f t="shared" si="8"/>
        <v>-69.809885931558938</v>
      </c>
      <c r="AB11" s="194">
        <f t="shared" si="9"/>
        <v>0.95346007604562732</v>
      </c>
      <c r="AC11" s="566"/>
    </row>
    <row r="12" spans="1:29" ht="16.5" customHeight="1">
      <c r="A12" s="594" t="s">
        <v>725</v>
      </c>
      <c r="B12" s="57" t="s">
        <v>724</v>
      </c>
      <c r="C12" s="571"/>
      <c r="D12" s="571"/>
      <c r="E12" s="193"/>
      <c r="F12" s="58"/>
      <c r="G12" s="60"/>
      <c r="H12" s="189"/>
      <c r="I12" s="67">
        <v>18</v>
      </c>
      <c r="J12" s="58">
        <v>1500</v>
      </c>
      <c r="K12" s="59">
        <f t="shared" si="1"/>
        <v>83.333333333333329</v>
      </c>
      <c r="L12" s="67">
        <v>18</v>
      </c>
      <c r="M12" s="60">
        <f>AVERAGE(M10:M11)</f>
        <v>1430.3857547086393</v>
      </c>
      <c r="N12" s="59">
        <f t="shared" si="3"/>
        <v>79.465875261591066</v>
      </c>
      <c r="O12" s="61">
        <f t="shared" si="4"/>
        <v>0</v>
      </c>
      <c r="P12" s="62">
        <f t="shared" si="5"/>
        <v>-3.8674580717422629</v>
      </c>
      <c r="Q12" s="194">
        <f t="shared" si="6"/>
        <v>0.95359050313909288</v>
      </c>
      <c r="R12" s="566"/>
      <c r="S12" s="63"/>
      <c r="T12" s="63"/>
      <c r="U12" s="59"/>
      <c r="V12" s="190"/>
      <c r="W12" s="59"/>
      <c r="X12" s="59"/>
      <c r="Y12" s="559"/>
      <c r="Z12" s="559"/>
      <c r="AA12" s="61">
        <f t="shared" si="8"/>
        <v>-69.614245291360703</v>
      </c>
      <c r="AB12" s="194">
        <f t="shared" si="9"/>
        <v>0.95359050313909288</v>
      </c>
      <c r="AC12" s="566"/>
    </row>
    <row r="13" spans="1:29" ht="16.5" customHeight="1">
      <c r="A13" s="592" t="s">
        <v>726</v>
      </c>
      <c r="B13" s="189" t="s">
        <v>12</v>
      </c>
      <c r="C13" s="584" t="s">
        <v>13</v>
      </c>
      <c r="D13" s="584"/>
      <c r="E13" s="57">
        <v>41</v>
      </c>
      <c r="F13" s="189">
        <v>2324</v>
      </c>
      <c r="G13" s="187">
        <f t="shared" ref="G13:G16" si="15">E13*F13</f>
        <v>95284</v>
      </c>
      <c r="H13" s="198" t="s">
        <v>5</v>
      </c>
      <c r="I13" s="188">
        <v>26</v>
      </c>
      <c r="J13" s="58">
        <v>1500</v>
      </c>
      <c r="K13" s="59">
        <f t="shared" si="1"/>
        <v>57.692307692307693</v>
      </c>
      <c r="L13" s="188">
        <v>26</v>
      </c>
      <c r="M13" s="60">
        <f t="shared" ref="M13:M16" si="16">F13/V13*60</f>
        <v>1437.5257731958761</v>
      </c>
      <c r="N13" s="59">
        <f t="shared" si="3"/>
        <v>55.289452815226007</v>
      </c>
      <c r="O13" s="61">
        <f t="shared" si="4"/>
        <v>0</v>
      </c>
      <c r="P13" s="62">
        <f t="shared" si="5"/>
        <v>-2.4028548770816869</v>
      </c>
      <c r="Q13" s="194">
        <f t="shared" si="6"/>
        <v>0.95835051546391747</v>
      </c>
      <c r="R13" s="566">
        <f>Q17</f>
        <v>0.95688343129422848</v>
      </c>
      <c r="S13" s="63">
        <v>0.20833333333333334</v>
      </c>
      <c r="T13" s="63">
        <v>0.27569444444444446</v>
      </c>
      <c r="U13" s="187"/>
      <c r="V13" s="190">
        <f t="shared" ref="V13:V16" si="17">(T13-S13)*24*60</f>
        <v>97.000000000000014</v>
      </c>
      <c r="W13" s="68"/>
      <c r="X13" s="68"/>
      <c r="Y13" s="559"/>
      <c r="Z13" s="559"/>
      <c r="AA13" s="61">
        <f t="shared" si="8"/>
        <v>-62.474226804123873</v>
      </c>
      <c r="AB13" s="194">
        <f t="shared" si="9"/>
        <v>0.95835051546391736</v>
      </c>
      <c r="AC13" s="566">
        <f>AB17</f>
        <v>0.95688343129422848</v>
      </c>
    </row>
    <row r="14" spans="1:29" ht="16.5" customHeight="1">
      <c r="A14" s="593" t="s">
        <v>726</v>
      </c>
      <c r="B14" s="189" t="s">
        <v>657</v>
      </c>
      <c r="C14" s="584" t="s">
        <v>236</v>
      </c>
      <c r="D14" s="584"/>
      <c r="E14" s="57">
        <v>72.400000000000006</v>
      </c>
      <c r="F14" s="189">
        <v>1737</v>
      </c>
      <c r="G14" s="187">
        <f t="shared" si="15"/>
        <v>125758.8</v>
      </c>
      <c r="H14" s="198" t="s">
        <v>5</v>
      </c>
      <c r="I14" s="188">
        <v>18</v>
      </c>
      <c r="J14" s="58">
        <v>1500</v>
      </c>
      <c r="K14" s="59">
        <f t="shared" si="1"/>
        <v>83.333333333333329</v>
      </c>
      <c r="L14" s="188">
        <v>18</v>
      </c>
      <c r="M14" s="60">
        <f t="shared" si="16"/>
        <v>1427.6712328767126</v>
      </c>
      <c r="N14" s="59">
        <f t="shared" si="3"/>
        <v>79.315068493150704</v>
      </c>
      <c r="O14" s="61">
        <f t="shared" si="4"/>
        <v>0</v>
      </c>
      <c r="P14" s="62">
        <f t="shared" si="5"/>
        <v>-4.0182648401826242</v>
      </c>
      <c r="Q14" s="194">
        <f t="shared" si="6"/>
        <v>0.95178082191780855</v>
      </c>
      <c r="R14" s="566"/>
      <c r="S14" s="63">
        <v>0.28125</v>
      </c>
      <c r="T14" s="63">
        <v>0.33194444444444443</v>
      </c>
      <c r="U14" s="187">
        <f t="shared" ref="U14:U16" si="18">IF(S14=TIME(17,0,0),"",(S14-T13)*24*60)</f>
        <v>7.9999999999999716</v>
      </c>
      <c r="V14" s="190">
        <f t="shared" si="17"/>
        <v>72.999999999999986</v>
      </c>
      <c r="W14" s="64"/>
      <c r="X14" s="64"/>
      <c r="Y14" s="559"/>
      <c r="Z14" s="559"/>
      <c r="AA14" s="61">
        <f t="shared" si="8"/>
        <v>-72.328767123287435</v>
      </c>
      <c r="AB14" s="194">
        <f t="shared" si="9"/>
        <v>0.95178082191780833</v>
      </c>
      <c r="AC14" s="566"/>
    </row>
    <row r="15" spans="1:29" ht="16.5" customHeight="1">
      <c r="A15" s="593" t="s">
        <v>726</v>
      </c>
      <c r="B15" s="189" t="s">
        <v>6</v>
      </c>
      <c r="C15" s="584" t="s">
        <v>95</v>
      </c>
      <c r="D15" s="584"/>
      <c r="E15" s="57">
        <v>50.98</v>
      </c>
      <c r="F15" s="189">
        <v>2470</v>
      </c>
      <c r="G15" s="187">
        <f t="shared" si="15"/>
        <v>125920.59999999999</v>
      </c>
      <c r="H15" s="198" t="s">
        <v>5</v>
      </c>
      <c r="I15" s="188">
        <v>16</v>
      </c>
      <c r="J15" s="58">
        <v>2000</v>
      </c>
      <c r="K15" s="59">
        <f t="shared" si="1"/>
        <v>125</v>
      </c>
      <c r="L15" s="188">
        <v>16</v>
      </c>
      <c r="M15" s="60">
        <f t="shared" si="16"/>
        <v>1924.6753246753237</v>
      </c>
      <c r="N15" s="59">
        <f t="shared" si="3"/>
        <v>120.29220779220773</v>
      </c>
      <c r="O15" s="61">
        <f t="shared" si="4"/>
        <v>0</v>
      </c>
      <c r="P15" s="62">
        <f t="shared" si="5"/>
        <v>-4.7077922077922665</v>
      </c>
      <c r="Q15" s="194">
        <f t="shared" si="6"/>
        <v>0.96233766233766183</v>
      </c>
      <c r="R15" s="566"/>
      <c r="S15" s="63">
        <v>0.70833333333333337</v>
      </c>
      <c r="T15" s="63">
        <v>0.76180555555555562</v>
      </c>
      <c r="U15" s="187" t="str">
        <f t="shared" si="18"/>
        <v/>
      </c>
      <c r="V15" s="190">
        <f t="shared" si="17"/>
        <v>77.000000000000043</v>
      </c>
      <c r="W15" s="64"/>
      <c r="X15" s="64"/>
      <c r="Y15" s="559"/>
      <c r="Z15" s="559"/>
      <c r="AA15" s="61">
        <f t="shared" si="8"/>
        <v>-75.324675324676264</v>
      </c>
      <c r="AB15" s="194">
        <f t="shared" si="9"/>
        <v>0.96233766233766183</v>
      </c>
      <c r="AC15" s="566"/>
    </row>
    <row r="16" spans="1:29" ht="16.5" customHeight="1">
      <c r="A16" s="593" t="s">
        <v>726</v>
      </c>
      <c r="B16" s="189" t="s">
        <v>6</v>
      </c>
      <c r="C16" s="584" t="s">
        <v>18</v>
      </c>
      <c r="D16" s="584"/>
      <c r="E16" s="57">
        <v>50.92</v>
      </c>
      <c r="F16" s="189">
        <v>2449</v>
      </c>
      <c r="G16" s="187">
        <f t="shared" si="15"/>
        <v>124703.08</v>
      </c>
      <c r="H16" s="198" t="s">
        <v>5</v>
      </c>
      <c r="I16" s="188">
        <v>15</v>
      </c>
      <c r="J16" s="58">
        <v>2000</v>
      </c>
      <c r="K16" s="59">
        <f t="shared" si="1"/>
        <v>133.33333333333334</v>
      </c>
      <c r="L16" s="188">
        <v>15</v>
      </c>
      <c r="M16" s="60">
        <f t="shared" si="16"/>
        <v>1908.3116883116872</v>
      </c>
      <c r="N16" s="59">
        <f t="shared" si="3"/>
        <v>127.22077922077915</v>
      </c>
      <c r="O16" s="61">
        <f t="shared" si="4"/>
        <v>0</v>
      </c>
      <c r="P16" s="62">
        <f t="shared" si="5"/>
        <v>-6.1125541125541929</v>
      </c>
      <c r="Q16" s="194">
        <f t="shared" si="6"/>
        <v>0.95415584415584354</v>
      </c>
      <c r="R16" s="566"/>
      <c r="S16" s="63">
        <v>0.76527777777777783</v>
      </c>
      <c r="T16" s="63">
        <v>0.81875000000000009</v>
      </c>
      <c r="U16" s="187">
        <f t="shared" si="18"/>
        <v>4.9999999999999822</v>
      </c>
      <c r="V16" s="190">
        <f t="shared" si="17"/>
        <v>77.000000000000043</v>
      </c>
      <c r="W16" s="64"/>
      <c r="X16" s="64"/>
      <c r="Y16" s="559"/>
      <c r="Z16" s="559"/>
      <c r="AA16" s="61">
        <f t="shared" si="8"/>
        <v>-91.688311688312751</v>
      </c>
      <c r="AB16" s="194">
        <f t="shared" si="9"/>
        <v>0.95415584415584365</v>
      </c>
      <c r="AC16" s="566"/>
    </row>
    <row r="17" spans="1:29" ht="16.5" customHeight="1">
      <c r="A17" s="593" t="s">
        <v>726</v>
      </c>
      <c r="B17" s="57" t="s">
        <v>724</v>
      </c>
      <c r="C17" s="571"/>
      <c r="D17" s="571"/>
      <c r="E17" s="193"/>
      <c r="F17" s="66"/>
      <c r="G17" s="59"/>
      <c r="H17" s="189"/>
      <c r="I17" s="67">
        <v>18.75</v>
      </c>
      <c r="J17" s="58">
        <v>1750</v>
      </c>
      <c r="K17" s="59">
        <f t="shared" si="1"/>
        <v>93.333333333333329</v>
      </c>
      <c r="L17" s="67">
        <v>18.75</v>
      </c>
      <c r="M17" s="60">
        <f>AVERAGE(M13:M16)</f>
        <v>1674.5460047648999</v>
      </c>
      <c r="N17" s="59">
        <f t="shared" si="3"/>
        <v>89.30912025412799</v>
      </c>
      <c r="O17" s="61">
        <f t="shared" si="4"/>
        <v>0</v>
      </c>
      <c r="P17" s="62">
        <f t="shared" si="5"/>
        <v>-4.0242130792053388</v>
      </c>
      <c r="Q17" s="194">
        <f t="shared" si="6"/>
        <v>0.95688343129422848</v>
      </c>
      <c r="R17" s="566"/>
      <c r="S17" s="63"/>
      <c r="T17" s="63"/>
      <c r="U17" s="187"/>
      <c r="V17" s="190"/>
      <c r="W17" s="59"/>
      <c r="X17" s="59"/>
      <c r="Y17" s="559"/>
      <c r="Z17" s="559"/>
      <c r="AA17" s="61">
        <f t="shared" si="8"/>
        <v>-75.453995235100138</v>
      </c>
      <c r="AB17" s="194">
        <f t="shared" si="9"/>
        <v>0.95688343129422848</v>
      </c>
      <c r="AC17" s="566"/>
    </row>
    <row r="18" spans="1:29" ht="15.75" customHeight="1">
      <c r="A18" s="588" t="s">
        <v>727</v>
      </c>
      <c r="B18" s="57" t="s">
        <v>12</v>
      </c>
      <c r="C18" s="584" t="s">
        <v>19</v>
      </c>
      <c r="D18" s="584"/>
      <c r="E18" s="57">
        <v>43.14</v>
      </c>
      <c r="F18" s="189">
        <v>1112</v>
      </c>
      <c r="G18" s="187">
        <f t="shared" ref="G18:G25" si="19">E18*F18</f>
        <v>47971.68</v>
      </c>
      <c r="H18" s="198" t="s">
        <v>5</v>
      </c>
      <c r="I18" s="188">
        <v>17</v>
      </c>
      <c r="J18" s="58">
        <v>2000</v>
      </c>
      <c r="K18" s="59">
        <f t="shared" si="1"/>
        <v>117.64705882352941</v>
      </c>
      <c r="L18" s="188">
        <v>17</v>
      </c>
      <c r="M18" s="60">
        <f t="shared" ref="M18:M25" si="20">F18/V18*60</f>
        <v>1906.2857142857147</v>
      </c>
      <c r="N18" s="59">
        <f t="shared" si="3"/>
        <v>112.13445378151263</v>
      </c>
      <c r="O18" s="61">
        <f t="shared" si="4"/>
        <v>0</v>
      </c>
      <c r="P18" s="62">
        <f t="shared" si="5"/>
        <v>-5.5126050420167729</v>
      </c>
      <c r="Q18" s="194">
        <f t="shared" si="6"/>
        <v>0.9531428571428574</v>
      </c>
      <c r="R18" s="566">
        <f>Q26</f>
        <v>0.95957377398394739</v>
      </c>
      <c r="S18" s="63">
        <v>0.20833333333333334</v>
      </c>
      <c r="T18" s="63">
        <v>0.2326388888888889</v>
      </c>
      <c r="U18" s="187"/>
      <c r="V18" s="190">
        <f t="shared" ref="V18:V25" si="21">(T18-S18)*24*60</f>
        <v>34.999999999999993</v>
      </c>
      <c r="W18" s="68"/>
      <c r="X18" s="68"/>
      <c r="Y18" s="559"/>
      <c r="Z18" s="559"/>
      <c r="AA18" s="61">
        <f t="shared" si="8"/>
        <v>-93.714285714285325</v>
      </c>
      <c r="AB18" s="194">
        <f t="shared" si="9"/>
        <v>0.95314285714285729</v>
      </c>
      <c r="AC18" s="566">
        <f>AB26</f>
        <v>0.95957377398394739</v>
      </c>
    </row>
    <row r="19" spans="1:29" ht="15.75" customHeight="1">
      <c r="A19" s="589" t="s">
        <v>728</v>
      </c>
      <c r="B19" s="57" t="s">
        <v>65</v>
      </c>
      <c r="C19" s="584" t="s">
        <v>97</v>
      </c>
      <c r="D19" s="584"/>
      <c r="E19" s="57">
        <v>49.9</v>
      </c>
      <c r="F19" s="189">
        <v>1571</v>
      </c>
      <c r="G19" s="187">
        <f t="shared" si="19"/>
        <v>78392.899999999994</v>
      </c>
      <c r="H19" s="198" t="s">
        <v>5</v>
      </c>
      <c r="I19" s="188">
        <v>17</v>
      </c>
      <c r="J19" s="58">
        <v>2000</v>
      </c>
      <c r="K19" s="59">
        <f t="shared" si="1"/>
        <v>117.64705882352941</v>
      </c>
      <c r="L19" s="188">
        <v>17</v>
      </c>
      <c r="M19" s="60">
        <f t="shared" si="20"/>
        <v>1923.6734693877556</v>
      </c>
      <c r="N19" s="59">
        <f t="shared" si="3"/>
        <v>113.1572629051621</v>
      </c>
      <c r="O19" s="61">
        <f t="shared" si="4"/>
        <v>0</v>
      </c>
      <c r="P19" s="62">
        <f t="shared" si="5"/>
        <v>-4.4897959183673066</v>
      </c>
      <c r="Q19" s="194">
        <f t="shared" si="6"/>
        <v>0.96183673469387787</v>
      </c>
      <c r="R19" s="566"/>
      <c r="S19" s="63">
        <v>0.2361111111111111</v>
      </c>
      <c r="T19" s="63">
        <v>0.27013888888888887</v>
      </c>
      <c r="U19" s="187">
        <f t="shared" ref="U19:U25" si="22">IF(S19=TIME(17,0,0),"",(S19-T18)*24*60)</f>
        <v>4.9999999999999822</v>
      </c>
      <c r="V19" s="190">
        <f t="shared" si="21"/>
        <v>48.999999999999986</v>
      </c>
      <c r="W19" s="64"/>
      <c r="X19" s="187"/>
      <c r="Y19" s="559"/>
      <c r="Z19" s="559"/>
      <c r="AA19" s="61">
        <f t="shared" si="8"/>
        <v>-76.326530612244369</v>
      </c>
      <c r="AB19" s="194">
        <f t="shared" si="9"/>
        <v>0.96183673469387787</v>
      </c>
      <c r="AC19" s="566"/>
    </row>
    <row r="20" spans="1:29" ht="15.75" customHeight="1">
      <c r="A20" s="589" t="s">
        <v>728</v>
      </c>
      <c r="B20" s="57" t="s">
        <v>6</v>
      </c>
      <c r="C20" s="584" t="s">
        <v>20</v>
      </c>
      <c r="D20" s="584"/>
      <c r="E20" s="57">
        <v>57.73</v>
      </c>
      <c r="F20" s="189">
        <v>2520</v>
      </c>
      <c r="G20" s="187">
        <f t="shared" si="19"/>
        <v>145479.6</v>
      </c>
      <c r="H20" s="198" t="s">
        <v>5</v>
      </c>
      <c r="I20" s="188">
        <v>14</v>
      </c>
      <c r="J20" s="58">
        <v>2000</v>
      </c>
      <c r="K20" s="59">
        <f t="shared" si="1"/>
        <v>142.85714285714286</v>
      </c>
      <c r="L20" s="188">
        <v>14</v>
      </c>
      <c r="M20" s="60">
        <f t="shared" si="20"/>
        <v>1913.9240506329124</v>
      </c>
      <c r="N20" s="59">
        <f t="shared" si="3"/>
        <v>136.70886075949375</v>
      </c>
      <c r="O20" s="61">
        <f t="shared" si="4"/>
        <v>0</v>
      </c>
      <c r="P20" s="62">
        <f t="shared" si="5"/>
        <v>-6.1482820976491155</v>
      </c>
      <c r="Q20" s="194">
        <f t="shared" si="6"/>
        <v>0.95696202531645624</v>
      </c>
      <c r="R20" s="566"/>
      <c r="S20" s="63">
        <v>0.27569444444444441</v>
      </c>
      <c r="T20" s="63">
        <v>0.33055555555555549</v>
      </c>
      <c r="U20" s="187">
        <f t="shared" si="22"/>
        <v>7.9999999999999716</v>
      </c>
      <c r="V20" s="190">
        <f t="shared" si="21"/>
        <v>78.999999999999957</v>
      </c>
      <c r="W20" s="64"/>
      <c r="X20" s="187"/>
      <c r="Y20" s="559"/>
      <c r="Z20" s="559"/>
      <c r="AA20" s="61">
        <f t="shared" si="8"/>
        <v>-86.07594936708756</v>
      </c>
      <c r="AB20" s="194">
        <f t="shared" si="9"/>
        <v>0.95696202531645624</v>
      </c>
      <c r="AC20" s="566"/>
    </row>
    <row r="21" spans="1:29" ht="15.75" customHeight="1">
      <c r="A21" s="589" t="s">
        <v>728</v>
      </c>
      <c r="B21" s="57" t="s">
        <v>6</v>
      </c>
      <c r="C21" s="584" t="s">
        <v>21</v>
      </c>
      <c r="D21" s="584"/>
      <c r="E21" s="57">
        <v>53.68</v>
      </c>
      <c r="F21" s="189">
        <v>1664</v>
      </c>
      <c r="G21" s="187">
        <f t="shared" si="19"/>
        <v>89323.520000000004</v>
      </c>
      <c r="H21" s="198" t="s">
        <v>5</v>
      </c>
      <c r="I21" s="188">
        <v>16</v>
      </c>
      <c r="J21" s="58">
        <v>2000</v>
      </c>
      <c r="K21" s="59">
        <f t="shared" si="1"/>
        <v>125</v>
      </c>
      <c r="L21" s="188">
        <v>16</v>
      </c>
      <c r="M21" s="60">
        <f t="shared" si="20"/>
        <v>1920.0000000000009</v>
      </c>
      <c r="N21" s="59">
        <f t="shared" si="3"/>
        <v>120.00000000000006</v>
      </c>
      <c r="O21" s="61">
        <f t="shared" si="4"/>
        <v>0</v>
      </c>
      <c r="P21" s="62">
        <f t="shared" si="5"/>
        <v>-4.9999999999999432</v>
      </c>
      <c r="Q21" s="194">
        <f t="shared" si="6"/>
        <v>0.96000000000000041</v>
      </c>
      <c r="R21" s="566"/>
      <c r="S21" s="63">
        <v>0.33472222222222214</v>
      </c>
      <c r="T21" s="63">
        <v>0.37083333333333324</v>
      </c>
      <c r="U21" s="187">
        <f t="shared" si="22"/>
        <v>5.9999999999999787</v>
      </c>
      <c r="V21" s="190">
        <f t="shared" si="21"/>
        <v>51.999999999999972</v>
      </c>
      <c r="W21" s="64"/>
      <c r="X21" s="187"/>
      <c r="Y21" s="559"/>
      <c r="Z21" s="559"/>
      <c r="AA21" s="61">
        <f t="shared" si="8"/>
        <v>-79.999999999999091</v>
      </c>
      <c r="AB21" s="194">
        <f t="shared" si="9"/>
        <v>0.96000000000000041</v>
      </c>
      <c r="AC21" s="566"/>
    </row>
    <row r="22" spans="1:29" ht="15.75" customHeight="1">
      <c r="A22" s="589" t="s">
        <v>163</v>
      </c>
      <c r="B22" s="57" t="s">
        <v>6</v>
      </c>
      <c r="C22" s="584" t="s">
        <v>96</v>
      </c>
      <c r="D22" s="584"/>
      <c r="E22" s="57">
        <v>49.91</v>
      </c>
      <c r="F22" s="189">
        <v>1382</v>
      </c>
      <c r="G22" s="187">
        <f t="shared" si="19"/>
        <v>68975.62</v>
      </c>
      <c r="H22" s="198" t="s">
        <v>5</v>
      </c>
      <c r="I22" s="188">
        <v>17</v>
      </c>
      <c r="J22" s="58">
        <v>2000</v>
      </c>
      <c r="K22" s="59">
        <f t="shared" si="1"/>
        <v>117.64705882352941</v>
      </c>
      <c r="L22" s="188">
        <v>17</v>
      </c>
      <c r="M22" s="60">
        <f t="shared" si="20"/>
        <v>1928.3720930232557</v>
      </c>
      <c r="N22" s="59">
        <f t="shared" si="3"/>
        <v>113.43365253077975</v>
      </c>
      <c r="O22" s="61">
        <f t="shared" si="4"/>
        <v>0</v>
      </c>
      <c r="P22" s="62">
        <f t="shared" si="5"/>
        <v>-4.2134062927496529</v>
      </c>
      <c r="Q22" s="194">
        <f t="shared" si="6"/>
        <v>0.96418604651162798</v>
      </c>
      <c r="R22" s="566"/>
      <c r="S22" s="63">
        <v>0.37499999999999989</v>
      </c>
      <c r="T22" s="63">
        <v>0.40486111111111101</v>
      </c>
      <c r="U22" s="187">
        <f t="shared" si="22"/>
        <v>5.9999999999999787</v>
      </c>
      <c r="V22" s="190">
        <f t="shared" si="21"/>
        <v>43.000000000000007</v>
      </c>
      <c r="W22" s="64"/>
      <c r="X22" s="187"/>
      <c r="Y22" s="559"/>
      <c r="Z22" s="559"/>
      <c r="AA22" s="61">
        <f t="shared" si="8"/>
        <v>-71.627906976744271</v>
      </c>
      <c r="AB22" s="194">
        <f t="shared" si="9"/>
        <v>0.96418604651162787</v>
      </c>
      <c r="AC22" s="566"/>
    </row>
    <row r="23" spans="1:29" ht="15.75" customHeight="1">
      <c r="A23" s="589" t="s">
        <v>163</v>
      </c>
      <c r="B23" s="57" t="s">
        <v>6</v>
      </c>
      <c r="C23" s="584" t="s">
        <v>22</v>
      </c>
      <c r="D23" s="584"/>
      <c r="E23" s="57">
        <v>54.09</v>
      </c>
      <c r="F23" s="189">
        <v>1630</v>
      </c>
      <c r="G23" s="187">
        <f t="shared" si="19"/>
        <v>88166.700000000012</v>
      </c>
      <c r="H23" s="198" t="s">
        <v>5</v>
      </c>
      <c r="I23" s="188">
        <v>19</v>
      </c>
      <c r="J23" s="58">
        <v>2000</v>
      </c>
      <c r="K23" s="59">
        <f t="shared" si="1"/>
        <v>105.26315789473684</v>
      </c>
      <c r="L23" s="188">
        <v>19</v>
      </c>
      <c r="M23" s="60">
        <f t="shared" si="20"/>
        <v>1917.6470588235302</v>
      </c>
      <c r="N23" s="59">
        <f t="shared" si="3"/>
        <v>100.92879256965948</v>
      </c>
      <c r="O23" s="61">
        <f t="shared" si="4"/>
        <v>0</v>
      </c>
      <c r="P23" s="62">
        <f t="shared" si="5"/>
        <v>-4.3343653250773571</v>
      </c>
      <c r="Q23" s="194">
        <f t="shared" si="6"/>
        <v>0.95882352941176507</v>
      </c>
      <c r="R23" s="566"/>
      <c r="S23" s="63">
        <v>0.70833333333333337</v>
      </c>
      <c r="T23" s="63">
        <v>0.74375000000000002</v>
      </c>
      <c r="U23" s="187" t="str">
        <f t="shared" si="22"/>
        <v/>
      </c>
      <c r="V23" s="190">
        <f t="shared" si="21"/>
        <v>50.999999999999979</v>
      </c>
      <c r="W23" s="64"/>
      <c r="X23" s="68"/>
      <c r="Y23" s="559"/>
      <c r="Z23" s="559"/>
      <c r="AA23" s="61">
        <f t="shared" si="8"/>
        <v>-82.352941176469812</v>
      </c>
      <c r="AB23" s="194">
        <f t="shared" si="9"/>
        <v>0.95882352941176507</v>
      </c>
      <c r="AC23" s="566"/>
    </row>
    <row r="24" spans="1:29" ht="15.75" customHeight="1">
      <c r="A24" s="589" t="s">
        <v>728</v>
      </c>
      <c r="B24" s="57" t="s">
        <v>6</v>
      </c>
      <c r="C24" s="584" t="s">
        <v>69</v>
      </c>
      <c r="D24" s="584"/>
      <c r="E24" s="57">
        <v>57.73</v>
      </c>
      <c r="F24" s="189">
        <v>1693</v>
      </c>
      <c r="G24" s="187">
        <f t="shared" si="19"/>
        <v>97736.89</v>
      </c>
      <c r="H24" s="198" t="s">
        <v>5</v>
      </c>
      <c r="I24" s="188">
        <v>16</v>
      </c>
      <c r="J24" s="58">
        <v>1500</v>
      </c>
      <c r="K24" s="59">
        <f t="shared" si="1"/>
        <v>93.75</v>
      </c>
      <c r="L24" s="188">
        <v>16</v>
      </c>
      <c r="M24" s="60">
        <f t="shared" si="20"/>
        <v>1430.7042253521113</v>
      </c>
      <c r="N24" s="59">
        <f t="shared" si="3"/>
        <v>89.419014084506955</v>
      </c>
      <c r="O24" s="61">
        <f t="shared" si="4"/>
        <v>0</v>
      </c>
      <c r="P24" s="62">
        <f t="shared" si="5"/>
        <v>-4.330985915493045</v>
      </c>
      <c r="Q24" s="194">
        <f t="shared" si="6"/>
        <v>0.95380281690140756</v>
      </c>
      <c r="R24" s="566"/>
      <c r="S24" s="63">
        <v>0.74791666666666667</v>
      </c>
      <c r="T24" s="63">
        <v>0.79722222222222228</v>
      </c>
      <c r="U24" s="187">
        <f t="shared" si="22"/>
        <v>5.9999999999999787</v>
      </c>
      <c r="V24" s="190">
        <f t="shared" si="21"/>
        <v>71.000000000000071</v>
      </c>
      <c r="W24" s="64"/>
      <c r="X24" s="68"/>
      <c r="Y24" s="569"/>
      <c r="Z24" s="570"/>
      <c r="AA24" s="61">
        <f t="shared" si="8"/>
        <v>-69.29577464788872</v>
      </c>
      <c r="AB24" s="194">
        <f t="shared" si="9"/>
        <v>0.95380281690140756</v>
      </c>
      <c r="AC24" s="566"/>
    </row>
    <row r="25" spans="1:29" ht="15.75" customHeight="1">
      <c r="A25" s="589" t="s">
        <v>728</v>
      </c>
      <c r="B25" s="57" t="s">
        <v>6</v>
      </c>
      <c r="C25" s="585" t="s">
        <v>68</v>
      </c>
      <c r="D25" s="586"/>
      <c r="E25" s="57">
        <v>50.67</v>
      </c>
      <c r="F25" s="189">
        <v>1965</v>
      </c>
      <c r="G25" s="187">
        <f t="shared" si="19"/>
        <v>99566.55</v>
      </c>
      <c r="H25" s="198" t="s">
        <v>5</v>
      </c>
      <c r="I25" s="188">
        <v>15</v>
      </c>
      <c r="J25" s="58">
        <v>2000</v>
      </c>
      <c r="K25" s="59">
        <f t="shared" si="1"/>
        <v>133.33333333333334</v>
      </c>
      <c r="L25" s="188">
        <v>15</v>
      </c>
      <c r="M25" s="60">
        <f t="shared" si="20"/>
        <v>1932.7868852459035</v>
      </c>
      <c r="N25" s="59">
        <f t="shared" si="3"/>
        <v>128.85245901639357</v>
      </c>
      <c r="O25" s="61">
        <f t="shared" si="4"/>
        <v>0</v>
      </c>
      <c r="P25" s="62">
        <f t="shared" si="5"/>
        <v>-4.4808743169397758</v>
      </c>
      <c r="Q25" s="194">
        <f t="shared" si="6"/>
        <v>0.96639344262295168</v>
      </c>
      <c r="R25" s="566"/>
      <c r="S25" s="63">
        <v>0.80069444444444449</v>
      </c>
      <c r="T25" s="63">
        <v>0.84305555555555556</v>
      </c>
      <c r="U25" s="187">
        <f t="shared" si="22"/>
        <v>4.9999999999999822</v>
      </c>
      <c r="V25" s="190">
        <f t="shared" si="21"/>
        <v>60.999999999999943</v>
      </c>
      <c r="W25" s="64"/>
      <c r="X25" s="64"/>
      <c r="Y25" s="569"/>
      <c r="Z25" s="570"/>
      <c r="AA25" s="61">
        <f t="shared" si="8"/>
        <v>-67.213114754096523</v>
      </c>
      <c r="AB25" s="194">
        <f t="shared" si="9"/>
        <v>0.96639344262295179</v>
      </c>
      <c r="AC25" s="566"/>
    </row>
    <row r="26" spans="1:29" ht="15.75" customHeight="1">
      <c r="A26" s="589" t="s">
        <v>728</v>
      </c>
      <c r="B26" s="57" t="s">
        <v>729</v>
      </c>
      <c r="C26" s="571"/>
      <c r="D26" s="571"/>
      <c r="E26" s="193"/>
      <c r="F26" s="189"/>
      <c r="G26" s="187"/>
      <c r="H26" s="189"/>
      <c r="I26" s="67">
        <v>16.375</v>
      </c>
      <c r="J26" s="58">
        <v>1937.5</v>
      </c>
      <c r="K26" s="59">
        <f t="shared" si="1"/>
        <v>118.32061068702291</v>
      </c>
      <c r="L26" s="67">
        <v>16.375</v>
      </c>
      <c r="M26" s="60">
        <f>AVERAGE(M18:M25)</f>
        <v>1859.1741870938981</v>
      </c>
      <c r="N26" s="59">
        <f t="shared" si="3"/>
        <v>113.53735493703195</v>
      </c>
      <c r="O26" s="61">
        <f t="shared" si="4"/>
        <v>0</v>
      </c>
      <c r="P26" s="62">
        <f t="shared" si="5"/>
        <v>-4.7832557499909569</v>
      </c>
      <c r="Q26" s="194">
        <f t="shared" si="6"/>
        <v>0.95957377398394739</v>
      </c>
      <c r="R26" s="566"/>
      <c r="S26" s="63"/>
      <c r="T26" s="63"/>
      <c r="U26" s="59"/>
      <c r="V26" s="190"/>
      <c r="W26" s="59"/>
      <c r="X26" s="59"/>
      <c r="Y26" s="559"/>
      <c r="Z26" s="559"/>
      <c r="AA26" s="61">
        <f t="shared" si="8"/>
        <v>-78.325812906101874</v>
      </c>
      <c r="AB26" s="194">
        <f t="shared" si="9"/>
        <v>0.95957377398394739</v>
      </c>
      <c r="AC26" s="566"/>
    </row>
    <row r="27" spans="1:29" ht="15.75" customHeight="1">
      <c r="A27" s="587" t="s">
        <v>730</v>
      </c>
      <c r="B27" s="57" t="s">
        <v>15</v>
      </c>
      <c r="C27" s="584" t="s">
        <v>26</v>
      </c>
      <c r="D27" s="584"/>
      <c r="E27" s="57">
        <v>31.29</v>
      </c>
      <c r="F27" s="189">
        <v>5300</v>
      </c>
      <c r="G27" s="187">
        <f t="shared" ref="G27:G35" si="23">E27*F27</f>
        <v>165837</v>
      </c>
      <c r="H27" s="198">
        <v>2</v>
      </c>
      <c r="I27" s="188">
        <v>18</v>
      </c>
      <c r="J27" s="58">
        <v>2400</v>
      </c>
      <c r="K27" s="59">
        <f t="shared" si="1"/>
        <v>133.33333333333334</v>
      </c>
      <c r="L27" s="188">
        <v>18</v>
      </c>
      <c r="M27" s="60">
        <f t="shared" ref="M27:M35" si="24">F27/V27*60</f>
        <v>2287.7697841726617</v>
      </c>
      <c r="N27" s="59">
        <f t="shared" si="3"/>
        <v>127.09832134292566</v>
      </c>
      <c r="O27" s="61">
        <f t="shared" si="4"/>
        <v>0</v>
      </c>
      <c r="P27" s="62">
        <f t="shared" si="5"/>
        <v>-6.2350119904076848</v>
      </c>
      <c r="Q27" s="194">
        <f t="shared" si="6"/>
        <v>0.9532374100719424</v>
      </c>
      <c r="R27" s="566">
        <f>Q36</f>
        <v>0.958551517626271</v>
      </c>
      <c r="S27" s="63">
        <v>8.3333333333333329E-2</v>
      </c>
      <c r="T27" s="63">
        <v>0.17986111111111111</v>
      </c>
      <c r="U27" s="187"/>
      <c r="V27" s="190">
        <f t="shared" ref="V27:V35" si="25">(T27-S27)*24*60</f>
        <v>139</v>
      </c>
      <c r="W27" s="64">
        <f>T27</f>
        <v>0.17986111111111111</v>
      </c>
      <c r="X27" s="64">
        <f>S28</f>
        <v>0.19722222222222219</v>
      </c>
      <c r="Y27" s="559"/>
      <c r="Z27" s="559"/>
      <c r="AA27" s="61">
        <f t="shared" si="8"/>
        <v>-112.23021582733827</v>
      </c>
      <c r="AB27" s="194">
        <f t="shared" si="9"/>
        <v>0.9532374100719424</v>
      </c>
      <c r="AC27" s="566">
        <f>AB36</f>
        <v>0.95855151762627089</v>
      </c>
    </row>
    <row r="28" spans="1:29" ht="15.75" customHeight="1">
      <c r="A28" s="587" t="s">
        <v>730</v>
      </c>
      <c r="B28" s="57" t="s">
        <v>15</v>
      </c>
      <c r="C28" s="584" t="s">
        <v>23</v>
      </c>
      <c r="D28" s="584"/>
      <c r="E28" s="57">
        <v>26.2</v>
      </c>
      <c r="F28" s="189">
        <v>3000</v>
      </c>
      <c r="G28" s="187">
        <f t="shared" si="23"/>
        <v>78600</v>
      </c>
      <c r="H28" s="198">
        <v>2</v>
      </c>
      <c r="I28" s="188">
        <v>20</v>
      </c>
      <c r="J28" s="58">
        <v>2400</v>
      </c>
      <c r="K28" s="59">
        <f t="shared" si="1"/>
        <v>120</v>
      </c>
      <c r="L28" s="188">
        <v>20</v>
      </c>
      <c r="M28" s="60">
        <f t="shared" si="24"/>
        <v>2307.6923076923063</v>
      </c>
      <c r="N28" s="59">
        <f t="shared" si="3"/>
        <v>115.38461538461532</v>
      </c>
      <c r="O28" s="61">
        <f t="shared" si="4"/>
        <v>0</v>
      </c>
      <c r="P28" s="62">
        <f t="shared" si="5"/>
        <v>-4.6153846153846843</v>
      </c>
      <c r="Q28" s="194">
        <f t="shared" si="6"/>
        <v>0.96153846153846101</v>
      </c>
      <c r="R28" s="566"/>
      <c r="S28" s="63">
        <v>0.19722222222222219</v>
      </c>
      <c r="T28" s="63">
        <v>0.25138888888888888</v>
      </c>
      <c r="U28" s="187">
        <f t="shared" ref="U28:U35" si="26">(S28-T27)*24*60</f>
        <v>24.99999999999995</v>
      </c>
      <c r="V28" s="190">
        <f t="shared" si="25"/>
        <v>78.000000000000043</v>
      </c>
      <c r="W28" s="64"/>
      <c r="X28" s="64"/>
      <c r="Y28" s="559"/>
      <c r="Z28" s="559"/>
      <c r="AA28" s="61">
        <f t="shared" si="8"/>
        <v>-92.307692307693742</v>
      </c>
      <c r="AB28" s="194">
        <f t="shared" si="9"/>
        <v>0.9615384615384609</v>
      </c>
      <c r="AC28" s="566"/>
    </row>
    <row r="29" spans="1:29" ht="15.75" customHeight="1">
      <c r="A29" s="587" t="s">
        <v>730</v>
      </c>
      <c r="B29" s="57" t="s">
        <v>15</v>
      </c>
      <c r="C29" s="584" t="s">
        <v>70</v>
      </c>
      <c r="D29" s="584"/>
      <c r="E29" s="57">
        <v>25.99</v>
      </c>
      <c r="F29" s="189">
        <v>2800</v>
      </c>
      <c r="G29" s="187">
        <f t="shared" si="23"/>
        <v>72772</v>
      </c>
      <c r="H29" s="198">
        <v>2</v>
      </c>
      <c r="I29" s="188">
        <v>14</v>
      </c>
      <c r="J29" s="58">
        <v>2400</v>
      </c>
      <c r="K29" s="59">
        <f t="shared" si="1"/>
        <v>171.42857142857142</v>
      </c>
      <c r="L29" s="188">
        <v>14</v>
      </c>
      <c r="M29" s="60">
        <f t="shared" si="24"/>
        <v>2301.3698630136987</v>
      </c>
      <c r="N29" s="59">
        <f t="shared" si="3"/>
        <v>164.38356164383563</v>
      </c>
      <c r="O29" s="61">
        <f t="shared" si="4"/>
        <v>0</v>
      </c>
      <c r="P29" s="62">
        <f t="shared" si="5"/>
        <v>-7.0450097847357824</v>
      </c>
      <c r="Q29" s="194">
        <f t="shared" si="6"/>
        <v>0.95890410958904126</v>
      </c>
      <c r="R29" s="566"/>
      <c r="S29" s="63">
        <v>0.25555555555555554</v>
      </c>
      <c r="T29" s="63">
        <v>0.30624999999999997</v>
      </c>
      <c r="U29" s="187">
        <f t="shared" si="26"/>
        <v>5.9999999999999787</v>
      </c>
      <c r="V29" s="190">
        <f t="shared" si="25"/>
        <v>72.999999999999986</v>
      </c>
      <c r="W29" s="64"/>
      <c r="X29" s="64"/>
      <c r="Y29" s="559"/>
      <c r="Z29" s="559"/>
      <c r="AA29" s="61">
        <f t="shared" si="8"/>
        <v>-98.630136986301295</v>
      </c>
      <c r="AB29" s="194">
        <f t="shared" si="9"/>
        <v>0.95890410958904115</v>
      </c>
      <c r="AC29" s="566"/>
    </row>
    <row r="30" spans="1:29" ht="15.75" customHeight="1">
      <c r="A30" s="587" t="s">
        <v>730</v>
      </c>
      <c r="B30" s="57" t="s">
        <v>15</v>
      </c>
      <c r="C30" s="584" t="s">
        <v>45</v>
      </c>
      <c r="D30" s="584"/>
      <c r="E30" s="57">
        <v>20.52</v>
      </c>
      <c r="F30" s="189">
        <v>4858</v>
      </c>
      <c r="G30" s="187">
        <f t="shared" si="23"/>
        <v>99686.16</v>
      </c>
      <c r="H30" s="198" t="s">
        <v>5</v>
      </c>
      <c r="I30" s="188">
        <v>18</v>
      </c>
      <c r="J30" s="58">
        <v>2400</v>
      </c>
      <c r="K30" s="59">
        <f t="shared" si="1"/>
        <v>133.33333333333334</v>
      </c>
      <c r="L30" s="188">
        <v>18</v>
      </c>
      <c r="M30" s="60">
        <f t="shared" si="24"/>
        <v>2295.1181102362202</v>
      </c>
      <c r="N30" s="59">
        <f t="shared" si="3"/>
        <v>127.50656167979001</v>
      </c>
      <c r="O30" s="61">
        <f t="shared" si="4"/>
        <v>0</v>
      </c>
      <c r="P30" s="62">
        <f t="shared" si="5"/>
        <v>-5.8267716535433323</v>
      </c>
      <c r="Q30" s="194">
        <f t="shared" si="6"/>
        <v>0.95629921259842499</v>
      </c>
      <c r="R30" s="566"/>
      <c r="S30" s="63">
        <v>0.31041666666666662</v>
      </c>
      <c r="T30" s="63">
        <v>0.39861111111111108</v>
      </c>
      <c r="U30" s="187">
        <f t="shared" si="26"/>
        <v>5.9999999999999787</v>
      </c>
      <c r="V30" s="190">
        <f t="shared" si="25"/>
        <v>127.00000000000003</v>
      </c>
      <c r="W30" s="64"/>
      <c r="X30" s="64"/>
      <c r="Y30" s="559"/>
      <c r="Z30" s="559"/>
      <c r="AA30" s="61">
        <f t="shared" si="8"/>
        <v>-104.88188976377978</v>
      </c>
      <c r="AB30" s="194">
        <f t="shared" si="9"/>
        <v>0.9562992125984251</v>
      </c>
      <c r="AC30" s="566"/>
    </row>
    <row r="31" spans="1:29" ht="15.75" customHeight="1">
      <c r="A31" s="587" t="s">
        <v>730</v>
      </c>
      <c r="B31" s="57" t="s">
        <v>15</v>
      </c>
      <c r="C31" s="584" t="s">
        <v>98</v>
      </c>
      <c r="D31" s="584"/>
      <c r="E31" s="57">
        <v>25.98</v>
      </c>
      <c r="F31" s="189">
        <v>4538</v>
      </c>
      <c r="G31" s="187">
        <f t="shared" si="23"/>
        <v>117897.24</v>
      </c>
      <c r="H31" s="198" t="s">
        <v>5</v>
      </c>
      <c r="I31" s="188">
        <v>21</v>
      </c>
      <c r="J31" s="58">
        <v>2400</v>
      </c>
      <c r="K31" s="59">
        <f t="shared" si="1"/>
        <v>114.28571428571429</v>
      </c>
      <c r="L31" s="188">
        <v>21</v>
      </c>
      <c r="M31" s="60">
        <f t="shared" si="24"/>
        <v>2288.0672268907565</v>
      </c>
      <c r="N31" s="59">
        <f t="shared" si="3"/>
        <v>108.95558223289316</v>
      </c>
      <c r="O31" s="61">
        <f t="shared" si="4"/>
        <v>0</v>
      </c>
      <c r="P31" s="62">
        <f t="shared" si="5"/>
        <v>-5.3301320528211278</v>
      </c>
      <c r="Q31" s="194">
        <f t="shared" si="6"/>
        <v>0.95336134453781518</v>
      </c>
      <c r="R31" s="566"/>
      <c r="S31" s="63">
        <v>0.40208333333333329</v>
      </c>
      <c r="T31" s="63">
        <v>0.48472222222222217</v>
      </c>
      <c r="U31" s="187">
        <f t="shared" si="26"/>
        <v>4.9999999999999822</v>
      </c>
      <c r="V31" s="190">
        <f t="shared" si="25"/>
        <v>118.99999999999997</v>
      </c>
      <c r="W31" s="64">
        <f>T31</f>
        <v>0.48472222222222217</v>
      </c>
      <c r="X31" s="64">
        <f>S32</f>
        <v>0.52499999999999991</v>
      </c>
      <c r="Y31" s="559"/>
      <c r="Z31" s="559"/>
      <c r="AA31" s="61">
        <f t="shared" si="8"/>
        <v>-111.9327731092435</v>
      </c>
      <c r="AB31" s="194">
        <f t="shared" si="9"/>
        <v>0.95336134453781518</v>
      </c>
      <c r="AC31" s="566"/>
    </row>
    <row r="32" spans="1:29" ht="15.75" customHeight="1">
      <c r="A32" s="587" t="s">
        <v>730</v>
      </c>
      <c r="B32" s="57" t="s">
        <v>15</v>
      </c>
      <c r="C32" s="584" t="s">
        <v>26</v>
      </c>
      <c r="D32" s="584"/>
      <c r="E32" s="57">
        <v>31.29</v>
      </c>
      <c r="F32" s="189">
        <v>3623</v>
      </c>
      <c r="G32" s="187">
        <f t="shared" si="23"/>
        <v>113363.67</v>
      </c>
      <c r="H32" s="198" t="s">
        <v>5</v>
      </c>
      <c r="I32" s="188">
        <v>18</v>
      </c>
      <c r="J32" s="58">
        <v>2400</v>
      </c>
      <c r="K32" s="59">
        <f t="shared" si="1"/>
        <v>133.33333333333334</v>
      </c>
      <c r="L32" s="188">
        <v>18</v>
      </c>
      <c r="M32" s="60">
        <f t="shared" si="24"/>
        <v>2288.2105263157896</v>
      </c>
      <c r="N32" s="59">
        <f t="shared" si="3"/>
        <v>127.12280701754386</v>
      </c>
      <c r="O32" s="61">
        <f t="shared" si="4"/>
        <v>0</v>
      </c>
      <c r="P32" s="62">
        <f t="shared" si="5"/>
        <v>-6.2105263157894797</v>
      </c>
      <c r="Q32" s="194">
        <f t="shared" si="6"/>
        <v>0.95342105263157895</v>
      </c>
      <c r="R32" s="566"/>
      <c r="S32" s="63">
        <v>0.52499999999999991</v>
      </c>
      <c r="T32" s="63">
        <v>0.59097222222222212</v>
      </c>
      <c r="U32" s="187">
        <f t="shared" si="26"/>
        <v>57.999999999999957</v>
      </c>
      <c r="V32" s="190">
        <f t="shared" si="25"/>
        <v>94.999999999999986</v>
      </c>
      <c r="W32" s="64"/>
      <c r="X32" s="64"/>
      <c r="Y32" s="559"/>
      <c r="Z32" s="559"/>
      <c r="AA32" s="61">
        <f t="shared" si="8"/>
        <v>-111.78947368421041</v>
      </c>
      <c r="AB32" s="194">
        <f t="shared" si="9"/>
        <v>0.95342105263157895</v>
      </c>
      <c r="AC32" s="566"/>
    </row>
    <row r="33" spans="1:29" ht="15.75" customHeight="1">
      <c r="A33" s="587" t="s">
        <v>730</v>
      </c>
      <c r="B33" s="57" t="s">
        <v>15</v>
      </c>
      <c r="C33" s="584" t="s">
        <v>23</v>
      </c>
      <c r="D33" s="584"/>
      <c r="E33" s="57">
        <v>26.2</v>
      </c>
      <c r="F33" s="189">
        <v>2201</v>
      </c>
      <c r="G33" s="187">
        <f t="shared" si="23"/>
        <v>57666.2</v>
      </c>
      <c r="H33" s="198" t="s">
        <v>5</v>
      </c>
      <c r="I33" s="188">
        <v>20</v>
      </c>
      <c r="J33" s="58">
        <v>2400</v>
      </c>
      <c r="K33" s="59">
        <f t="shared" si="1"/>
        <v>120</v>
      </c>
      <c r="L33" s="188">
        <v>20</v>
      </c>
      <c r="M33" s="60">
        <f t="shared" si="24"/>
        <v>2316.8421052631597</v>
      </c>
      <c r="N33" s="59">
        <f t="shared" si="3"/>
        <v>115.84210526315799</v>
      </c>
      <c r="O33" s="61">
        <f t="shared" si="4"/>
        <v>0</v>
      </c>
      <c r="P33" s="62">
        <f t="shared" si="5"/>
        <v>-4.1578947368420103</v>
      </c>
      <c r="Q33" s="194">
        <f t="shared" si="6"/>
        <v>0.96535087719298329</v>
      </c>
      <c r="R33" s="566"/>
      <c r="S33" s="63">
        <v>0.59652777777777766</v>
      </c>
      <c r="T33" s="63">
        <v>0.63611111111111096</v>
      </c>
      <c r="U33" s="187">
        <f t="shared" si="26"/>
        <v>7.9999999999999716</v>
      </c>
      <c r="V33" s="190">
        <f t="shared" si="25"/>
        <v>56.999999999999957</v>
      </c>
      <c r="W33" s="64"/>
      <c r="X33" s="64"/>
      <c r="Y33" s="559"/>
      <c r="Z33" s="559"/>
      <c r="AA33" s="61">
        <f t="shared" si="8"/>
        <v>-83.157894736840262</v>
      </c>
      <c r="AB33" s="194">
        <f t="shared" si="9"/>
        <v>0.96535087719298318</v>
      </c>
      <c r="AC33" s="566"/>
    </row>
    <row r="34" spans="1:29" ht="15.75" customHeight="1">
      <c r="A34" s="587" t="s">
        <v>730</v>
      </c>
      <c r="B34" s="57" t="s">
        <v>15</v>
      </c>
      <c r="C34" s="584" t="s">
        <v>70</v>
      </c>
      <c r="D34" s="584"/>
      <c r="E34" s="57">
        <v>25.99</v>
      </c>
      <c r="F34" s="189">
        <v>2165</v>
      </c>
      <c r="G34" s="187">
        <f t="shared" si="23"/>
        <v>56268.35</v>
      </c>
      <c r="H34" s="198" t="s">
        <v>5</v>
      </c>
      <c r="I34" s="188">
        <v>14</v>
      </c>
      <c r="J34" s="58">
        <v>2400</v>
      </c>
      <c r="K34" s="59">
        <f t="shared" si="1"/>
        <v>171.42857142857142</v>
      </c>
      <c r="L34" s="188">
        <v>14</v>
      </c>
      <c r="M34" s="60">
        <f t="shared" si="24"/>
        <v>2319.6428571428587</v>
      </c>
      <c r="N34" s="59">
        <f t="shared" si="3"/>
        <v>165.68877551020418</v>
      </c>
      <c r="O34" s="61">
        <f t="shared" si="4"/>
        <v>0</v>
      </c>
      <c r="P34" s="62">
        <f t="shared" si="5"/>
        <v>-5.7397959183672356</v>
      </c>
      <c r="Q34" s="194">
        <f t="shared" si="6"/>
        <v>0.96651785714285776</v>
      </c>
      <c r="R34" s="566"/>
      <c r="S34" s="63">
        <v>0.64097222222222205</v>
      </c>
      <c r="T34" s="63">
        <v>0.67986111111111092</v>
      </c>
      <c r="U34" s="187">
        <f t="shared" si="26"/>
        <v>6.9999999999999751</v>
      </c>
      <c r="V34" s="190">
        <f t="shared" si="25"/>
        <v>55.999999999999957</v>
      </c>
      <c r="W34" s="64"/>
      <c r="X34" s="64"/>
      <c r="Y34" s="559"/>
      <c r="Z34" s="559"/>
      <c r="AA34" s="61">
        <f t="shared" si="8"/>
        <v>-80.357142857141298</v>
      </c>
      <c r="AB34" s="194">
        <f t="shared" si="9"/>
        <v>0.96651785714285776</v>
      </c>
      <c r="AC34" s="566"/>
    </row>
    <row r="35" spans="1:29" ht="15.75" customHeight="1">
      <c r="A35" s="587" t="s">
        <v>730</v>
      </c>
      <c r="B35" s="57" t="s">
        <v>15</v>
      </c>
      <c r="C35" s="585" t="s">
        <v>27</v>
      </c>
      <c r="D35" s="586"/>
      <c r="E35" s="57">
        <v>26.2</v>
      </c>
      <c r="F35" s="189">
        <v>2875</v>
      </c>
      <c r="G35" s="187">
        <f t="shared" si="23"/>
        <v>75325</v>
      </c>
      <c r="H35" s="198" t="s">
        <v>5</v>
      </c>
      <c r="I35" s="188">
        <v>18</v>
      </c>
      <c r="J35" s="58">
        <v>2400</v>
      </c>
      <c r="K35" s="59">
        <f t="shared" si="1"/>
        <v>133.33333333333334</v>
      </c>
      <c r="L35" s="188">
        <v>18</v>
      </c>
      <c r="M35" s="60">
        <f t="shared" si="24"/>
        <v>2299.9999999999986</v>
      </c>
      <c r="N35" s="59">
        <f t="shared" si="3"/>
        <v>127.7777777777777</v>
      </c>
      <c r="O35" s="61">
        <f t="shared" si="4"/>
        <v>0</v>
      </c>
      <c r="P35" s="62">
        <f t="shared" si="5"/>
        <v>-5.5555555555556424</v>
      </c>
      <c r="Q35" s="194">
        <f t="shared" si="6"/>
        <v>0.9583333333333327</v>
      </c>
      <c r="R35" s="566"/>
      <c r="S35" s="63">
        <v>0.68541666666666645</v>
      </c>
      <c r="T35" s="63">
        <v>0.73749999999999982</v>
      </c>
      <c r="U35" s="187">
        <f t="shared" si="26"/>
        <v>7.9999999999999716</v>
      </c>
      <c r="V35" s="190">
        <f t="shared" si="25"/>
        <v>75.000000000000057</v>
      </c>
      <c r="W35" s="64"/>
      <c r="X35" s="64"/>
      <c r="Y35" s="569"/>
      <c r="Z35" s="570"/>
      <c r="AA35" s="61">
        <f t="shared" si="8"/>
        <v>-100.00000000000136</v>
      </c>
      <c r="AB35" s="194">
        <f t="shared" si="9"/>
        <v>0.95833333333333282</v>
      </c>
      <c r="AC35" s="566"/>
    </row>
    <row r="36" spans="1:29" ht="15.75" customHeight="1">
      <c r="A36" s="587" t="s">
        <v>730</v>
      </c>
      <c r="B36" s="57" t="s">
        <v>729</v>
      </c>
      <c r="C36" s="571"/>
      <c r="D36" s="571"/>
      <c r="E36" s="193"/>
      <c r="F36" s="189"/>
      <c r="G36" s="187"/>
      <c r="H36" s="189"/>
      <c r="I36" s="67">
        <v>17.888888888888889</v>
      </c>
      <c r="J36" s="58">
        <v>2400</v>
      </c>
      <c r="K36" s="59">
        <f t="shared" si="1"/>
        <v>134.1614906832298</v>
      </c>
      <c r="L36" s="67">
        <v>17.888888888888889</v>
      </c>
      <c r="M36" s="60">
        <f>AVERAGE(M27:M35)</f>
        <v>2300.5236423030501</v>
      </c>
      <c r="N36" s="59">
        <f t="shared" si="3"/>
        <v>128.60070050141275</v>
      </c>
      <c r="O36" s="61">
        <f t="shared" si="4"/>
        <v>0</v>
      </c>
      <c r="P36" s="62">
        <f t="shared" si="5"/>
        <v>-5.5607901818170546</v>
      </c>
      <c r="Q36" s="194">
        <f t="shared" si="6"/>
        <v>0.958551517626271</v>
      </c>
      <c r="R36" s="566"/>
      <c r="S36" s="63"/>
      <c r="T36" s="63"/>
      <c r="U36" s="187"/>
      <c r="V36" s="190"/>
      <c r="W36" s="187"/>
      <c r="X36" s="187"/>
      <c r="Y36" s="559"/>
      <c r="Z36" s="559"/>
      <c r="AA36" s="61">
        <f t="shared" si="8"/>
        <v>-99.47635769694989</v>
      </c>
      <c r="AB36" s="194">
        <f t="shared" si="9"/>
        <v>0.95855151762627089</v>
      </c>
      <c r="AC36" s="566"/>
    </row>
    <row r="37" spans="1:29" ht="15.75" customHeight="1">
      <c r="A37" s="582" t="s">
        <v>731</v>
      </c>
      <c r="B37" s="57" t="s">
        <v>15</v>
      </c>
      <c r="C37" s="560" t="s">
        <v>44</v>
      </c>
      <c r="D37" s="560"/>
      <c r="E37" s="57">
        <v>19.02</v>
      </c>
      <c r="F37" s="189">
        <v>5500</v>
      </c>
      <c r="G37" s="187">
        <f t="shared" ref="G37:G44" si="27">E37*F37</f>
        <v>104610</v>
      </c>
      <c r="H37" s="198">
        <v>2</v>
      </c>
      <c r="I37" s="188">
        <v>15</v>
      </c>
      <c r="J37" s="58">
        <v>2400</v>
      </c>
      <c r="K37" s="59">
        <f t="shared" si="1"/>
        <v>160</v>
      </c>
      <c r="L37" s="188">
        <v>15</v>
      </c>
      <c r="M37" s="60">
        <f t="shared" ref="M37:M44" si="28">F37/V37*60</f>
        <v>2291.6666666666665</v>
      </c>
      <c r="N37" s="59">
        <f t="shared" si="3"/>
        <v>152.77777777777777</v>
      </c>
      <c r="O37" s="61">
        <f t="shared" si="4"/>
        <v>0</v>
      </c>
      <c r="P37" s="62">
        <f t="shared" si="5"/>
        <v>-7.2222222222222285</v>
      </c>
      <c r="Q37" s="194">
        <f t="shared" si="6"/>
        <v>0.95486111111111105</v>
      </c>
      <c r="R37" s="566">
        <f>Q45</f>
        <v>0.95679531672231233</v>
      </c>
      <c r="S37" s="63">
        <v>8.3333333333333329E-2</v>
      </c>
      <c r="T37" s="63">
        <v>0.18333333333333332</v>
      </c>
      <c r="U37" s="187"/>
      <c r="V37" s="190">
        <f t="shared" ref="V37:V44" si="29">(T37-S37)*24*60</f>
        <v>144</v>
      </c>
      <c r="W37" s="68">
        <f>T37</f>
        <v>0.18333333333333332</v>
      </c>
      <c r="X37" s="68">
        <f>S38</f>
        <v>0.20138888888888887</v>
      </c>
      <c r="Y37" s="559"/>
      <c r="Z37" s="559"/>
      <c r="AA37" s="61">
        <f t="shared" si="8"/>
        <v>-108.33333333333348</v>
      </c>
      <c r="AB37" s="194">
        <f t="shared" si="9"/>
        <v>0.95486111111111105</v>
      </c>
      <c r="AC37" s="566">
        <f>AB45</f>
        <v>0.95679531672231233</v>
      </c>
    </row>
    <row r="38" spans="1:29" ht="15.75" customHeight="1">
      <c r="A38" s="582" t="s">
        <v>731</v>
      </c>
      <c r="B38" s="57" t="s">
        <v>15</v>
      </c>
      <c r="C38" s="560" t="s">
        <v>27</v>
      </c>
      <c r="D38" s="560"/>
      <c r="E38" s="57">
        <v>26.2</v>
      </c>
      <c r="F38" s="189">
        <v>3700</v>
      </c>
      <c r="G38" s="187">
        <f t="shared" si="27"/>
        <v>96940</v>
      </c>
      <c r="H38" s="198">
        <v>2</v>
      </c>
      <c r="I38" s="188">
        <v>18</v>
      </c>
      <c r="J38" s="58">
        <v>2400</v>
      </c>
      <c r="K38" s="59">
        <f t="shared" si="1"/>
        <v>133.33333333333334</v>
      </c>
      <c r="L38" s="188">
        <v>18</v>
      </c>
      <c r="M38" s="60">
        <f t="shared" si="28"/>
        <v>2288.6597938144323</v>
      </c>
      <c r="N38" s="59">
        <f t="shared" si="3"/>
        <v>127.14776632302402</v>
      </c>
      <c r="O38" s="61">
        <f t="shared" si="4"/>
        <v>0</v>
      </c>
      <c r="P38" s="62">
        <f t="shared" si="5"/>
        <v>-6.1855670103093274</v>
      </c>
      <c r="Q38" s="194">
        <f t="shared" si="6"/>
        <v>0.95360824742268002</v>
      </c>
      <c r="R38" s="566"/>
      <c r="S38" s="63">
        <v>0.20138888888888887</v>
      </c>
      <c r="T38" s="63">
        <v>0.26874999999999999</v>
      </c>
      <c r="U38" s="187">
        <f t="shared" ref="U38:U44" si="30">(S38-T37)*24*60</f>
        <v>25.999999999999986</v>
      </c>
      <c r="V38" s="190">
        <f t="shared" si="29"/>
        <v>97.000000000000014</v>
      </c>
      <c r="W38" s="187"/>
      <c r="X38" s="187"/>
      <c r="Y38" s="559"/>
      <c r="Z38" s="559"/>
      <c r="AA38" s="61">
        <f t="shared" si="8"/>
        <v>-111.34020618556769</v>
      </c>
      <c r="AB38" s="194">
        <f t="shared" si="9"/>
        <v>0.95360824742268013</v>
      </c>
      <c r="AC38" s="566"/>
    </row>
    <row r="39" spans="1:29">
      <c r="A39" s="583" t="s">
        <v>731</v>
      </c>
      <c r="B39" s="57" t="s">
        <v>15</v>
      </c>
      <c r="C39" s="560" t="s">
        <v>25</v>
      </c>
      <c r="D39" s="560"/>
      <c r="E39" s="57">
        <v>26.18</v>
      </c>
      <c r="F39" s="189">
        <v>2795</v>
      </c>
      <c r="G39" s="187">
        <f t="shared" si="27"/>
        <v>73173.100000000006</v>
      </c>
      <c r="H39" s="198" t="s">
        <v>5</v>
      </c>
      <c r="I39" s="188">
        <v>19</v>
      </c>
      <c r="J39" s="58">
        <v>2400</v>
      </c>
      <c r="K39" s="59">
        <f t="shared" si="1"/>
        <v>126.31578947368421</v>
      </c>
      <c r="L39" s="188">
        <v>19</v>
      </c>
      <c r="M39" s="60">
        <f t="shared" si="28"/>
        <v>2297.260273972603</v>
      </c>
      <c r="N39" s="59">
        <f t="shared" si="3"/>
        <v>120.90843547224226</v>
      </c>
      <c r="O39" s="61">
        <f t="shared" si="4"/>
        <v>0</v>
      </c>
      <c r="P39" s="62">
        <f t="shared" si="5"/>
        <v>-5.407354001441945</v>
      </c>
      <c r="Q39" s="194">
        <f t="shared" si="6"/>
        <v>0.95719178082191791</v>
      </c>
      <c r="R39" s="566"/>
      <c r="S39" s="63">
        <v>0.27430555555555552</v>
      </c>
      <c r="T39" s="63">
        <v>0.32499999999999996</v>
      </c>
      <c r="U39" s="187">
        <f t="shared" si="30"/>
        <v>7.9999999999999716</v>
      </c>
      <c r="V39" s="190">
        <f t="shared" si="29"/>
        <v>72.999999999999986</v>
      </c>
      <c r="W39" s="187"/>
      <c r="X39" s="187"/>
      <c r="Y39" s="559"/>
      <c r="Z39" s="559"/>
      <c r="AA39" s="61">
        <f t="shared" si="8"/>
        <v>-102.73972602739696</v>
      </c>
      <c r="AB39" s="194">
        <f t="shared" si="9"/>
        <v>0.95719178082191791</v>
      </c>
      <c r="AC39" s="566"/>
    </row>
    <row r="40" spans="1:29">
      <c r="A40" s="583" t="s">
        <v>731</v>
      </c>
      <c r="B40" s="57" t="s">
        <v>15</v>
      </c>
      <c r="C40" s="560" t="s">
        <v>28</v>
      </c>
      <c r="D40" s="560"/>
      <c r="E40" s="57">
        <v>26.39</v>
      </c>
      <c r="F40" s="189">
        <v>3800</v>
      </c>
      <c r="G40" s="187">
        <f t="shared" si="27"/>
        <v>100282</v>
      </c>
      <c r="H40" s="198">
        <v>2</v>
      </c>
      <c r="I40" s="188">
        <v>19</v>
      </c>
      <c r="J40" s="58">
        <v>2400</v>
      </c>
      <c r="K40" s="59">
        <f t="shared" si="1"/>
        <v>126.31578947368421</v>
      </c>
      <c r="L40" s="188">
        <v>19</v>
      </c>
      <c r="M40" s="60">
        <f t="shared" si="28"/>
        <v>2280.0000000000009</v>
      </c>
      <c r="N40" s="59">
        <f t="shared" si="3"/>
        <v>120.00000000000004</v>
      </c>
      <c r="O40" s="61">
        <f t="shared" si="4"/>
        <v>0</v>
      </c>
      <c r="P40" s="62">
        <f t="shared" si="5"/>
        <v>-6.3157894736841627</v>
      </c>
      <c r="Q40" s="194">
        <f t="shared" si="6"/>
        <v>0.9500000000000004</v>
      </c>
      <c r="R40" s="566"/>
      <c r="S40" s="63">
        <v>0.32847222222222217</v>
      </c>
      <c r="T40" s="63">
        <v>0.39791666666666659</v>
      </c>
      <c r="U40" s="187">
        <f t="shared" si="30"/>
        <v>4.9999999999999822</v>
      </c>
      <c r="V40" s="190">
        <f t="shared" si="29"/>
        <v>99.999999999999972</v>
      </c>
      <c r="W40" s="64"/>
      <c r="X40" s="64"/>
      <c r="Y40" s="559"/>
      <c r="Z40" s="559"/>
      <c r="AA40" s="61">
        <f t="shared" si="8"/>
        <v>-119.99999999999909</v>
      </c>
      <c r="AB40" s="194">
        <f t="shared" si="9"/>
        <v>0.9500000000000004</v>
      </c>
      <c r="AC40" s="566"/>
    </row>
    <row r="41" spans="1:29">
      <c r="A41" s="583" t="s">
        <v>731</v>
      </c>
      <c r="B41" s="57" t="s">
        <v>15</v>
      </c>
      <c r="C41" s="560" t="s">
        <v>658</v>
      </c>
      <c r="D41" s="560"/>
      <c r="E41" s="57">
        <v>21.68</v>
      </c>
      <c r="F41" s="189">
        <v>4200</v>
      </c>
      <c r="G41" s="187">
        <f t="shared" si="27"/>
        <v>91056</v>
      </c>
      <c r="H41" s="198">
        <v>2</v>
      </c>
      <c r="I41" s="188">
        <v>16</v>
      </c>
      <c r="J41" s="58">
        <v>2400</v>
      </c>
      <c r="K41" s="59">
        <f t="shared" si="1"/>
        <v>150</v>
      </c>
      <c r="L41" s="188">
        <v>16</v>
      </c>
      <c r="M41" s="60">
        <f t="shared" si="28"/>
        <v>2290.909090909091</v>
      </c>
      <c r="N41" s="59">
        <f t="shared" si="3"/>
        <v>143.18181818181819</v>
      </c>
      <c r="O41" s="61">
        <f t="shared" si="4"/>
        <v>0</v>
      </c>
      <c r="P41" s="62">
        <f t="shared" si="5"/>
        <v>-6.818181818181813</v>
      </c>
      <c r="Q41" s="194">
        <f t="shared" si="6"/>
        <v>0.95454545454545459</v>
      </c>
      <c r="R41" s="566"/>
      <c r="S41" s="63">
        <v>0.40277777777777768</v>
      </c>
      <c r="T41" s="63">
        <v>0.47916666666666657</v>
      </c>
      <c r="U41" s="187">
        <f t="shared" si="30"/>
        <v>6.9999999999999751</v>
      </c>
      <c r="V41" s="190">
        <f t="shared" si="29"/>
        <v>110.00000000000001</v>
      </c>
      <c r="W41" s="64">
        <f>T41</f>
        <v>0.47916666666666657</v>
      </c>
      <c r="X41" s="64">
        <f>S42</f>
        <v>0.51944444444444438</v>
      </c>
      <c r="Y41" s="559"/>
      <c r="Z41" s="559"/>
      <c r="AA41" s="61">
        <f t="shared" si="8"/>
        <v>-109.09090909090901</v>
      </c>
      <c r="AB41" s="194">
        <f t="shared" si="9"/>
        <v>0.95454545454545459</v>
      </c>
      <c r="AC41" s="566"/>
    </row>
    <row r="42" spans="1:29">
      <c r="A42" s="583" t="s">
        <v>731</v>
      </c>
      <c r="B42" s="57" t="s">
        <v>15</v>
      </c>
      <c r="C42" s="560" t="s">
        <v>658</v>
      </c>
      <c r="D42" s="560"/>
      <c r="E42" s="57">
        <v>21.68</v>
      </c>
      <c r="F42" s="189">
        <v>3122</v>
      </c>
      <c r="G42" s="187">
        <f t="shared" si="27"/>
        <v>67684.959999999992</v>
      </c>
      <c r="H42" s="198" t="s">
        <v>5</v>
      </c>
      <c r="I42" s="188">
        <v>16</v>
      </c>
      <c r="J42" s="58">
        <v>2400</v>
      </c>
      <c r="K42" s="59">
        <f t="shared" si="1"/>
        <v>150</v>
      </c>
      <c r="L42" s="188">
        <v>16</v>
      </c>
      <c r="M42" s="60">
        <f t="shared" si="28"/>
        <v>2312.5925925925917</v>
      </c>
      <c r="N42" s="59">
        <f t="shared" si="3"/>
        <v>144.53703703703698</v>
      </c>
      <c r="O42" s="61">
        <f t="shared" si="4"/>
        <v>0</v>
      </c>
      <c r="P42" s="62">
        <f t="shared" si="5"/>
        <v>-5.4629629629630188</v>
      </c>
      <c r="Q42" s="194">
        <f t="shared" si="6"/>
        <v>0.96358024691357991</v>
      </c>
      <c r="R42" s="566"/>
      <c r="S42" s="63">
        <v>0.51944444444444438</v>
      </c>
      <c r="T42" s="63">
        <v>0.5756944444444444</v>
      </c>
      <c r="U42" s="187">
        <f t="shared" si="30"/>
        <v>58.000000000000036</v>
      </c>
      <c r="V42" s="190">
        <f t="shared" si="29"/>
        <v>81.000000000000028</v>
      </c>
      <c r="W42" s="64"/>
      <c r="X42" s="64"/>
      <c r="Y42" s="559"/>
      <c r="Z42" s="559"/>
      <c r="AA42" s="61">
        <f t="shared" si="8"/>
        <v>-87.4074074074083</v>
      </c>
      <c r="AB42" s="194">
        <f t="shared" si="9"/>
        <v>0.96358024691357991</v>
      </c>
      <c r="AC42" s="566"/>
    </row>
    <row r="43" spans="1:29">
      <c r="A43" s="583" t="s">
        <v>731</v>
      </c>
      <c r="B43" s="57" t="s">
        <v>15</v>
      </c>
      <c r="C43" s="560" t="s">
        <v>28</v>
      </c>
      <c r="D43" s="560"/>
      <c r="E43" s="57">
        <v>26.39</v>
      </c>
      <c r="F43" s="189">
        <v>2582</v>
      </c>
      <c r="G43" s="187">
        <f t="shared" si="27"/>
        <v>68138.98</v>
      </c>
      <c r="H43" s="198" t="s">
        <v>5</v>
      </c>
      <c r="I43" s="188">
        <v>19</v>
      </c>
      <c r="J43" s="58">
        <v>2400</v>
      </c>
      <c r="K43" s="59">
        <f t="shared" si="1"/>
        <v>126.31578947368421</v>
      </c>
      <c r="L43" s="188">
        <v>19</v>
      </c>
      <c r="M43" s="60">
        <f t="shared" si="28"/>
        <v>2312.2388059701525</v>
      </c>
      <c r="N43" s="59">
        <f t="shared" si="3"/>
        <v>121.69677926158697</v>
      </c>
      <c r="O43" s="61">
        <f t="shared" si="4"/>
        <v>0</v>
      </c>
      <c r="P43" s="62">
        <f t="shared" si="5"/>
        <v>-4.6190102120972369</v>
      </c>
      <c r="Q43" s="194">
        <f t="shared" si="6"/>
        <v>0.96343283582089689</v>
      </c>
      <c r="R43" s="566"/>
      <c r="S43" s="63">
        <v>0.57916666666666661</v>
      </c>
      <c r="T43" s="63">
        <v>0.62569444444444433</v>
      </c>
      <c r="U43" s="187">
        <f t="shared" si="30"/>
        <v>4.9999999999999822</v>
      </c>
      <c r="V43" s="190">
        <f t="shared" si="29"/>
        <v>66.999999999999915</v>
      </c>
      <c r="W43" s="64"/>
      <c r="X43" s="64"/>
      <c r="Y43" s="569"/>
      <c r="Z43" s="570"/>
      <c r="AA43" s="61">
        <f t="shared" si="8"/>
        <v>-87.761194029847502</v>
      </c>
      <c r="AB43" s="194">
        <f t="shared" si="9"/>
        <v>0.96343283582089689</v>
      </c>
      <c r="AC43" s="566"/>
    </row>
    <row r="44" spans="1:29">
      <c r="A44" s="583" t="s">
        <v>731</v>
      </c>
      <c r="B44" s="57" t="s">
        <v>15</v>
      </c>
      <c r="C44" s="560" t="s">
        <v>44</v>
      </c>
      <c r="D44" s="560"/>
      <c r="E44" s="57">
        <v>19.02</v>
      </c>
      <c r="F44" s="189">
        <v>4288</v>
      </c>
      <c r="G44" s="187">
        <f t="shared" si="27"/>
        <v>81557.759999999995</v>
      </c>
      <c r="H44" s="198" t="s">
        <v>5</v>
      </c>
      <c r="I44" s="188">
        <v>15</v>
      </c>
      <c r="J44" s="58">
        <v>2400</v>
      </c>
      <c r="K44" s="59">
        <f t="shared" si="1"/>
        <v>160</v>
      </c>
      <c r="L44" s="188">
        <v>15</v>
      </c>
      <c r="M44" s="60">
        <f t="shared" si="28"/>
        <v>2297.1428571428587</v>
      </c>
      <c r="N44" s="59">
        <f t="shared" si="3"/>
        <v>153.14285714285725</v>
      </c>
      <c r="O44" s="61">
        <f t="shared" si="4"/>
        <v>0</v>
      </c>
      <c r="P44" s="62">
        <f t="shared" si="5"/>
        <v>-6.8571428571427475</v>
      </c>
      <c r="Q44" s="194">
        <f t="shared" si="6"/>
        <v>0.95714285714285785</v>
      </c>
      <c r="R44" s="566"/>
      <c r="S44" s="63">
        <v>0.63124999999999987</v>
      </c>
      <c r="T44" s="63">
        <v>0.70902777777777759</v>
      </c>
      <c r="U44" s="187">
        <f t="shared" si="30"/>
        <v>7.9999999999999716</v>
      </c>
      <c r="V44" s="190">
        <f t="shared" si="29"/>
        <v>111.99999999999991</v>
      </c>
      <c r="W44" s="64"/>
      <c r="X44" s="64"/>
      <c r="Y44" s="569"/>
      <c r="Z44" s="570"/>
      <c r="AA44" s="61">
        <f t="shared" si="8"/>
        <v>-102.8571428571413</v>
      </c>
      <c r="AB44" s="194">
        <f t="shared" si="9"/>
        <v>0.95714285714285774</v>
      </c>
      <c r="AC44" s="566"/>
    </row>
    <row r="45" spans="1:29">
      <c r="A45" s="583" t="s">
        <v>731</v>
      </c>
      <c r="B45" s="66" t="s">
        <v>729</v>
      </c>
      <c r="C45" s="571"/>
      <c r="D45" s="571"/>
      <c r="E45" s="193"/>
      <c r="F45" s="66"/>
      <c r="G45" s="59"/>
      <c r="H45" s="189"/>
      <c r="I45" s="67">
        <v>17.125</v>
      </c>
      <c r="J45" s="58">
        <v>2400</v>
      </c>
      <c r="K45" s="59">
        <f t="shared" si="1"/>
        <v>140.14598540145985</v>
      </c>
      <c r="L45" s="67">
        <v>17.125</v>
      </c>
      <c r="M45" s="60">
        <f>AVERAGE(M37:M44)</f>
        <v>2296.3087601335496</v>
      </c>
      <c r="N45" s="59">
        <f t="shared" si="3"/>
        <v>134.09102248955034</v>
      </c>
      <c r="O45" s="61">
        <f t="shared" si="4"/>
        <v>0</v>
      </c>
      <c r="P45" s="62">
        <f t="shared" si="5"/>
        <v>-6.054962911909513</v>
      </c>
      <c r="Q45" s="194">
        <f t="shared" si="6"/>
        <v>0.95679531672231233</v>
      </c>
      <c r="R45" s="566"/>
      <c r="S45" s="63"/>
      <c r="T45" s="63"/>
      <c r="U45" s="59"/>
      <c r="V45" s="190"/>
      <c r="W45" s="59"/>
      <c r="X45" s="59"/>
      <c r="Y45" s="559"/>
      <c r="Z45" s="559"/>
      <c r="AA45" s="61">
        <f t="shared" si="8"/>
        <v>-103.69123986645036</v>
      </c>
      <c r="AB45" s="194">
        <f t="shared" si="9"/>
        <v>0.95679531672231233</v>
      </c>
      <c r="AC45" s="566"/>
    </row>
    <row r="46" spans="1:29" ht="15.75" customHeight="1">
      <c r="A46" s="576" t="s">
        <v>732</v>
      </c>
      <c r="B46" s="57" t="s">
        <v>31</v>
      </c>
      <c r="C46" s="567" t="s">
        <v>32</v>
      </c>
      <c r="D46" s="568"/>
      <c r="E46" s="57">
        <v>21.13</v>
      </c>
      <c r="F46" s="189">
        <v>5129</v>
      </c>
      <c r="G46" s="187">
        <f t="shared" ref="G46:G54" si="31">E46*F46</f>
        <v>108375.76999999999</v>
      </c>
      <c r="H46" s="198" t="s">
        <v>5</v>
      </c>
      <c r="I46" s="188">
        <v>10</v>
      </c>
      <c r="J46" s="58">
        <v>3000</v>
      </c>
      <c r="K46" s="59">
        <f t="shared" si="1"/>
        <v>300</v>
      </c>
      <c r="L46" s="188">
        <v>10</v>
      </c>
      <c r="M46" s="60">
        <f t="shared" ref="M46:M54" si="32">F46/V46*60</f>
        <v>2876.0747663551401</v>
      </c>
      <c r="N46" s="60">
        <f t="shared" si="3"/>
        <v>287.60747663551399</v>
      </c>
      <c r="O46" s="61">
        <f t="shared" si="4"/>
        <v>0</v>
      </c>
      <c r="P46" s="62">
        <f t="shared" si="5"/>
        <v>-12.39252336448601</v>
      </c>
      <c r="Q46" s="194">
        <f t="shared" si="6"/>
        <v>0.95869158878504668</v>
      </c>
      <c r="R46" s="579">
        <f>Q55</f>
        <v>0.95703601024103224</v>
      </c>
      <c r="S46" s="63">
        <v>8.3333333333333329E-2</v>
      </c>
      <c r="T46" s="63">
        <v>0.15763888888888888</v>
      </c>
      <c r="U46" s="68"/>
      <c r="V46" s="190">
        <f t="shared" ref="V46:V54" si="33">(T46-S46)*24*60</f>
        <v>107</v>
      </c>
      <c r="W46" s="64">
        <f>T46</f>
        <v>0.15763888888888888</v>
      </c>
      <c r="X46" s="64">
        <f>S47</f>
        <v>0.17708333333333331</v>
      </c>
      <c r="Y46" s="569"/>
      <c r="Z46" s="570"/>
      <c r="AA46" s="61">
        <f t="shared" si="8"/>
        <v>-123.92523364485987</v>
      </c>
      <c r="AB46" s="194">
        <f t="shared" si="9"/>
        <v>0.95869158878504668</v>
      </c>
      <c r="AC46" s="579">
        <f>AB55</f>
        <v>0.95703601024103224</v>
      </c>
    </row>
    <row r="47" spans="1:29" ht="15.75" customHeight="1">
      <c r="A47" s="577" t="s">
        <v>733</v>
      </c>
      <c r="B47" s="57" t="s">
        <v>31</v>
      </c>
      <c r="C47" s="567" t="s">
        <v>33</v>
      </c>
      <c r="D47" s="568"/>
      <c r="E47" s="57">
        <v>27.17</v>
      </c>
      <c r="F47" s="189">
        <v>4000</v>
      </c>
      <c r="G47" s="187">
        <f t="shared" si="31"/>
        <v>108680</v>
      </c>
      <c r="H47" s="198">
        <v>2</v>
      </c>
      <c r="I47" s="188">
        <v>10</v>
      </c>
      <c r="J47" s="58">
        <v>3000</v>
      </c>
      <c r="K47" s="59">
        <f t="shared" si="1"/>
        <v>300</v>
      </c>
      <c r="L47" s="188">
        <v>10</v>
      </c>
      <c r="M47" s="60">
        <f t="shared" si="32"/>
        <v>2857.1428571428578</v>
      </c>
      <c r="N47" s="60">
        <f t="shared" si="3"/>
        <v>285.71428571428578</v>
      </c>
      <c r="O47" s="61">
        <f t="shared" si="4"/>
        <v>0</v>
      </c>
      <c r="P47" s="62">
        <f t="shared" si="5"/>
        <v>-14.285714285714221</v>
      </c>
      <c r="Q47" s="194">
        <f t="shared" si="6"/>
        <v>0.95238095238095255</v>
      </c>
      <c r="R47" s="580"/>
      <c r="S47" s="63">
        <v>0.17708333333333331</v>
      </c>
      <c r="T47" s="63">
        <v>0.23541666666666664</v>
      </c>
      <c r="U47" s="187">
        <f t="shared" ref="U47:U54" si="34">(S47-T46)*24*60</f>
        <v>27.999999999999979</v>
      </c>
      <c r="V47" s="190">
        <f t="shared" si="33"/>
        <v>83.999999999999986</v>
      </c>
      <c r="W47" s="64"/>
      <c r="X47" s="64"/>
      <c r="Y47" s="569"/>
      <c r="Z47" s="570"/>
      <c r="AA47" s="61">
        <f t="shared" si="8"/>
        <v>-142.85714285714221</v>
      </c>
      <c r="AB47" s="194">
        <f t="shared" si="9"/>
        <v>0.95238095238095255</v>
      </c>
      <c r="AC47" s="580"/>
    </row>
    <row r="48" spans="1:29" ht="15.75" customHeight="1">
      <c r="A48" s="577" t="s">
        <v>733</v>
      </c>
      <c r="B48" s="57" t="s">
        <v>31</v>
      </c>
      <c r="C48" s="567" t="s">
        <v>35</v>
      </c>
      <c r="D48" s="568"/>
      <c r="E48" s="57">
        <v>35.869999999999997</v>
      </c>
      <c r="F48" s="189">
        <v>2945</v>
      </c>
      <c r="G48" s="187">
        <f t="shared" si="31"/>
        <v>105637.15</v>
      </c>
      <c r="H48" s="198" t="s">
        <v>5</v>
      </c>
      <c r="I48" s="188">
        <v>9</v>
      </c>
      <c r="J48" s="58">
        <v>3000</v>
      </c>
      <c r="K48" s="59">
        <f t="shared" si="1"/>
        <v>333.33333333333331</v>
      </c>
      <c r="L48" s="188">
        <v>9</v>
      </c>
      <c r="M48" s="60">
        <f t="shared" si="32"/>
        <v>2850.0000000000009</v>
      </c>
      <c r="N48" s="60">
        <f t="shared" si="3"/>
        <v>316.66666666666674</v>
      </c>
      <c r="O48" s="61">
        <f t="shared" si="4"/>
        <v>0</v>
      </c>
      <c r="P48" s="62">
        <f t="shared" si="5"/>
        <v>-16.666666666666572</v>
      </c>
      <c r="Q48" s="194">
        <f t="shared" si="6"/>
        <v>0.95000000000000029</v>
      </c>
      <c r="R48" s="580"/>
      <c r="S48" s="63">
        <v>0.23888888888888885</v>
      </c>
      <c r="T48" s="63">
        <v>0.28194444444444439</v>
      </c>
      <c r="U48" s="187">
        <f t="shared" si="34"/>
        <v>4.9999999999999822</v>
      </c>
      <c r="V48" s="190">
        <f t="shared" si="33"/>
        <v>61.999999999999979</v>
      </c>
      <c r="W48" s="64"/>
      <c r="X48" s="64"/>
      <c r="Y48" s="569"/>
      <c r="Z48" s="570"/>
      <c r="AA48" s="61">
        <f t="shared" si="8"/>
        <v>-149.99999999999909</v>
      </c>
      <c r="AB48" s="194">
        <f t="shared" si="9"/>
        <v>0.95000000000000029</v>
      </c>
      <c r="AC48" s="580"/>
    </row>
    <row r="49" spans="1:29" ht="15.75" customHeight="1">
      <c r="A49" s="577" t="s">
        <v>733</v>
      </c>
      <c r="B49" s="57" t="s">
        <v>31</v>
      </c>
      <c r="C49" s="567" t="s">
        <v>34</v>
      </c>
      <c r="D49" s="568"/>
      <c r="E49" s="57">
        <v>35.119999999999997</v>
      </c>
      <c r="F49" s="189">
        <v>2500</v>
      </c>
      <c r="G49" s="187">
        <f t="shared" si="31"/>
        <v>87800</v>
      </c>
      <c r="H49" s="198">
        <v>2</v>
      </c>
      <c r="I49" s="188">
        <v>10</v>
      </c>
      <c r="J49" s="58">
        <v>3000</v>
      </c>
      <c r="K49" s="59">
        <f t="shared" si="1"/>
        <v>300</v>
      </c>
      <c r="L49" s="188">
        <v>10</v>
      </c>
      <c r="M49" s="60">
        <f t="shared" si="32"/>
        <v>2884.6153846153861</v>
      </c>
      <c r="N49" s="60">
        <f t="shared" si="3"/>
        <v>288.46153846153862</v>
      </c>
      <c r="O49" s="61">
        <f t="shared" si="4"/>
        <v>0</v>
      </c>
      <c r="P49" s="62">
        <f t="shared" si="5"/>
        <v>-11.538461538461377</v>
      </c>
      <c r="Q49" s="194">
        <f t="shared" si="6"/>
        <v>0.96153846153846212</v>
      </c>
      <c r="R49" s="580"/>
      <c r="S49" s="63">
        <v>0.28680555555555548</v>
      </c>
      <c r="T49" s="63">
        <v>0.32291666666666657</v>
      </c>
      <c r="U49" s="187">
        <f t="shared" si="34"/>
        <v>6.9999999999999751</v>
      </c>
      <c r="V49" s="190">
        <f t="shared" si="33"/>
        <v>51.999999999999972</v>
      </c>
      <c r="W49" s="64"/>
      <c r="X49" s="64"/>
      <c r="Y49" s="569"/>
      <c r="Z49" s="570"/>
      <c r="AA49" s="61">
        <f t="shared" si="8"/>
        <v>-115.38461538461388</v>
      </c>
      <c r="AB49" s="194">
        <f t="shared" si="9"/>
        <v>0.96153846153846201</v>
      </c>
      <c r="AC49" s="580"/>
    </row>
    <row r="50" spans="1:29" ht="15.75" customHeight="1">
      <c r="A50" s="577" t="s">
        <v>733</v>
      </c>
      <c r="B50" s="57" t="s">
        <v>31</v>
      </c>
      <c r="C50" s="567" t="s">
        <v>71</v>
      </c>
      <c r="D50" s="568"/>
      <c r="E50" s="57">
        <v>31</v>
      </c>
      <c r="F50" s="189">
        <v>2595</v>
      </c>
      <c r="G50" s="187">
        <f t="shared" si="31"/>
        <v>80445</v>
      </c>
      <c r="H50" s="198" t="s">
        <v>5</v>
      </c>
      <c r="I50" s="188">
        <v>13</v>
      </c>
      <c r="J50" s="58">
        <v>2000</v>
      </c>
      <c r="K50" s="59">
        <f t="shared" si="1"/>
        <v>153.84615384615384</v>
      </c>
      <c r="L50" s="188">
        <v>13</v>
      </c>
      <c r="M50" s="60">
        <f t="shared" si="32"/>
        <v>1922.2222222222215</v>
      </c>
      <c r="N50" s="60">
        <f t="shared" si="3"/>
        <v>147.86324786324781</v>
      </c>
      <c r="O50" s="61">
        <f t="shared" si="4"/>
        <v>0</v>
      </c>
      <c r="P50" s="62">
        <f t="shared" si="5"/>
        <v>-5.9829059829060327</v>
      </c>
      <c r="Q50" s="194">
        <f t="shared" si="6"/>
        <v>0.96111111111111081</v>
      </c>
      <c r="R50" s="580"/>
      <c r="S50" s="63">
        <v>0.32708333333333323</v>
      </c>
      <c r="T50" s="63">
        <v>0.38333333333333325</v>
      </c>
      <c r="U50" s="187">
        <f t="shared" si="34"/>
        <v>5.9999999999999787</v>
      </c>
      <c r="V50" s="190">
        <f t="shared" si="33"/>
        <v>81.000000000000028</v>
      </c>
      <c r="W50" s="64"/>
      <c r="X50" s="64"/>
      <c r="Y50" s="569"/>
      <c r="Z50" s="570"/>
      <c r="AA50" s="61">
        <f t="shared" si="8"/>
        <v>-77.77777777777851</v>
      </c>
      <c r="AB50" s="194">
        <f t="shared" si="9"/>
        <v>0.96111111111111069</v>
      </c>
      <c r="AC50" s="580"/>
    </row>
    <row r="51" spans="1:29" ht="15.75" customHeight="1">
      <c r="A51" s="577" t="s">
        <v>733</v>
      </c>
      <c r="B51" s="57" t="s">
        <v>31</v>
      </c>
      <c r="C51" s="567" t="s">
        <v>659</v>
      </c>
      <c r="D51" s="568"/>
      <c r="E51" s="57">
        <v>36.19</v>
      </c>
      <c r="F51" s="189">
        <v>5500</v>
      </c>
      <c r="G51" s="187">
        <f t="shared" si="31"/>
        <v>199045</v>
      </c>
      <c r="H51" s="198">
        <v>2</v>
      </c>
      <c r="I51" s="188">
        <v>16</v>
      </c>
      <c r="J51" s="58">
        <v>2000</v>
      </c>
      <c r="K51" s="59">
        <f t="shared" si="1"/>
        <v>125</v>
      </c>
      <c r="L51" s="188">
        <v>16</v>
      </c>
      <c r="M51" s="60">
        <f t="shared" si="32"/>
        <v>1907.5144508670526</v>
      </c>
      <c r="N51" s="60">
        <f t="shared" si="3"/>
        <v>119.21965317919079</v>
      </c>
      <c r="O51" s="61">
        <f t="shared" si="4"/>
        <v>0</v>
      </c>
      <c r="P51" s="62">
        <f t="shared" si="5"/>
        <v>-5.7803468208092141</v>
      </c>
      <c r="Q51" s="194">
        <f t="shared" si="6"/>
        <v>0.95375722543352626</v>
      </c>
      <c r="R51" s="580"/>
      <c r="S51" s="63">
        <v>0.3874999999999999</v>
      </c>
      <c r="T51" s="63">
        <v>0.50763888888888875</v>
      </c>
      <c r="U51" s="187">
        <f t="shared" si="34"/>
        <v>5.9999999999999787</v>
      </c>
      <c r="V51" s="190">
        <f t="shared" si="33"/>
        <v>172.99999999999994</v>
      </c>
      <c r="W51" s="64">
        <f>T51</f>
        <v>0.50763888888888875</v>
      </c>
      <c r="X51" s="64">
        <f>S52</f>
        <v>0.54861111111111094</v>
      </c>
      <c r="Y51" s="569"/>
      <c r="Z51" s="570"/>
      <c r="AA51" s="61">
        <f t="shared" si="8"/>
        <v>-92.485549132947426</v>
      </c>
      <c r="AB51" s="194">
        <f t="shared" si="9"/>
        <v>0.95375722543352626</v>
      </c>
      <c r="AC51" s="580"/>
    </row>
    <row r="52" spans="1:29" ht="15.75" customHeight="1">
      <c r="A52" s="577" t="s">
        <v>733</v>
      </c>
      <c r="B52" s="57" t="s">
        <v>31</v>
      </c>
      <c r="C52" s="567" t="s">
        <v>659</v>
      </c>
      <c r="D52" s="568"/>
      <c r="E52" s="57">
        <v>36.19</v>
      </c>
      <c r="F52" s="189">
        <v>3766</v>
      </c>
      <c r="G52" s="187">
        <f t="shared" si="31"/>
        <v>136291.53999999998</v>
      </c>
      <c r="H52" s="198" t="s">
        <v>5</v>
      </c>
      <c r="I52" s="188">
        <v>16</v>
      </c>
      <c r="J52" s="58">
        <v>2000</v>
      </c>
      <c r="K52" s="59">
        <f t="shared" si="1"/>
        <v>125</v>
      </c>
      <c r="L52" s="188">
        <v>16</v>
      </c>
      <c r="M52" s="60">
        <f t="shared" si="32"/>
        <v>1914.9152542372872</v>
      </c>
      <c r="N52" s="60">
        <f t="shared" si="3"/>
        <v>119.68220338983045</v>
      </c>
      <c r="O52" s="61">
        <f t="shared" si="4"/>
        <v>0</v>
      </c>
      <c r="P52" s="62">
        <f t="shared" si="5"/>
        <v>-5.3177966101695517</v>
      </c>
      <c r="Q52" s="194">
        <f t="shared" si="6"/>
        <v>0.95745762711864357</v>
      </c>
      <c r="R52" s="580"/>
      <c r="S52" s="63">
        <v>0.54861111111111094</v>
      </c>
      <c r="T52" s="63">
        <v>0.63055555555555542</v>
      </c>
      <c r="U52" s="187">
        <f t="shared" si="34"/>
        <v>58.99999999999995</v>
      </c>
      <c r="V52" s="190">
        <f t="shared" si="33"/>
        <v>118.00000000000006</v>
      </c>
      <c r="W52" s="64"/>
      <c r="X52" s="64"/>
      <c r="Y52" s="569"/>
      <c r="Z52" s="570"/>
      <c r="AA52" s="61">
        <f t="shared" si="8"/>
        <v>-85.084745762712828</v>
      </c>
      <c r="AB52" s="194">
        <f t="shared" si="9"/>
        <v>0.95745762711864357</v>
      </c>
      <c r="AC52" s="580"/>
    </row>
    <row r="53" spans="1:29" ht="15.75" customHeight="1">
      <c r="A53" s="577" t="s">
        <v>733</v>
      </c>
      <c r="B53" s="57" t="s">
        <v>31</v>
      </c>
      <c r="C53" s="567" t="s">
        <v>33</v>
      </c>
      <c r="D53" s="568"/>
      <c r="E53" s="57">
        <v>27.17</v>
      </c>
      <c r="F53" s="189">
        <v>2795</v>
      </c>
      <c r="G53" s="187">
        <f t="shared" si="31"/>
        <v>75940.150000000009</v>
      </c>
      <c r="H53" s="198" t="s">
        <v>5</v>
      </c>
      <c r="I53" s="188">
        <v>10</v>
      </c>
      <c r="J53" s="58">
        <v>3000</v>
      </c>
      <c r="K53" s="59">
        <f t="shared" si="1"/>
        <v>300</v>
      </c>
      <c r="L53" s="188">
        <v>10</v>
      </c>
      <c r="M53" s="60">
        <f t="shared" si="32"/>
        <v>2891.3793103448297</v>
      </c>
      <c r="N53" s="60">
        <f t="shared" si="3"/>
        <v>289.13793103448296</v>
      </c>
      <c r="O53" s="61">
        <f t="shared" si="4"/>
        <v>0</v>
      </c>
      <c r="P53" s="62">
        <f t="shared" si="5"/>
        <v>-10.862068965517039</v>
      </c>
      <c r="Q53" s="194">
        <f t="shared" si="6"/>
        <v>0.96379310344827651</v>
      </c>
      <c r="R53" s="580"/>
      <c r="S53" s="63">
        <v>0.63402777777777763</v>
      </c>
      <c r="T53" s="63">
        <v>0.67430555555555538</v>
      </c>
      <c r="U53" s="187">
        <f t="shared" si="34"/>
        <v>4.9999999999999822</v>
      </c>
      <c r="V53" s="190">
        <f t="shared" si="33"/>
        <v>57.999999999999957</v>
      </c>
      <c r="W53" s="64"/>
      <c r="X53" s="64"/>
      <c r="Y53" s="569"/>
      <c r="Z53" s="570"/>
      <c r="AA53" s="61">
        <f t="shared" si="8"/>
        <v>-108.62068965517028</v>
      </c>
      <c r="AB53" s="194">
        <f t="shared" si="9"/>
        <v>0.96379310344827662</v>
      </c>
      <c r="AC53" s="580"/>
    </row>
    <row r="54" spans="1:29" ht="15.75" customHeight="1">
      <c r="A54" s="577" t="s">
        <v>733</v>
      </c>
      <c r="B54" s="57" t="s">
        <v>31</v>
      </c>
      <c r="C54" s="567" t="s">
        <v>34</v>
      </c>
      <c r="D54" s="568"/>
      <c r="E54" s="57">
        <v>35.119999999999997</v>
      </c>
      <c r="F54" s="189">
        <v>1719</v>
      </c>
      <c r="G54" s="187">
        <f t="shared" si="31"/>
        <v>60371.28</v>
      </c>
      <c r="H54" s="198" t="s">
        <v>5</v>
      </c>
      <c r="I54" s="188">
        <v>10</v>
      </c>
      <c r="J54" s="58">
        <v>3000</v>
      </c>
      <c r="K54" s="59">
        <f t="shared" si="1"/>
        <v>300</v>
      </c>
      <c r="L54" s="188">
        <v>10</v>
      </c>
      <c r="M54" s="60">
        <f t="shared" si="32"/>
        <v>2864.9999999999977</v>
      </c>
      <c r="N54" s="60">
        <f t="shared" si="3"/>
        <v>286.49999999999977</v>
      </c>
      <c r="O54" s="61">
        <f t="shared" si="4"/>
        <v>0</v>
      </c>
      <c r="P54" s="62">
        <f t="shared" si="5"/>
        <v>-13.500000000000227</v>
      </c>
      <c r="Q54" s="194">
        <f t="shared" si="6"/>
        <v>0.95499999999999929</v>
      </c>
      <c r="R54" s="580"/>
      <c r="S54" s="63">
        <v>0.67986111111111092</v>
      </c>
      <c r="T54" s="63">
        <v>0.70486111111111094</v>
      </c>
      <c r="U54" s="187">
        <f t="shared" si="34"/>
        <v>7.9999999999999716</v>
      </c>
      <c r="V54" s="190">
        <f t="shared" si="33"/>
        <v>36.000000000000028</v>
      </c>
      <c r="W54" s="64"/>
      <c r="X54" s="64"/>
      <c r="Y54" s="569"/>
      <c r="Z54" s="570"/>
      <c r="AA54" s="61">
        <f t="shared" si="8"/>
        <v>-135.00000000000227</v>
      </c>
      <c r="AB54" s="194">
        <f t="shared" si="9"/>
        <v>0.95499999999999929</v>
      </c>
      <c r="AC54" s="580"/>
    </row>
    <row r="55" spans="1:29" ht="15.75" customHeight="1">
      <c r="A55" s="578" t="s">
        <v>733</v>
      </c>
      <c r="B55" s="57" t="s">
        <v>729</v>
      </c>
      <c r="C55" s="561"/>
      <c r="D55" s="562"/>
      <c r="E55" s="197"/>
      <c r="F55" s="189"/>
      <c r="G55" s="187"/>
      <c r="H55" s="189"/>
      <c r="I55" s="67">
        <v>11.555555555555555</v>
      </c>
      <c r="J55" s="58">
        <v>2666.6666666666665</v>
      </c>
      <c r="K55" s="59">
        <f t="shared" si="1"/>
        <v>230.76923076923077</v>
      </c>
      <c r="L55" s="67">
        <v>11.555555555555555</v>
      </c>
      <c r="M55" s="60">
        <f>AVERAGE(M46:M54)</f>
        <v>2552.0960273094192</v>
      </c>
      <c r="N55" s="59">
        <f t="shared" si="3"/>
        <v>220.85446390177668</v>
      </c>
      <c r="O55" s="61">
        <f t="shared" si="4"/>
        <v>0</v>
      </c>
      <c r="P55" s="62">
        <f t="shared" si="5"/>
        <v>-9.914766867454091</v>
      </c>
      <c r="Q55" s="194">
        <f t="shared" si="6"/>
        <v>0.95703601024103224</v>
      </c>
      <c r="R55" s="581"/>
      <c r="S55" s="63"/>
      <c r="T55" s="63"/>
      <c r="U55" s="187"/>
      <c r="V55" s="190"/>
      <c r="W55" s="64"/>
      <c r="X55" s="64"/>
      <c r="Y55" s="569"/>
      <c r="Z55" s="570"/>
      <c r="AA55" s="61">
        <f t="shared" si="8"/>
        <v>-114.57063935724727</v>
      </c>
      <c r="AB55" s="194">
        <f t="shared" si="9"/>
        <v>0.95703601024103224</v>
      </c>
      <c r="AC55" s="581"/>
    </row>
    <row r="56" spans="1:29" ht="15.75" customHeight="1">
      <c r="A56" s="574" t="s">
        <v>734</v>
      </c>
      <c r="B56" s="57" t="s">
        <v>10</v>
      </c>
      <c r="C56" s="560" t="s">
        <v>37</v>
      </c>
      <c r="D56" s="560"/>
      <c r="E56" s="57">
        <v>46</v>
      </c>
      <c r="F56" s="69">
        <v>2479</v>
      </c>
      <c r="G56" s="187">
        <f t="shared" ref="G56:G61" si="35">E56*F56</f>
        <v>114034</v>
      </c>
      <c r="H56" s="198" t="s">
        <v>5</v>
      </c>
      <c r="I56" s="188">
        <v>17</v>
      </c>
      <c r="J56" s="58">
        <v>2000</v>
      </c>
      <c r="K56" s="59">
        <f t="shared" si="1"/>
        <v>117.64705882352941</v>
      </c>
      <c r="L56" s="188">
        <v>17</v>
      </c>
      <c r="M56" s="60">
        <f t="shared" ref="M56:M61" si="36">F56/V56*60</f>
        <v>1906.9230769230769</v>
      </c>
      <c r="N56" s="60">
        <f t="shared" si="3"/>
        <v>112.17194570135746</v>
      </c>
      <c r="O56" s="61">
        <f t="shared" si="4"/>
        <v>0</v>
      </c>
      <c r="P56" s="62">
        <f t="shared" si="5"/>
        <v>-5.4751131221719476</v>
      </c>
      <c r="Q56" s="194">
        <f t="shared" si="6"/>
        <v>0.95346153846153847</v>
      </c>
      <c r="R56" s="566">
        <f>Q62</f>
        <v>0.95783608728320613</v>
      </c>
      <c r="S56" s="63">
        <v>0.20833333333333334</v>
      </c>
      <c r="T56" s="63">
        <v>0.26250000000000001</v>
      </c>
      <c r="U56" s="68"/>
      <c r="V56" s="190">
        <f t="shared" ref="V56:V61" si="37">(T56-S56)*24*60</f>
        <v>78</v>
      </c>
      <c r="W56" s="68"/>
      <c r="X56" s="68"/>
      <c r="Y56" s="559"/>
      <c r="Z56" s="559"/>
      <c r="AA56" s="61">
        <f t="shared" si="8"/>
        <v>-93.076923076923094</v>
      </c>
      <c r="AB56" s="194">
        <f t="shared" si="9"/>
        <v>0.95346153846153847</v>
      </c>
      <c r="AC56" s="566">
        <f>AB62</f>
        <v>0.95783608728320613</v>
      </c>
    </row>
    <row r="57" spans="1:29" ht="15.75" customHeight="1">
      <c r="A57" s="574" t="s">
        <v>734</v>
      </c>
      <c r="B57" s="57" t="s">
        <v>10</v>
      </c>
      <c r="C57" s="560" t="s">
        <v>38</v>
      </c>
      <c r="D57" s="560"/>
      <c r="E57" s="57">
        <v>46</v>
      </c>
      <c r="F57" s="69">
        <v>2530</v>
      </c>
      <c r="G57" s="187">
        <f t="shared" si="35"/>
        <v>116380</v>
      </c>
      <c r="H57" s="198" t="s">
        <v>5</v>
      </c>
      <c r="I57" s="188">
        <v>17</v>
      </c>
      <c r="J57" s="58">
        <v>2000</v>
      </c>
      <c r="K57" s="59">
        <f t="shared" si="1"/>
        <v>117.64705882352941</v>
      </c>
      <c r="L57" s="188">
        <v>17</v>
      </c>
      <c r="M57" s="60">
        <f t="shared" si="36"/>
        <v>1921.5189873417733</v>
      </c>
      <c r="N57" s="60">
        <f t="shared" si="3"/>
        <v>113.03052866716314</v>
      </c>
      <c r="O57" s="61">
        <f t="shared" si="4"/>
        <v>0</v>
      </c>
      <c r="P57" s="62">
        <f t="shared" si="5"/>
        <v>-4.6165301563662666</v>
      </c>
      <c r="Q57" s="194">
        <f t="shared" si="6"/>
        <v>0.96075949367088676</v>
      </c>
      <c r="R57" s="566"/>
      <c r="S57" s="63">
        <v>0.26597222222222222</v>
      </c>
      <c r="T57" s="63">
        <v>0.3208333333333333</v>
      </c>
      <c r="U57" s="187">
        <f t="shared" ref="U57:U61" si="38">IF(S57=TIME(17,0,0),"",(S57-T56)*24*60)</f>
        <v>4.9999999999999822</v>
      </c>
      <c r="V57" s="190">
        <f t="shared" si="37"/>
        <v>78.999999999999957</v>
      </c>
      <c r="W57" s="64"/>
      <c r="X57" s="64"/>
      <c r="Y57" s="559"/>
      <c r="Z57" s="559"/>
      <c r="AA57" s="61">
        <f t="shared" si="8"/>
        <v>-78.481012658226746</v>
      </c>
      <c r="AB57" s="194">
        <f t="shared" si="9"/>
        <v>0.96075949367088664</v>
      </c>
      <c r="AC57" s="566"/>
    </row>
    <row r="58" spans="1:29" ht="15.75" customHeight="1">
      <c r="A58" s="574" t="s">
        <v>734</v>
      </c>
      <c r="B58" s="57" t="s">
        <v>6</v>
      </c>
      <c r="C58" s="567" t="s">
        <v>39</v>
      </c>
      <c r="D58" s="568"/>
      <c r="E58" s="57">
        <v>55.56</v>
      </c>
      <c r="F58" s="69">
        <v>2158</v>
      </c>
      <c r="G58" s="187">
        <f t="shared" si="35"/>
        <v>119898.48000000001</v>
      </c>
      <c r="H58" s="198" t="s">
        <v>5</v>
      </c>
      <c r="I58" s="188">
        <v>17</v>
      </c>
      <c r="J58" s="58">
        <v>2000</v>
      </c>
      <c r="K58" s="59">
        <f t="shared" si="1"/>
        <v>117.64705882352941</v>
      </c>
      <c r="L58" s="188">
        <v>17</v>
      </c>
      <c r="M58" s="60">
        <f t="shared" si="36"/>
        <v>1932.5373134328336</v>
      </c>
      <c r="N58" s="60">
        <f t="shared" si="3"/>
        <v>113.67866549604904</v>
      </c>
      <c r="O58" s="61">
        <f t="shared" si="4"/>
        <v>0</v>
      </c>
      <c r="P58" s="62">
        <f t="shared" si="5"/>
        <v>-3.9683933274803707</v>
      </c>
      <c r="Q58" s="194">
        <f t="shared" si="6"/>
        <v>0.96626865671641682</v>
      </c>
      <c r="R58" s="566"/>
      <c r="S58" s="63">
        <v>0.70833333333333337</v>
      </c>
      <c r="T58" s="63">
        <v>0.7548611111111112</v>
      </c>
      <c r="U58" s="187" t="str">
        <f t="shared" si="38"/>
        <v/>
      </c>
      <c r="V58" s="190">
        <f t="shared" si="37"/>
        <v>67.000000000000085</v>
      </c>
      <c r="W58" s="64"/>
      <c r="X58" s="64"/>
      <c r="Y58" s="191"/>
      <c r="Z58" s="192"/>
      <c r="AA58" s="61">
        <f t="shared" si="8"/>
        <v>-67.462686567166429</v>
      </c>
      <c r="AB58" s="194">
        <f t="shared" si="9"/>
        <v>0.96626865671641682</v>
      </c>
      <c r="AC58" s="566"/>
    </row>
    <row r="59" spans="1:29" ht="15.75" customHeight="1">
      <c r="A59" s="574" t="s">
        <v>734</v>
      </c>
      <c r="B59" s="57" t="s">
        <v>6</v>
      </c>
      <c r="C59" s="195" t="s">
        <v>40</v>
      </c>
      <c r="D59" s="196"/>
      <c r="E59" s="57">
        <v>55.32</v>
      </c>
      <c r="F59" s="69">
        <v>1594</v>
      </c>
      <c r="G59" s="187">
        <f t="shared" si="35"/>
        <v>88180.08</v>
      </c>
      <c r="H59" s="198" t="s">
        <v>5</v>
      </c>
      <c r="I59" s="188">
        <v>15</v>
      </c>
      <c r="J59" s="58">
        <v>2000</v>
      </c>
      <c r="K59" s="59">
        <f t="shared" si="1"/>
        <v>133.33333333333334</v>
      </c>
      <c r="L59" s="188">
        <v>15</v>
      </c>
      <c r="M59" s="60">
        <f t="shared" si="36"/>
        <v>1912.8000000000006</v>
      </c>
      <c r="N59" s="60">
        <f t="shared" si="3"/>
        <v>127.52000000000004</v>
      </c>
      <c r="O59" s="61">
        <f t="shared" si="4"/>
        <v>0</v>
      </c>
      <c r="P59" s="62">
        <f t="shared" si="5"/>
        <v>-5.8133333333333042</v>
      </c>
      <c r="Q59" s="194">
        <f t="shared" si="6"/>
        <v>0.95640000000000025</v>
      </c>
      <c r="R59" s="566"/>
      <c r="S59" s="63">
        <v>0.76041666666666674</v>
      </c>
      <c r="T59" s="63">
        <v>0.79513888888888895</v>
      </c>
      <c r="U59" s="187">
        <f t="shared" si="38"/>
        <v>7.9999999999999716</v>
      </c>
      <c r="V59" s="190">
        <f t="shared" si="37"/>
        <v>49.999999999999986</v>
      </c>
      <c r="W59" s="64"/>
      <c r="X59" s="64"/>
      <c r="Y59" s="191"/>
      <c r="Z59" s="192"/>
      <c r="AA59" s="61">
        <f t="shared" si="8"/>
        <v>-87.199999999999363</v>
      </c>
      <c r="AB59" s="194">
        <f t="shared" si="9"/>
        <v>0.95640000000000036</v>
      </c>
      <c r="AC59" s="566"/>
    </row>
    <row r="60" spans="1:29" ht="15.75" customHeight="1">
      <c r="A60" s="574" t="s">
        <v>734</v>
      </c>
      <c r="B60" s="57" t="s">
        <v>6</v>
      </c>
      <c r="C60" s="195" t="s">
        <v>99</v>
      </c>
      <c r="D60" s="196"/>
      <c r="E60" s="57">
        <v>53.68</v>
      </c>
      <c r="F60" s="69">
        <v>1500</v>
      </c>
      <c r="G60" s="187">
        <f t="shared" si="35"/>
        <v>80520</v>
      </c>
      <c r="H60" s="198">
        <v>2</v>
      </c>
      <c r="I60" s="188">
        <v>16</v>
      </c>
      <c r="J60" s="58">
        <v>1500</v>
      </c>
      <c r="K60" s="59">
        <f t="shared" si="1"/>
        <v>93.75</v>
      </c>
      <c r="L60" s="188">
        <v>16</v>
      </c>
      <c r="M60" s="60">
        <f t="shared" si="36"/>
        <v>1428.57142857143</v>
      </c>
      <c r="N60" s="60">
        <f t="shared" si="3"/>
        <v>89.285714285714377</v>
      </c>
      <c r="O60" s="61">
        <f t="shared" si="4"/>
        <v>0</v>
      </c>
      <c r="P60" s="62">
        <f t="shared" si="5"/>
        <v>-4.4642857142856229</v>
      </c>
      <c r="Q60" s="194">
        <f t="shared" si="6"/>
        <v>0.95238095238095333</v>
      </c>
      <c r="R60" s="566"/>
      <c r="S60" s="63">
        <v>0.8</v>
      </c>
      <c r="T60" s="63">
        <v>0.84375</v>
      </c>
      <c r="U60" s="187">
        <f t="shared" si="38"/>
        <v>6.9999999999999751</v>
      </c>
      <c r="V60" s="190">
        <f t="shared" si="37"/>
        <v>62.999999999999936</v>
      </c>
      <c r="W60" s="64">
        <f>T60</f>
        <v>0.84375</v>
      </c>
      <c r="X60" s="64">
        <f>S61</f>
        <v>0.8833333333333333</v>
      </c>
      <c r="Y60" s="191"/>
      <c r="Z60" s="192"/>
      <c r="AA60" s="61">
        <f t="shared" si="8"/>
        <v>-71.428571428569967</v>
      </c>
      <c r="AB60" s="194">
        <f t="shared" si="9"/>
        <v>0.95238095238095333</v>
      </c>
      <c r="AC60" s="566"/>
    </row>
    <row r="61" spans="1:29" ht="15.75" customHeight="1">
      <c r="A61" s="574" t="s">
        <v>734</v>
      </c>
      <c r="B61" s="57" t="s">
        <v>6</v>
      </c>
      <c r="C61" s="567" t="s">
        <v>99</v>
      </c>
      <c r="D61" s="568"/>
      <c r="E61" s="57">
        <v>53.68</v>
      </c>
      <c r="F61" s="69">
        <v>932</v>
      </c>
      <c r="G61" s="187">
        <f t="shared" si="35"/>
        <v>50029.760000000002</v>
      </c>
      <c r="H61" s="198" t="s">
        <v>5</v>
      </c>
      <c r="I61" s="188">
        <v>16</v>
      </c>
      <c r="J61" s="58">
        <v>1500</v>
      </c>
      <c r="K61" s="59">
        <f t="shared" si="1"/>
        <v>93.75</v>
      </c>
      <c r="L61" s="188">
        <v>16</v>
      </c>
      <c r="M61" s="60">
        <f t="shared" si="36"/>
        <v>1433.8461538461529</v>
      </c>
      <c r="N61" s="60">
        <f t="shared" si="3"/>
        <v>89.615384615384556</v>
      </c>
      <c r="O61" s="61">
        <f t="shared" si="4"/>
        <v>0</v>
      </c>
      <c r="P61" s="62">
        <f t="shared" si="5"/>
        <v>-4.1346153846154436</v>
      </c>
      <c r="Q61" s="194">
        <f t="shared" si="6"/>
        <v>0.95589743589743525</v>
      </c>
      <c r="R61" s="566"/>
      <c r="S61" s="63">
        <v>0.8833333333333333</v>
      </c>
      <c r="T61" s="63">
        <v>0.91041666666666665</v>
      </c>
      <c r="U61" s="187">
        <f t="shared" si="38"/>
        <v>56.999999999999957</v>
      </c>
      <c r="V61" s="190">
        <f t="shared" si="37"/>
        <v>39.000000000000021</v>
      </c>
      <c r="W61" s="64"/>
      <c r="X61" s="64"/>
      <c r="Y61" s="569"/>
      <c r="Z61" s="570"/>
      <c r="AA61" s="61">
        <f t="shared" si="8"/>
        <v>-66.153846153847098</v>
      </c>
      <c r="AB61" s="194">
        <f t="shared" si="9"/>
        <v>0.95589743589743525</v>
      </c>
      <c r="AC61" s="566"/>
    </row>
    <row r="62" spans="1:29">
      <c r="A62" s="575" t="s">
        <v>734</v>
      </c>
      <c r="B62" s="57" t="s">
        <v>729</v>
      </c>
      <c r="C62" s="571"/>
      <c r="D62" s="571"/>
      <c r="E62" s="193"/>
      <c r="F62" s="66"/>
      <c r="G62" s="59"/>
      <c r="H62" s="189"/>
      <c r="I62" s="67">
        <v>16.333333333333332</v>
      </c>
      <c r="J62" s="58">
        <v>1833.3333333333333</v>
      </c>
      <c r="K62" s="59">
        <f t="shared" si="1"/>
        <v>112.24489795918367</v>
      </c>
      <c r="L62" s="67">
        <v>16.333333333333332</v>
      </c>
      <c r="M62" s="60">
        <f>AVERAGE(M56:M61)</f>
        <v>1756.0328266858778</v>
      </c>
      <c r="N62" s="59">
        <f t="shared" si="3"/>
        <v>107.51221387872722</v>
      </c>
      <c r="O62" s="61">
        <f t="shared" si="4"/>
        <v>0</v>
      </c>
      <c r="P62" s="62">
        <f t="shared" si="5"/>
        <v>-4.7326840804564512</v>
      </c>
      <c r="Q62" s="194">
        <f t="shared" si="6"/>
        <v>0.95783608728320613</v>
      </c>
      <c r="R62" s="566"/>
      <c r="S62" s="70"/>
      <c r="T62" s="63"/>
      <c r="U62" s="59"/>
      <c r="V62" s="190"/>
      <c r="W62" s="59"/>
      <c r="X62" s="59"/>
      <c r="Y62" s="559"/>
      <c r="Z62" s="559"/>
      <c r="AA62" s="61">
        <f t="shared" si="8"/>
        <v>-77.30050664745545</v>
      </c>
      <c r="AB62" s="194">
        <f t="shared" si="9"/>
        <v>0.95783608728320613</v>
      </c>
      <c r="AC62" s="566"/>
    </row>
    <row r="63" spans="1:29" ht="15.75" customHeight="1">
      <c r="A63" s="572" t="s">
        <v>735</v>
      </c>
      <c r="B63" s="189" t="s">
        <v>10</v>
      </c>
      <c r="C63" s="560" t="s">
        <v>42</v>
      </c>
      <c r="D63" s="560"/>
      <c r="E63" s="57">
        <v>26.97</v>
      </c>
      <c r="F63" s="69">
        <v>3105</v>
      </c>
      <c r="G63" s="187">
        <f t="shared" ref="G63:G68" si="39">E63*F63</f>
        <v>83741.849999999991</v>
      </c>
      <c r="H63" s="198" t="s">
        <v>5</v>
      </c>
      <c r="I63" s="188">
        <v>8</v>
      </c>
      <c r="J63" s="58">
        <v>1500</v>
      </c>
      <c r="K63" s="59">
        <f t="shared" si="1"/>
        <v>187.5</v>
      </c>
      <c r="L63" s="188">
        <v>8</v>
      </c>
      <c r="M63" s="60">
        <f t="shared" ref="M63:M68" si="40">F63/V63*60</f>
        <v>1433.0769230769233</v>
      </c>
      <c r="N63" s="59">
        <f t="shared" si="3"/>
        <v>179.13461538461542</v>
      </c>
      <c r="O63" s="61">
        <f t="shared" si="4"/>
        <v>0</v>
      </c>
      <c r="P63" s="62">
        <f t="shared" si="5"/>
        <v>-8.3653846153845848</v>
      </c>
      <c r="Q63" s="194">
        <f t="shared" si="6"/>
        <v>0.9553846153846155</v>
      </c>
      <c r="R63" s="566">
        <f>Q69</f>
        <v>0.95804252061912087</v>
      </c>
      <c r="S63" s="63">
        <v>0.20833333333333334</v>
      </c>
      <c r="T63" s="63">
        <v>0.2986111111111111</v>
      </c>
      <c r="U63" s="187"/>
      <c r="V63" s="190">
        <f t="shared" ref="V63:V68" si="41">(T63-S63)*24*60</f>
        <v>129.99999999999997</v>
      </c>
      <c r="W63" s="68"/>
      <c r="X63" s="68"/>
      <c r="Y63" s="559"/>
      <c r="Z63" s="559"/>
      <c r="AA63" s="61">
        <f t="shared" si="8"/>
        <v>-66.923076923076678</v>
      </c>
      <c r="AB63" s="194">
        <f t="shared" si="9"/>
        <v>0.9553846153846155</v>
      </c>
      <c r="AC63" s="566">
        <f>AB69</f>
        <v>0.95804252061912087</v>
      </c>
    </row>
    <row r="64" spans="1:29" ht="15.75" customHeight="1">
      <c r="A64" s="572" t="s">
        <v>735</v>
      </c>
      <c r="B64" s="189" t="s">
        <v>31</v>
      </c>
      <c r="C64" s="560" t="s">
        <v>41</v>
      </c>
      <c r="D64" s="560"/>
      <c r="E64" s="57">
        <v>26.78</v>
      </c>
      <c r="F64" s="69">
        <v>2766</v>
      </c>
      <c r="G64" s="187">
        <f t="shared" si="39"/>
        <v>74073.48</v>
      </c>
      <c r="H64" s="198" t="s">
        <v>5</v>
      </c>
      <c r="I64" s="188">
        <v>10</v>
      </c>
      <c r="J64" s="58">
        <v>3000</v>
      </c>
      <c r="K64" s="59">
        <f t="shared" si="1"/>
        <v>300</v>
      </c>
      <c r="L64" s="188">
        <v>10</v>
      </c>
      <c r="M64" s="60">
        <f t="shared" si="40"/>
        <v>2861.3793103448261</v>
      </c>
      <c r="N64" s="59">
        <f t="shared" si="3"/>
        <v>286.13793103448262</v>
      </c>
      <c r="O64" s="61">
        <f t="shared" si="4"/>
        <v>0</v>
      </c>
      <c r="P64" s="62">
        <f t="shared" si="5"/>
        <v>-13.862068965517381</v>
      </c>
      <c r="Q64" s="194">
        <f t="shared" si="6"/>
        <v>0.95379310344827539</v>
      </c>
      <c r="R64" s="566"/>
      <c r="S64" s="63">
        <v>0.30208333333333331</v>
      </c>
      <c r="T64" s="63">
        <v>0.34236111111111112</v>
      </c>
      <c r="U64" s="187">
        <f t="shared" ref="U64:U68" si="42">(S64-T63)*24*60</f>
        <v>4.9999999999999822</v>
      </c>
      <c r="V64" s="190">
        <f t="shared" si="41"/>
        <v>58.000000000000036</v>
      </c>
      <c r="W64" s="187"/>
      <c r="X64" s="187"/>
      <c r="Y64" s="559"/>
      <c r="Z64" s="559"/>
      <c r="AA64" s="61">
        <f t="shared" si="8"/>
        <v>-138.62068965517392</v>
      </c>
      <c r="AB64" s="194">
        <f t="shared" si="9"/>
        <v>0.95379310344827539</v>
      </c>
      <c r="AC64" s="566"/>
    </row>
    <row r="65" spans="1:29" ht="15.75" customHeight="1">
      <c r="A65" s="572" t="s">
        <v>735</v>
      </c>
      <c r="B65" s="189" t="s">
        <v>31</v>
      </c>
      <c r="C65" s="560" t="s">
        <v>64</v>
      </c>
      <c r="D65" s="560"/>
      <c r="E65" s="57">
        <v>37.880000000000003</v>
      </c>
      <c r="F65" s="69">
        <v>2959</v>
      </c>
      <c r="G65" s="187">
        <f t="shared" si="39"/>
        <v>112086.92000000001</v>
      </c>
      <c r="H65" s="198" t="s">
        <v>5</v>
      </c>
      <c r="I65" s="188">
        <v>10</v>
      </c>
      <c r="J65" s="58">
        <v>3000</v>
      </c>
      <c r="K65" s="59">
        <f t="shared" si="1"/>
        <v>300</v>
      </c>
      <c r="L65" s="188">
        <v>10</v>
      </c>
      <c r="M65" s="60">
        <f t="shared" si="40"/>
        <v>2863.5483870967732</v>
      </c>
      <c r="N65" s="59">
        <f t="shared" si="3"/>
        <v>286.35483870967732</v>
      </c>
      <c r="O65" s="61">
        <f t="shared" si="4"/>
        <v>0</v>
      </c>
      <c r="P65" s="62">
        <f t="shared" si="5"/>
        <v>-13.645161290322676</v>
      </c>
      <c r="Q65" s="194">
        <f t="shared" si="6"/>
        <v>0.9545161290322578</v>
      </c>
      <c r="R65" s="566"/>
      <c r="S65" s="63">
        <v>0.34722222222222221</v>
      </c>
      <c r="T65" s="63">
        <v>0.39027777777777778</v>
      </c>
      <c r="U65" s="187">
        <f t="shared" si="42"/>
        <v>6.9999999999999751</v>
      </c>
      <c r="V65" s="190">
        <f t="shared" si="41"/>
        <v>62.000000000000021</v>
      </c>
      <c r="W65" s="187"/>
      <c r="X65" s="187"/>
      <c r="Y65" s="559"/>
      <c r="Z65" s="559"/>
      <c r="AA65" s="61">
        <f t="shared" si="8"/>
        <v>-136.45161290322676</v>
      </c>
      <c r="AB65" s="194">
        <f t="shared" si="9"/>
        <v>0.9545161290322578</v>
      </c>
      <c r="AC65" s="566"/>
    </row>
    <row r="66" spans="1:29" ht="15.75" customHeight="1">
      <c r="A66" s="572" t="s">
        <v>735</v>
      </c>
      <c r="B66" s="189" t="s">
        <v>31</v>
      </c>
      <c r="C66" s="560" t="s">
        <v>72</v>
      </c>
      <c r="D66" s="560"/>
      <c r="E66" s="57">
        <v>40.51</v>
      </c>
      <c r="F66" s="69">
        <v>2622</v>
      </c>
      <c r="G66" s="187">
        <f t="shared" si="39"/>
        <v>106217.22</v>
      </c>
      <c r="H66" s="198" t="s">
        <v>5</v>
      </c>
      <c r="I66" s="188">
        <v>8</v>
      </c>
      <c r="J66" s="58">
        <v>3000</v>
      </c>
      <c r="K66" s="59">
        <f t="shared" si="1"/>
        <v>375</v>
      </c>
      <c r="L66" s="188">
        <v>8</v>
      </c>
      <c r="M66" s="60">
        <f t="shared" si="40"/>
        <v>2860.3636363636379</v>
      </c>
      <c r="N66" s="59">
        <f t="shared" si="3"/>
        <v>357.54545454545473</v>
      </c>
      <c r="O66" s="61">
        <f t="shared" si="4"/>
        <v>0</v>
      </c>
      <c r="P66" s="62">
        <f t="shared" si="5"/>
        <v>-17.454545454545269</v>
      </c>
      <c r="Q66" s="194">
        <f t="shared" si="6"/>
        <v>0.953454545454546</v>
      </c>
      <c r="R66" s="566"/>
      <c r="S66" s="63">
        <v>0.39513888888888887</v>
      </c>
      <c r="T66" s="63">
        <v>0.43333333333333329</v>
      </c>
      <c r="U66" s="187">
        <f t="shared" si="42"/>
        <v>6.9999999999999751</v>
      </c>
      <c r="V66" s="190">
        <f t="shared" si="41"/>
        <v>54.999999999999964</v>
      </c>
      <c r="W66" s="187"/>
      <c r="X66" s="187"/>
      <c r="Y66" s="559"/>
      <c r="Z66" s="559"/>
      <c r="AA66" s="61">
        <f t="shared" si="8"/>
        <v>-139.63636363636215</v>
      </c>
      <c r="AB66" s="194">
        <f t="shared" si="9"/>
        <v>0.953454545454546</v>
      </c>
      <c r="AC66" s="566"/>
    </row>
    <row r="67" spans="1:29">
      <c r="A67" s="573" t="s">
        <v>735</v>
      </c>
      <c r="B67" s="189" t="s">
        <v>31</v>
      </c>
      <c r="C67" s="560" t="s">
        <v>36</v>
      </c>
      <c r="D67" s="560"/>
      <c r="E67" s="57">
        <v>36.14</v>
      </c>
      <c r="F67" s="69">
        <v>1205</v>
      </c>
      <c r="G67" s="187">
        <f t="shared" si="39"/>
        <v>43548.7</v>
      </c>
      <c r="H67" s="198" t="s">
        <v>5</v>
      </c>
      <c r="I67" s="188">
        <v>9</v>
      </c>
      <c r="J67" s="58">
        <v>3000</v>
      </c>
      <c r="K67" s="59">
        <f t="shared" si="1"/>
        <v>333.33333333333331</v>
      </c>
      <c r="L67" s="188">
        <v>9</v>
      </c>
      <c r="M67" s="60">
        <f t="shared" si="40"/>
        <v>2892.0000000000009</v>
      </c>
      <c r="N67" s="59">
        <f t="shared" si="3"/>
        <v>321.33333333333343</v>
      </c>
      <c r="O67" s="61">
        <f t="shared" si="4"/>
        <v>0</v>
      </c>
      <c r="P67" s="62">
        <f t="shared" si="5"/>
        <v>-11.999999999999886</v>
      </c>
      <c r="Q67" s="194">
        <f t="shared" si="6"/>
        <v>0.9640000000000003</v>
      </c>
      <c r="R67" s="566"/>
      <c r="S67" s="63">
        <v>0.43819444444444439</v>
      </c>
      <c r="T67" s="63">
        <v>0.45555555555555549</v>
      </c>
      <c r="U67" s="187">
        <f t="shared" si="42"/>
        <v>6.9999999999999751</v>
      </c>
      <c r="V67" s="190">
        <f t="shared" si="41"/>
        <v>24.999999999999993</v>
      </c>
      <c r="W67" s="64"/>
      <c r="X67" s="64"/>
      <c r="Y67" s="559"/>
      <c r="Z67" s="559"/>
      <c r="AA67" s="61">
        <f t="shared" si="8"/>
        <v>-107.99999999999909</v>
      </c>
      <c r="AB67" s="194">
        <f t="shared" si="9"/>
        <v>0.9640000000000003</v>
      </c>
      <c r="AC67" s="566"/>
    </row>
    <row r="68" spans="1:29" ht="15" customHeight="1">
      <c r="A68" s="573" t="s">
        <v>735</v>
      </c>
      <c r="B68" s="189" t="s">
        <v>31</v>
      </c>
      <c r="C68" s="567" t="s">
        <v>63</v>
      </c>
      <c r="D68" s="568"/>
      <c r="E68" s="57">
        <v>34.36</v>
      </c>
      <c r="F68" s="69">
        <v>2173</v>
      </c>
      <c r="G68" s="187">
        <f t="shared" si="39"/>
        <v>74664.28</v>
      </c>
      <c r="H68" s="198" t="s">
        <v>5</v>
      </c>
      <c r="I68" s="188">
        <v>10</v>
      </c>
      <c r="J68" s="58">
        <v>3000</v>
      </c>
      <c r="K68" s="59">
        <f t="shared" si="1"/>
        <v>300</v>
      </c>
      <c r="L68" s="188">
        <v>10</v>
      </c>
      <c r="M68" s="60">
        <f t="shared" si="40"/>
        <v>2897.3333333333335</v>
      </c>
      <c r="N68" s="59">
        <f t="shared" si="3"/>
        <v>289.73333333333335</v>
      </c>
      <c r="O68" s="61">
        <f t="shared" si="4"/>
        <v>0</v>
      </c>
      <c r="P68" s="62">
        <f t="shared" si="5"/>
        <v>-10.266666666666652</v>
      </c>
      <c r="Q68" s="194">
        <f t="shared" si="6"/>
        <v>0.96577777777777785</v>
      </c>
      <c r="R68" s="566"/>
      <c r="S68" s="63">
        <v>0.46111111111111103</v>
      </c>
      <c r="T68" s="63">
        <v>0.49236111111111103</v>
      </c>
      <c r="U68" s="187">
        <f t="shared" si="42"/>
        <v>7.9999999999999716</v>
      </c>
      <c r="V68" s="190">
        <f t="shared" si="41"/>
        <v>45</v>
      </c>
      <c r="W68" s="187"/>
      <c r="X68" s="187"/>
      <c r="Y68" s="569"/>
      <c r="Z68" s="570"/>
      <c r="AA68" s="61">
        <f t="shared" si="8"/>
        <v>-102.66666666666652</v>
      </c>
      <c r="AB68" s="194">
        <f t="shared" si="9"/>
        <v>0.96577777777777785</v>
      </c>
      <c r="AC68" s="566"/>
    </row>
    <row r="69" spans="1:29">
      <c r="A69" s="573" t="s">
        <v>735</v>
      </c>
      <c r="B69" s="57" t="s">
        <v>729</v>
      </c>
      <c r="C69" s="571"/>
      <c r="D69" s="571"/>
      <c r="E69" s="193"/>
      <c r="F69" s="66"/>
      <c r="G69" s="59"/>
      <c r="H69" s="189"/>
      <c r="I69" s="67">
        <v>9.1666666666666661</v>
      </c>
      <c r="J69" s="58">
        <v>2750</v>
      </c>
      <c r="K69" s="59">
        <f t="shared" ref="K69:K79" si="43">J69/I69</f>
        <v>300</v>
      </c>
      <c r="L69" s="67">
        <v>9.1666666666666661</v>
      </c>
      <c r="M69" s="60">
        <f>AVERAGE(M63:M68)</f>
        <v>2634.6169317025824</v>
      </c>
      <c r="N69" s="59">
        <f t="shared" ref="N69:N79" si="44">M69/L69</f>
        <v>287.41275618573627</v>
      </c>
      <c r="O69" s="61">
        <f t="shared" ref="O69:O79" si="45">L69-I69</f>
        <v>0</v>
      </c>
      <c r="P69" s="62">
        <f t="shared" ref="P69:P79" si="46">N69-K69</f>
        <v>-12.587243814263729</v>
      </c>
      <c r="Q69" s="194">
        <f t="shared" ref="Q69:Q79" si="47">N69/K69</f>
        <v>0.95804252061912087</v>
      </c>
      <c r="R69" s="566"/>
      <c r="S69" s="63"/>
      <c r="T69" s="63"/>
      <c r="U69" s="59"/>
      <c r="V69" s="190"/>
      <c r="W69" s="59"/>
      <c r="X69" s="59"/>
      <c r="Y69" s="559"/>
      <c r="Z69" s="559"/>
      <c r="AA69" s="61">
        <f t="shared" ref="AA69:AA79" si="48">M69-J69</f>
        <v>-115.38306829741759</v>
      </c>
      <c r="AB69" s="194">
        <f t="shared" ref="AB69:AB79" si="49">M69/J69</f>
        <v>0.95804252061912087</v>
      </c>
      <c r="AC69" s="566"/>
    </row>
    <row r="70" spans="1:29" ht="15.75" customHeight="1">
      <c r="A70" s="563" t="s">
        <v>736</v>
      </c>
      <c r="B70" s="189" t="s">
        <v>15</v>
      </c>
      <c r="C70" s="560" t="s">
        <v>43</v>
      </c>
      <c r="D70" s="560"/>
      <c r="E70" s="57">
        <v>20.2</v>
      </c>
      <c r="F70" s="189">
        <v>2453</v>
      </c>
      <c r="G70" s="187">
        <f t="shared" ref="G70:G78" si="50">E70*F70</f>
        <v>49550.6</v>
      </c>
      <c r="H70" s="198" t="s">
        <v>5</v>
      </c>
      <c r="I70" s="188">
        <v>19</v>
      </c>
      <c r="J70" s="58">
        <v>2400</v>
      </c>
      <c r="K70" s="59">
        <f t="shared" si="43"/>
        <v>126.31578947368421</v>
      </c>
      <c r="L70" s="188">
        <v>19</v>
      </c>
      <c r="M70" s="60">
        <f t="shared" ref="M70:M78" si="51">F70/V70*60</f>
        <v>2299.6875000000005</v>
      </c>
      <c r="N70" s="59">
        <f t="shared" si="44"/>
        <v>121.03618421052634</v>
      </c>
      <c r="O70" s="61">
        <f t="shared" si="45"/>
        <v>0</v>
      </c>
      <c r="P70" s="62">
        <f t="shared" si="46"/>
        <v>-5.2796052631578618</v>
      </c>
      <c r="Q70" s="194">
        <f t="shared" si="47"/>
        <v>0.95820312500000027</v>
      </c>
      <c r="R70" s="566">
        <f>Q79</f>
        <v>0.95684043817814479</v>
      </c>
      <c r="S70" s="63">
        <v>8.3333333333333329E-2</v>
      </c>
      <c r="T70" s="63">
        <v>0.12777777777777777</v>
      </c>
      <c r="U70" s="68"/>
      <c r="V70" s="190">
        <f t="shared" ref="V70:V78" si="52">(T70-S70)*24*60</f>
        <v>63.999999999999986</v>
      </c>
      <c r="W70" s="64">
        <f>T70</f>
        <v>0.12777777777777777</v>
      </c>
      <c r="X70" s="64">
        <f>S71</f>
        <v>0.14791666666666667</v>
      </c>
      <c r="Y70" s="559"/>
      <c r="Z70" s="559"/>
      <c r="AA70" s="61">
        <f t="shared" si="48"/>
        <v>-100.31249999999955</v>
      </c>
      <c r="AB70" s="194">
        <f t="shared" si="49"/>
        <v>0.95820312500000016</v>
      </c>
      <c r="AC70" s="566">
        <f>AB79</f>
        <v>0.95684043817814468</v>
      </c>
    </row>
    <row r="71" spans="1:29" ht="15.75" customHeight="1">
      <c r="A71" s="564" t="s">
        <v>736</v>
      </c>
      <c r="B71" s="189" t="s">
        <v>15</v>
      </c>
      <c r="C71" s="560" t="s">
        <v>16</v>
      </c>
      <c r="D71" s="560"/>
      <c r="E71" s="57">
        <v>24.45</v>
      </c>
      <c r="F71" s="189">
        <v>2761</v>
      </c>
      <c r="G71" s="187">
        <f t="shared" si="50"/>
        <v>67506.45</v>
      </c>
      <c r="H71" s="198" t="s">
        <v>5</v>
      </c>
      <c r="I71" s="188">
        <v>20</v>
      </c>
      <c r="J71" s="58">
        <v>2400</v>
      </c>
      <c r="K71" s="59">
        <f t="shared" si="43"/>
        <v>120</v>
      </c>
      <c r="L71" s="188">
        <v>20</v>
      </c>
      <c r="M71" s="60">
        <f t="shared" si="51"/>
        <v>2300.8333333333339</v>
      </c>
      <c r="N71" s="59">
        <f t="shared" si="44"/>
        <v>115.0416666666667</v>
      </c>
      <c r="O71" s="61">
        <f t="shared" si="45"/>
        <v>0</v>
      </c>
      <c r="P71" s="62">
        <f t="shared" si="46"/>
        <v>-4.9583333333333002</v>
      </c>
      <c r="Q71" s="194">
        <f t="shared" si="47"/>
        <v>0.95868055555555587</v>
      </c>
      <c r="R71" s="566"/>
      <c r="S71" s="63">
        <v>0.14791666666666667</v>
      </c>
      <c r="T71" s="63">
        <v>0.19791666666666666</v>
      </c>
      <c r="U71" s="187">
        <f t="shared" ref="U71:U78" si="53">(S71-T70)*24*60</f>
        <v>29.000000000000018</v>
      </c>
      <c r="V71" s="190">
        <f t="shared" si="52"/>
        <v>71.999999999999986</v>
      </c>
      <c r="W71" s="64"/>
      <c r="X71" s="64"/>
      <c r="Y71" s="559"/>
      <c r="Z71" s="559"/>
      <c r="AA71" s="61">
        <f t="shared" si="48"/>
        <v>-99.16666666666606</v>
      </c>
      <c r="AB71" s="194">
        <f t="shared" si="49"/>
        <v>0.95868055555555576</v>
      </c>
      <c r="AC71" s="566"/>
    </row>
    <row r="72" spans="1:29" ht="15.75" customHeight="1">
      <c r="A72" s="564" t="s">
        <v>736</v>
      </c>
      <c r="B72" s="189" t="s">
        <v>15</v>
      </c>
      <c r="C72" s="560" t="s">
        <v>100</v>
      </c>
      <c r="D72" s="560"/>
      <c r="E72" s="57">
        <v>28.51</v>
      </c>
      <c r="F72" s="189">
        <v>2175</v>
      </c>
      <c r="G72" s="187">
        <f t="shared" si="50"/>
        <v>62009.25</v>
      </c>
      <c r="H72" s="198" t="s">
        <v>5</v>
      </c>
      <c r="I72" s="188">
        <v>16</v>
      </c>
      <c r="J72" s="58">
        <v>2400</v>
      </c>
      <c r="K72" s="59">
        <f t="shared" si="43"/>
        <v>150</v>
      </c>
      <c r="L72" s="188">
        <v>16</v>
      </c>
      <c r="M72" s="60">
        <f t="shared" si="51"/>
        <v>2289.4736842105262</v>
      </c>
      <c r="N72" s="59">
        <f t="shared" si="44"/>
        <v>143.09210526315789</v>
      </c>
      <c r="O72" s="61">
        <f t="shared" si="45"/>
        <v>0</v>
      </c>
      <c r="P72" s="62">
        <f t="shared" si="46"/>
        <v>-6.9078947368421098</v>
      </c>
      <c r="Q72" s="194">
        <f t="shared" si="47"/>
        <v>0.95394736842105265</v>
      </c>
      <c r="R72" s="566"/>
      <c r="S72" s="63">
        <v>0.20277777777777778</v>
      </c>
      <c r="T72" s="63">
        <v>0.24236111111111111</v>
      </c>
      <c r="U72" s="187">
        <f t="shared" si="53"/>
        <v>7.0000000000000151</v>
      </c>
      <c r="V72" s="190">
        <f t="shared" si="52"/>
        <v>57</v>
      </c>
      <c r="W72" s="64"/>
      <c r="X72" s="64"/>
      <c r="Y72" s="559"/>
      <c r="Z72" s="559"/>
      <c r="AA72" s="61">
        <f t="shared" si="48"/>
        <v>-110.52631578947376</v>
      </c>
      <c r="AB72" s="194">
        <f t="shared" si="49"/>
        <v>0.95394736842105265</v>
      </c>
      <c r="AC72" s="566"/>
    </row>
    <row r="73" spans="1:29" ht="15.75" customHeight="1">
      <c r="A73" s="564" t="s">
        <v>736</v>
      </c>
      <c r="B73" s="189" t="s">
        <v>15</v>
      </c>
      <c r="C73" s="560" t="s">
        <v>17</v>
      </c>
      <c r="D73" s="560"/>
      <c r="E73" s="57">
        <v>22.35</v>
      </c>
      <c r="F73" s="189">
        <v>2019</v>
      </c>
      <c r="G73" s="187">
        <f t="shared" si="50"/>
        <v>45124.65</v>
      </c>
      <c r="H73" s="198" t="s">
        <v>5</v>
      </c>
      <c r="I73" s="188">
        <v>16</v>
      </c>
      <c r="J73" s="58">
        <v>2400</v>
      </c>
      <c r="K73" s="59">
        <f t="shared" si="43"/>
        <v>150</v>
      </c>
      <c r="L73" s="188">
        <v>16</v>
      </c>
      <c r="M73" s="60">
        <f t="shared" si="51"/>
        <v>2285.6603773584898</v>
      </c>
      <c r="N73" s="59">
        <f t="shared" si="44"/>
        <v>142.85377358490561</v>
      </c>
      <c r="O73" s="61">
        <f t="shared" si="45"/>
        <v>0</v>
      </c>
      <c r="P73" s="62">
        <f t="shared" si="46"/>
        <v>-7.1462264150943895</v>
      </c>
      <c r="Q73" s="194">
        <f t="shared" si="47"/>
        <v>0.95235849056603739</v>
      </c>
      <c r="R73" s="566"/>
      <c r="S73" s="63">
        <v>0.24583333333333332</v>
      </c>
      <c r="T73" s="63">
        <v>0.28263888888888888</v>
      </c>
      <c r="U73" s="187">
        <f t="shared" si="53"/>
        <v>4.9999999999999822</v>
      </c>
      <c r="V73" s="190">
        <f t="shared" si="52"/>
        <v>53.000000000000014</v>
      </c>
      <c r="W73" s="64"/>
      <c r="X73" s="64"/>
      <c r="Y73" s="559"/>
      <c r="Z73" s="559"/>
      <c r="AA73" s="61">
        <f t="shared" si="48"/>
        <v>-114.33962264151023</v>
      </c>
      <c r="AB73" s="194">
        <f t="shared" si="49"/>
        <v>0.95235849056603739</v>
      </c>
      <c r="AC73" s="566"/>
    </row>
    <row r="74" spans="1:29" ht="15.75" customHeight="1">
      <c r="A74" s="564" t="s">
        <v>736</v>
      </c>
      <c r="B74" s="189" t="s">
        <v>15</v>
      </c>
      <c r="C74" s="560" t="s">
        <v>30</v>
      </c>
      <c r="D74" s="560"/>
      <c r="E74" s="57">
        <v>24.25</v>
      </c>
      <c r="F74" s="189">
        <v>2436</v>
      </c>
      <c r="G74" s="187">
        <f t="shared" si="50"/>
        <v>59073</v>
      </c>
      <c r="H74" s="198" t="s">
        <v>5</v>
      </c>
      <c r="I74" s="188">
        <v>13</v>
      </c>
      <c r="J74" s="58">
        <v>2400</v>
      </c>
      <c r="K74" s="59">
        <f t="shared" si="43"/>
        <v>184.61538461538461</v>
      </c>
      <c r="L74" s="188">
        <v>13</v>
      </c>
      <c r="M74" s="60">
        <f t="shared" si="51"/>
        <v>2283.7499999999995</v>
      </c>
      <c r="N74" s="59">
        <f t="shared" si="44"/>
        <v>175.67307692307688</v>
      </c>
      <c r="O74" s="61">
        <f t="shared" si="45"/>
        <v>0</v>
      </c>
      <c r="P74" s="62">
        <f t="shared" si="46"/>
        <v>-8.942307692307736</v>
      </c>
      <c r="Q74" s="194">
        <f t="shared" si="47"/>
        <v>0.95156249999999976</v>
      </c>
      <c r="R74" s="566"/>
      <c r="S74" s="63">
        <v>0.28749999999999998</v>
      </c>
      <c r="T74" s="63">
        <v>0.33194444444444443</v>
      </c>
      <c r="U74" s="187">
        <f t="shared" si="53"/>
        <v>6.9999999999999751</v>
      </c>
      <c r="V74" s="190">
        <f t="shared" si="52"/>
        <v>64.000000000000014</v>
      </c>
      <c r="W74" s="64"/>
      <c r="X74" s="64"/>
      <c r="Y74" s="559"/>
      <c r="Z74" s="559"/>
      <c r="AA74" s="61">
        <f t="shared" si="48"/>
        <v>-116.25000000000045</v>
      </c>
      <c r="AB74" s="194">
        <f t="shared" si="49"/>
        <v>0.95156249999999976</v>
      </c>
      <c r="AC74" s="566"/>
    </row>
    <row r="75" spans="1:29" ht="15.75" customHeight="1">
      <c r="A75" s="564" t="s">
        <v>736</v>
      </c>
      <c r="B75" s="189" t="s">
        <v>15</v>
      </c>
      <c r="C75" s="560" t="s">
        <v>24</v>
      </c>
      <c r="D75" s="560"/>
      <c r="E75" s="57">
        <v>20.52</v>
      </c>
      <c r="F75" s="189">
        <v>3574</v>
      </c>
      <c r="G75" s="187">
        <f t="shared" si="50"/>
        <v>73338.48</v>
      </c>
      <c r="H75" s="198" t="s">
        <v>5</v>
      </c>
      <c r="I75" s="188">
        <v>18</v>
      </c>
      <c r="J75" s="58">
        <v>2400</v>
      </c>
      <c r="K75" s="59">
        <f t="shared" si="43"/>
        <v>133.33333333333334</v>
      </c>
      <c r="L75" s="188">
        <v>18</v>
      </c>
      <c r="M75" s="60">
        <f t="shared" si="51"/>
        <v>2305.8064516129034</v>
      </c>
      <c r="N75" s="59">
        <f t="shared" si="44"/>
        <v>128.10035842293908</v>
      </c>
      <c r="O75" s="61">
        <f t="shared" si="45"/>
        <v>0</v>
      </c>
      <c r="P75" s="62">
        <f t="shared" si="46"/>
        <v>-5.2329749103942618</v>
      </c>
      <c r="Q75" s="194">
        <f t="shared" si="47"/>
        <v>0.96075268817204307</v>
      </c>
      <c r="R75" s="566"/>
      <c r="S75" s="63">
        <v>0.33541666666666664</v>
      </c>
      <c r="T75" s="63">
        <v>0.39999999999999997</v>
      </c>
      <c r="U75" s="187">
        <f t="shared" si="53"/>
        <v>4.9999999999999822</v>
      </c>
      <c r="V75" s="190">
        <f t="shared" si="52"/>
        <v>92.999999999999986</v>
      </c>
      <c r="W75" s="64"/>
      <c r="X75" s="64"/>
      <c r="Y75" s="559"/>
      <c r="Z75" s="559"/>
      <c r="AA75" s="61">
        <f t="shared" si="48"/>
        <v>-94.193548387096598</v>
      </c>
      <c r="AB75" s="194">
        <f t="shared" si="49"/>
        <v>0.96075268817204307</v>
      </c>
      <c r="AC75" s="566"/>
    </row>
    <row r="76" spans="1:29" ht="15.75" customHeight="1">
      <c r="A76" s="564" t="s">
        <v>736</v>
      </c>
      <c r="B76" s="189" t="s">
        <v>15</v>
      </c>
      <c r="C76" s="560" t="s">
        <v>101</v>
      </c>
      <c r="D76" s="560"/>
      <c r="E76" s="57">
        <v>22.69</v>
      </c>
      <c r="F76" s="189">
        <v>3104</v>
      </c>
      <c r="G76" s="187">
        <f t="shared" si="50"/>
        <v>70429.760000000009</v>
      </c>
      <c r="H76" s="198" t="s">
        <v>5</v>
      </c>
      <c r="I76" s="188">
        <v>15</v>
      </c>
      <c r="J76" s="58">
        <v>2400</v>
      </c>
      <c r="K76" s="59">
        <f t="shared" si="43"/>
        <v>160</v>
      </c>
      <c r="L76" s="188">
        <v>15</v>
      </c>
      <c r="M76" s="60">
        <f t="shared" si="51"/>
        <v>2299.2592592592582</v>
      </c>
      <c r="N76" s="59">
        <f t="shared" si="44"/>
        <v>153.28395061728389</v>
      </c>
      <c r="O76" s="61">
        <f t="shared" si="45"/>
        <v>0</v>
      </c>
      <c r="P76" s="62">
        <f t="shared" si="46"/>
        <v>-6.7160493827161076</v>
      </c>
      <c r="Q76" s="194">
        <f t="shared" si="47"/>
        <v>0.95802469135802437</v>
      </c>
      <c r="R76" s="566"/>
      <c r="S76" s="63">
        <v>0.40347222222222218</v>
      </c>
      <c r="T76" s="63">
        <v>0.4597222222222222</v>
      </c>
      <c r="U76" s="187">
        <f t="shared" si="53"/>
        <v>4.9999999999999822</v>
      </c>
      <c r="V76" s="190">
        <f t="shared" si="52"/>
        <v>81.000000000000028</v>
      </c>
      <c r="W76" s="64"/>
      <c r="X76" s="64"/>
      <c r="Y76" s="569"/>
      <c r="Z76" s="570"/>
      <c r="AA76" s="61">
        <f t="shared" si="48"/>
        <v>-100.74074074074178</v>
      </c>
      <c r="AB76" s="194">
        <f t="shared" si="49"/>
        <v>0.95802469135802426</v>
      </c>
      <c r="AC76" s="566"/>
    </row>
    <row r="77" spans="1:29" ht="15.75" customHeight="1">
      <c r="A77" s="564" t="s">
        <v>736</v>
      </c>
      <c r="B77" s="189" t="s">
        <v>15</v>
      </c>
      <c r="C77" s="560" t="s">
        <v>29</v>
      </c>
      <c r="D77" s="560"/>
      <c r="E77" s="57">
        <v>24.43</v>
      </c>
      <c r="F77" s="189">
        <v>3000</v>
      </c>
      <c r="G77" s="187">
        <f t="shared" si="50"/>
        <v>73290</v>
      </c>
      <c r="H77" s="198">
        <v>2</v>
      </c>
      <c r="I77" s="188">
        <v>14</v>
      </c>
      <c r="J77" s="58">
        <v>2400</v>
      </c>
      <c r="K77" s="59">
        <f t="shared" si="43"/>
        <v>171.42857142857142</v>
      </c>
      <c r="L77" s="188">
        <v>14</v>
      </c>
      <c r="M77" s="60">
        <f t="shared" si="51"/>
        <v>2307.692307692309</v>
      </c>
      <c r="N77" s="59">
        <f t="shared" si="44"/>
        <v>164.83516483516493</v>
      </c>
      <c r="O77" s="61">
        <f t="shared" si="45"/>
        <v>0</v>
      </c>
      <c r="P77" s="62">
        <f t="shared" si="46"/>
        <v>-6.5934065934064847</v>
      </c>
      <c r="Q77" s="194">
        <f t="shared" si="47"/>
        <v>0.96153846153846212</v>
      </c>
      <c r="R77" s="566"/>
      <c r="S77" s="63">
        <v>0.46527777777777773</v>
      </c>
      <c r="T77" s="63">
        <v>0.51944444444444438</v>
      </c>
      <c r="U77" s="187">
        <f t="shared" si="53"/>
        <v>7.9999999999999716</v>
      </c>
      <c r="V77" s="190">
        <f t="shared" si="52"/>
        <v>77.999999999999957</v>
      </c>
      <c r="W77" s="64">
        <f>T77</f>
        <v>0.51944444444444438</v>
      </c>
      <c r="X77" s="64">
        <f>S78</f>
        <v>0.56180555555555545</v>
      </c>
      <c r="Y77" s="569"/>
      <c r="Z77" s="570"/>
      <c r="AA77" s="61">
        <f t="shared" si="48"/>
        <v>-92.307692307691013</v>
      </c>
      <c r="AB77" s="194">
        <f t="shared" si="49"/>
        <v>0.96153846153846212</v>
      </c>
      <c r="AC77" s="566"/>
    </row>
    <row r="78" spans="1:29" ht="15.75" customHeight="1">
      <c r="A78" s="564" t="s">
        <v>736</v>
      </c>
      <c r="B78" s="189" t="s">
        <v>15</v>
      </c>
      <c r="C78" s="560" t="s">
        <v>29</v>
      </c>
      <c r="D78" s="560"/>
      <c r="E78" s="57">
        <v>24.43</v>
      </c>
      <c r="F78" s="189">
        <v>4859</v>
      </c>
      <c r="G78" s="187">
        <f t="shared" si="50"/>
        <v>118705.37</v>
      </c>
      <c r="H78" s="198" t="s">
        <v>5</v>
      </c>
      <c r="I78" s="188">
        <v>14</v>
      </c>
      <c r="J78" s="58">
        <v>2400</v>
      </c>
      <c r="K78" s="59">
        <f t="shared" si="43"/>
        <v>171.42857142857142</v>
      </c>
      <c r="L78" s="188">
        <v>14</v>
      </c>
      <c r="M78" s="60">
        <f t="shared" si="51"/>
        <v>2295.590551181102</v>
      </c>
      <c r="N78" s="59">
        <f t="shared" si="44"/>
        <v>163.970753655793</v>
      </c>
      <c r="O78" s="61">
        <f t="shared" si="45"/>
        <v>0</v>
      </c>
      <c r="P78" s="62">
        <f t="shared" si="46"/>
        <v>-7.4578177727784123</v>
      </c>
      <c r="Q78" s="194">
        <f t="shared" si="47"/>
        <v>0.95649606299212597</v>
      </c>
      <c r="R78" s="566"/>
      <c r="S78" s="63">
        <v>0.56180555555555545</v>
      </c>
      <c r="T78" s="63">
        <v>0.64999999999999991</v>
      </c>
      <c r="U78" s="187">
        <f t="shared" si="53"/>
        <v>60.999999999999943</v>
      </c>
      <c r="V78" s="190">
        <f t="shared" si="52"/>
        <v>127.00000000000003</v>
      </c>
      <c r="W78" s="64"/>
      <c r="X78" s="64"/>
      <c r="Y78" s="569"/>
      <c r="Z78" s="570"/>
      <c r="AA78" s="61">
        <f t="shared" si="48"/>
        <v>-104.409448818898</v>
      </c>
      <c r="AB78" s="194">
        <f t="shared" si="49"/>
        <v>0.95649606299212586</v>
      </c>
      <c r="AC78" s="566"/>
    </row>
    <row r="79" spans="1:29" ht="16.5" customHeight="1">
      <c r="A79" s="565" t="s">
        <v>736</v>
      </c>
      <c r="B79" s="57" t="s">
        <v>729</v>
      </c>
      <c r="C79" s="561"/>
      <c r="D79" s="562"/>
      <c r="E79" s="193"/>
      <c r="F79" s="66"/>
      <c r="G79" s="59"/>
      <c r="H79" s="189"/>
      <c r="I79" s="67">
        <v>16.111111111111111</v>
      </c>
      <c r="J79" s="58">
        <v>2400</v>
      </c>
      <c r="K79" s="59">
        <f t="shared" si="43"/>
        <v>148.9655172413793</v>
      </c>
      <c r="L79" s="67">
        <v>16.111111111111111</v>
      </c>
      <c r="M79" s="60">
        <f>AVERAGE(M70:M78)</f>
        <v>2296.4170516275472</v>
      </c>
      <c r="N79" s="59">
        <f t="shared" si="44"/>
        <v>142.53623079067535</v>
      </c>
      <c r="O79" s="61">
        <f t="shared" si="45"/>
        <v>0</v>
      </c>
      <c r="P79" s="62">
        <f t="shared" si="46"/>
        <v>-6.4292864507039553</v>
      </c>
      <c r="Q79" s="194">
        <f t="shared" si="47"/>
        <v>0.95684043817814479</v>
      </c>
      <c r="R79" s="566"/>
      <c r="S79" s="63"/>
      <c r="T79" s="63"/>
      <c r="U79" s="59"/>
      <c r="V79" s="190"/>
      <c r="W79" s="59"/>
      <c r="X79" s="59"/>
      <c r="Y79" s="559"/>
      <c r="Z79" s="559"/>
      <c r="AA79" s="61">
        <f t="shared" si="48"/>
        <v>-103.58294837245285</v>
      </c>
      <c r="AB79" s="194">
        <f t="shared" si="49"/>
        <v>0.95684043817814468</v>
      </c>
      <c r="AC79" s="566"/>
    </row>
    <row r="80" spans="1:29">
      <c r="D80" s="122"/>
      <c r="E80" s="122"/>
    </row>
  </sheetData>
  <mergeCells count="206"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C8:D8"/>
    <mergeCell ref="Y8:Z8"/>
    <mergeCell ref="C9:D9"/>
    <mergeCell ref="Y9:Z9"/>
    <mergeCell ref="A10:A12"/>
    <mergeCell ref="C10:D10"/>
    <mergeCell ref="R10:R12"/>
    <mergeCell ref="Y10:Z10"/>
    <mergeCell ref="AC3:AC4"/>
    <mergeCell ref="A5:A9"/>
    <mergeCell ref="C5:D5"/>
    <mergeCell ref="R5:R9"/>
    <mergeCell ref="Y5:Z5"/>
    <mergeCell ref="AC5:AC9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AC10:AC12"/>
    <mergeCell ref="C11:D11"/>
    <mergeCell ref="Y11:Z11"/>
    <mergeCell ref="C12:D12"/>
    <mergeCell ref="Y12:Z12"/>
    <mergeCell ref="C13:D13"/>
    <mergeCell ref="R13:R17"/>
    <mergeCell ref="Y13:Z13"/>
    <mergeCell ref="AC13:AC17"/>
    <mergeCell ref="C17:D17"/>
    <mergeCell ref="Y17:Z17"/>
    <mergeCell ref="A18:A26"/>
    <mergeCell ref="C18:D18"/>
    <mergeCell ref="R18:R26"/>
    <mergeCell ref="Y18:Z18"/>
    <mergeCell ref="Y23:Z23"/>
    <mergeCell ref="C24:D24"/>
    <mergeCell ref="Y24:Z24"/>
    <mergeCell ref="C25:D25"/>
    <mergeCell ref="A13:A17"/>
    <mergeCell ref="C14:D14"/>
    <mergeCell ref="Y14:Z14"/>
    <mergeCell ref="C15:D15"/>
    <mergeCell ref="Y15:Z15"/>
    <mergeCell ref="C16:D16"/>
    <mergeCell ref="Y16:Z16"/>
    <mergeCell ref="AC18:AC26"/>
    <mergeCell ref="C19:D19"/>
    <mergeCell ref="Y19:Z19"/>
    <mergeCell ref="C20:D20"/>
    <mergeCell ref="Y20:Z20"/>
    <mergeCell ref="C21:D21"/>
    <mergeCell ref="Y21:Z21"/>
    <mergeCell ref="C22:D22"/>
    <mergeCell ref="Y22:Z22"/>
    <mergeCell ref="C23:D23"/>
    <mergeCell ref="Y25:Z25"/>
    <mergeCell ref="C26:D26"/>
    <mergeCell ref="Y26:Z26"/>
    <mergeCell ref="A27:A36"/>
    <mergeCell ref="C27:D27"/>
    <mergeCell ref="R27:R36"/>
    <mergeCell ref="Y27:Z27"/>
    <mergeCell ref="Y32:Z32"/>
    <mergeCell ref="C33:D33"/>
    <mergeCell ref="Y33:Z33"/>
    <mergeCell ref="AC37:AC45"/>
    <mergeCell ref="C38:D38"/>
    <mergeCell ref="Y38:Z38"/>
    <mergeCell ref="C39:D39"/>
    <mergeCell ref="Y39:Z39"/>
    <mergeCell ref="C40:D40"/>
    <mergeCell ref="C34:D34"/>
    <mergeCell ref="Y34:Z34"/>
    <mergeCell ref="C35:D35"/>
    <mergeCell ref="Y35:Z35"/>
    <mergeCell ref="C36:D36"/>
    <mergeCell ref="Y36:Z36"/>
    <mergeCell ref="AC27:AC36"/>
    <mergeCell ref="C28:D28"/>
    <mergeCell ref="Y28:Z28"/>
    <mergeCell ref="C29:D29"/>
    <mergeCell ref="Y29:Z29"/>
    <mergeCell ref="C30:D30"/>
    <mergeCell ref="Y30:Z30"/>
    <mergeCell ref="C31:D31"/>
    <mergeCell ref="Y31:Z31"/>
    <mergeCell ref="C32:D32"/>
    <mergeCell ref="Y40:Z40"/>
    <mergeCell ref="C41:D41"/>
    <mergeCell ref="Y41:Z41"/>
    <mergeCell ref="C42:D42"/>
    <mergeCell ref="Y42:Z42"/>
    <mergeCell ref="C43:D43"/>
    <mergeCell ref="Y43:Z43"/>
    <mergeCell ref="A37:A45"/>
    <mergeCell ref="C37:D37"/>
    <mergeCell ref="R37:R45"/>
    <mergeCell ref="Y37:Z37"/>
    <mergeCell ref="C44:D44"/>
    <mergeCell ref="Y44:Z44"/>
    <mergeCell ref="C45:D45"/>
    <mergeCell ref="Y45:Z45"/>
    <mergeCell ref="Y52:Z52"/>
    <mergeCell ref="C53:D53"/>
    <mergeCell ref="Y53:Z53"/>
    <mergeCell ref="C54:D54"/>
    <mergeCell ref="Y54:Z54"/>
    <mergeCell ref="C55:D55"/>
    <mergeCell ref="Y55:Z55"/>
    <mergeCell ref="AC46:AC55"/>
    <mergeCell ref="C47:D47"/>
    <mergeCell ref="Y47:Z47"/>
    <mergeCell ref="C48:D48"/>
    <mergeCell ref="Y48:Z48"/>
    <mergeCell ref="C49:D49"/>
    <mergeCell ref="Y49:Z49"/>
    <mergeCell ref="C50:D50"/>
    <mergeCell ref="Y50:Z50"/>
    <mergeCell ref="C51:D51"/>
    <mergeCell ref="A56:A62"/>
    <mergeCell ref="C56:D56"/>
    <mergeCell ref="R56:R62"/>
    <mergeCell ref="Y56:Z56"/>
    <mergeCell ref="AC56:AC62"/>
    <mergeCell ref="C57:D57"/>
    <mergeCell ref="Y57:Z57"/>
    <mergeCell ref="C58:D58"/>
    <mergeCell ref="C61:D61"/>
    <mergeCell ref="Y61:Z61"/>
    <mergeCell ref="C62:D62"/>
    <mergeCell ref="A46:A55"/>
    <mergeCell ref="C46:D46"/>
    <mergeCell ref="R46:R55"/>
    <mergeCell ref="Y46:Z46"/>
    <mergeCell ref="Y51:Z51"/>
    <mergeCell ref="C52:D52"/>
    <mergeCell ref="AC63:AC69"/>
    <mergeCell ref="C64:D64"/>
    <mergeCell ref="Y64:Z64"/>
    <mergeCell ref="C65:D65"/>
    <mergeCell ref="Y65:Z65"/>
    <mergeCell ref="C66:D66"/>
    <mergeCell ref="Y66:Z66"/>
    <mergeCell ref="C67:D67"/>
    <mergeCell ref="Y67:Z67"/>
    <mergeCell ref="C68:D68"/>
    <mergeCell ref="Y62:Z62"/>
    <mergeCell ref="A63:A69"/>
    <mergeCell ref="C63:D63"/>
    <mergeCell ref="R63:R69"/>
    <mergeCell ref="Y63:Z63"/>
    <mergeCell ref="Y68:Z68"/>
    <mergeCell ref="C69:D69"/>
    <mergeCell ref="Y69:Z69"/>
    <mergeCell ref="A70:A79"/>
    <mergeCell ref="C70:D70"/>
    <mergeCell ref="R70:R79"/>
    <mergeCell ref="Y70:Z70"/>
    <mergeCell ref="AC70:AC79"/>
    <mergeCell ref="C71:D71"/>
    <mergeCell ref="Y71:Z71"/>
    <mergeCell ref="C72:D72"/>
    <mergeCell ref="Y72:Z72"/>
    <mergeCell ref="C73:D73"/>
    <mergeCell ref="C77:D77"/>
    <mergeCell ref="Y77:Z77"/>
    <mergeCell ref="C78:D78"/>
    <mergeCell ref="Y78:Z78"/>
    <mergeCell ref="C79:D79"/>
    <mergeCell ref="Y79:Z79"/>
    <mergeCell ref="Y73:Z73"/>
    <mergeCell ref="C74:D74"/>
    <mergeCell ref="Y74:Z74"/>
    <mergeCell ref="C75:D75"/>
    <mergeCell ref="Y75:Z75"/>
    <mergeCell ref="C76:D76"/>
    <mergeCell ref="Y76:Z76"/>
  </mergeCells>
  <phoneticPr fontId="3" type="noConversion"/>
  <conditionalFormatting sqref="O66:O75 O79 O5:O10 O12:O14 O55:O63 O17:O34 O36:O51">
    <cfRule type="cellIs" dxfId="745" priority="72" operator="greaterThan">
      <formula>0</formula>
    </cfRule>
  </conditionalFormatting>
  <conditionalFormatting sqref="P5:P8 P66:P68 AA66:AA68 P70:P75 P27:P34 P63 P10 P12:P14 P18:P25 P56:P61 P37:P51 AA5:AA63 AA70:AA79">
    <cfRule type="cellIs" dxfId="744" priority="76" operator="lessThan">
      <formula>0</formula>
    </cfRule>
  </conditionalFormatting>
  <conditionalFormatting sqref="AB66:AB68 Q66:Q75 Q79 Q5:Q10 Q12:Q14 Q55:Q63 Q17:Q34 Q36:Q51 AB5:AB63 AB70:AB79">
    <cfRule type="cellIs" dxfId="743" priority="73" operator="greaterThan">
      <formula>1</formula>
    </cfRule>
    <cfRule type="cellIs" dxfId="742" priority="74" operator="lessThan">
      <formula>0.8</formula>
    </cfRule>
  </conditionalFormatting>
  <conditionalFormatting sqref="AC13:AC14 R13:R14 AC66 R66:R75 R17:R23 AC17:AC23 AC26:AC34 R26:R34 R79 AC5:AC10 R5:R10 R36:R51 AC36:AC51 AC55:AC63 R55:R63">
    <cfRule type="cellIs" dxfId="741" priority="78" operator="lessThan">
      <formula>0.8</formula>
    </cfRule>
  </conditionalFormatting>
  <conditionalFormatting sqref="AC46">
    <cfRule type="cellIs" dxfId="740" priority="80" operator="lessThan">
      <formula>0.8</formula>
    </cfRule>
  </conditionalFormatting>
  <conditionalFormatting sqref="AC18:AC23">
    <cfRule type="cellIs" dxfId="739" priority="77" operator="lessThan">
      <formula>0.8</formula>
    </cfRule>
  </conditionalFormatting>
  <conditionalFormatting sqref="AC27">
    <cfRule type="cellIs" dxfId="738" priority="79" operator="lessThan">
      <formula>0.8</formula>
    </cfRule>
  </conditionalFormatting>
  <conditionalFormatting sqref="AC37:AC44">
    <cfRule type="cellIs" dxfId="737" priority="75" operator="lessThan">
      <formula>0.8</formula>
    </cfRule>
  </conditionalFormatting>
  <conditionalFormatting sqref="AA69">
    <cfRule type="cellIs" dxfId="736" priority="71" operator="lessThan">
      <formula>0</formula>
    </cfRule>
  </conditionalFormatting>
  <conditionalFormatting sqref="AB69">
    <cfRule type="cellIs" dxfId="735" priority="69" operator="greaterThan">
      <formula>1</formula>
    </cfRule>
    <cfRule type="cellIs" dxfId="734" priority="70" operator="lessThan">
      <formula>0.8</formula>
    </cfRule>
  </conditionalFormatting>
  <conditionalFormatting sqref="O15:O16">
    <cfRule type="cellIs" dxfId="733" priority="64" operator="greaterThan">
      <formula>0</formula>
    </cfRule>
  </conditionalFormatting>
  <conditionalFormatting sqref="P15:P16">
    <cfRule type="cellIs" dxfId="732" priority="67" operator="lessThan">
      <formula>0</formula>
    </cfRule>
  </conditionalFormatting>
  <conditionalFormatting sqref="Q15:Q16">
    <cfRule type="cellIs" dxfId="731" priority="65" operator="greaterThan">
      <formula>1</formula>
    </cfRule>
    <cfRule type="cellIs" dxfId="730" priority="66" operator="lessThan">
      <formula>0.8</formula>
    </cfRule>
  </conditionalFormatting>
  <conditionalFormatting sqref="R15:R16 AC15:AC16">
    <cfRule type="cellIs" dxfId="729" priority="68" operator="lessThan">
      <formula>0.8</formula>
    </cfRule>
  </conditionalFormatting>
  <conditionalFormatting sqref="O11">
    <cfRule type="cellIs" dxfId="728" priority="60" operator="greaterThan">
      <formula>0</formula>
    </cfRule>
  </conditionalFormatting>
  <conditionalFormatting sqref="P11">
    <cfRule type="cellIs" dxfId="727" priority="63" operator="lessThan">
      <formula>0</formula>
    </cfRule>
  </conditionalFormatting>
  <conditionalFormatting sqref="Q11">
    <cfRule type="cellIs" dxfId="726" priority="61" operator="greaterThan">
      <formula>1</formula>
    </cfRule>
    <cfRule type="cellIs" dxfId="725" priority="62" operator="lessThan">
      <formula>0.8</formula>
    </cfRule>
  </conditionalFormatting>
  <conditionalFormatting sqref="AC25 R25">
    <cfRule type="cellIs" dxfId="724" priority="59" operator="lessThan">
      <formula>0.8</formula>
    </cfRule>
  </conditionalFormatting>
  <conditionalFormatting sqref="O65">
    <cfRule type="cellIs" dxfId="723" priority="54" operator="greaterThan">
      <formula>0</formula>
    </cfRule>
  </conditionalFormatting>
  <conditionalFormatting sqref="P65 AA65">
    <cfRule type="cellIs" dxfId="722" priority="57" operator="lessThan">
      <formula>0</formula>
    </cfRule>
  </conditionalFormatting>
  <conditionalFormatting sqref="Q65 AB65">
    <cfRule type="cellIs" dxfId="721" priority="55" operator="greaterThan">
      <formula>1</formula>
    </cfRule>
    <cfRule type="cellIs" dxfId="720" priority="56" operator="lessThan">
      <formula>0.8</formula>
    </cfRule>
  </conditionalFormatting>
  <conditionalFormatting sqref="R65 AC65">
    <cfRule type="cellIs" dxfId="719" priority="58" operator="lessThan">
      <formula>0.8</formula>
    </cfRule>
  </conditionalFormatting>
  <conditionalFormatting sqref="O35">
    <cfRule type="cellIs" dxfId="718" priority="49" operator="greaterThan">
      <formula>0</formula>
    </cfRule>
  </conditionalFormatting>
  <conditionalFormatting sqref="P35">
    <cfRule type="cellIs" dxfId="717" priority="52" operator="lessThan">
      <formula>0</formula>
    </cfRule>
  </conditionalFormatting>
  <conditionalFormatting sqref="Q35">
    <cfRule type="cellIs" dxfId="716" priority="50" operator="greaterThan">
      <formula>1</formula>
    </cfRule>
    <cfRule type="cellIs" dxfId="715" priority="51" operator="lessThan">
      <formula>0.8</formula>
    </cfRule>
  </conditionalFormatting>
  <conditionalFormatting sqref="R35 AC35">
    <cfRule type="cellIs" dxfId="714" priority="53" operator="lessThan">
      <formula>0.8</formula>
    </cfRule>
  </conditionalFormatting>
  <conditionalFormatting sqref="O76">
    <cfRule type="cellIs" dxfId="713" priority="44" operator="greaterThan">
      <formula>0</formula>
    </cfRule>
  </conditionalFormatting>
  <conditionalFormatting sqref="P76">
    <cfRule type="cellIs" dxfId="712" priority="47" operator="lessThan">
      <formula>0</formula>
    </cfRule>
  </conditionalFormatting>
  <conditionalFormatting sqref="Q76">
    <cfRule type="cellIs" dxfId="711" priority="45" operator="greaterThan">
      <formula>1</formula>
    </cfRule>
    <cfRule type="cellIs" dxfId="710" priority="46" operator="lessThan">
      <formula>0.8</formula>
    </cfRule>
  </conditionalFormatting>
  <conditionalFormatting sqref="R76">
    <cfRule type="cellIs" dxfId="709" priority="48" operator="lessThan">
      <formula>0.8</formula>
    </cfRule>
  </conditionalFormatting>
  <conditionalFormatting sqref="O52">
    <cfRule type="cellIs" dxfId="708" priority="38" operator="greaterThan">
      <formula>0</formula>
    </cfRule>
  </conditionalFormatting>
  <conditionalFormatting sqref="P52">
    <cfRule type="cellIs" dxfId="707" priority="42" operator="lessThan">
      <formula>0</formula>
    </cfRule>
  </conditionalFormatting>
  <conditionalFormatting sqref="Q52">
    <cfRule type="cellIs" dxfId="706" priority="39" operator="greaterThan">
      <formula>1</formula>
    </cfRule>
    <cfRule type="cellIs" dxfId="705" priority="40" operator="lessThan">
      <formula>0.8</formula>
    </cfRule>
  </conditionalFormatting>
  <conditionalFormatting sqref="R52 AC52">
    <cfRule type="cellIs" dxfId="704" priority="43" operator="lessThan">
      <formula>0.8</formula>
    </cfRule>
  </conditionalFormatting>
  <conditionalFormatting sqref="AC52">
    <cfRule type="cellIs" dxfId="703" priority="41" operator="lessThan">
      <formula>0.8</formula>
    </cfRule>
  </conditionalFormatting>
  <conditionalFormatting sqref="O53">
    <cfRule type="cellIs" dxfId="702" priority="32" operator="greaterThan">
      <formula>0</formula>
    </cfRule>
  </conditionalFormatting>
  <conditionalFormatting sqref="P53">
    <cfRule type="cellIs" dxfId="701" priority="36" operator="lessThan">
      <formula>0</formula>
    </cfRule>
  </conditionalFormatting>
  <conditionalFormatting sqref="Q53">
    <cfRule type="cellIs" dxfId="700" priority="33" operator="greaterThan">
      <formula>1</formula>
    </cfRule>
    <cfRule type="cellIs" dxfId="699" priority="34" operator="lessThan">
      <formula>0.8</formula>
    </cfRule>
  </conditionalFormatting>
  <conditionalFormatting sqref="R53 AC53">
    <cfRule type="cellIs" dxfId="698" priority="37" operator="lessThan">
      <formula>0.8</formula>
    </cfRule>
  </conditionalFormatting>
  <conditionalFormatting sqref="AC53">
    <cfRule type="cellIs" dxfId="697" priority="35" operator="lessThan">
      <formula>0.8</formula>
    </cfRule>
  </conditionalFormatting>
  <conditionalFormatting sqref="R24 AC24">
    <cfRule type="cellIs" dxfId="696" priority="31" operator="lessThan">
      <formula>0.8</formula>
    </cfRule>
  </conditionalFormatting>
  <conditionalFormatting sqref="AC24">
    <cfRule type="cellIs" dxfId="695" priority="30" operator="lessThan">
      <formula>0.8</formula>
    </cfRule>
  </conditionalFormatting>
  <conditionalFormatting sqref="O54">
    <cfRule type="cellIs" dxfId="694" priority="24" operator="greaterThan">
      <formula>0</formula>
    </cfRule>
  </conditionalFormatting>
  <conditionalFormatting sqref="P54">
    <cfRule type="cellIs" dxfId="693" priority="28" operator="lessThan">
      <formula>0</formula>
    </cfRule>
  </conditionalFormatting>
  <conditionalFormatting sqref="Q54">
    <cfRule type="cellIs" dxfId="692" priority="25" operator="greaterThan">
      <formula>1</formula>
    </cfRule>
    <cfRule type="cellIs" dxfId="691" priority="26" operator="lessThan">
      <formula>0.8</formula>
    </cfRule>
  </conditionalFormatting>
  <conditionalFormatting sqref="R54 AC54">
    <cfRule type="cellIs" dxfId="690" priority="29" operator="lessThan">
      <formula>0.8</formula>
    </cfRule>
  </conditionalFormatting>
  <conditionalFormatting sqref="AC54">
    <cfRule type="cellIs" dxfId="689" priority="27" operator="lessThan">
      <formula>0.8</formula>
    </cfRule>
  </conditionalFormatting>
  <conditionalFormatting sqref="O64">
    <cfRule type="cellIs" dxfId="688" priority="19" operator="greaterThan">
      <formula>0</formula>
    </cfRule>
  </conditionalFormatting>
  <conditionalFormatting sqref="P64 AA64">
    <cfRule type="cellIs" dxfId="687" priority="22" operator="lessThan">
      <formula>0</formula>
    </cfRule>
  </conditionalFormatting>
  <conditionalFormatting sqref="Q64 AB64">
    <cfRule type="cellIs" dxfId="686" priority="20" operator="greaterThan">
      <formula>1</formula>
    </cfRule>
    <cfRule type="cellIs" dxfId="685" priority="21" operator="lessThan">
      <formula>0.8</formula>
    </cfRule>
  </conditionalFormatting>
  <conditionalFormatting sqref="R64 AC64">
    <cfRule type="cellIs" dxfId="684" priority="23" operator="lessThan">
      <formula>0.8</formula>
    </cfRule>
  </conditionalFormatting>
  <conditionalFormatting sqref="P9">
    <cfRule type="cellIs" dxfId="683" priority="18" operator="lessThan">
      <formula>0</formula>
    </cfRule>
  </conditionalFormatting>
  <conditionalFormatting sqref="P17">
    <cfRule type="cellIs" dxfId="682" priority="17" operator="lessThan">
      <formula>0</formula>
    </cfRule>
  </conditionalFormatting>
  <conditionalFormatting sqref="P26">
    <cfRule type="cellIs" dxfId="681" priority="16" operator="lessThan">
      <formula>0</formula>
    </cfRule>
  </conditionalFormatting>
  <conditionalFormatting sqref="P36">
    <cfRule type="cellIs" dxfId="680" priority="15" operator="lessThan">
      <formula>0</formula>
    </cfRule>
  </conditionalFormatting>
  <conditionalFormatting sqref="P55">
    <cfRule type="cellIs" dxfId="679" priority="14" operator="lessThan">
      <formula>0</formula>
    </cfRule>
  </conditionalFormatting>
  <conditionalFormatting sqref="P62">
    <cfRule type="cellIs" dxfId="678" priority="13" operator="lessThan">
      <formula>0</formula>
    </cfRule>
  </conditionalFormatting>
  <conditionalFormatting sqref="P69">
    <cfRule type="cellIs" dxfId="677" priority="12" operator="lessThan">
      <formula>0</formula>
    </cfRule>
  </conditionalFormatting>
  <conditionalFormatting sqref="P79">
    <cfRule type="cellIs" dxfId="676" priority="11" operator="lessThan">
      <formula>0</formula>
    </cfRule>
  </conditionalFormatting>
  <conditionalFormatting sqref="O77">
    <cfRule type="cellIs" dxfId="675" priority="6" operator="greaterThan">
      <formula>0</formula>
    </cfRule>
  </conditionalFormatting>
  <conditionalFormatting sqref="P77">
    <cfRule type="cellIs" dxfId="674" priority="9" operator="lessThan">
      <formula>0</formula>
    </cfRule>
  </conditionalFormatting>
  <conditionalFormatting sqref="Q77">
    <cfRule type="cellIs" dxfId="673" priority="7" operator="greaterThan">
      <formula>1</formula>
    </cfRule>
    <cfRule type="cellIs" dxfId="672" priority="8" operator="lessThan">
      <formula>0.8</formula>
    </cfRule>
  </conditionalFormatting>
  <conditionalFormatting sqref="R77">
    <cfRule type="cellIs" dxfId="671" priority="10" operator="lessThan">
      <formula>0.8</formula>
    </cfRule>
  </conditionalFormatting>
  <conditionalFormatting sqref="O78">
    <cfRule type="cellIs" dxfId="670" priority="1" operator="greaterThan">
      <formula>0</formula>
    </cfRule>
  </conditionalFormatting>
  <conditionalFormatting sqref="P78">
    <cfRule type="cellIs" dxfId="669" priority="4" operator="lessThan">
      <formula>0</formula>
    </cfRule>
  </conditionalFormatting>
  <conditionalFormatting sqref="Q78">
    <cfRule type="cellIs" dxfId="668" priority="2" operator="greaterThan">
      <formula>1</formula>
    </cfRule>
    <cfRule type="cellIs" dxfId="667" priority="3" operator="lessThan">
      <formula>0.8</formula>
    </cfRule>
  </conditionalFormatting>
  <conditionalFormatting sqref="R78">
    <cfRule type="cellIs" dxfId="666" priority="5" operator="lessThan">
      <formula>0.8</formula>
    </cfRule>
  </conditionalFormatting>
  <dataValidations count="1">
    <dataValidation type="list" allowBlank="1" showInputMessage="1" showErrorMessage="1" sqref="Z9 Z67:Z68 Y5:Z8 Y9:Y68 Z11:Z63 Y69:Z79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="85" zoomScaleNormal="85" workbookViewId="0">
      <selection activeCell="C14" sqref="C14:D14"/>
    </sheetView>
  </sheetViews>
  <sheetFormatPr defaultColWidth="8.75" defaultRowHeight="15.75"/>
  <cols>
    <col min="1" max="1" width="8.75" style="2"/>
    <col min="2" max="2" width="17.875" style="2" customWidth="1"/>
    <col min="3" max="3" width="9.25" style="9" customWidth="1"/>
    <col min="4" max="13" width="12.625" style="2" customWidth="1"/>
    <col min="14" max="14" width="11" style="2" bestFit="1" customWidth="1"/>
    <col min="15" max="15" width="17.75" style="2" bestFit="1" customWidth="1"/>
    <col min="16" max="16" width="12.25" style="2" bestFit="1" customWidth="1"/>
    <col min="17" max="22" width="9.25" style="2" customWidth="1"/>
    <col min="23" max="23" width="10.75" style="2" customWidth="1"/>
    <col min="24" max="24" width="11" style="2" customWidth="1"/>
    <col min="25" max="16384" width="8.75" style="2"/>
  </cols>
  <sheetData>
    <row r="1" spans="2:17" ht="27.75" customHeight="1">
      <c r="B1" s="546" t="s">
        <v>737</v>
      </c>
      <c r="C1" s="546"/>
      <c r="D1" s="546"/>
      <c r="E1" s="546"/>
      <c r="F1" s="546"/>
      <c r="G1" s="546"/>
      <c r="H1" s="546"/>
      <c r="I1" s="546"/>
      <c r="J1" s="546"/>
      <c r="K1" s="1"/>
      <c r="L1" s="1"/>
      <c r="M1" s="1"/>
      <c r="N1" s="1"/>
      <c r="O1" s="1"/>
      <c r="P1" s="1"/>
    </row>
    <row r="2" spans="2:17" ht="27.75" customHeight="1">
      <c r="B2" s="547"/>
      <c r="C2" s="547"/>
      <c r="D2" s="547"/>
      <c r="E2" s="547"/>
      <c r="F2" s="547"/>
      <c r="G2" s="547"/>
      <c r="H2" s="547"/>
      <c r="I2" s="547"/>
      <c r="J2" s="547"/>
      <c r="K2" s="3"/>
      <c r="L2" s="3"/>
      <c r="M2" s="3"/>
      <c r="N2" s="1"/>
      <c r="O2" s="1"/>
      <c r="P2" s="1"/>
    </row>
    <row r="3" spans="2:17" ht="46.5" customHeight="1">
      <c r="B3" s="4" t="s">
        <v>249</v>
      </c>
      <c r="C3" s="548" t="str">
        <f>TEXT('1209 4度C'!A2,"yyyy.mm.ddaaaa")</f>
        <v>2025.12.09星期二</v>
      </c>
      <c r="D3" s="549"/>
      <c r="E3" s="4" t="s">
        <v>738</v>
      </c>
      <c r="F3" s="550">
        <f>'1209 4度C'!D1</f>
        <v>196432</v>
      </c>
      <c r="G3" s="551"/>
      <c r="H3" s="4" t="s">
        <v>739</v>
      </c>
      <c r="I3" s="552">
        <f>'1209 4度C'!F1</f>
        <v>6528421.799999998</v>
      </c>
      <c r="J3" s="553"/>
      <c r="K3" s="5"/>
      <c r="L3" s="6"/>
      <c r="M3" s="7"/>
      <c r="N3" s="7"/>
    </row>
    <row r="4" spans="2:17" ht="28.5" customHeight="1">
      <c r="B4" s="554" t="s">
        <v>740</v>
      </c>
      <c r="C4" s="536" t="s">
        <v>741</v>
      </c>
      <c r="D4" s="537"/>
      <c r="E4" s="557" t="s">
        <v>742</v>
      </c>
      <c r="F4" s="558"/>
      <c r="G4" s="557" t="s">
        <v>743</v>
      </c>
      <c r="H4" s="558"/>
      <c r="I4" s="557" t="s">
        <v>744</v>
      </c>
      <c r="J4" s="558"/>
      <c r="L4" s="7"/>
      <c r="M4" s="7"/>
      <c r="N4" s="7"/>
    </row>
    <row r="5" spans="2:17" ht="28.5" customHeight="1">
      <c r="B5" s="555"/>
      <c r="C5" s="536" t="s">
        <v>745</v>
      </c>
      <c r="D5" s="537"/>
      <c r="E5" s="536" t="s">
        <v>746</v>
      </c>
      <c r="F5" s="537"/>
      <c r="G5" s="538" t="s">
        <v>747</v>
      </c>
      <c r="H5" s="539"/>
      <c r="I5" s="540" t="s">
        <v>748</v>
      </c>
      <c r="J5" s="541"/>
      <c r="K5" s="7"/>
      <c r="L5" s="7"/>
      <c r="M5" s="7"/>
      <c r="N5" s="7"/>
    </row>
    <row r="6" spans="2:17" ht="28.5" customHeight="1">
      <c r="B6" s="555"/>
      <c r="C6" s="536" t="s">
        <v>46</v>
      </c>
      <c r="D6" s="537"/>
      <c r="E6" s="542">
        <f>AVERAGE(D13:M13)</f>
        <v>149.02970041155857</v>
      </c>
      <c r="F6" s="543">
        <f>AVERAGE(D27:O27,D13:J13)</f>
        <v>153.53917467656797</v>
      </c>
      <c r="G6" s="544">
        <f>AVERAGE(D13:J13)</f>
        <v>153.53917467656797</v>
      </c>
      <c r="H6" s="545"/>
      <c r="I6" s="544">
        <f>AVERAGE(K13:M13)</f>
        <v>138.50759379320326</v>
      </c>
      <c r="J6" s="545"/>
      <c r="K6" s="7"/>
      <c r="L6" s="7"/>
      <c r="M6" s="7"/>
      <c r="N6" s="7"/>
    </row>
    <row r="7" spans="2:17" ht="28.5" customHeight="1">
      <c r="B7" s="555"/>
      <c r="C7" s="526" t="s">
        <v>47</v>
      </c>
      <c r="D7" s="527"/>
      <c r="E7" s="528">
        <f>AVERAGE(D14:M14)</f>
        <v>142.96516949951857</v>
      </c>
      <c r="F7" s="529">
        <f>AVERAGE(D28:O28,D14:J14)</f>
        <v>147.47803483597346</v>
      </c>
      <c r="G7" s="530">
        <f>AVERAGE(D14:J14)</f>
        <v>147.47803483597346</v>
      </c>
      <c r="H7" s="531"/>
      <c r="I7" s="530">
        <f>AVERAGE(K14:M14)</f>
        <v>132.43515038112375</v>
      </c>
      <c r="J7" s="531"/>
      <c r="K7" s="7"/>
      <c r="L7" s="7"/>
      <c r="M7" s="7"/>
      <c r="N7" s="7"/>
    </row>
    <row r="8" spans="2:17" ht="28.5" customHeight="1">
      <c r="B8" s="556"/>
      <c r="C8" s="526" t="s">
        <v>48</v>
      </c>
      <c r="D8" s="527"/>
      <c r="E8" s="532">
        <f>AVERAGE(D15:M15)</f>
        <v>0.95869537553746942</v>
      </c>
      <c r="F8" s="533">
        <f>AVERAGE(D15:J15,D29:O29)</f>
        <v>0.95978631363528866</v>
      </c>
      <c r="G8" s="534">
        <f>AVERAGE(D15:J15)</f>
        <v>0.95978631363528866</v>
      </c>
      <c r="H8" s="535"/>
      <c r="I8" s="534">
        <f>AVERAGE(K15:M15)</f>
        <v>0.95614985330922453</v>
      </c>
      <c r="J8" s="535"/>
      <c r="K8" s="8" t="s">
        <v>749</v>
      </c>
      <c r="L8" s="7"/>
      <c r="M8" s="7"/>
      <c r="N8" s="7"/>
    </row>
    <row r="9" spans="2:17" ht="28.5" customHeight="1" thickBot="1">
      <c r="H9" s="10"/>
      <c r="N9" s="7"/>
      <c r="O9" s="7"/>
      <c r="P9" s="7"/>
      <c r="Q9" s="7"/>
    </row>
    <row r="10" spans="2:17" ht="30" customHeight="1">
      <c r="B10" s="509" t="s">
        <v>750</v>
      </c>
      <c r="C10" s="510"/>
      <c r="D10" s="511" t="s">
        <v>751</v>
      </c>
      <c r="E10" s="512"/>
      <c r="F10" s="512"/>
      <c r="G10" s="512"/>
      <c r="H10" s="512"/>
      <c r="I10" s="512"/>
      <c r="J10" s="513"/>
      <c r="K10" s="514" t="s">
        <v>752</v>
      </c>
      <c r="L10" s="515"/>
      <c r="M10" s="516"/>
      <c r="P10" s="11"/>
      <c r="Q10" s="11"/>
    </row>
    <row r="11" spans="2:17" ht="17.25" customHeight="1">
      <c r="B11" s="517" t="s">
        <v>753</v>
      </c>
      <c r="C11" s="518"/>
      <c r="D11" s="12">
        <v>1</v>
      </c>
      <c r="E11" s="13">
        <v>2</v>
      </c>
      <c r="F11" s="13">
        <v>3</v>
      </c>
      <c r="G11" s="13">
        <v>4</v>
      </c>
      <c r="H11" s="13">
        <v>5</v>
      </c>
      <c r="I11" s="13">
        <v>6</v>
      </c>
      <c r="J11" s="14">
        <v>7</v>
      </c>
      <c r="K11" s="12">
        <v>1</v>
      </c>
      <c r="L11" s="13">
        <v>2</v>
      </c>
      <c r="M11" s="14">
        <v>3</v>
      </c>
      <c r="P11" s="11"/>
      <c r="Q11" s="11"/>
    </row>
    <row r="12" spans="2:17" ht="34.15" customHeight="1">
      <c r="B12" s="519"/>
      <c r="C12" s="520"/>
      <c r="D12" s="15" t="s">
        <v>49</v>
      </c>
      <c r="E12" s="16" t="s">
        <v>50</v>
      </c>
      <c r="F12" s="16" t="s">
        <v>51</v>
      </c>
      <c r="G12" s="16" t="s">
        <v>52</v>
      </c>
      <c r="H12" s="16" t="s">
        <v>53</v>
      </c>
      <c r="I12" s="16" t="s">
        <v>54</v>
      </c>
      <c r="J12" s="17" t="s">
        <v>55</v>
      </c>
      <c r="K12" s="15" t="s">
        <v>56</v>
      </c>
      <c r="L12" s="16" t="s">
        <v>57</v>
      </c>
      <c r="M12" s="17" t="s">
        <v>58</v>
      </c>
    </row>
    <row r="13" spans="2:17" ht="40.15" customHeight="1">
      <c r="B13" s="521" t="s">
        <v>754</v>
      </c>
      <c r="C13" s="18" t="s">
        <v>755</v>
      </c>
      <c r="D13" s="19">
        <f>SUMIFS('1209 4度C'!$K:$K,'1209 4度C'!$A:$A,"新豐6線",'1209 4度C'!$B:$B,"平均")</f>
        <v>179.77528089887642</v>
      </c>
      <c r="E13" s="20">
        <f>SUMIFS('1209 4度C'!$K:$K,'1209 4度C'!$A:$A,"新豐2線",'1209 4度C'!$B:$B,"平均")</f>
        <v>84.905660377358487</v>
      </c>
      <c r="F13" s="21">
        <f>SUMIFS('1209 4度C'!$K:$K,'1209 4度C'!$A:$A,"新豐5線",'1209 4度C'!$B:$B,"平均")</f>
        <v>93.333333333333329</v>
      </c>
      <c r="G13" s="21">
        <f>SUMIFS('1209 4度C'!$K:$K,'1209 4度C'!$A:$A,"新豐7線",'1209 4度C'!$B:$B,"平均")</f>
        <v>115.38461538461539</v>
      </c>
      <c r="H13" s="21">
        <f>SUMIFS('1209 4度C'!$K:$K,'1209 4度C'!$A:$A,"新豐3線",'1209 4度C'!$B:$B,"平均")</f>
        <v>239.13043478260869</v>
      </c>
      <c r="I13" s="21">
        <f>SUMIFS('1209 4度C'!$K:$K,'1209 4度C'!$A:$A,"新豐1線",'1209 4度C'!$B:$B,"平均")</f>
        <v>112.24489795918367</v>
      </c>
      <c r="J13" s="22">
        <f>SUMIFS('1209 4度C'!$K:$K,'1209 4度C'!$A:$A,"新豐10線",'1209 4度C'!$B:$B,"平均")</f>
        <v>250</v>
      </c>
      <c r="K13" s="23">
        <f>SUMIFS('1209 4度C'!$K:$K,'1209 4度C'!$A:$A,"新豐8線",'1209 4度C'!$B:$B,"平均")</f>
        <v>132.41379310344828</v>
      </c>
      <c r="L13" s="24">
        <f>SUMIFS('1209 4度C'!$K:$K,'1209 4度C'!$A:$A,"新豐9線",'1209 4度C'!$B:$B,"平均")</f>
        <v>136.17021276595744</v>
      </c>
      <c r="M13" s="22">
        <f>SUMIFS('1209 4度C'!$K:$K,'1209 4度C'!$A:$A,"新豐4線",'1209 4度C'!$B:$B,"平均")</f>
        <v>146.9387755102041</v>
      </c>
    </row>
    <row r="14" spans="2:17" ht="39.6" customHeight="1">
      <c r="B14" s="522"/>
      <c r="C14" s="25" t="s">
        <v>756</v>
      </c>
      <c r="D14" s="26">
        <f>SUMIFS('1209 4度C'!$N:$N,'1209 4度C'!$A:$A,"新豐6線",'1209 4度C'!$B:$B,"平均")</f>
        <v>173.0485987849782</v>
      </c>
      <c r="E14" s="27">
        <f>SUMIFS('1209 4度C'!$N:$N,'1209 4度C'!$A:$A,"新豐2線",'1209 4度C'!$B:$B,"平均")</f>
        <v>81.145174165703068</v>
      </c>
      <c r="F14" s="27">
        <f>SUMIFS('1209 4度C'!$N:$N,'1209 4度C'!$A:$A,"新豐5線",'1209 4度C'!$B:$B,"平均")</f>
        <v>89.239619644723078</v>
      </c>
      <c r="G14" s="27">
        <f>SUMIFS('1209 4度C'!$N:$N,'1209 4度C'!$A:$A,"新豐7線",'1209 4度C'!$B:$B,"平均")</f>
        <v>110.86765419549324</v>
      </c>
      <c r="H14" s="27">
        <f>SUMIFS('1209 4度C'!$N:$N,'1209 4度C'!$A:$A,"新豐3線",'1209 4度C'!$B:$B,"平均")</f>
        <v>228.84219443393542</v>
      </c>
      <c r="I14" s="27">
        <f>SUMIFS('1209 4度C'!$N:$N,'1209 4度C'!$A:$A,"新豐1線",'1209 4度C'!$B:$B,"平均")</f>
        <v>107.84711478211628</v>
      </c>
      <c r="J14" s="28">
        <f>SUMIFS('1209 4度C'!$N:$N,'1209 4度C'!$A:$A,"新豐10線",'1209 4度C'!$B:$B,"平均")</f>
        <v>241.35588784486509</v>
      </c>
      <c r="K14" s="29">
        <f>SUMIFS('1209 4度C'!$N:$N,'1209 4度C'!$A:$A,"新豐8線",'1209 4度C'!$B:$B,"平均")</f>
        <v>126.42238838192108</v>
      </c>
      <c r="L14" s="30">
        <f>SUMIFS('1209 4度C'!$N:$N,'1209 4度C'!$A:$A,"新豐9線",'1209 4度C'!$B:$B,"平均")</f>
        <v>130.41274526483454</v>
      </c>
      <c r="M14" s="28">
        <f>SUMIFS('1209 4度C'!$N:$N,'1209 4度C'!$A:$A,"新豐4線",'1209 4度C'!$B:$B,"平均")</f>
        <v>140.47031749661565</v>
      </c>
    </row>
    <row r="15" spans="2:17" ht="40.15" customHeight="1">
      <c r="B15" s="523"/>
      <c r="C15" s="31" t="s">
        <v>757</v>
      </c>
      <c r="D15" s="32">
        <f t="shared" ref="D15:M15" si="0">D14/D13</f>
        <v>0.96258283074144113</v>
      </c>
      <c r="E15" s="33">
        <f t="shared" si="0"/>
        <v>0.95570982906272506</v>
      </c>
      <c r="F15" s="33">
        <f t="shared" si="0"/>
        <v>0.95613878190774726</v>
      </c>
      <c r="G15" s="33">
        <f t="shared" si="0"/>
        <v>0.96085300302760812</v>
      </c>
      <c r="H15" s="33">
        <f t="shared" si="0"/>
        <v>0.95697644945100269</v>
      </c>
      <c r="I15" s="33">
        <f t="shared" si="0"/>
        <v>0.96081974987703589</v>
      </c>
      <c r="J15" s="34">
        <f t="shared" si="0"/>
        <v>0.96542355137946034</v>
      </c>
      <c r="K15" s="32">
        <f t="shared" si="0"/>
        <v>0.95475241225929974</v>
      </c>
      <c r="L15" s="33">
        <f t="shared" si="0"/>
        <v>0.95771859803862869</v>
      </c>
      <c r="M15" s="34">
        <f t="shared" si="0"/>
        <v>0.95597854962974527</v>
      </c>
    </row>
    <row r="16" spans="2:17" ht="17.25" customHeight="1">
      <c r="B16" s="524" t="s">
        <v>758</v>
      </c>
      <c r="C16" s="35" t="s">
        <v>759</v>
      </c>
      <c r="D16" s="49">
        <f>VLOOKUP("新豐6線",'1209 4度C'!$A:$T,19,0)</f>
        <v>0.29166666666666669</v>
      </c>
      <c r="E16" s="50">
        <f>VLOOKUP("新豐2線",'1209 4度C'!$A:$T,19,0)</f>
        <v>0.20833333333333334</v>
      </c>
      <c r="F16" s="50">
        <f>VLOOKUP("新豐5線",'1209 4度C'!$A:$T,19,0)</f>
        <v>0.29166666666666669</v>
      </c>
      <c r="G16" s="50">
        <f>VLOOKUP("新豐7線",'1209 4度C'!$A:$T,19,0)</f>
        <v>0.29166666666666669</v>
      </c>
      <c r="H16" s="50">
        <f>VLOOKUP("新豐3線",'1209 4度C'!$A:$T,19,0)</f>
        <v>0.125</v>
      </c>
      <c r="I16" s="50">
        <f>VLOOKUP("新豐1線",'1209 4度C'!$A:$T,19,0)</f>
        <v>0.33333333333333331</v>
      </c>
      <c r="J16" s="51">
        <f>VLOOKUP("新豐10線",'1209 4度C'!$A:$T,19,0)</f>
        <v>0.20833333333333334</v>
      </c>
      <c r="K16" s="36">
        <f>VLOOKUP("新豐8線",'1209 4度C'!$A:$T,19,0)</f>
        <v>8.3333333333333329E-2</v>
      </c>
      <c r="L16" s="37">
        <f>VLOOKUP("新豐9線",'1209 4度C'!$A:$T,19,0)</f>
        <v>8.3333333333333329E-2</v>
      </c>
      <c r="M16" s="38">
        <f>VLOOKUP("新豐4線",'1209 4度C'!$A:$T,19,0)</f>
        <v>8.3333333333333329E-2</v>
      </c>
    </row>
    <row r="17" spans="2:13" ht="17.25" customHeight="1">
      <c r="B17" s="525"/>
      <c r="C17" s="35" t="s">
        <v>760</v>
      </c>
      <c r="D17" s="36">
        <f>LOOKUP(2,1/(('1209 4度C'!$A:$A="新豐6線")*('1209 4度C'!$T:$T&lt;&gt;"")),'1209 4度C'!$T:$T)</f>
        <v>0.90833333333333333</v>
      </c>
      <c r="E17" s="50">
        <f>LOOKUP(2,1/(('1209 4度C'!$A:$A="新豐2線")*('1209 4度C'!$T:$T&lt;&gt;"")),'1209 4度C'!$T:$T)</f>
        <v>0.61597222222222225</v>
      </c>
      <c r="F17" s="50">
        <f>LOOKUP(2,1/(('1209 4度C'!$A:$A="新豐5線")*('1209 4度C'!$T:$T&lt;&gt;"")),'1209 4度C'!$T:$T)</f>
        <v>0.83333333333333337</v>
      </c>
      <c r="G17" s="50">
        <f>LOOKUP(2,1/(('1209 4度C'!$A:$A="新豐7線")*('1209 4度C'!$T:$T&lt;&gt;"")),'1209 4度C'!$T:$T)</f>
        <v>0.85138888888888897</v>
      </c>
      <c r="H17" s="50">
        <f>LOOKUP(2,1/(('1209 4度C'!$A:$A="新豐3線")*('1209 4度C'!$T:$T&lt;&gt;"")),'1209 4度C'!$T:$T)</f>
        <v>0.71597222222222212</v>
      </c>
      <c r="I17" s="50">
        <f>LOOKUP(2,1/(('1209 4度C'!$A:$A="新豐1線")*('1209 4度C'!$T:$T&lt;&gt;"")),'1209 4度C'!$T:$T)</f>
        <v>0.93194444444444435</v>
      </c>
      <c r="J17" s="51">
        <f>LOOKUP(2,1/(('1209 4度C'!$A:$A="新豐10線")*('1209 4度C'!$T:$T&lt;&gt;"")),'1209 4度C'!$T:$T)</f>
        <v>0.46944444444444444</v>
      </c>
      <c r="K17" s="49">
        <f>LOOKUP(2,1/(('1209 4度C'!$A:$A="新豐8線")*('1209 4度C'!$T:$T&lt;&gt;"")),'1209 4度C'!$T:$T)</f>
        <v>0.74236111111111092</v>
      </c>
      <c r="L17" s="50">
        <f>LOOKUP(2,1/(('1209 4度C'!$A:$A="新豐9線")*('1209 4度C'!$T:$T&lt;&gt;"")),'1209 4度C'!$T:$T)</f>
        <v>0.71180555555555558</v>
      </c>
      <c r="M17" s="51">
        <f>LOOKUP(2,1/(('1209 4度C'!$A:$A="新豐4線")*('1209 4度C'!$T:$T&lt;&gt;"")),'1209 4度C'!$T:$T)</f>
        <v>0.71319444444444424</v>
      </c>
    </row>
    <row r="18" spans="2:13" ht="17.25" customHeight="1">
      <c r="B18" s="503" t="s">
        <v>761</v>
      </c>
      <c r="C18" s="504"/>
      <c r="D18" s="39">
        <f>SUMIFS('1209 4度C'!$I:$I,'1209 4度C'!$A:$A,"新豐6線",'1209 4度C'!$B:$B,"平均")</f>
        <v>12.714285714285714</v>
      </c>
      <c r="E18" s="40">
        <f>SUMIFS('1209 4度C'!$I:$I,'1209 4度C'!$A:$A,"新豐2線",'1209 4度C'!$B:$B,"平均")</f>
        <v>17.666666666666668</v>
      </c>
      <c r="F18" s="40">
        <f>SUMIFS('1209 4度C'!$I:$I,'1209 4度C'!$A:$A,"新豐5線",'1209 4度C'!$B:$B,"平均")</f>
        <v>18.75</v>
      </c>
      <c r="G18" s="40">
        <f>SUMIFS('1209 4度C'!$I:$I,'1209 4度C'!$A:$A,"新豐7線",'1209 4度C'!$B:$B,"平均")</f>
        <v>16.714285714285715</v>
      </c>
      <c r="H18" s="40">
        <f>SUMIFS('1209 4度C'!$I:$I,'1209 4度C'!$A:$A,"新豐3線",'1209 4度C'!$B:$B,"平均")</f>
        <v>11.5</v>
      </c>
      <c r="I18" s="40">
        <f>SUMIFS('1209 4度C'!$I:$I,'1209 4度C'!$A:$A,"新豐1線",'1209 4度C'!$B:$B,"平均")</f>
        <v>16.333333333333332</v>
      </c>
      <c r="J18" s="41">
        <f>SUMIFS('1209 4度C'!$I:$I,'1209 4度C'!$A:$A,"新豐10線",'1209 4度C'!$B:$B,"平均")</f>
        <v>10</v>
      </c>
      <c r="K18" s="39">
        <f>SUMIFS('1209 4度C'!$I:$I,'1209 4度C'!$A:$A,"新豐8線",'1209 4度C'!$B:$B,"平均")</f>
        <v>18.125</v>
      </c>
      <c r="L18" s="40">
        <f>SUMIFS('1209 4度C'!$I:$I,'1209 4度C'!$A:$A,"新豐9線",'1209 4度C'!$B:$B,"平均")</f>
        <v>17.625</v>
      </c>
      <c r="M18" s="41">
        <f>SUMIFS('1209 4度C'!$I:$I,'1209 4度C'!$A:$A,"新豐4線",'1209 4度C'!$B:$B,"平均")</f>
        <v>16.333333333333332</v>
      </c>
    </row>
    <row r="19" spans="2:13" ht="17.25" customHeight="1">
      <c r="B19" s="503" t="s">
        <v>762</v>
      </c>
      <c r="C19" s="504"/>
      <c r="D19" s="42" t="s">
        <v>59</v>
      </c>
      <c r="E19" s="43" t="s">
        <v>60</v>
      </c>
      <c r="F19" s="43" t="s">
        <v>137</v>
      </c>
      <c r="G19" s="43" t="s">
        <v>763</v>
      </c>
      <c r="H19" s="43" t="s">
        <v>61</v>
      </c>
      <c r="I19" s="43" t="s">
        <v>59</v>
      </c>
      <c r="J19" s="44" t="s">
        <v>61</v>
      </c>
      <c r="K19" s="42" t="s">
        <v>764</v>
      </c>
      <c r="L19" s="43" t="s">
        <v>138</v>
      </c>
      <c r="M19" s="44" t="s">
        <v>764</v>
      </c>
    </row>
    <row r="20" spans="2:13" ht="17.25" customHeight="1">
      <c r="B20" s="503" t="s">
        <v>140</v>
      </c>
      <c r="C20" s="504"/>
      <c r="D20" s="42"/>
      <c r="E20" s="43"/>
      <c r="F20" s="43" t="s">
        <v>765</v>
      </c>
      <c r="G20" s="43" t="s">
        <v>59</v>
      </c>
      <c r="H20" s="43"/>
      <c r="I20" s="43"/>
      <c r="J20" s="44"/>
      <c r="K20" s="42"/>
      <c r="L20" s="43"/>
      <c r="M20" s="44"/>
    </row>
    <row r="21" spans="2:13" ht="17.25" customHeight="1" thickBot="1">
      <c r="B21" s="505" t="s">
        <v>766</v>
      </c>
      <c r="C21" s="506"/>
      <c r="D21" s="45"/>
      <c r="E21" s="46" t="s">
        <v>767</v>
      </c>
      <c r="F21" s="507" t="s">
        <v>768</v>
      </c>
      <c r="G21" s="508"/>
      <c r="H21" s="46" t="s">
        <v>769</v>
      </c>
      <c r="I21" s="46" t="s">
        <v>145</v>
      </c>
      <c r="J21" s="47" t="s">
        <v>769</v>
      </c>
      <c r="K21" s="48"/>
      <c r="L21" s="46"/>
      <c r="M21" s="4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20:C20"/>
    <mergeCell ref="B21:C21"/>
    <mergeCell ref="F21:G21"/>
    <mergeCell ref="K10:M10"/>
    <mergeCell ref="B11:C12"/>
    <mergeCell ref="B13:B15"/>
    <mergeCell ref="B18:C18"/>
    <mergeCell ref="B19:C19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665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C80"/>
  <sheetViews>
    <sheetView zoomScale="80" zoomScaleNormal="80" workbookViewId="0">
      <pane ySplit="4" topLeftCell="A5" activePane="bottomLeft" state="frozen"/>
      <selection activeCell="D14" sqref="D14"/>
      <selection pane="bottomLeft" activeCell="C14" sqref="C14:D14"/>
    </sheetView>
  </sheetViews>
  <sheetFormatPr defaultColWidth="8" defaultRowHeight="15.75"/>
  <cols>
    <col min="1" max="1" width="15.125" style="54" customWidth="1"/>
    <col min="2" max="2" width="19.375" style="54" customWidth="1"/>
    <col min="3" max="3" width="15.25" style="54" customWidth="1"/>
    <col min="4" max="4" width="17.5" style="54" customWidth="1"/>
    <col min="5" max="5" width="7.5" style="54" bestFit="1" customWidth="1"/>
    <col min="6" max="6" width="14.375" style="54" bestFit="1" customWidth="1"/>
    <col min="7" max="7" width="14.375" style="54" customWidth="1"/>
    <col min="8" max="8" width="8" style="54" customWidth="1"/>
    <col min="9" max="9" width="5.875" style="54" customWidth="1"/>
    <col min="10" max="10" width="10.625" style="54" customWidth="1"/>
    <col min="11" max="11" width="14.625" style="54" customWidth="1"/>
    <col min="12" max="12" width="7.25" style="54" bestFit="1" customWidth="1"/>
    <col min="13" max="13" width="8" style="54" customWidth="1"/>
    <col min="14" max="14" width="12" style="54" customWidth="1"/>
    <col min="15" max="15" width="6" style="54" customWidth="1"/>
    <col min="16" max="16" width="9.25" style="54" customWidth="1"/>
    <col min="17" max="17" width="11.5" style="54" customWidth="1"/>
    <col min="18" max="18" width="8.5" style="54" customWidth="1"/>
    <col min="19" max="19" width="10.125" style="54" bestFit="1" customWidth="1"/>
    <col min="20" max="20" width="7.625" style="54" bestFit="1" customWidth="1"/>
    <col min="21" max="21" width="10.25" style="54" bestFit="1" customWidth="1"/>
    <col min="22" max="22" width="8.75" style="71" customWidth="1"/>
    <col min="23" max="23" width="7.375" style="54" customWidth="1"/>
    <col min="24" max="24" width="6.875" style="54" bestFit="1" customWidth="1"/>
    <col min="25" max="25" width="12.75" style="54" customWidth="1"/>
    <col min="26" max="26" width="18.875" style="54" customWidth="1"/>
    <col min="27" max="27" width="13.125" style="54" bestFit="1" customWidth="1"/>
    <col min="28" max="28" width="10.375" style="54" customWidth="1"/>
    <col min="29" max="29" width="9.375" style="54" customWidth="1"/>
    <col min="30" max="30" width="8" style="54"/>
    <col min="31" max="31" width="24.625" style="54" bestFit="1" customWidth="1"/>
    <col min="32" max="16384" width="8" style="54"/>
  </cols>
  <sheetData>
    <row r="1" spans="1:29" ht="26.25" customHeight="1">
      <c r="A1" s="52" t="s">
        <v>770</v>
      </c>
      <c r="B1" s="52"/>
      <c r="C1" s="117" t="s">
        <v>147</v>
      </c>
      <c r="D1" s="118">
        <f>SUM(F5:F79)</f>
        <v>196432</v>
      </c>
      <c r="E1" s="202" t="s">
        <v>771</v>
      </c>
      <c r="F1" s="52">
        <f>SUM(G5:G79)</f>
        <v>6528421.799999998</v>
      </c>
      <c r="G1" s="52" t="s">
        <v>149</v>
      </c>
      <c r="H1" s="53">
        <f>L12+L16+L56+L63+L21+L69+L38+L47+L29+L79</f>
        <v>155.76190476190476</v>
      </c>
      <c r="I1" s="607" t="s">
        <v>206</v>
      </c>
      <c r="J1" s="607"/>
      <c r="K1" s="607"/>
      <c r="L1" s="607" t="s">
        <v>772</v>
      </c>
      <c r="M1" s="607"/>
      <c r="N1" s="607"/>
      <c r="O1" s="607" t="s">
        <v>773</v>
      </c>
      <c r="P1" s="607"/>
      <c r="Q1" s="607"/>
      <c r="R1" s="607"/>
      <c r="S1" s="607" t="s">
        <v>774</v>
      </c>
      <c r="T1" s="607"/>
      <c r="U1" s="607"/>
      <c r="V1" s="607"/>
      <c r="W1" s="607"/>
      <c r="X1" s="607"/>
      <c r="Y1" s="607" t="s">
        <v>775</v>
      </c>
      <c r="Z1" s="607"/>
      <c r="AA1" s="607" t="s">
        <v>776</v>
      </c>
      <c r="AB1" s="608"/>
      <c r="AC1" s="608"/>
    </row>
    <row r="2" spans="1:29" ht="26.25" customHeight="1">
      <c r="A2" s="55">
        <v>46000</v>
      </c>
      <c r="B2" s="56" t="s">
        <v>212</v>
      </c>
      <c r="C2" s="117" t="s">
        <v>130</v>
      </c>
      <c r="D2" s="119">
        <f>AVERAGE(N12,N16,N56,N63,N21,N69,N29,N38,N47,N79)</f>
        <v>142.96516949951859</v>
      </c>
      <c r="E2" s="120" t="s">
        <v>0</v>
      </c>
      <c r="F2" s="121">
        <f>F1/D1</f>
        <v>33.23502178871059</v>
      </c>
      <c r="G2" s="52" t="s">
        <v>777</v>
      </c>
      <c r="H2" s="209">
        <f>COUNT(H5:H79)</f>
        <v>13</v>
      </c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8"/>
      <c r="AB2" s="608"/>
      <c r="AC2" s="608"/>
    </row>
    <row r="3" spans="1:29" ht="23.25" customHeight="1">
      <c r="A3" s="559" t="s">
        <v>215</v>
      </c>
      <c r="B3" s="559" t="s">
        <v>151</v>
      </c>
      <c r="C3" s="559" t="s">
        <v>152</v>
      </c>
      <c r="D3" s="559"/>
      <c r="E3" s="605" t="s">
        <v>778</v>
      </c>
      <c r="F3" s="559" t="s">
        <v>219</v>
      </c>
      <c r="G3" s="605" t="s">
        <v>779</v>
      </c>
      <c r="H3" s="598" t="s">
        <v>780</v>
      </c>
      <c r="I3" s="596" t="s">
        <v>781</v>
      </c>
      <c r="J3" s="601" t="s">
        <v>782</v>
      </c>
      <c r="K3" s="603" t="s">
        <v>783</v>
      </c>
      <c r="L3" s="596" t="s">
        <v>784</v>
      </c>
      <c r="M3" s="601" t="s">
        <v>785</v>
      </c>
      <c r="N3" s="603" t="s">
        <v>786</v>
      </c>
      <c r="O3" s="596" t="s">
        <v>781</v>
      </c>
      <c r="P3" s="603" t="s">
        <v>783</v>
      </c>
      <c r="Q3" s="602" t="s">
        <v>787</v>
      </c>
      <c r="R3" s="574" t="s">
        <v>788</v>
      </c>
      <c r="S3" s="559" t="s">
        <v>1</v>
      </c>
      <c r="T3" s="559"/>
      <c r="U3" s="598" t="s">
        <v>2</v>
      </c>
      <c r="V3" s="598" t="s">
        <v>153</v>
      </c>
      <c r="W3" s="559" t="s">
        <v>789</v>
      </c>
      <c r="X3" s="559"/>
      <c r="Y3" s="599" t="s">
        <v>311</v>
      </c>
      <c r="Z3" s="600"/>
      <c r="AA3" s="601" t="s">
        <v>785</v>
      </c>
      <c r="AB3" s="602" t="s">
        <v>790</v>
      </c>
      <c r="AC3" s="574" t="s">
        <v>791</v>
      </c>
    </row>
    <row r="4" spans="1:29">
      <c r="A4" s="559"/>
      <c r="B4" s="559"/>
      <c r="C4" s="559"/>
      <c r="D4" s="559"/>
      <c r="E4" s="606"/>
      <c r="F4" s="559"/>
      <c r="G4" s="606"/>
      <c r="H4" s="598"/>
      <c r="I4" s="596"/>
      <c r="J4" s="601"/>
      <c r="K4" s="603"/>
      <c r="L4" s="596"/>
      <c r="M4" s="601"/>
      <c r="N4" s="603"/>
      <c r="O4" s="596"/>
      <c r="P4" s="603"/>
      <c r="Q4" s="602"/>
      <c r="R4" s="574"/>
      <c r="S4" s="202" t="s">
        <v>3</v>
      </c>
      <c r="T4" s="202" t="s">
        <v>4</v>
      </c>
      <c r="U4" s="598"/>
      <c r="V4" s="598"/>
      <c r="W4" s="202" t="s">
        <v>792</v>
      </c>
      <c r="X4" s="202" t="s">
        <v>793</v>
      </c>
      <c r="Y4" s="600"/>
      <c r="Z4" s="600"/>
      <c r="AA4" s="601"/>
      <c r="AB4" s="602"/>
      <c r="AC4" s="574"/>
    </row>
    <row r="5" spans="1:29">
      <c r="A5" s="595" t="s">
        <v>794</v>
      </c>
      <c r="B5" s="57" t="s">
        <v>31</v>
      </c>
      <c r="C5" s="597" t="s">
        <v>35</v>
      </c>
      <c r="D5" s="597"/>
      <c r="E5" s="57">
        <v>35.869999999999997</v>
      </c>
      <c r="F5" s="210">
        <v>3081</v>
      </c>
      <c r="G5" s="202">
        <f t="shared" ref="G5:G11" si="0">E5*F5</f>
        <v>110515.46999999999</v>
      </c>
      <c r="H5" s="211" t="s">
        <v>5</v>
      </c>
      <c r="I5" s="207">
        <v>9</v>
      </c>
      <c r="J5" s="58">
        <v>3000</v>
      </c>
      <c r="K5" s="59">
        <f t="shared" ref="K5:K68" si="1">J5/I5</f>
        <v>333.33333333333331</v>
      </c>
      <c r="L5" s="207">
        <v>9</v>
      </c>
      <c r="M5" s="60">
        <f t="shared" ref="M5:M11" si="2">F5/V5*60</f>
        <v>2888.4374999999991</v>
      </c>
      <c r="N5" s="59">
        <f t="shared" ref="N5:N68" si="3">M5/L5</f>
        <v>320.93749999999989</v>
      </c>
      <c r="O5" s="61">
        <f t="shared" ref="O5:O68" si="4">L5-I5</f>
        <v>0</v>
      </c>
      <c r="P5" s="62">
        <f t="shared" ref="P5:P68" si="5">N5-K5</f>
        <v>-12.395833333333428</v>
      </c>
      <c r="Q5" s="203">
        <f t="shared" ref="Q5:Q68" si="6">N5/K5</f>
        <v>0.96281249999999974</v>
      </c>
      <c r="R5" s="566">
        <f>Q12</f>
        <v>0.96258283074144113</v>
      </c>
      <c r="S5" s="63">
        <v>0.29166666666666669</v>
      </c>
      <c r="T5" s="63">
        <v>0.33611111111111114</v>
      </c>
      <c r="U5" s="202"/>
      <c r="V5" s="208">
        <f t="shared" ref="V5:V11" si="7">(T5-S5)*24*60</f>
        <v>64.000000000000014</v>
      </c>
      <c r="W5" s="64"/>
      <c r="X5" s="65"/>
      <c r="Y5" s="559"/>
      <c r="Z5" s="559"/>
      <c r="AA5" s="61">
        <f t="shared" ref="AA5:AA68" si="8">M5-J5</f>
        <v>-111.56250000000091</v>
      </c>
      <c r="AB5" s="203">
        <f t="shared" ref="AB5:AB68" si="9">M5/J5</f>
        <v>0.96281249999999974</v>
      </c>
      <c r="AC5" s="566">
        <f>AB12</f>
        <v>0.96258283074144113</v>
      </c>
    </row>
    <row r="6" spans="1:29">
      <c r="A6" s="596" t="s">
        <v>795</v>
      </c>
      <c r="B6" s="57" t="s">
        <v>31</v>
      </c>
      <c r="C6" s="597" t="s">
        <v>72</v>
      </c>
      <c r="D6" s="597"/>
      <c r="E6" s="57">
        <v>40.51</v>
      </c>
      <c r="F6" s="210">
        <v>2751</v>
      </c>
      <c r="G6" s="202">
        <f t="shared" si="0"/>
        <v>111443.01</v>
      </c>
      <c r="H6" s="211" t="s">
        <v>5</v>
      </c>
      <c r="I6" s="207">
        <v>8</v>
      </c>
      <c r="J6" s="58">
        <v>3000</v>
      </c>
      <c r="K6" s="59">
        <f t="shared" si="1"/>
        <v>375</v>
      </c>
      <c r="L6" s="207">
        <v>8</v>
      </c>
      <c r="M6" s="60">
        <f t="shared" si="2"/>
        <v>2895.7894736842127</v>
      </c>
      <c r="N6" s="59">
        <f t="shared" si="3"/>
        <v>361.97368421052659</v>
      </c>
      <c r="O6" s="61">
        <f t="shared" si="4"/>
        <v>0</v>
      </c>
      <c r="P6" s="62">
        <f t="shared" si="5"/>
        <v>-13.026315789473415</v>
      </c>
      <c r="Q6" s="203">
        <f t="shared" si="6"/>
        <v>0.9652631578947376</v>
      </c>
      <c r="R6" s="566"/>
      <c r="S6" s="63">
        <v>0.34097222222222223</v>
      </c>
      <c r="T6" s="63">
        <v>0.38055555555555554</v>
      </c>
      <c r="U6" s="202">
        <f t="shared" ref="U6:U11" si="10">IF(S6=TIME(17,0,0),"",(S6-T5)*24*60)</f>
        <v>6.9999999999999751</v>
      </c>
      <c r="V6" s="208">
        <f t="shared" si="7"/>
        <v>56.999999999999957</v>
      </c>
      <c r="W6" s="64"/>
      <c r="X6" s="64"/>
      <c r="Y6" s="559"/>
      <c r="Z6" s="559"/>
      <c r="AA6" s="61">
        <f t="shared" si="8"/>
        <v>-104.21052631578732</v>
      </c>
      <c r="AB6" s="203">
        <f t="shared" si="9"/>
        <v>0.9652631578947376</v>
      </c>
      <c r="AC6" s="566"/>
    </row>
    <row r="7" spans="1:29">
      <c r="A7" s="596" t="s">
        <v>796</v>
      </c>
      <c r="B7" s="57" t="s">
        <v>6</v>
      </c>
      <c r="C7" s="590" t="s">
        <v>20</v>
      </c>
      <c r="D7" s="591"/>
      <c r="E7" s="57">
        <v>57.73</v>
      </c>
      <c r="F7" s="210">
        <v>2664</v>
      </c>
      <c r="G7" s="202">
        <f t="shared" si="0"/>
        <v>153792.72</v>
      </c>
      <c r="H7" s="211" t="s">
        <v>5</v>
      </c>
      <c r="I7" s="207">
        <v>14</v>
      </c>
      <c r="J7" s="58">
        <v>2000</v>
      </c>
      <c r="K7" s="59">
        <f t="shared" si="1"/>
        <v>142.85714285714286</v>
      </c>
      <c r="L7" s="207">
        <v>14</v>
      </c>
      <c r="M7" s="60">
        <f t="shared" si="2"/>
        <v>1925.7831325301197</v>
      </c>
      <c r="N7" s="59">
        <f t="shared" si="3"/>
        <v>137.5559380378657</v>
      </c>
      <c r="O7" s="61">
        <f t="shared" si="4"/>
        <v>0</v>
      </c>
      <c r="P7" s="62">
        <f t="shared" si="5"/>
        <v>-5.3012048192771601</v>
      </c>
      <c r="Q7" s="203">
        <f t="shared" si="6"/>
        <v>0.9628915662650599</v>
      </c>
      <c r="R7" s="566"/>
      <c r="S7" s="63">
        <v>0.38541666666666663</v>
      </c>
      <c r="T7" s="63">
        <v>0.44305555555555554</v>
      </c>
      <c r="U7" s="202">
        <f t="shared" si="10"/>
        <v>6.9999999999999751</v>
      </c>
      <c r="V7" s="208">
        <f t="shared" si="7"/>
        <v>83.000000000000028</v>
      </c>
      <c r="W7" s="64"/>
      <c r="X7" s="64"/>
      <c r="Y7" s="569"/>
      <c r="Z7" s="570"/>
      <c r="AA7" s="61">
        <f t="shared" si="8"/>
        <v>-74.216867469880299</v>
      </c>
      <c r="AB7" s="203">
        <f t="shared" si="9"/>
        <v>0.9628915662650599</v>
      </c>
      <c r="AC7" s="566"/>
    </row>
    <row r="8" spans="1:29">
      <c r="A8" s="596" t="s">
        <v>797</v>
      </c>
      <c r="B8" s="57" t="s">
        <v>6</v>
      </c>
      <c r="C8" s="590" t="s">
        <v>9</v>
      </c>
      <c r="D8" s="591"/>
      <c r="E8" s="57">
        <v>50.67</v>
      </c>
      <c r="F8" s="210">
        <v>1647</v>
      </c>
      <c r="G8" s="202">
        <f t="shared" si="0"/>
        <v>83453.490000000005</v>
      </c>
      <c r="H8" s="211" t="s">
        <v>5</v>
      </c>
      <c r="I8" s="207">
        <v>17</v>
      </c>
      <c r="J8" s="58">
        <v>2000</v>
      </c>
      <c r="K8" s="59">
        <f t="shared" si="1"/>
        <v>117.64705882352941</v>
      </c>
      <c r="L8" s="207">
        <v>17</v>
      </c>
      <c r="M8" s="60">
        <f t="shared" si="2"/>
        <v>1937.6470588235304</v>
      </c>
      <c r="N8" s="59">
        <f t="shared" si="3"/>
        <v>113.97923875432532</v>
      </c>
      <c r="O8" s="61">
        <f t="shared" si="4"/>
        <v>0</v>
      </c>
      <c r="P8" s="62">
        <f t="shared" si="5"/>
        <v>-3.6678200692040832</v>
      </c>
      <c r="Q8" s="203">
        <f t="shared" si="6"/>
        <v>0.96882352941176531</v>
      </c>
      <c r="R8" s="566"/>
      <c r="S8" s="63">
        <v>0.70833333333333337</v>
      </c>
      <c r="T8" s="63">
        <v>0.74375000000000002</v>
      </c>
      <c r="U8" s="202" t="str">
        <f t="shared" si="10"/>
        <v/>
      </c>
      <c r="V8" s="208">
        <f t="shared" si="7"/>
        <v>50.999999999999979</v>
      </c>
      <c r="W8" s="68"/>
      <c r="X8" s="68"/>
      <c r="Y8" s="569"/>
      <c r="Z8" s="570"/>
      <c r="AA8" s="61">
        <f t="shared" si="8"/>
        <v>-62.352941176469585</v>
      </c>
      <c r="AB8" s="203">
        <f t="shared" si="9"/>
        <v>0.96882352941176519</v>
      </c>
      <c r="AC8" s="566"/>
    </row>
    <row r="9" spans="1:29">
      <c r="A9" s="596" t="s">
        <v>797</v>
      </c>
      <c r="B9" s="57" t="s">
        <v>6</v>
      </c>
      <c r="C9" s="590" t="s">
        <v>8</v>
      </c>
      <c r="D9" s="591"/>
      <c r="E9" s="57">
        <v>50.49</v>
      </c>
      <c r="F9" s="210">
        <v>2311</v>
      </c>
      <c r="G9" s="202">
        <f t="shared" si="0"/>
        <v>116682.39</v>
      </c>
      <c r="H9" s="211" t="s">
        <v>5</v>
      </c>
      <c r="I9" s="207">
        <v>15</v>
      </c>
      <c r="J9" s="58">
        <v>2000</v>
      </c>
      <c r="K9" s="59">
        <f t="shared" si="1"/>
        <v>133.33333333333334</v>
      </c>
      <c r="L9" s="207">
        <v>15</v>
      </c>
      <c r="M9" s="60">
        <f t="shared" si="2"/>
        <v>1925.8333333333321</v>
      </c>
      <c r="N9" s="59">
        <f t="shared" si="3"/>
        <v>128.3888888888888</v>
      </c>
      <c r="O9" s="61">
        <f t="shared" si="4"/>
        <v>0</v>
      </c>
      <c r="P9" s="62">
        <f t="shared" si="5"/>
        <v>-4.9444444444445423</v>
      </c>
      <c r="Q9" s="203">
        <f t="shared" si="6"/>
        <v>0.96291666666666598</v>
      </c>
      <c r="R9" s="566"/>
      <c r="S9" s="63">
        <v>0.74722222222222223</v>
      </c>
      <c r="T9" s="63">
        <v>0.79722222222222228</v>
      </c>
      <c r="U9" s="202">
        <f t="shared" si="10"/>
        <v>4.9999999999999822</v>
      </c>
      <c r="V9" s="208">
        <f t="shared" si="7"/>
        <v>72.000000000000057</v>
      </c>
      <c r="W9" s="64"/>
      <c r="X9" s="64"/>
      <c r="Y9" s="569"/>
      <c r="Z9" s="570"/>
      <c r="AA9" s="61">
        <f t="shared" si="8"/>
        <v>-74.166666666667879</v>
      </c>
      <c r="AB9" s="203">
        <f t="shared" si="9"/>
        <v>0.96291666666666609</v>
      </c>
      <c r="AC9" s="566"/>
    </row>
    <row r="10" spans="1:29">
      <c r="A10" s="596" t="s">
        <v>157</v>
      </c>
      <c r="B10" s="57" t="s">
        <v>6</v>
      </c>
      <c r="C10" s="590" t="s">
        <v>94</v>
      </c>
      <c r="D10" s="591"/>
      <c r="E10" s="57">
        <v>57.3</v>
      </c>
      <c r="F10" s="210">
        <v>1500</v>
      </c>
      <c r="G10" s="202">
        <f t="shared" si="0"/>
        <v>85950</v>
      </c>
      <c r="H10" s="211">
        <v>2</v>
      </c>
      <c r="I10" s="207">
        <v>13</v>
      </c>
      <c r="J10" s="58">
        <v>2000</v>
      </c>
      <c r="K10" s="59">
        <f t="shared" si="1"/>
        <v>153.84615384615384</v>
      </c>
      <c r="L10" s="207">
        <v>13</v>
      </c>
      <c r="M10" s="60">
        <f t="shared" si="2"/>
        <v>1914.8936170212769</v>
      </c>
      <c r="N10" s="59">
        <f t="shared" si="3"/>
        <v>147.29950900163669</v>
      </c>
      <c r="O10" s="61">
        <f t="shared" si="4"/>
        <v>0</v>
      </c>
      <c r="P10" s="62">
        <f t="shared" si="5"/>
        <v>-6.5466448445171466</v>
      </c>
      <c r="Q10" s="203">
        <f t="shared" si="6"/>
        <v>0.95744680851063857</v>
      </c>
      <c r="R10" s="566"/>
      <c r="S10" s="63">
        <v>0.80069444444444449</v>
      </c>
      <c r="T10" s="63">
        <v>0.83333333333333337</v>
      </c>
      <c r="U10" s="202">
        <f t="shared" si="10"/>
        <v>4.9999999999999822</v>
      </c>
      <c r="V10" s="208">
        <f t="shared" si="7"/>
        <v>46.999999999999993</v>
      </c>
      <c r="W10" s="64">
        <f>T10</f>
        <v>0.83333333333333337</v>
      </c>
      <c r="X10" s="64">
        <f>S11</f>
        <v>0.87291666666666667</v>
      </c>
      <c r="Y10" s="569"/>
      <c r="Z10" s="570"/>
      <c r="AA10" s="61">
        <f t="shared" si="8"/>
        <v>-85.106382978723104</v>
      </c>
      <c r="AB10" s="203">
        <f t="shared" si="9"/>
        <v>0.95744680851063846</v>
      </c>
      <c r="AC10" s="566"/>
    </row>
    <row r="11" spans="1:29">
      <c r="A11" s="596" t="s">
        <v>797</v>
      </c>
      <c r="B11" s="57" t="s">
        <v>6</v>
      </c>
      <c r="C11" s="590" t="s">
        <v>94</v>
      </c>
      <c r="D11" s="591"/>
      <c r="E11" s="57">
        <v>57.3</v>
      </c>
      <c r="F11" s="210">
        <v>1626</v>
      </c>
      <c r="G11" s="202">
        <f t="shared" si="0"/>
        <v>93169.799999999988</v>
      </c>
      <c r="H11" s="211" t="s">
        <v>5</v>
      </c>
      <c r="I11" s="207">
        <v>13</v>
      </c>
      <c r="J11" s="58">
        <v>2000</v>
      </c>
      <c r="K11" s="59">
        <f t="shared" si="1"/>
        <v>153.84615384615384</v>
      </c>
      <c r="L11" s="207">
        <v>13</v>
      </c>
      <c r="M11" s="60">
        <f t="shared" si="2"/>
        <v>1912.9411764705892</v>
      </c>
      <c r="N11" s="59">
        <f t="shared" si="3"/>
        <v>147.1493212669684</v>
      </c>
      <c r="O11" s="61">
        <f t="shared" si="4"/>
        <v>0</v>
      </c>
      <c r="P11" s="62">
        <f t="shared" si="5"/>
        <v>-6.6968325791854397</v>
      </c>
      <c r="Q11" s="203">
        <f t="shared" si="6"/>
        <v>0.95647058823529463</v>
      </c>
      <c r="R11" s="566"/>
      <c r="S11" s="63">
        <v>0.87291666666666667</v>
      </c>
      <c r="T11" s="63">
        <v>0.90833333333333333</v>
      </c>
      <c r="U11" s="202">
        <f t="shared" si="10"/>
        <v>56.999999999999957</v>
      </c>
      <c r="V11" s="208">
        <f t="shared" si="7"/>
        <v>50.999999999999979</v>
      </c>
      <c r="W11" s="64"/>
      <c r="X11" s="64"/>
      <c r="Y11" s="569"/>
      <c r="Z11" s="570"/>
      <c r="AA11" s="61">
        <f t="shared" si="8"/>
        <v>-87.058823529410802</v>
      </c>
      <c r="AB11" s="203">
        <f t="shared" si="9"/>
        <v>0.95647058823529463</v>
      </c>
      <c r="AC11" s="566"/>
    </row>
    <row r="12" spans="1:29">
      <c r="A12" s="596" t="s">
        <v>157</v>
      </c>
      <c r="B12" s="57" t="s">
        <v>798</v>
      </c>
      <c r="C12" s="571"/>
      <c r="D12" s="571"/>
      <c r="E12" s="206"/>
      <c r="F12" s="66"/>
      <c r="G12" s="59"/>
      <c r="H12" s="210"/>
      <c r="I12" s="67">
        <v>12.714285714285714</v>
      </c>
      <c r="J12" s="58">
        <v>2285.7142857142858</v>
      </c>
      <c r="K12" s="59">
        <f t="shared" si="1"/>
        <v>179.77528089887642</v>
      </c>
      <c r="L12" s="67">
        <v>12.714285714285714</v>
      </c>
      <c r="M12" s="60">
        <f>AVERAGE(M5:M11)</f>
        <v>2200.1893274090085</v>
      </c>
      <c r="N12" s="59">
        <f t="shared" si="3"/>
        <v>173.0485987849782</v>
      </c>
      <c r="O12" s="61">
        <f t="shared" si="4"/>
        <v>0</v>
      </c>
      <c r="P12" s="62">
        <f t="shared" si="5"/>
        <v>-6.7266821138982209</v>
      </c>
      <c r="Q12" s="203">
        <f t="shared" si="6"/>
        <v>0.96258283074144113</v>
      </c>
      <c r="R12" s="566"/>
      <c r="S12" s="63"/>
      <c r="T12" s="63"/>
      <c r="U12" s="202"/>
      <c r="V12" s="208"/>
      <c r="W12" s="59"/>
      <c r="X12" s="59"/>
      <c r="Y12" s="559"/>
      <c r="Z12" s="559"/>
      <c r="AA12" s="61">
        <f t="shared" si="8"/>
        <v>-85.524958305277323</v>
      </c>
      <c r="AB12" s="203">
        <f t="shared" si="9"/>
        <v>0.96258283074144113</v>
      </c>
      <c r="AC12" s="566"/>
    </row>
    <row r="13" spans="1:29" ht="15.75" customHeight="1">
      <c r="A13" s="594" t="s">
        <v>799</v>
      </c>
      <c r="B13" s="57" t="s">
        <v>10</v>
      </c>
      <c r="C13" s="590" t="s">
        <v>14</v>
      </c>
      <c r="D13" s="591"/>
      <c r="E13" s="57">
        <v>39.619999999999997</v>
      </c>
      <c r="F13" s="210">
        <v>4227</v>
      </c>
      <c r="G13" s="202">
        <f t="shared" ref="G13:G15" si="11">E13*F13</f>
        <v>167473.74</v>
      </c>
      <c r="H13" s="211" t="s">
        <v>5</v>
      </c>
      <c r="I13" s="207">
        <v>19</v>
      </c>
      <c r="J13" s="58">
        <v>1500</v>
      </c>
      <c r="K13" s="59">
        <f t="shared" si="1"/>
        <v>78.94736842105263</v>
      </c>
      <c r="L13" s="207">
        <v>19</v>
      </c>
      <c r="M13" s="60">
        <f t="shared" ref="M13:M15" si="12">F13/V13*60</f>
        <v>1432.881355932203</v>
      </c>
      <c r="N13" s="59">
        <f t="shared" si="3"/>
        <v>75.414808206958057</v>
      </c>
      <c r="O13" s="61">
        <f t="shared" si="4"/>
        <v>0</v>
      </c>
      <c r="P13" s="62">
        <f t="shared" si="5"/>
        <v>-3.5325602140945733</v>
      </c>
      <c r="Q13" s="203">
        <f t="shared" si="6"/>
        <v>0.95525423728813541</v>
      </c>
      <c r="R13" s="566">
        <f>Q16</f>
        <v>0.95570982906272506</v>
      </c>
      <c r="S13" s="63">
        <v>0.20833333333333334</v>
      </c>
      <c r="T13" s="63">
        <v>0.33125000000000004</v>
      </c>
      <c r="U13" s="202"/>
      <c r="V13" s="208">
        <f t="shared" ref="V13:V15" si="13">(T13-S13)*24*60</f>
        <v>177.00000000000006</v>
      </c>
      <c r="W13" s="64"/>
      <c r="X13" s="64"/>
      <c r="Y13" s="559"/>
      <c r="Z13" s="559"/>
      <c r="AA13" s="61">
        <f t="shared" si="8"/>
        <v>-67.11864406779705</v>
      </c>
      <c r="AB13" s="203">
        <f t="shared" si="9"/>
        <v>0.9552542372881353</v>
      </c>
      <c r="AC13" s="566">
        <f>AB16</f>
        <v>0.95570982906272506</v>
      </c>
    </row>
    <row r="14" spans="1:29" ht="15.75" customHeight="1">
      <c r="A14" s="594" t="s">
        <v>800</v>
      </c>
      <c r="B14" s="57" t="s">
        <v>10</v>
      </c>
      <c r="C14" s="590" t="s">
        <v>11</v>
      </c>
      <c r="D14" s="591"/>
      <c r="E14" s="57">
        <v>39.799999999999997</v>
      </c>
      <c r="F14" s="210">
        <v>3900</v>
      </c>
      <c r="G14" s="202">
        <f t="shared" si="11"/>
        <v>155220</v>
      </c>
      <c r="H14" s="211">
        <v>2</v>
      </c>
      <c r="I14" s="207">
        <v>17</v>
      </c>
      <c r="J14" s="58">
        <v>1500</v>
      </c>
      <c r="K14" s="59">
        <f t="shared" si="1"/>
        <v>88.235294117647058</v>
      </c>
      <c r="L14" s="207">
        <v>17</v>
      </c>
      <c r="M14" s="60">
        <f t="shared" si="12"/>
        <v>1426.8292682926831</v>
      </c>
      <c r="N14" s="59">
        <f t="shared" si="3"/>
        <v>83.931133428981354</v>
      </c>
      <c r="O14" s="61">
        <f t="shared" si="4"/>
        <v>0</v>
      </c>
      <c r="P14" s="62">
        <f t="shared" si="5"/>
        <v>-4.3041606886657036</v>
      </c>
      <c r="Q14" s="203">
        <f t="shared" si="6"/>
        <v>0.95121951219512202</v>
      </c>
      <c r="R14" s="566"/>
      <c r="S14" s="63">
        <v>0.33472222222222225</v>
      </c>
      <c r="T14" s="63">
        <v>0.44861111111111113</v>
      </c>
      <c r="U14" s="202">
        <f t="shared" ref="U14:U15" si="14">IF(S14=TIME(17,0,0),"",(S14-T13)*24*60)</f>
        <v>4.9999999999999822</v>
      </c>
      <c r="V14" s="208">
        <f t="shared" si="13"/>
        <v>163.99999999999997</v>
      </c>
      <c r="W14" s="64">
        <f>T14</f>
        <v>0.44861111111111113</v>
      </c>
      <c r="X14" s="64">
        <f>S15</f>
        <v>0.53125</v>
      </c>
      <c r="Y14" s="559"/>
      <c r="Z14" s="559"/>
      <c r="AA14" s="61">
        <f t="shared" si="8"/>
        <v>-73.170731707316918</v>
      </c>
      <c r="AB14" s="203">
        <f t="shared" si="9"/>
        <v>0.95121951219512202</v>
      </c>
      <c r="AC14" s="566"/>
    </row>
    <row r="15" spans="1:29" ht="15.75" customHeight="1">
      <c r="A15" s="594" t="s">
        <v>234</v>
      </c>
      <c r="B15" s="57" t="s">
        <v>10</v>
      </c>
      <c r="C15" s="590" t="s">
        <v>11</v>
      </c>
      <c r="D15" s="591"/>
      <c r="E15" s="57">
        <v>39.799999999999997</v>
      </c>
      <c r="F15" s="210">
        <v>2930</v>
      </c>
      <c r="G15" s="202">
        <f t="shared" si="11"/>
        <v>116613.99999999999</v>
      </c>
      <c r="H15" s="211" t="s">
        <v>5</v>
      </c>
      <c r="I15" s="207">
        <v>17</v>
      </c>
      <c r="J15" s="58">
        <v>1500</v>
      </c>
      <c r="K15" s="59">
        <f t="shared" si="1"/>
        <v>88.235294117647058</v>
      </c>
      <c r="L15" s="207">
        <v>17</v>
      </c>
      <c r="M15" s="60">
        <f t="shared" si="12"/>
        <v>1440.9836065573766</v>
      </c>
      <c r="N15" s="59">
        <f t="shared" si="3"/>
        <v>84.763741562198618</v>
      </c>
      <c r="O15" s="61">
        <f t="shared" si="4"/>
        <v>0</v>
      </c>
      <c r="P15" s="62">
        <f t="shared" si="5"/>
        <v>-3.4715525554484401</v>
      </c>
      <c r="Q15" s="203">
        <f t="shared" si="6"/>
        <v>0.96065573770491763</v>
      </c>
      <c r="R15" s="566"/>
      <c r="S15" s="63">
        <v>0.53125</v>
      </c>
      <c r="T15" s="63">
        <v>0.61597222222222225</v>
      </c>
      <c r="U15" s="202">
        <f t="shared" si="14"/>
        <v>118.99999999999997</v>
      </c>
      <c r="V15" s="208">
        <f t="shared" si="13"/>
        <v>122.00000000000004</v>
      </c>
      <c r="W15" s="64"/>
      <c r="X15" s="64"/>
      <c r="Y15" s="559"/>
      <c r="Z15" s="559"/>
      <c r="AA15" s="61">
        <f t="shared" si="8"/>
        <v>-59.016393442623439</v>
      </c>
      <c r="AB15" s="203">
        <f t="shared" si="9"/>
        <v>0.96065573770491774</v>
      </c>
      <c r="AC15" s="566"/>
    </row>
    <row r="16" spans="1:29" ht="16.5" customHeight="1">
      <c r="A16" s="594" t="s">
        <v>801</v>
      </c>
      <c r="B16" s="57" t="s">
        <v>802</v>
      </c>
      <c r="C16" s="571"/>
      <c r="D16" s="571"/>
      <c r="E16" s="206"/>
      <c r="F16" s="58"/>
      <c r="G16" s="60"/>
      <c r="H16" s="210"/>
      <c r="I16" s="67">
        <v>17.666666666666668</v>
      </c>
      <c r="J16" s="58">
        <v>1500</v>
      </c>
      <c r="K16" s="59">
        <f t="shared" si="1"/>
        <v>84.905660377358487</v>
      </c>
      <c r="L16" s="67">
        <v>17.666666666666668</v>
      </c>
      <c r="M16" s="60">
        <f>AVERAGE(M13:M15)</f>
        <v>1433.5647435940875</v>
      </c>
      <c r="N16" s="59">
        <f t="shared" si="3"/>
        <v>81.145174165703068</v>
      </c>
      <c r="O16" s="61">
        <f t="shared" si="4"/>
        <v>0</v>
      </c>
      <c r="P16" s="62">
        <f t="shared" si="5"/>
        <v>-3.7604862116554187</v>
      </c>
      <c r="Q16" s="203">
        <f t="shared" si="6"/>
        <v>0.95570982906272506</v>
      </c>
      <c r="R16" s="566"/>
      <c r="S16" s="63"/>
      <c r="T16" s="63"/>
      <c r="U16" s="59"/>
      <c r="V16" s="208"/>
      <c r="W16" s="59"/>
      <c r="X16" s="59"/>
      <c r="Y16" s="559"/>
      <c r="Z16" s="559"/>
      <c r="AA16" s="61">
        <f t="shared" si="8"/>
        <v>-66.435256405912469</v>
      </c>
      <c r="AB16" s="203">
        <f t="shared" si="9"/>
        <v>0.95570982906272506</v>
      </c>
      <c r="AC16" s="566"/>
    </row>
    <row r="17" spans="1:29" ht="16.5" customHeight="1">
      <c r="A17" s="592" t="s">
        <v>803</v>
      </c>
      <c r="B17" s="210" t="s">
        <v>12</v>
      </c>
      <c r="C17" s="584" t="s">
        <v>13</v>
      </c>
      <c r="D17" s="584"/>
      <c r="E17" s="57">
        <v>41</v>
      </c>
      <c r="F17" s="210">
        <v>2386</v>
      </c>
      <c r="G17" s="202">
        <f t="shared" ref="G17:G20" si="15">E17*F17</f>
        <v>97826</v>
      </c>
      <c r="H17" s="211" t="s">
        <v>5</v>
      </c>
      <c r="I17" s="207">
        <v>26</v>
      </c>
      <c r="J17" s="58">
        <v>1500</v>
      </c>
      <c r="K17" s="59">
        <f t="shared" si="1"/>
        <v>57.692307692307693</v>
      </c>
      <c r="L17" s="207">
        <v>26</v>
      </c>
      <c r="M17" s="60">
        <f t="shared" ref="M17:M20" si="16">F17/V17*60</f>
        <v>1431.5999999999992</v>
      </c>
      <c r="N17" s="59">
        <f t="shared" si="3"/>
        <v>55.061538461538433</v>
      </c>
      <c r="O17" s="61">
        <f t="shared" si="4"/>
        <v>0</v>
      </c>
      <c r="P17" s="62">
        <f t="shared" si="5"/>
        <v>-2.6307692307692605</v>
      </c>
      <c r="Q17" s="203">
        <f t="shared" si="6"/>
        <v>0.95439999999999947</v>
      </c>
      <c r="R17" s="566">
        <f>Q21</f>
        <v>0.95613878190774726</v>
      </c>
      <c r="S17" s="63">
        <v>0.29166666666666669</v>
      </c>
      <c r="T17" s="63">
        <v>0.36111111111111116</v>
      </c>
      <c r="U17" s="202"/>
      <c r="V17" s="208">
        <f t="shared" ref="V17:V20" si="17">(T17-S17)*24*60</f>
        <v>100.00000000000004</v>
      </c>
      <c r="W17" s="68"/>
      <c r="X17" s="68"/>
      <c r="Y17" s="559"/>
      <c r="Z17" s="559"/>
      <c r="AA17" s="61">
        <f t="shared" si="8"/>
        <v>-68.400000000000773</v>
      </c>
      <c r="AB17" s="203">
        <f t="shared" si="9"/>
        <v>0.95439999999999947</v>
      </c>
      <c r="AC17" s="566">
        <f>AB21</f>
        <v>0.95613878190774726</v>
      </c>
    </row>
    <row r="18" spans="1:29" ht="16.5" customHeight="1">
      <c r="A18" s="593" t="s">
        <v>804</v>
      </c>
      <c r="B18" s="210" t="s">
        <v>657</v>
      </c>
      <c r="C18" s="584" t="s">
        <v>236</v>
      </c>
      <c r="D18" s="584"/>
      <c r="E18" s="57">
        <v>72.400000000000006</v>
      </c>
      <c r="F18" s="210">
        <v>2113</v>
      </c>
      <c r="G18" s="202">
        <f t="shared" si="15"/>
        <v>152981.20000000001</v>
      </c>
      <c r="H18" s="211" t="s">
        <v>5</v>
      </c>
      <c r="I18" s="207">
        <v>18</v>
      </c>
      <c r="J18" s="58">
        <v>1500</v>
      </c>
      <c r="K18" s="59">
        <f t="shared" si="1"/>
        <v>83.333333333333329</v>
      </c>
      <c r="L18" s="207">
        <v>18</v>
      </c>
      <c r="M18" s="60">
        <f t="shared" si="16"/>
        <v>1440.6818181818182</v>
      </c>
      <c r="N18" s="59">
        <f t="shared" si="3"/>
        <v>80.037878787878796</v>
      </c>
      <c r="O18" s="61">
        <f t="shared" si="4"/>
        <v>0</v>
      </c>
      <c r="P18" s="62">
        <f t="shared" si="5"/>
        <v>-3.2954545454545325</v>
      </c>
      <c r="Q18" s="203">
        <f t="shared" si="6"/>
        <v>0.96045454545454556</v>
      </c>
      <c r="R18" s="566"/>
      <c r="S18" s="63">
        <v>0.36527777777777781</v>
      </c>
      <c r="T18" s="63">
        <v>0.42638888888888893</v>
      </c>
      <c r="U18" s="202">
        <f t="shared" ref="U18:U20" si="18">IF(S18=TIME(17,0,0),"",(S18-T17)*24*60)</f>
        <v>5.9999999999999787</v>
      </c>
      <c r="V18" s="208">
        <f t="shared" si="17"/>
        <v>88</v>
      </c>
      <c r="W18" s="64"/>
      <c r="X18" s="64"/>
      <c r="Y18" s="559"/>
      <c r="Z18" s="559"/>
      <c r="AA18" s="61">
        <f t="shared" si="8"/>
        <v>-59.318181818181756</v>
      </c>
      <c r="AB18" s="203">
        <f t="shared" si="9"/>
        <v>0.96045454545454545</v>
      </c>
      <c r="AC18" s="566"/>
    </row>
    <row r="19" spans="1:29" ht="16.5" customHeight="1">
      <c r="A19" s="593" t="s">
        <v>160</v>
      </c>
      <c r="B19" s="210" t="s">
        <v>6</v>
      </c>
      <c r="C19" s="584" t="s">
        <v>95</v>
      </c>
      <c r="D19" s="584"/>
      <c r="E19" s="57">
        <v>50.98</v>
      </c>
      <c r="F19" s="210">
        <v>2759</v>
      </c>
      <c r="G19" s="202">
        <f t="shared" si="15"/>
        <v>140653.81999999998</v>
      </c>
      <c r="H19" s="211" t="s">
        <v>5</v>
      </c>
      <c r="I19" s="207">
        <v>16</v>
      </c>
      <c r="J19" s="58">
        <v>2000</v>
      </c>
      <c r="K19" s="59">
        <f t="shared" si="1"/>
        <v>125</v>
      </c>
      <c r="L19" s="207">
        <v>16</v>
      </c>
      <c r="M19" s="60">
        <f t="shared" si="16"/>
        <v>1902.7586206896549</v>
      </c>
      <c r="N19" s="59">
        <f t="shared" si="3"/>
        <v>118.92241379310343</v>
      </c>
      <c r="O19" s="61">
        <f t="shared" si="4"/>
        <v>0</v>
      </c>
      <c r="P19" s="62">
        <f t="shared" si="5"/>
        <v>-6.0775862068965694</v>
      </c>
      <c r="Q19" s="203">
        <f t="shared" si="6"/>
        <v>0.95137931034482748</v>
      </c>
      <c r="R19" s="566"/>
      <c r="S19" s="63">
        <v>0.70833333333333337</v>
      </c>
      <c r="T19" s="63">
        <v>0.76875000000000004</v>
      </c>
      <c r="U19" s="202" t="str">
        <f t="shared" si="18"/>
        <v/>
      </c>
      <c r="V19" s="208">
        <f t="shared" si="17"/>
        <v>87.000000000000014</v>
      </c>
      <c r="W19" s="64"/>
      <c r="X19" s="64"/>
      <c r="Y19" s="559"/>
      <c r="Z19" s="559"/>
      <c r="AA19" s="61">
        <f t="shared" si="8"/>
        <v>-97.24137931034511</v>
      </c>
      <c r="AB19" s="203">
        <f t="shared" si="9"/>
        <v>0.95137931034482748</v>
      </c>
      <c r="AC19" s="566"/>
    </row>
    <row r="20" spans="1:29" ht="16.5" customHeight="1">
      <c r="A20" s="593" t="s">
        <v>804</v>
      </c>
      <c r="B20" s="210" t="s">
        <v>6</v>
      </c>
      <c r="C20" s="584" t="s">
        <v>18</v>
      </c>
      <c r="D20" s="584"/>
      <c r="E20" s="57">
        <v>50.92</v>
      </c>
      <c r="F20" s="210">
        <v>2781</v>
      </c>
      <c r="G20" s="202">
        <f t="shared" si="15"/>
        <v>141608.52000000002</v>
      </c>
      <c r="H20" s="211" t="s">
        <v>5</v>
      </c>
      <c r="I20" s="207">
        <v>15</v>
      </c>
      <c r="J20" s="58">
        <v>2000</v>
      </c>
      <c r="K20" s="59">
        <f t="shared" si="1"/>
        <v>133.33333333333334</v>
      </c>
      <c r="L20" s="207">
        <v>15</v>
      </c>
      <c r="M20" s="60">
        <f t="shared" si="16"/>
        <v>1917.9310344827584</v>
      </c>
      <c r="N20" s="59">
        <f t="shared" si="3"/>
        <v>127.86206896551722</v>
      </c>
      <c r="O20" s="61">
        <f t="shared" si="4"/>
        <v>0</v>
      </c>
      <c r="P20" s="62">
        <f t="shared" si="5"/>
        <v>-5.4712643678161186</v>
      </c>
      <c r="Q20" s="203">
        <f t="shared" si="6"/>
        <v>0.95896551724137913</v>
      </c>
      <c r="R20" s="566"/>
      <c r="S20" s="63">
        <v>0.7729166666666667</v>
      </c>
      <c r="T20" s="63">
        <v>0.83333333333333337</v>
      </c>
      <c r="U20" s="202">
        <f t="shared" si="18"/>
        <v>5.9999999999999787</v>
      </c>
      <c r="V20" s="208">
        <f t="shared" si="17"/>
        <v>87.000000000000014</v>
      </c>
      <c r="W20" s="64"/>
      <c r="X20" s="64"/>
      <c r="Y20" s="559"/>
      <c r="Z20" s="559"/>
      <c r="AA20" s="61">
        <f t="shared" si="8"/>
        <v>-82.068965517241622</v>
      </c>
      <c r="AB20" s="203">
        <f t="shared" si="9"/>
        <v>0.95896551724137924</v>
      </c>
      <c r="AC20" s="566"/>
    </row>
    <row r="21" spans="1:29" ht="16.5" customHeight="1">
      <c r="A21" s="593" t="s">
        <v>805</v>
      </c>
      <c r="B21" s="57" t="s">
        <v>159</v>
      </c>
      <c r="C21" s="571"/>
      <c r="D21" s="571"/>
      <c r="E21" s="206"/>
      <c r="F21" s="66"/>
      <c r="G21" s="59"/>
      <c r="H21" s="210"/>
      <c r="I21" s="67">
        <v>18.75</v>
      </c>
      <c r="J21" s="58">
        <v>1750</v>
      </c>
      <c r="K21" s="59">
        <f t="shared" si="1"/>
        <v>93.333333333333329</v>
      </c>
      <c r="L21" s="67">
        <v>18.75</v>
      </c>
      <c r="M21" s="60">
        <f>AVERAGE(M17:M20)</f>
        <v>1673.2428683385576</v>
      </c>
      <c r="N21" s="59">
        <f t="shared" si="3"/>
        <v>89.239619644723078</v>
      </c>
      <c r="O21" s="61">
        <f t="shared" si="4"/>
        <v>0</v>
      </c>
      <c r="P21" s="62">
        <f t="shared" si="5"/>
        <v>-4.0937136886102508</v>
      </c>
      <c r="Q21" s="203">
        <f t="shared" si="6"/>
        <v>0.95613878190774726</v>
      </c>
      <c r="R21" s="566"/>
      <c r="S21" s="63"/>
      <c r="T21" s="63"/>
      <c r="U21" s="202"/>
      <c r="V21" s="208"/>
      <c r="W21" s="59"/>
      <c r="X21" s="59"/>
      <c r="Y21" s="559"/>
      <c r="Z21" s="559"/>
      <c r="AA21" s="61">
        <f t="shared" si="8"/>
        <v>-76.757131661442372</v>
      </c>
      <c r="AB21" s="203">
        <f t="shared" si="9"/>
        <v>0.95613878190774726</v>
      </c>
      <c r="AC21" s="566"/>
    </row>
    <row r="22" spans="1:29" ht="15.75" customHeight="1">
      <c r="A22" s="588" t="s">
        <v>806</v>
      </c>
      <c r="B22" s="57" t="s">
        <v>12</v>
      </c>
      <c r="C22" s="584" t="s">
        <v>19</v>
      </c>
      <c r="D22" s="584"/>
      <c r="E22" s="57">
        <v>43.14</v>
      </c>
      <c r="F22" s="210">
        <v>1151</v>
      </c>
      <c r="G22" s="202">
        <f t="shared" ref="G22:G28" si="19">E22*F22</f>
        <v>49654.14</v>
      </c>
      <c r="H22" s="211" t="s">
        <v>5</v>
      </c>
      <c r="I22" s="207">
        <v>17</v>
      </c>
      <c r="J22" s="58">
        <v>2000</v>
      </c>
      <c r="K22" s="59">
        <f t="shared" si="1"/>
        <v>117.64705882352941</v>
      </c>
      <c r="L22" s="207">
        <v>17</v>
      </c>
      <c r="M22" s="60">
        <f t="shared" ref="M22:M28" si="20">F22/V22*60</f>
        <v>1918.3333333333319</v>
      </c>
      <c r="N22" s="59">
        <f t="shared" si="3"/>
        <v>112.84313725490188</v>
      </c>
      <c r="O22" s="61">
        <f t="shared" si="4"/>
        <v>0</v>
      </c>
      <c r="P22" s="62">
        <f t="shared" si="5"/>
        <v>-4.8039215686275298</v>
      </c>
      <c r="Q22" s="203">
        <f t="shared" si="6"/>
        <v>0.95916666666666595</v>
      </c>
      <c r="R22" s="566">
        <f>Q29</f>
        <v>0.96085300302760812</v>
      </c>
      <c r="S22" s="63">
        <v>0.29166666666666669</v>
      </c>
      <c r="T22" s="63">
        <v>0.31666666666666671</v>
      </c>
      <c r="U22" s="202"/>
      <c r="V22" s="208">
        <f t="shared" ref="V22:V28" si="21">(T22-S22)*24*60</f>
        <v>36.000000000000028</v>
      </c>
      <c r="W22" s="68"/>
      <c r="X22" s="68"/>
      <c r="Y22" s="559"/>
      <c r="Z22" s="559"/>
      <c r="AA22" s="61">
        <f t="shared" si="8"/>
        <v>-81.666666666668107</v>
      </c>
      <c r="AB22" s="203">
        <f t="shared" si="9"/>
        <v>0.95916666666666595</v>
      </c>
      <c r="AC22" s="566">
        <f>AB29</f>
        <v>0.96085300302760812</v>
      </c>
    </row>
    <row r="23" spans="1:29" ht="15.75" customHeight="1">
      <c r="A23" s="589" t="s">
        <v>806</v>
      </c>
      <c r="B23" s="57" t="s">
        <v>6</v>
      </c>
      <c r="C23" s="584" t="s">
        <v>96</v>
      </c>
      <c r="D23" s="584"/>
      <c r="E23" s="57">
        <v>49.91</v>
      </c>
      <c r="F23" s="210">
        <v>1453</v>
      </c>
      <c r="G23" s="202">
        <f t="shared" si="19"/>
        <v>72519.23</v>
      </c>
      <c r="H23" s="211" t="s">
        <v>5</v>
      </c>
      <c r="I23" s="207">
        <v>17</v>
      </c>
      <c r="J23" s="58">
        <v>2000</v>
      </c>
      <c r="K23" s="59">
        <f t="shared" si="1"/>
        <v>117.64705882352941</v>
      </c>
      <c r="L23" s="207">
        <v>17</v>
      </c>
      <c r="M23" s="60">
        <f t="shared" si="20"/>
        <v>1937.3333333333335</v>
      </c>
      <c r="N23" s="59">
        <f t="shared" si="3"/>
        <v>113.9607843137255</v>
      </c>
      <c r="O23" s="61">
        <f t="shared" si="4"/>
        <v>0</v>
      </c>
      <c r="P23" s="62">
        <f t="shared" si="5"/>
        <v>-3.6862745098039085</v>
      </c>
      <c r="Q23" s="203">
        <f t="shared" si="6"/>
        <v>0.96866666666666679</v>
      </c>
      <c r="R23" s="566"/>
      <c r="S23" s="63">
        <v>0.32222222222222224</v>
      </c>
      <c r="T23" s="63">
        <v>0.35347222222222224</v>
      </c>
      <c r="U23" s="202">
        <f t="shared" ref="U23:U28" si="22">IF(S23=TIME(17,0,0),"",(S23-T22)*24*60)</f>
        <v>7.9999999999999716</v>
      </c>
      <c r="V23" s="208">
        <f t="shared" si="21"/>
        <v>45</v>
      </c>
      <c r="W23" s="64"/>
      <c r="X23" s="202"/>
      <c r="Y23" s="559"/>
      <c r="Z23" s="559"/>
      <c r="AA23" s="61">
        <f t="shared" si="8"/>
        <v>-62.666666666666515</v>
      </c>
      <c r="AB23" s="203">
        <f t="shared" si="9"/>
        <v>0.96866666666666679</v>
      </c>
      <c r="AC23" s="566"/>
    </row>
    <row r="24" spans="1:29" ht="15.75" customHeight="1">
      <c r="A24" s="589" t="s">
        <v>86</v>
      </c>
      <c r="B24" s="57" t="s">
        <v>6</v>
      </c>
      <c r="C24" s="584" t="s">
        <v>21</v>
      </c>
      <c r="D24" s="584"/>
      <c r="E24" s="57">
        <v>53.68</v>
      </c>
      <c r="F24" s="210">
        <v>1716</v>
      </c>
      <c r="G24" s="202">
        <f t="shared" si="19"/>
        <v>92114.880000000005</v>
      </c>
      <c r="H24" s="211" t="s">
        <v>5</v>
      </c>
      <c r="I24" s="207">
        <v>16</v>
      </c>
      <c r="J24" s="58">
        <v>2000</v>
      </c>
      <c r="K24" s="59">
        <f t="shared" si="1"/>
        <v>125</v>
      </c>
      <c r="L24" s="207">
        <v>16</v>
      </c>
      <c r="M24" s="60">
        <f t="shared" si="20"/>
        <v>1906.6666666666677</v>
      </c>
      <c r="N24" s="59">
        <f t="shared" si="3"/>
        <v>119.16666666666673</v>
      </c>
      <c r="O24" s="61">
        <f t="shared" si="4"/>
        <v>0</v>
      </c>
      <c r="P24" s="62">
        <f t="shared" si="5"/>
        <v>-5.8333333333332718</v>
      </c>
      <c r="Q24" s="203">
        <f t="shared" si="6"/>
        <v>0.95333333333333381</v>
      </c>
      <c r="R24" s="566"/>
      <c r="S24" s="63">
        <v>0.35833333333333334</v>
      </c>
      <c r="T24" s="63">
        <v>0.39583333333333331</v>
      </c>
      <c r="U24" s="202">
        <f t="shared" si="22"/>
        <v>6.9999999999999751</v>
      </c>
      <c r="V24" s="208">
        <f t="shared" si="21"/>
        <v>53.999999999999972</v>
      </c>
      <c r="W24" s="64"/>
      <c r="X24" s="202"/>
      <c r="Y24" s="559"/>
      <c r="Z24" s="559"/>
      <c r="AA24" s="61">
        <f t="shared" si="8"/>
        <v>-93.333333333332348</v>
      </c>
      <c r="AB24" s="203">
        <f t="shared" si="9"/>
        <v>0.95333333333333381</v>
      </c>
      <c r="AC24" s="566"/>
    </row>
    <row r="25" spans="1:29" ht="15.75" customHeight="1">
      <c r="A25" s="589" t="s">
        <v>807</v>
      </c>
      <c r="B25" s="57" t="s">
        <v>65</v>
      </c>
      <c r="C25" s="584" t="s">
        <v>97</v>
      </c>
      <c r="D25" s="584"/>
      <c r="E25" s="57">
        <v>49.9</v>
      </c>
      <c r="F25" s="210">
        <v>1603</v>
      </c>
      <c r="G25" s="202">
        <f t="shared" si="19"/>
        <v>79989.7</v>
      </c>
      <c r="H25" s="211" t="s">
        <v>5</v>
      </c>
      <c r="I25" s="207">
        <v>17</v>
      </c>
      <c r="J25" s="58">
        <v>2000</v>
      </c>
      <c r="K25" s="59">
        <f t="shared" si="1"/>
        <v>117.64705882352941</v>
      </c>
      <c r="L25" s="207">
        <v>17</v>
      </c>
      <c r="M25" s="60">
        <f t="shared" si="20"/>
        <v>1923.6000000000006</v>
      </c>
      <c r="N25" s="59">
        <f t="shared" si="3"/>
        <v>113.15294117647062</v>
      </c>
      <c r="O25" s="61">
        <f t="shared" si="4"/>
        <v>0</v>
      </c>
      <c r="P25" s="62">
        <f t="shared" si="5"/>
        <v>-4.4941176470587862</v>
      </c>
      <c r="Q25" s="203">
        <f t="shared" si="6"/>
        <v>0.96180000000000032</v>
      </c>
      <c r="R25" s="566"/>
      <c r="S25" s="63">
        <v>0.3972222222222222</v>
      </c>
      <c r="T25" s="63">
        <v>0.43194444444444441</v>
      </c>
      <c r="U25" s="202">
        <f t="shared" si="22"/>
        <v>1.9999999999999929</v>
      </c>
      <c r="V25" s="208">
        <f t="shared" si="21"/>
        <v>49.999999999999986</v>
      </c>
      <c r="W25" s="64"/>
      <c r="X25" s="202"/>
      <c r="Y25" s="559"/>
      <c r="Z25" s="559"/>
      <c r="AA25" s="61">
        <f t="shared" si="8"/>
        <v>-76.399999999999409</v>
      </c>
      <c r="AB25" s="203">
        <f t="shared" si="9"/>
        <v>0.96180000000000032</v>
      </c>
      <c r="AC25" s="566"/>
    </row>
    <row r="26" spans="1:29" ht="15.75" customHeight="1">
      <c r="A26" s="589" t="s">
        <v>86</v>
      </c>
      <c r="B26" s="57" t="s">
        <v>6</v>
      </c>
      <c r="C26" s="584" t="s">
        <v>22</v>
      </c>
      <c r="D26" s="584"/>
      <c r="E26" s="57">
        <v>54.09</v>
      </c>
      <c r="F26" s="210">
        <v>1762</v>
      </c>
      <c r="G26" s="202">
        <f t="shared" si="19"/>
        <v>95306.58</v>
      </c>
      <c r="H26" s="211" t="s">
        <v>5</v>
      </c>
      <c r="I26" s="207">
        <v>19</v>
      </c>
      <c r="J26" s="58">
        <v>2000</v>
      </c>
      <c r="K26" s="59">
        <f t="shared" si="1"/>
        <v>105.26315789473684</v>
      </c>
      <c r="L26" s="207">
        <v>19</v>
      </c>
      <c r="M26" s="60">
        <f t="shared" si="20"/>
        <v>1922.1818181818196</v>
      </c>
      <c r="N26" s="59">
        <f t="shared" si="3"/>
        <v>101.16746411483261</v>
      </c>
      <c r="O26" s="61">
        <f t="shared" si="4"/>
        <v>0</v>
      </c>
      <c r="P26" s="62">
        <f t="shared" si="5"/>
        <v>-4.0956937799042237</v>
      </c>
      <c r="Q26" s="203">
        <f t="shared" si="6"/>
        <v>0.96109090909090988</v>
      </c>
      <c r="R26" s="566"/>
      <c r="S26" s="63">
        <v>0.70833333333333337</v>
      </c>
      <c r="T26" s="63">
        <v>0.74652777777777779</v>
      </c>
      <c r="U26" s="202" t="str">
        <f t="shared" si="22"/>
        <v/>
      </c>
      <c r="V26" s="208">
        <f t="shared" si="21"/>
        <v>54.999999999999964</v>
      </c>
      <c r="W26" s="64"/>
      <c r="X26" s="202"/>
      <c r="Y26" s="559"/>
      <c r="Z26" s="559"/>
      <c r="AA26" s="61">
        <f t="shared" si="8"/>
        <v>-77.818181818180392</v>
      </c>
      <c r="AB26" s="203">
        <f t="shared" si="9"/>
        <v>0.96109090909090977</v>
      </c>
      <c r="AC26" s="566"/>
    </row>
    <row r="27" spans="1:29" ht="15.75" customHeight="1">
      <c r="A27" s="589" t="s">
        <v>808</v>
      </c>
      <c r="B27" s="57" t="s">
        <v>6</v>
      </c>
      <c r="C27" s="584" t="s">
        <v>69</v>
      </c>
      <c r="D27" s="584"/>
      <c r="E27" s="57">
        <v>57.73</v>
      </c>
      <c r="F27" s="210">
        <v>1663</v>
      </c>
      <c r="G27" s="202">
        <f t="shared" si="19"/>
        <v>96004.989999999991</v>
      </c>
      <c r="H27" s="211" t="s">
        <v>5</v>
      </c>
      <c r="I27" s="207">
        <v>16</v>
      </c>
      <c r="J27" s="58">
        <v>1500</v>
      </c>
      <c r="K27" s="59">
        <f t="shared" si="1"/>
        <v>93.75</v>
      </c>
      <c r="L27" s="207">
        <v>16</v>
      </c>
      <c r="M27" s="60">
        <f t="shared" si="20"/>
        <v>1446.0869565217376</v>
      </c>
      <c r="N27" s="59">
        <f t="shared" si="3"/>
        <v>90.380434782608603</v>
      </c>
      <c r="O27" s="61">
        <f t="shared" si="4"/>
        <v>0</v>
      </c>
      <c r="P27" s="62">
        <f t="shared" si="5"/>
        <v>-3.369565217391397</v>
      </c>
      <c r="Q27" s="203">
        <f t="shared" si="6"/>
        <v>0.96405797101449175</v>
      </c>
      <c r="R27" s="566"/>
      <c r="S27" s="63">
        <v>0.75208333333333333</v>
      </c>
      <c r="T27" s="63">
        <v>0.8</v>
      </c>
      <c r="U27" s="202">
        <f t="shared" si="22"/>
        <v>7.9999999999999716</v>
      </c>
      <c r="V27" s="208">
        <f t="shared" si="21"/>
        <v>69.000000000000071</v>
      </c>
      <c r="W27" s="64"/>
      <c r="X27" s="68"/>
      <c r="Y27" s="559"/>
      <c r="Z27" s="559"/>
      <c r="AA27" s="61">
        <f t="shared" si="8"/>
        <v>-53.913043478262352</v>
      </c>
      <c r="AB27" s="203">
        <f t="shared" si="9"/>
        <v>0.96405797101449175</v>
      </c>
      <c r="AC27" s="566"/>
    </row>
    <row r="28" spans="1:29" ht="15.75" customHeight="1">
      <c r="A28" s="589" t="s">
        <v>806</v>
      </c>
      <c r="B28" s="57" t="s">
        <v>6</v>
      </c>
      <c r="C28" s="584" t="s">
        <v>68</v>
      </c>
      <c r="D28" s="584"/>
      <c r="E28" s="57">
        <v>50.67</v>
      </c>
      <c r="F28" s="210">
        <v>2141</v>
      </c>
      <c r="G28" s="202">
        <f t="shared" si="19"/>
        <v>108484.47</v>
      </c>
      <c r="H28" s="211" t="s">
        <v>5</v>
      </c>
      <c r="I28" s="207">
        <v>15</v>
      </c>
      <c r="J28" s="58">
        <v>2000</v>
      </c>
      <c r="K28" s="59">
        <f t="shared" si="1"/>
        <v>133.33333333333334</v>
      </c>
      <c r="L28" s="207">
        <v>15</v>
      </c>
      <c r="M28" s="60">
        <f t="shared" si="20"/>
        <v>1917.3134328358185</v>
      </c>
      <c r="N28" s="59">
        <f t="shared" si="3"/>
        <v>127.8208955223879</v>
      </c>
      <c r="O28" s="61">
        <f t="shared" si="4"/>
        <v>0</v>
      </c>
      <c r="P28" s="62">
        <f t="shared" si="5"/>
        <v>-5.5124378109454426</v>
      </c>
      <c r="Q28" s="203">
        <f t="shared" si="6"/>
        <v>0.95865671641790917</v>
      </c>
      <c r="R28" s="566"/>
      <c r="S28" s="63">
        <v>0.80486111111111114</v>
      </c>
      <c r="T28" s="63">
        <v>0.85138888888888897</v>
      </c>
      <c r="U28" s="202">
        <f t="shared" si="22"/>
        <v>6.9999999999999751</v>
      </c>
      <c r="V28" s="208">
        <f t="shared" si="21"/>
        <v>67.000000000000085</v>
      </c>
      <c r="W28" s="64"/>
      <c r="X28" s="68"/>
      <c r="Y28" s="569"/>
      <c r="Z28" s="570"/>
      <c r="AA28" s="61">
        <f t="shared" si="8"/>
        <v>-82.686567164181497</v>
      </c>
      <c r="AB28" s="203">
        <f t="shared" si="9"/>
        <v>0.95865671641790928</v>
      </c>
      <c r="AC28" s="566"/>
    </row>
    <row r="29" spans="1:29" ht="15.75" customHeight="1">
      <c r="A29" s="589" t="s">
        <v>808</v>
      </c>
      <c r="B29" s="57" t="s">
        <v>809</v>
      </c>
      <c r="C29" s="571"/>
      <c r="D29" s="571"/>
      <c r="E29" s="206"/>
      <c r="F29" s="210"/>
      <c r="G29" s="202"/>
      <c r="H29" s="210"/>
      <c r="I29" s="67">
        <v>16.714285714285715</v>
      </c>
      <c r="J29" s="58">
        <v>1928.5714285714287</v>
      </c>
      <c r="K29" s="59">
        <f t="shared" si="1"/>
        <v>115.38461538461539</v>
      </c>
      <c r="L29" s="67">
        <v>16.714285714285715</v>
      </c>
      <c r="M29" s="60">
        <f>AVERAGE(M22:M28)</f>
        <v>1853.0736486961014</v>
      </c>
      <c r="N29" s="59">
        <f t="shared" si="3"/>
        <v>110.86765419549324</v>
      </c>
      <c r="O29" s="61">
        <f t="shared" si="4"/>
        <v>0</v>
      </c>
      <c r="P29" s="62">
        <f t="shared" si="5"/>
        <v>-4.5169611891221422</v>
      </c>
      <c r="Q29" s="203">
        <f t="shared" si="6"/>
        <v>0.96085300302760812</v>
      </c>
      <c r="R29" s="566"/>
      <c r="S29" s="63"/>
      <c r="T29" s="63"/>
      <c r="U29" s="59"/>
      <c r="V29" s="208"/>
      <c r="W29" s="59"/>
      <c r="X29" s="59"/>
      <c r="Y29" s="559"/>
      <c r="Z29" s="559"/>
      <c r="AA29" s="61">
        <f t="shared" si="8"/>
        <v>-75.497779875327296</v>
      </c>
      <c r="AB29" s="203">
        <f t="shared" si="9"/>
        <v>0.96085300302760812</v>
      </c>
      <c r="AC29" s="566"/>
    </row>
    <row r="30" spans="1:29" ht="15.75" customHeight="1">
      <c r="A30" s="587" t="s">
        <v>810</v>
      </c>
      <c r="B30" s="57" t="s">
        <v>15</v>
      </c>
      <c r="C30" s="584" t="s">
        <v>26</v>
      </c>
      <c r="D30" s="584"/>
      <c r="E30" s="57">
        <v>31.29</v>
      </c>
      <c r="F30" s="210">
        <v>4000</v>
      </c>
      <c r="G30" s="202">
        <f t="shared" ref="G30:G37" si="23">E30*F30</f>
        <v>125160</v>
      </c>
      <c r="H30" s="211">
        <v>2</v>
      </c>
      <c r="I30" s="207">
        <v>18</v>
      </c>
      <c r="J30" s="58">
        <v>2400</v>
      </c>
      <c r="K30" s="59">
        <f t="shared" si="1"/>
        <v>133.33333333333334</v>
      </c>
      <c r="L30" s="207">
        <v>18</v>
      </c>
      <c r="M30" s="60">
        <f t="shared" ref="M30:M37" si="24">F30/V30*60</f>
        <v>2285.7142857142858</v>
      </c>
      <c r="N30" s="59">
        <f t="shared" si="3"/>
        <v>126.98412698412699</v>
      </c>
      <c r="O30" s="61">
        <f t="shared" si="4"/>
        <v>0</v>
      </c>
      <c r="P30" s="62">
        <f t="shared" si="5"/>
        <v>-6.3492063492063551</v>
      </c>
      <c r="Q30" s="203">
        <f t="shared" si="6"/>
        <v>0.95238095238095233</v>
      </c>
      <c r="R30" s="566">
        <f>Q38</f>
        <v>0.95475241225929974</v>
      </c>
      <c r="S30" s="63">
        <v>8.3333333333333329E-2</v>
      </c>
      <c r="T30" s="63">
        <v>0.15625</v>
      </c>
      <c r="U30" s="202"/>
      <c r="V30" s="208">
        <f t="shared" ref="V30:V37" si="25">(T30-S30)*24*60</f>
        <v>105</v>
      </c>
      <c r="W30" s="64">
        <f>T30</f>
        <v>0.15625</v>
      </c>
      <c r="X30" s="64">
        <f>S31</f>
        <v>0.17499999999999999</v>
      </c>
      <c r="Y30" s="559"/>
      <c r="Z30" s="559"/>
      <c r="AA30" s="61">
        <f t="shared" si="8"/>
        <v>-114.28571428571422</v>
      </c>
      <c r="AB30" s="203">
        <f t="shared" si="9"/>
        <v>0.95238095238095244</v>
      </c>
      <c r="AC30" s="566">
        <f>AB38</f>
        <v>0.95475241225929985</v>
      </c>
    </row>
    <row r="31" spans="1:29" ht="15.75" customHeight="1">
      <c r="A31" s="587" t="s">
        <v>811</v>
      </c>
      <c r="B31" s="57" t="s">
        <v>15</v>
      </c>
      <c r="C31" s="584" t="s">
        <v>23</v>
      </c>
      <c r="D31" s="584"/>
      <c r="E31" s="57">
        <v>26.2</v>
      </c>
      <c r="F31" s="210">
        <v>5517</v>
      </c>
      <c r="G31" s="202">
        <f t="shared" si="23"/>
        <v>144545.4</v>
      </c>
      <c r="H31" s="211" t="s">
        <v>5</v>
      </c>
      <c r="I31" s="207">
        <v>20</v>
      </c>
      <c r="J31" s="58">
        <v>2400</v>
      </c>
      <c r="K31" s="59">
        <f t="shared" si="1"/>
        <v>120</v>
      </c>
      <c r="L31" s="207">
        <v>20</v>
      </c>
      <c r="M31" s="60">
        <f t="shared" si="24"/>
        <v>2282.8965517241386</v>
      </c>
      <c r="N31" s="59">
        <f t="shared" si="3"/>
        <v>114.14482758620693</v>
      </c>
      <c r="O31" s="61">
        <f t="shared" si="4"/>
        <v>0</v>
      </c>
      <c r="P31" s="62">
        <f t="shared" si="5"/>
        <v>-5.8551724137930705</v>
      </c>
      <c r="Q31" s="203">
        <f t="shared" si="6"/>
        <v>0.95120689655172441</v>
      </c>
      <c r="R31" s="566"/>
      <c r="S31" s="63">
        <v>0.17499999999999999</v>
      </c>
      <c r="T31" s="63">
        <v>0.27569444444444441</v>
      </c>
      <c r="U31" s="202">
        <f t="shared" ref="U31:U37" si="26">(S31-T30)*24*60</f>
        <v>26.999999999999986</v>
      </c>
      <c r="V31" s="208">
        <f t="shared" si="25"/>
        <v>144.99999999999997</v>
      </c>
      <c r="W31" s="64"/>
      <c r="X31" s="64"/>
      <c r="Y31" s="559"/>
      <c r="Z31" s="559"/>
      <c r="AA31" s="61">
        <f t="shared" si="8"/>
        <v>-117.10344827586141</v>
      </c>
      <c r="AB31" s="203">
        <f t="shared" si="9"/>
        <v>0.95120689655172441</v>
      </c>
      <c r="AC31" s="566"/>
    </row>
    <row r="32" spans="1:29" ht="15.75" customHeight="1">
      <c r="A32" s="587" t="s">
        <v>812</v>
      </c>
      <c r="B32" s="57" t="s">
        <v>15</v>
      </c>
      <c r="C32" s="584" t="s">
        <v>45</v>
      </c>
      <c r="D32" s="584"/>
      <c r="E32" s="57">
        <v>20.52</v>
      </c>
      <c r="F32" s="210">
        <v>2800</v>
      </c>
      <c r="G32" s="202">
        <f t="shared" si="23"/>
        <v>57456</v>
      </c>
      <c r="H32" s="211">
        <v>2</v>
      </c>
      <c r="I32" s="207">
        <v>18</v>
      </c>
      <c r="J32" s="58">
        <v>2400</v>
      </c>
      <c r="K32" s="59">
        <f t="shared" si="1"/>
        <v>133.33333333333334</v>
      </c>
      <c r="L32" s="207">
        <v>18</v>
      </c>
      <c r="M32" s="60">
        <f t="shared" si="24"/>
        <v>2301.3698630136987</v>
      </c>
      <c r="N32" s="59">
        <f t="shared" si="3"/>
        <v>127.85388127853882</v>
      </c>
      <c r="O32" s="61">
        <f t="shared" si="4"/>
        <v>0</v>
      </c>
      <c r="P32" s="62">
        <f t="shared" si="5"/>
        <v>-5.4794520547945211</v>
      </c>
      <c r="Q32" s="203">
        <f t="shared" si="6"/>
        <v>0.95890410958904104</v>
      </c>
      <c r="R32" s="566"/>
      <c r="S32" s="63">
        <v>0.27986111111111106</v>
      </c>
      <c r="T32" s="63">
        <v>0.33055555555555549</v>
      </c>
      <c r="U32" s="202">
        <f t="shared" si="26"/>
        <v>5.9999999999999787</v>
      </c>
      <c r="V32" s="208">
        <f t="shared" si="25"/>
        <v>72.999999999999986</v>
      </c>
      <c r="W32" s="64"/>
      <c r="X32" s="64"/>
      <c r="Y32" s="559"/>
      <c r="Z32" s="559"/>
      <c r="AA32" s="61">
        <f t="shared" si="8"/>
        <v>-98.630136986301295</v>
      </c>
      <c r="AB32" s="203">
        <f t="shared" si="9"/>
        <v>0.95890410958904115</v>
      </c>
      <c r="AC32" s="566"/>
    </row>
    <row r="33" spans="1:29" ht="15.75" customHeight="1">
      <c r="A33" s="587" t="s">
        <v>811</v>
      </c>
      <c r="B33" s="57" t="s">
        <v>15</v>
      </c>
      <c r="C33" s="584" t="s">
        <v>98</v>
      </c>
      <c r="D33" s="584"/>
      <c r="E33" s="57">
        <v>25.98</v>
      </c>
      <c r="F33" s="210">
        <v>2000</v>
      </c>
      <c r="G33" s="202">
        <f t="shared" si="23"/>
        <v>51960</v>
      </c>
      <c r="H33" s="211">
        <v>2</v>
      </c>
      <c r="I33" s="207">
        <v>21</v>
      </c>
      <c r="J33" s="58">
        <v>2400</v>
      </c>
      <c r="K33" s="59">
        <f t="shared" si="1"/>
        <v>114.28571428571429</v>
      </c>
      <c r="L33" s="207">
        <v>21</v>
      </c>
      <c r="M33" s="60">
        <f t="shared" si="24"/>
        <v>2307.692307692309</v>
      </c>
      <c r="N33" s="59">
        <f t="shared" si="3"/>
        <v>109.89010989010995</v>
      </c>
      <c r="O33" s="61">
        <f t="shared" si="4"/>
        <v>0</v>
      </c>
      <c r="P33" s="62">
        <f t="shared" si="5"/>
        <v>-4.3956043956043374</v>
      </c>
      <c r="Q33" s="203">
        <f t="shared" si="6"/>
        <v>0.96153846153846201</v>
      </c>
      <c r="R33" s="566"/>
      <c r="S33" s="63">
        <v>0.3340277777777777</v>
      </c>
      <c r="T33" s="63">
        <v>0.3701388888888888</v>
      </c>
      <c r="U33" s="202">
        <f t="shared" si="26"/>
        <v>4.9999999999999822</v>
      </c>
      <c r="V33" s="208">
        <f t="shared" si="25"/>
        <v>51.999999999999972</v>
      </c>
      <c r="W33" s="64"/>
      <c r="X33" s="64"/>
      <c r="Y33" s="559"/>
      <c r="Z33" s="559"/>
      <c r="AA33" s="61">
        <f t="shared" si="8"/>
        <v>-92.307692307691013</v>
      </c>
      <c r="AB33" s="203">
        <f t="shared" si="9"/>
        <v>0.96153846153846212</v>
      </c>
      <c r="AC33" s="566"/>
    </row>
    <row r="34" spans="1:29" ht="15.75" customHeight="1">
      <c r="A34" s="587" t="s">
        <v>812</v>
      </c>
      <c r="B34" s="57" t="s">
        <v>15</v>
      </c>
      <c r="C34" s="584" t="s">
        <v>658</v>
      </c>
      <c r="D34" s="584"/>
      <c r="E34" s="57">
        <v>21.68</v>
      </c>
      <c r="F34" s="210">
        <v>6800</v>
      </c>
      <c r="G34" s="202">
        <f t="shared" si="23"/>
        <v>147424</v>
      </c>
      <c r="H34" s="211">
        <v>2</v>
      </c>
      <c r="I34" s="207">
        <v>16</v>
      </c>
      <c r="J34" s="58">
        <v>2400</v>
      </c>
      <c r="K34" s="59">
        <f t="shared" si="1"/>
        <v>150</v>
      </c>
      <c r="L34" s="207">
        <v>16</v>
      </c>
      <c r="M34" s="60">
        <f t="shared" si="24"/>
        <v>2292.1348314606744</v>
      </c>
      <c r="N34" s="59">
        <f t="shared" si="3"/>
        <v>143.25842696629215</v>
      </c>
      <c r="O34" s="61">
        <f t="shared" si="4"/>
        <v>0</v>
      </c>
      <c r="P34" s="62">
        <f t="shared" si="5"/>
        <v>-6.7415730337078514</v>
      </c>
      <c r="Q34" s="203">
        <f t="shared" si="6"/>
        <v>0.95505617977528101</v>
      </c>
      <c r="R34" s="566"/>
      <c r="S34" s="63">
        <v>0.37361111111111101</v>
      </c>
      <c r="T34" s="63">
        <v>0.49722222222222212</v>
      </c>
      <c r="U34" s="202">
        <f t="shared" si="26"/>
        <v>4.9999999999999822</v>
      </c>
      <c r="V34" s="208">
        <f t="shared" si="25"/>
        <v>178</v>
      </c>
      <c r="W34" s="64">
        <f>T34</f>
        <v>0.49722222222222212</v>
      </c>
      <c r="X34" s="64">
        <f>S35</f>
        <v>0.53541666666666654</v>
      </c>
      <c r="Y34" s="559"/>
      <c r="Z34" s="559"/>
      <c r="AA34" s="61">
        <f t="shared" si="8"/>
        <v>-107.86516853932562</v>
      </c>
      <c r="AB34" s="203">
        <f t="shared" si="9"/>
        <v>0.95505617977528101</v>
      </c>
      <c r="AC34" s="566"/>
    </row>
    <row r="35" spans="1:29" ht="15.75" customHeight="1">
      <c r="A35" s="587" t="s">
        <v>165</v>
      </c>
      <c r="B35" s="57" t="s">
        <v>15</v>
      </c>
      <c r="C35" s="584" t="s">
        <v>658</v>
      </c>
      <c r="D35" s="584"/>
      <c r="E35" s="57">
        <v>21.68</v>
      </c>
      <c r="F35" s="210">
        <v>3095</v>
      </c>
      <c r="G35" s="202">
        <f t="shared" si="23"/>
        <v>67099.600000000006</v>
      </c>
      <c r="H35" s="211" t="s">
        <v>5</v>
      </c>
      <c r="I35" s="207">
        <v>16</v>
      </c>
      <c r="J35" s="58">
        <v>2400</v>
      </c>
      <c r="K35" s="59">
        <f t="shared" si="1"/>
        <v>150</v>
      </c>
      <c r="L35" s="207">
        <v>16</v>
      </c>
      <c r="M35" s="60">
        <f t="shared" si="24"/>
        <v>2292.5925925925922</v>
      </c>
      <c r="N35" s="59">
        <f t="shared" si="3"/>
        <v>143.28703703703701</v>
      </c>
      <c r="O35" s="61">
        <f t="shared" si="4"/>
        <v>0</v>
      </c>
      <c r="P35" s="62">
        <f t="shared" si="5"/>
        <v>-6.7129629629629903</v>
      </c>
      <c r="Q35" s="203">
        <f t="shared" si="6"/>
        <v>0.95524691358024671</v>
      </c>
      <c r="R35" s="566"/>
      <c r="S35" s="63">
        <v>0.53541666666666654</v>
      </c>
      <c r="T35" s="63">
        <v>0.59166666666666656</v>
      </c>
      <c r="U35" s="202">
        <f t="shared" si="26"/>
        <v>54.999999999999964</v>
      </c>
      <c r="V35" s="208">
        <f t="shared" si="25"/>
        <v>81.000000000000028</v>
      </c>
      <c r="W35" s="64"/>
      <c r="X35" s="64"/>
      <c r="Y35" s="559"/>
      <c r="Z35" s="559"/>
      <c r="AA35" s="61">
        <f t="shared" si="8"/>
        <v>-107.40740740740785</v>
      </c>
      <c r="AB35" s="203">
        <f t="shared" si="9"/>
        <v>0.95524691358024671</v>
      </c>
      <c r="AC35" s="566"/>
    </row>
    <row r="36" spans="1:29" ht="15.75" customHeight="1">
      <c r="A36" s="587" t="s">
        <v>165</v>
      </c>
      <c r="B36" s="57" t="s">
        <v>15</v>
      </c>
      <c r="C36" s="584" t="s">
        <v>26</v>
      </c>
      <c r="D36" s="584"/>
      <c r="E36" s="57">
        <v>31.29</v>
      </c>
      <c r="F36" s="210">
        <v>5595</v>
      </c>
      <c r="G36" s="202">
        <f t="shared" si="23"/>
        <v>175067.55</v>
      </c>
      <c r="H36" s="211" t="s">
        <v>5</v>
      </c>
      <c r="I36" s="207">
        <v>18</v>
      </c>
      <c r="J36" s="58">
        <v>2400</v>
      </c>
      <c r="K36" s="59">
        <f t="shared" si="1"/>
        <v>133.33333333333334</v>
      </c>
      <c r="L36" s="207">
        <v>18</v>
      </c>
      <c r="M36" s="60">
        <f t="shared" si="24"/>
        <v>2283.6734693877561</v>
      </c>
      <c r="N36" s="59">
        <f t="shared" si="3"/>
        <v>126.87074829931979</v>
      </c>
      <c r="O36" s="61">
        <f t="shared" si="4"/>
        <v>0</v>
      </c>
      <c r="P36" s="62">
        <f t="shared" si="5"/>
        <v>-6.4625850340135571</v>
      </c>
      <c r="Q36" s="203">
        <f t="shared" si="6"/>
        <v>0.95153061224489832</v>
      </c>
      <c r="R36" s="566"/>
      <c r="S36" s="63">
        <v>0.59513888888888877</v>
      </c>
      <c r="T36" s="63">
        <v>0.69722222222222208</v>
      </c>
      <c r="U36" s="202">
        <f t="shared" si="26"/>
        <v>4.9999999999999822</v>
      </c>
      <c r="V36" s="208">
        <f t="shared" si="25"/>
        <v>146.99999999999994</v>
      </c>
      <c r="W36" s="64"/>
      <c r="X36" s="64"/>
      <c r="Y36" s="559"/>
      <c r="Z36" s="559"/>
      <c r="AA36" s="61">
        <f t="shared" si="8"/>
        <v>-116.32653061224391</v>
      </c>
      <c r="AB36" s="203">
        <f t="shared" si="9"/>
        <v>0.95153061224489832</v>
      </c>
      <c r="AC36" s="566"/>
    </row>
    <row r="37" spans="1:29" ht="15.75" customHeight="1">
      <c r="A37" s="587" t="s">
        <v>811</v>
      </c>
      <c r="B37" s="57" t="s">
        <v>15</v>
      </c>
      <c r="C37" s="584" t="s">
        <v>45</v>
      </c>
      <c r="D37" s="584"/>
      <c r="E37" s="57">
        <v>20.52</v>
      </c>
      <c r="F37" s="210">
        <v>2209</v>
      </c>
      <c r="G37" s="202">
        <f t="shared" si="23"/>
        <v>45328.68</v>
      </c>
      <c r="H37" s="211" t="s">
        <v>5</v>
      </c>
      <c r="I37" s="207">
        <v>18</v>
      </c>
      <c r="J37" s="58">
        <v>2400</v>
      </c>
      <c r="K37" s="59">
        <f t="shared" si="1"/>
        <v>133.33333333333334</v>
      </c>
      <c r="L37" s="207">
        <v>18</v>
      </c>
      <c r="M37" s="60">
        <f t="shared" si="24"/>
        <v>2285.1724137931051</v>
      </c>
      <c r="N37" s="59">
        <f t="shared" si="3"/>
        <v>126.95402298850584</v>
      </c>
      <c r="O37" s="61">
        <f t="shared" si="4"/>
        <v>0</v>
      </c>
      <c r="P37" s="62">
        <f t="shared" si="5"/>
        <v>-6.3793103448275019</v>
      </c>
      <c r="Q37" s="203">
        <f t="shared" si="6"/>
        <v>0.95215517241379377</v>
      </c>
      <c r="R37" s="566"/>
      <c r="S37" s="63">
        <v>0.70208333333333317</v>
      </c>
      <c r="T37" s="63">
        <v>0.74236111111111092</v>
      </c>
      <c r="U37" s="202">
        <f t="shared" si="26"/>
        <v>6.9999999999999751</v>
      </c>
      <c r="V37" s="208">
        <f t="shared" si="25"/>
        <v>57.999999999999957</v>
      </c>
      <c r="W37" s="64"/>
      <c r="X37" s="64"/>
      <c r="Y37" s="559"/>
      <c r="Z37" s="559"/>
      <c r="AA37" s="61">
        <f t="shared" si="8"/>
        <v>-114.82758620689492</v>
      </c>
      <c r="AB37" s="203">
        <f t="shared" si="9"/>
        <v>0.95215517241379377</v>
      </c>
      <c r="AC37" s="566"/>
    </row>
    <row r="38" spans="1:29" ht="15.75" customHeight="1">
      <c r="A38" s="587" t="s">
        <v>810</v>
      </c>
      <c r="B38" s="57" t="s">
        <v>159</v>
      </c>
      <c r="C38" s="571"/>
      <c r="D38" s="571"/>
      <c r="E38" s="206"/>
      <c r="F38" s="210"/>
      <c r="G38" s="202"/>
      <c r="H38" s="210"/>
      <c r="I38" s="67">
        <v>18.125</v>
      </c>
      <c r="J38" s="58">
        <v>2400</v>
      </c>
      <c r="K38" s="59">
        <f t="shared" si="1"/>
        <v>132.41379310344828</v>
      </c>
      <c r="L38" s="67">
        <v>18.125</v>
      </c>
      <c r="M38" s="60">
        <f>AVERAGE(M30:M37)</f>
        <v>2291.4057894223197</v>
      </c>
      <c r="N38" s="59">
        <f t="shared" si="3"/>
        <v>126.42238838192108</v>
      </c>
      <c r="O38" s="61">
        <f t="shared" si="4"/>
        <v>0</v>
      </c>
      <c r="P38" s="62">
        <f t="shared" si="5"/>
        <v>-5.9914047215272035</v>
      </c>
      <c r="Q38" s="203">
        <f t="shared" si="6"/>
        <v>0.95475241225929974</v>
      </c>
      <c r="R38" s="566"/>
      <c r="S38" s="63"/>
      <c r="T38" s="63"/>
      <c r="U38" s="202"/>
      <c r="V38" s="208"/>
      <c r="W38" s="202"/>
      <c r="X38" s="202"/>
      <c r="Y38" s="559"/>
      <c r="Z38" s="559"/>
      <c r="AA38" s="61">
        <f t="shared" si="8"/>
        <v>-108.59421057768031</v>
      </c>
      <c r="AB38" s="203">
        <f t="shared" si="9"/>
        <v>0.95475241225929985</v>
      </c>
      <c r="AC38" s="566"/>
    </row>
    <row r="39" spans="1:29" ht="15.75" customHeight="1">
      <c r="A39" s="582" t="s">
        <v>813</v>
      </c>
      <c r="B39" s="57" t="s">
        <v>15</v>
      </c>
      <c r="C39" s="560" t="s">
        <v>27</v>
      </c>
      <c r="D39" s="560"/>
      <c r="E39" s="57">
        <v>26.2</v>
      </c>
      <c r="F39" s="210">
        <v>4000</v>
      </c>
      <c r="G39" s="202">
        <f t="shared" ref="G39:G46" si="27">E39*F39</f>
        <v>104800</v>
      </c>
      <c r="H39" s="211">
        <v>2</v>
      </c>
      <c r="I39" s="207">
        <v>18</v>
      </c>
      <c r="J39" s="58">
        <v>2400</v>
      </c>
      <c r="K39" s="59">
        <f t="shared" si="1"/>
        <v>133.33333333333334</v>
      </c>
      <c r="L39" s="207">
        <v>18</v>
      </c>
      <c r="M39" s="60">
        <f t="shared" ref="M39:M46" si="28">F39/V39*60</f>
        <v>2285.7142857142858</v>
      </c>
      <c r="N39" s="59">
        <f t="shared" si="3"/>
        <v>126.98412698412699</v>
      </c>
      <c r="O39" s="61">
        <f t="shared" si="4"/>
        <v>0</v>
      </c>
      <c r="P39" s="62">
        <f t="shared" si="5"/>
        <v>-6.3492063492063551</v>
      </c>
      <c r="Q39" s="203">
        <f t="shared" si="6"/>
        <v>0.95238095238095233</v>
      </c>
      <c r="R39" s="566">
        <f>Q47</f>
        <v>0.95771859803862869</v>
      </c>
      <c r="S39" s="63">
        <v>8.3333333333333329E-2</v>
      </c>
      <c r="T39" s="63">
        <v>0.15625</v>
      </c>
      <c r="U39" s="202"/>
      <c r="V39" s="208">
        <f t="shared" ref="V39:V46" si="29">(T39-S39)*24*60</f>
        <v>105</v>
      </c>
      <c r="W39" s="68">
        <f>T39</f>
        <v>0.15625</v>
      </c>
      <c r="X39" s="68">
        <f>S40</f>
        <v>0.1763888888888889</v>
      </c>
      <c r="Y39" s="559"/>
      <c r="Z39" s="559"/>
      <c r="AA39" s="61">
        <f t="shared" si="8"/>
        <v>-114.28571428571422</v>
      </c>
      <c r="AB39" s="203">
        <f t="shared" si="9"/>
        <v>0.95238095238095244</v>
      </c>
      <c r="AC39" s="566">
        <f>AB47</f>
        <v>0.95771859803862869</v>
      </c>
    </row>
    <row r="40" spans="1:29" ht="15.75" customHeight="1">
      <c r="A40" s="582" t="s">
        <v>814</v>
      </c>
      <c r="B40" s="57" t="s">
        <v>15</v>
      </c>
      <c r="C40" s="560" t="s">
        <v>25</v>
      </c>
      <c r="D40" s="560"/>
      <c r="E40" s="57">
        <v>26.18</v>
      </c>
      <c r="F40" s="210">
        <v>2882</v>
      </c>
      <c r="G40" s="202">
        <f t="shared" si="27"/>
        <v>75450.759999999995</v>
      </c>
      <c r="H40" s="211" t="s">
        <v>5</v>
      </c>
      <c r="I40" s="207">
        <v>19</v>
      </c>
      <c r="J40" s="58">
        <v>2400</v>
      </c>
      <c r="K40" s="59">
        <f t="shared" si="1"/>
        <v>126.31578947368421</v>
      </c>
      <c r="L40" s="207">
        <v>19</v>
      </c>
      <c r="M40" s="60">
        <f t="shared" si="28"/>
        <v>2305.6</v>
      </c>
      <c r="N40" s="59">
        <f t="shared" si="3"/>
        <v>121.34736842105262</v>
      </c>
      <c r="O40" s="61">
        <f t="shared" si="4"/>
        <v>0</v>
      </c>
      <c r="P40" s="62">
        <f t="shared" si="5"/>
        <v>-4.9684210526315837</v>
      </c>
      <c r="Q40" s="203">
        <f t="shared" si="6"/>
        <v>0.96066666666666667</v>
      </c>
      <c r="R40" s="566"/>
      <c r="S40" s="63">
        <v>0.1763888888888889</v>
      </c>
      <c r="T40" s="63">
        <v>0.22847222222222224</v>
      </c>
      <c r="U40" s="202">
        <f t="shared" ref="U40:U46" si="30">(S40-T39)*24*60</f>
        <v>29.000000000000018</v>
      </c>
      <c r="V40" s="208">
        <f t="shared" si="29"/>
        <v>75.000000000000014</v>
      </c>
      <c r="W40" s="202"/>
      <c r="X40" s="202"/>
      <c r="Y40" s="559"/>
      <c r="Z40" s="559"/>
      <c r="AA40" s="61">
        <f t="shared" si="8"/>
        <v>-94.400000000000091</v>
      </c>
      <c r="AB40" s="203">
        <f t="shared" si="9"/>
        <v>0.96066666666666667</v>
      </c>
      <c r="AC40" s="566"/>
    </row>
    <row r="41" spans="1:29">
      <c r="A41" s="583" t="s">
        <v>88</v>
      </c>
      <c r="B41" s="57" t="s">
        <v>15</v>
      </c>
      <c r="C41" s="560" t="s">
        <v>30</v>
      </c>
      <c r="D41" s="560"/>
      <c r="E41" s="57">
        <v>24.25</v>
      </c>
      <c r="F41" s="210">
        <v>2467</v>
      </c>
      <c r="G41" s="202">
        <f t="shared" si="27"/>
        <v>59824.75</v>
      </c>
      <c r="H41" s="211" t="s">
        <v>5</v>
      </c>
      <c r="I41" s="207">
        <v>13</v>
      </c>
      <c r="J41" s="58">
        <v>2400</v>
      </c>
      <c r="K41" s="59">
        <f t="shared" si="1"/>
        <v>184.61538461538461</v>
      </c>
      <c r="L41" s="207">
        <v>13</v>
      </c>
      <c r="M41" s="60">
        <f t="shared" si="28"/>
        <v>2312.8125000000009</v>
      </c>
      <c r="N41" s="59">
        <f t="shared" si="3"/>
        <v>177.90865384615392</v>
      </c>
      <c r="O41" s="61">
        <f t="shared" si="4"/>
        <v>0</v>
      </c>
      <c r="P41" s="62">
        <f t="shared" si="5"/>
        <v>-6.7067307692306883</v>
      </c>
      <c r="Q41" s="203">
        <f t="shared" si="6"/>
        <v>0.9636718750000004</v>
      </c>
      <c r="R41" s="566"/>
      <c r="S41" s="63">
        <v>0.23402777777777781</v>
      </c>
      <c r="T41" s="63">
        <v>0.27847222222222223</v>
      </c>
      <c r="U41" s="202">
        <f t="shared" si="30"/>
        <v>8.0000000000000107</v>
      </c>
      <c r="V41" s="208">
        <f t="shared" si="29"/>
        <v>63.999999999999972</v>
      </c>
      <c r="W41" s="202"/>
      <c r="X41" s="202"/>
      <c r="Y41" s="559"/>
      <c r="Z41" s="559"/>
      <c r="AA41" s="61">
        <f t="shared" si="8"/>
        <v>-87.187499999999091</v>
      </c>
      <c r="AB41" s="203">
        <f t="shared" si="9"/>
        <v>0.9636718750000004</v>
      </c>
      <c r="AC41" s="566"/>
    </row>
    <row r="42" spans="1:29">
      <c r="A42" s="583" t="s">
        <v>88</v>
      </c>
      <c r="B42" s="57" t="s">
        <v>15</v>
      </c>
      <c r="C42" s="560" t="s">
        <v>28</v>
      </c>
      <c r="D42" s="560"/>
      <c r="E42" s="57">
        <v>26.39</v>
      </c>
      <c r="F42" s="210">
        <v>4100</v>
      </c>
      <c r="G42" s="202">
        <f t="shared" si="27"/>
        <v>108199</v>
      </c>
      <c r="H42" s="211">
        <v>2</v>
      </c>
      <c r="I42" s="207">
        <v>19</v>
      </c>
      <c r="J42" s="58">
        <v>2400</v>
      </c>
      <c r="K42" s="59">
        <f t="shared" si="1"/>
        <v>126.31578947368421</v>
      </c>
      <c r="L42" s="207">
        <v>19</v>
      </c>
      <c r="M42" s="60">
        <f t="shared" si="28"/>
        <v>2299.0654205607475</v>
      </c>
      <c r="N42" s="59">
        <f t="shared" si="3"/>
        <v>121.00344318740777</v>
      </c>
      <c r="O42" s="61">
        <f t="shared" si="4"/>
        <v>0</v>
      </c>
      <c r="P42" s="62">
        <f t="shared" si="5"/>
        <v>-5.312346286276437</v>
      </c>
      <c r="Q42" s="203">
        <f t="shared" si="6"/>
        <v>0.95794392523364491</v>
      </c>
      <c r="R42" s="566"/>
      <c r="S42" s="63">
        <v>0.28402777777777777</v>
      </c>
      <c r="T42" s="63">
        <v>0.35833333333333334</v>
      </c>
      <c r="U42" s="202">
        <f t="shared" si="30"/>
        <v>7.9999999999999716</v>
      </c>
      <c r="V42" s="208">
        <f t="shared" si="29"/>
        <v>107.00000000000001</v>
      </c>
      <c r="W42" s="64"/>
      <c r="X42" s="64"/>
      <c r="Y42" s="559"/>
      <c r="Z42" s="559"/>
      <c r="AA42" s="61">
        <f t="shared" si="8"/>
        <v>-100.9345794392525</v>
      </c>
      <c r="AB42" s="203">
        <f t="shared" si="9"/>
        <v>0.9579439252336448</v>
      </c>
      <c r="AC42" s="566"/>
    </row>
    <row r="43" spans="1:29">
      <c r="A43" s="583" t="s">
        <v>813</v>
      </c>
      <c r="B43" s="57" t="s">
        <v>15</v>
      </c>
      <c r="C43" s="560" t="s">
        <v>29</v>
      </c>
      <c r="D43" s="560"/>
      <c r="E43" s="57">
        <v>24.43</v>
      </c>
      <c r="F43" s="210">
        <v>8159</v>
      </c>
      <c r="G43" s="202">
        <f t="shared" si="27"/>
        <v>199324.37</v>
      </c>
      <c r="H43" s="211" t="s">
        <v>5</v>
      </c>
      <c r="I43" s="207">
        <v>14</v>
      </c>
      <c r="J43" s="58">
        <v>2400</v>
      </c>
      <c r="K43" s="59">
        <f t="shared" si="1"/>
        <v>171.42857142857142</v>
      </c>
      <c r="L43" s="207">
        <v>14</v>
      </c>
      <c r="M43" s="60">
        <f t="shared" si="28"/>
        <v>2287.5700934579445</v>
      </c>
      <c r="N43" s="59">
        <f t="shared" si="3"/>
        <v>163.39786381842461</v>
      </c>
      <c r="O43" s="61">
        <f t="shared" si="4"/>
        <v>0</v>
      </c>
      <c r="P43" s="62">
        <f t="shared" si="5"/>
        <v>-8.0307076101468056</v>
      </c>
      <c r="Q43" s="203">
        <f t="shared" si="6"/>
        <v>0.95315420560747699</v>
      </c>
      <c r="R43" s="566"/>
      <c r="S43" s="63">
        <v>0.36180555555555555</v>
      </c>
      <c r="T43" s="63">
        <v>0.51041666666666663</v>
      </c>
      <c r="U43" s="202">
        <f t="shared" si="30"/>
        <v>4.9999999999999822</v>
      </c>
      <c r="V43" s="208">
        <f t="shared" si="29"/>
        <v>213.99999999999997</v>
      </c>
      <c r="W43" s="64">
        <f>T43</f>
        <v>0.51041666666666663</v>
      </c>
      <c r="X43" s="64">
        <f>S44</f>
        <v>0.54999999999999993</v>
      </c>
      <c r="Y43" s="559"/>
      <c r="Z43" s="559"/>
      <c r="AA43" s="61">
        <f t="shared" si="8"/>
        <v>-112.42990654205551</v>
      </c>
      <c r="AB43" s="203">
        <f t="shared" si="9"/>
        <v>0.95315420560747688</v>
      </c>
      <c r="AC43" s="566"/>
    </row>
    <row r="44" spans="1:29">
      <c r="A44" s="583" t="s">
        <v>88</v>
      </c>
      <c r="B44" s="57" t="s">
        <v>15</v>
      </c>
      <c r="C44" s="560" t="s">
        <v>98</v>
      </c>
      <c r="D44" s="560"/>
      <c r="E44" s="57">
        <v>25.98</v>
      </c>
      <c r="F44" s="210">
        <v>2657</v>
      </c>
      <c r="G44" s="202">
        <f t="shared" si="27"/>
        <v>69028.86</v>
      </c>
      <c r="H44" s="211" t="s">
        <v>5</v>
      </c>
      <c r="I44" s="207">
        <v>21</v>
      </c>
      <c r="J44" s="58">
        <v>2400</v>
      </c>
      <c r="K44" s="59">
        <f t="shared" si="1"/>
        <v>114.28571428571429</v>
      </c>
      <c r="L44" s="207">
        <v>21</v>
      </c>
      <c r="M44" s="60">
        <f t="shared" si="28"/>
        <v>2310.4347826086932</v>
      </c>
      <c r="N44" s="59">
        <f t="shared" si="3"/>
        <v>110.0207039337473</v>
      </c>
      <c r="O44" s="61">
        <f t="shared" si="4"/>
        <v>0</v>
      </c>
      <c r="P44" s="62">
        <f t="shared" si="5"/>
        <v>-4.2650103519669926</v>
      </c>
      <c r="Q44" s="203">
        <f t="shared" si="6"/>
        <v>0.96268115942028887</v>
      </c>
      <c r="R44" s="566"/>
      <c r="S44" s="63">
        <v>0.54999999999999993</v>
      </c>
      <c r="T44" s="63">
        <v>0.59791666666666665</v>
      </c>
      <c r="U44" s="202">
        <f t="shared" si="30"/>
        <v>56.999999999999957</v>
      </c>
      <c r="V44" s="208">
        <f t="shared" si="29"/>
        <v>69.000000000000071</v>
      </c>
      <c r="W44" s="64"/>
      <c r="X44" s="64"/>
      <c r="Y44" s="559"/>
      <c r="Z44" s="559"/>
      <c r="AA44" s="61">
        <f t="shared" si="8"/>
        <v>-89.56521739130676</v>
      </c>
      <c r="AB44" s="203">
        <f t="shared" si="9"/>
        <v>0.96268115942028887</v>
      </c>
      <c r="AC44" s="566"/>
    </row>
    <row r="45" spans="1:29">
      <c r="A45" s="583" t="s">
        <v>814</v>
      </c>
      <c r="B45" s="57" t="s">
        <v>15</v>
      </c>
      <c r="C45" s="560" t="s">
        <v>27</v>
      </c>
      <c r="D45" s="560"/>
      <c r="E45" s="57">
        <v>26.2</v>
      </c>
      <c r="F45" s="210">
        <v>3056</v>
      </c>
      <c r="G45" s="202">
        <f t="shared" si="27"/>
        <v>80067.199999999997</v>
      </c>
      <c r="H45" s="211" t="s">
        <v>5</v>
      </c>
      <c r="I45" s="207">
        <v>18</v>
      </c>
      <c r="J45" s="58">
        <v>2400</v>
      </c>
      <c r="K45" s="59">
        <f t="shared" si="1"/>
        <v>133.33333333333334</v>
      </c>
      <c r="L45" s="207">
        <v>18</v>
      </c>
      <c r="M45" s="60">
        <f t="shared" si="28"/>
        <v>2291.9999999999991</v>
      </c>
      <c r="N45" s="59">
        <f t="shared" si="3"/>
        <v>127.33333333333329</v>
      </c>
      <c r="O45" s="61">
        <f t="shared" si="4"/>
        <v>0</v>
      </c>
      <c r="P45" s="62">
        <f t="shared" si="5"/>
        <v>-6.0000000000000568</v>
      </c>
      <c r="Q45" s="203">
        <f t="shared" si="6"/>
        <v>0.95499999999999963</v>
      </c>
      <c r="R45" s="566"/>
      <c r="S45" s="63">
        <v>0.6020833333333333</v>
      </c>
      <c r="T45" s="63">
        <v>0.65763888888888888</v>
      </c>
      <c r="U45" s="202">
        <f t="shared" si="30"/>
        <v>5.9999999999999787</v>
      </c>
      <c r="V45" s="208">
        <f t="shared" si="29"/>
        <v>80.000000000000028</v>
      </c>
      <c r="W45" s="64"/>
      <c r="X45" s="64"/>
      <c r="Y45" s="569"/>
      <c r="Z45" s="570"/>
      <c r="AA45" s="61">
        <f t="shared" si="8"/>
        <v>-108.00000000000091</v>
      </c>
      <c r="AB45" s="203">
        <f t="shared" si="9"/>
        <v>0.95499999999999963</v>
      </c>
      <c r="AC45" s="566"/>
    </row>
    <row r="46" spans="1:29">
      <c r="A46" s="583" t="s">
        <v>813</v>
      </c>
      <c r="B46" s="57" t="s">
        <v>15</v>
      </c>
      <c r="C46" s="560" t="s">
        <v>28</v>
      </c>
      <c r="D46" s="560"/>
      <c r="E46" s="57">
        <v>26.39</v>
      </c>
      <c r="F46" s="210">
        <v>2754</v>
      </c>
      <c r="G46" s="202">
        <f t="shared" si="27"/>
        <v>72678.06</v>
      </c>
      <c r="H46" s="211" t="s">
        <v>5</v>
      </c>
      <c r="I46" s="207">
        <v>19</v>
      </c>
      <c r="J46" s="58">
        <v>2400</v>
      </c>
      <c r="K46" s="59">
        <f t="shared" si="1"/>
        <v>126.31578947368421</v>
      </c>
      <c r="L46" s="207">
        <v>19</v>
      </c>
      <c r="M46" s="60">
        <f t="shared" si="28"/>
        <v>2294.9999999999982</v>
      </c>
      <c r="N46" s="59">
        <f t="shared" si="3"/>
        <v>120.78947368421044</v>
      </c>
      <c r="O46" s="61">
        <f t="shared" si="4"/>
        <v>0</v>
      </c>
      <c r="P46" s="62">
        <f t="shared" si="5"/>
        <v>-5.5263157894737702</v>
      </c>
      <c r="Q46" s="203">
        <f t="shared" si="6"/>
        <v>0.95624999999999927</v>
      </c>
      <c r="R46" s="566"/>
      <c r="S46" s="63">
        <v>0.66180555555555554</v>
      </c>
      <c r="T46" s="63">
        <v>0.71180555555555558</v>
      </c>
      <c r="U46" s="202">
        <f t="shared" si="30"/>
        <v>5.9999999999999787</v>
      </c>
      <c r="V46" s="208">
        <f t="shared" si="29"/>
        <v>72.000000000000057</v>
      </c>
      <c r="W46" s="64"/>
      <c r="X46" s="64"/>
      <c r="Y46" s="569"/>
      <c r="Z46" s="570"/>
      <c r="AA46" s="61">
        <f t="shared" si="8"/>
        <v>-105.00000000000182</v>
      </c>
      <c r="AB46" s="203">
        <f t="shared" si="9"/>
        <v>0.95624999999999927</v>
      </c>
      <c r="AC46" s="566"/>
    </row>
    <row r="47" spans="1:29">
      <c r="A47" s="583" t="s">
        <v>88</v>
      </c>
      <c r="B47" s="66" t="s">
        <v>159</v>
      </c>
      <c r="C47" s="571"/>
      <c r="D47" s="571"/>
      <c r="E47" s="206"/>
      <c r="F47" s="66"/>
      <c r="G47" s="59"/>
      <c r="H47" s="210"/>
      <c r="I47" s="67">
        <v>17.625</v>
      </c>
      <c r="J47" s="58">
        <v>2400</v>
      </c>
      <c r="K47" s="59">
        <f t="shared" si="1"/>
        <v>136.17021276595744</v>
      </c>
      <c r="L47" s="67">
        <v>17.625</v>
      </c>
      <c r="M47" s="60">
        <f>AVERAGE(M39:M46)</f>
        <v>2298.5246352927088</v>
      </c>
      <c r="N47" s="59">
        <f t="shared" si="3"/>
        <v>130.41274526483454</v>
      </c>
      <c r="O47" s="61">
        <f t="shared" si="4"/>
        <v>0</v>
      </c>
      <c r="P47" s="62">
        <f t="shared" si="5"/>
        <v>-5.7574675011229033</v>
      </c>
      <c r="Q47" s="203">
        <f t="shared" si="6"/>
        <v>0.95771859803862869</v>
      </c>
      <c r="R47" s="566"/>
      <c r="S47" s="63"/>
      <c r="T47" s="63"/>
      <c r="U47" s="59"/>
      <c r="V47" s="208"/>
      <c r="W47" s="59"/>
      <c r="X47" s="59"/>
      <c r="Y47" s="559"/>
      <c r="Z47" s="559"/>
      <c r="AA47" s="61">
        <f t="shared" si="8"/>
        <v>-101.47536470729119</v>
      </c>
      <c r="AB47" s="203">
        <f t="shared" si="9"/>
        <v>0.95771859803862869</v>
      </c>
      <c r="AC47" s="566"/>
    </row>
    <row r="48" spans="1:29" ht="15.75" customHeight="1">
      <c r="A48" s="576" t="s">
        <v>815</v>
      </c>
      <c r="B48" s="57" t="s">
        <v>31</v>
      </c>
      <c r="C48" s="567" t="s">
        <v>33</v>
      </c>
      <c r="D48" s="568"/>
      <c r="E48" s="57">
        <v>27.17</v>
      </c>
      <c r="F48" s="210">
        <v>4100</v>
      </c>
      <c r="G48" s="202">
        <f t="shared" ref="G48:G55" si="31">E48*F48</f>
        <v>111397</v>
      </c>
      <c r="H48" s="211">
        <v>2</v>
      </c>
      <c r="I48" s="207">
        <v>10</v>
      </c>
      <c r="J48" s="58">
        <v>3000</v>
      </c>
      <c r="K48" s="59">
        <f t="shared" si="1"/>
        <v>300</v>
      </c>
      <c r="L48" s="207">
        <v>10</v>
      </c>
      <c r="M48" s="60">
        <f t="shared" ref="M48:M55" si="32">F48/V48*60</f>
        <v>2860.4651162790692</v>
      </c>
      <c r="N48" s="60">
        <f t="shared" si="3"/>
        <v>286.04651162790691</v>
      </c>
      <c r="O48" s="61">
        <f t="shared" si="4"/>
        <v>0</v>
      </c>
      <c r="P48" s="62">
        <f t="shared" si="5"/>
        <v>-13.953488372093091</v>
      </c>
      <c r="Q48" s="203">
        <f t="shared" si="6"/>
        <v>0.95348837209302306</v>
      </c>
      <c r="R48" s="579">
        <f>Q56</f>
        <v>0.95697644945100269</v>
      </c>
      <c r="S48" s="63">
        <v>0.125</v>
      </c>
      <c r="T48" s="63">
        <v>0.18472222222222223</v>
      </c>
      <c r="U48" s="68"/>
      <c r="V48" s="208">
        <f t="shared" ref="V48:V55" si="33">(T48-S48)*24*60</f>
        <v>86.000000000000014</v>
      </c>
      <c r="W48" s="64">
        <f>T48</f>
        <v>0.18472222222222223</v>
      </c>
      <c r="X48" s="64">
        <f>S49</f>
        <v>0.20208333333333331</v>
      </c>
      <c r="Y48" s="569"/>
      <c r="Z48" s="570"/>
      <c r="AA48" s="61">
        <f t="shared" si="8"/>
        <v>-139.53488372093079</v>
      </c>
      <c r="AB48" s="203">
        <f t="shared" si="9"/>
        <v>0.95348837209302306</v>
      </c>
      <c r="AC48" s="579">
        <f>AB56</f>
        <v>0.95697644945100269</v>
      </c>
    </row>
    <row r="49" spans="1:29" ht="15.75" customHeight="1">
      <c r="A49" s="577" t="s">
        <v>89</v>
      </c>
      <c r="B49" s="57" t="s">
        <v>31</v>
      </c>
      <c r="C49" s="567" t="s">
        <v>32</v>
      </c>
      <c r="D49" s="568"/>
      <c r="E49" s="57">
        <v>21.13</v>
      </c>
      <c r="F49" s="210">
        <v>3100</v>
      </c>
      <c r="G49" s="202">
        <f t="shared" si="31"/>
        <v>65503</v>
      </c>
      <c r="H49" s="211">
        <v>2</v>
      </c>
      <c r="I49" s="207">
        <v>10</v>
      </c>
      <c r="J49" s="58">
        <v>3000</v>
      </c>
      <c r="K49" s="59">
        <f t="shared" si="1"/>
        <v>300</v>
      </c>
      <c r="L49" s="207">
        <v>10</v>
      </c>
      <c r="M49" s="60">
        <f t="shared" si="32"/>
        <v>2861.538461538461</v>
      </c>
      <c r="N49" s="60">
        <f t="shared" si="3"/>
        <v>286.15384615384608</v>
      </c>
      <c r="O49" s="61">
        <f t="shared" si="4"/>
        <v>0</v>
      </c>
      <c r="P49" s="62">
        <f t="shared" si="5"/>
        <v>-13.846153846153925</v>
      </c>
      <c r="Q49" s="203">
        <f t="shared" si="6"/>
        <v>0.95384615384615357</v>
      </c>
      <c r="R49" s="580"/>
      <c r="S49" s="63">
        <v>0.20208333333333331</v>
      </c>
      <c r="T49" s="63">
        <v>0.2472222222222222</v>
      </c>
      <c r="U49" s="202">
        <f t="shared" ref="U49:U55" si="34">(S49-T48)*24*60</f>
        <v>24.99999999999995</v>
      </c>
      <c r="V49" s="208">
        <f t="shared" si="33"/>
        <v>65.000000000000014</v>
      </c>
      <c r="W49" s="64"/>
      <c r="X49" s="64"/>
      <c r="Y49" s="569"/>
      <c r="Z49" s="570"/>
      <c r="AA49" s="61">
        <f t="shared" si="8"/>
        <v>-138.46153846153902</v>
      </c>
      <c r="AB49" s="203">
        <f t="shared" si="9"/>
        <v>0.95384615384615368</v>
      </c>
      <c r="AC49" s="580"/>
    </row>
    <row r="50" spans="1:29" ht="15.75" customHeight="1">
      <c r="A50" s="577" t="s">
        <v>89</v>
      </c>
      <c r="B50" s="57" t="s">
        <v>31</v>
      </c>
      <c r="C50" s="567" t="s">
        <v>34</v>
      </c>
      <c r="D50" s="568"/>
      <c r="E50" s="57">
        <v>35.119999999999997</v>
      </c>
      <c r="F50" s="210">
        <v>4592</v>
      </c>
      <c r="G50" s="202">
        <f t="shared" si="31"/>
        <v>161271.03999999998</v>
      </c>
      <c r="H50" s="211" t="s">
        <v>5</v>
      </c>
      <c r="I50" s="207">
        <v>10</v>
      </c>
      <c r="J50" s="58">
        <v>3000</v>
      </c>
      <c r="K50" s="59">
        <f t="shared" si="1"/>
        <v>300</v>
      </c>
      <c r="L50" s="207">
        <v>10</v>
      </c>
      <c r="M50" s="60">
        <f t="shared" si="32"/>
        <v>2870.0000000000009</v>
      </c>
      <c r="N50" s="60">
        <f t="shared" si="3"/>
        <v>287.00000000000011</v>
      </c>
      <c r="O50" s="61">
        <f t="shared" si="4"/>
        <v>0</v>
      </c>
      <c r="P50" s="62">
        <f t="shared" si="5"/>
        <v>-12.999999999999886</v>
      </c>
      <c r="Q50" s="203">
        <f t="shared" si="6"/>
        <v>0.956666666666667</v>
      </c>
      <c r="R50" s="580"/>
      <c r="S50" s="63">
        <v>0.25208333333333333</v>
      </c>
      <c r="T50" s="63">
        <v>0.31874999999999998</v>
      </c>
      <c r="U50" s="202">
        <f t="shared" si="34"/>
        <v>7.0000000000000151</v>
      </c>
      <c r="V50" s="208">
        <f t="shared" si="33"/>
        <v>95.999999999999972</v>
      </c>
      <c r="W50" s="64"/>
      <c r="X50" s="64"/>
      <c r="Y50" s="569"/>
      <c r="Z50" s="570"/>
      <c r="AA50" s="61">
        <f t="shared" si="8"/>
        <v>-129.99999999999909</v>
      </c>
      <c r="AB50" s="203">
        <f t="shared" si="9"/>
        <v>0.956666666666667</v>
      </c>
      <c r="AC50" s="580"/>
    </row>
    <row r="51" spans="1:29" ht="15.75" customHeight="1">
      <c r="A51" s="577" t="s">
        <v>89</v>
      </c>
      <c r="B51" s="57" t="s">
        <v>31</v>
      </c>
      <c r="C51" s="567" t="s">
        <v>64</v>
      </c>
      <c r="D51" s="568"/>
      <c r="E51" s="57">
        <v>37.880000000000003</v>
      </c>
      <c r="F51" s="210">
        <v>2887</v>
      </c>
      <c r="G51" s="202">
        <f t="shared" si="31"/>
        <v>109359.56000000001</v>
      </c>
      <c r="H51" s="211" t="s">
        <v>5</v>
      </c>
      <c r="I51" s="207">
        <v>10</v>
      </c>
      <c r="J51" s="58">
        <v>3000</v>
      </c>
      <c r="K51" s="59">
        <f t="shared" si="1"/>
        <v>300</v>
      </c>
      <c r="L51" s="207">
        <v>10</v>
      </c>
      <c r="M51" s="60">
        <f t="shared" si="32"/>
        <v>2886.9999999999986</v>
      </c>
      <c r="N51" s="60">
        <f t="shared" si="3"/>
        <v>288.69999999999987</v>
      </c>
      <c r="O51" s="61">
        <f t="shared" si="4"/>
        <v>0</v>
      </c>
      <c r="P51" s="62">
        <f t="shared" si="5"/>
        <v>-11.300000000000125</v>
      </c>
      <c r="Q51" s="203">
        <f t="shared" si="6"/>
        <v>0.96233333333333293</v>
      </c>
      <c r="R51" s="580"/>
      <c r="S51" s="63">
        <v>0.32222222222222219</v>
      </c>
      <c r="T51" s="63">
        <v>0.36388888888888887</v>
      </c>
      <c r="U51" s="202">
        <f t="shared" si="34"/>
        <v>4.9999999999999822</v>
      </c>
      <c r="V51" s="208">
        <f t="shared" si="33"/>
        <v>60.000000000000028</v>
      </c>
      <c r="W51" s="64"/>
      <c r="X51" s="64"/>
      <c r="Y51" s="569"/>
      <c r="Z51" s="570"/>
      <c r="AA51" s="61">
        <f t="shared" si="8"/>
        <v>-113.00000000000136</v>
      </c>
      <c r="AB51" s="203">
        <f t="shared" si="9"/>
        <v>0.96233333333333293</v>
      </c>
      <c r="AC51" s="580"/>
    </row>
    <row r="52" spans="1:29" ht="15.75" customHeight="1">
      <c r="A52" s="577" t="s">
        <v>89</v>
      </c>
      <c r="B52" s="57" t="s">
        <v>31</v>
      </c>
      <c r="C52" s="567" t="s">
        <v>659</v>
      </c>
      <c r="D52" s="568"/>
      <c r="E52" s="57">
        <v>36.19</v>
      </c>
      <c r="F52" s="210">
        <v>6500</v>
      </c>
      <c r="G52" s="202">
        <f t="shared" si="31"/>
        <v>235234.99999999997</v>
      </c>
      <c r="H52" s="211">
        <v>2</v>
      </c>
      <c r="I52" s="207">
        <v>16</v>
      </c>
      <c r="J52" s="58">
        <v>2000</v>
      </c>
      <c r="K52" s="59">
        <f t="shared" si="1"/>
        <v>125</v>
      </c>
      <c r="L52" s="207">
        <v>16</v>
      </c>
      <c r="M52" s="60">
        <f t="shared" si="32"/>
        <v>1902.439024390244</v>
      </c>
      <c r="N52" s="60">
        <f t="shared" si="3"/>
        <v>118.90243902439025</v>
      </c>
      <c r="O52" s="61">
        <f t="shared" si="4"/>
        <v>0</v>
      </c>
      <c r="P52" s="62">
        <f t="shared" si="5"/>
        <v>-6.0975609756097526</v>
      </c>
      <c r="Q52" s="203">
        <f t="shared" si="6"/>
        <v>0.95121951219512202</v>
      </c>
      <c r="R52" s="580"/>
      <c r="S52" s="63">
        <v>0.36805555555555552</v>
      </c>
      <c r="T52" s="63">
        <v>0.51041666666666663</v>
      </c>
      <c r="U52" s="202">
        <f t="shared" si="34"/>
        <v>5.9999999999999787</v>
      </c>
      <c r="V52" s="208">
        <f t="shared" si="33"/>
        <v>205</v>
      </c>
      <c r="W52" s="64">
        <f>T52</f>
        <v>0.51041666666666663</v>
      </c>
      <c r="X52" s="64">
        <f>S53</f>
        <v>0.54999999999999993</v>
      </c>
      <c r="Y52" s="569"/>
      <c r="Z52" s="570"/>
      <c r="AA52" s="61">
        <f t="shared" si="8"/>
        <v>-97.560975609756042</v>
      </c>
      <c r="AB52" s="203">
        <f t="shared" si="9"/>
        <v>0.95121951219512202</v>
      </c>
      <c r="AC52" s="580"/>
    </row>
    <row r="53" spans="1:29" ht="15.75" customHeight="1">
      <c r="A53" s="577" t="s">
        <v>89</v>
      </c>
      <c r="B53" s="57" t="s">
        <v>31</v>
      </c>
      <c r="C53" s="567" t="s">
        <v>659</v>
      </c>
      <c r="D53" s="568"/>
      <c r="E53" s="57">
        <v>36.19</v>
      </c>
      <c r="F53" s="210">
        <v>3576</v>
      </c>
      <c r="G53" s="202">
        <f t="shared" si="31"/>
        <v>129415.43999999999</v>
      </c>
      <c r="H53" s="211" t="s">
        <v>5</v>
      </c>
      <c r="I53" s="207">
        <v>16</v>
      </c>
      <c r="J53" s="58">
        <v>2000</v>
      </c>
      <c r="K53" s="59">
        <f t="shared" si="1"/>
        <v>125</v>
      </c>
      <c r="L53" s="207">
        <v>16</v>
      </c>
      <c r="M53" s="60">
        <f t="shared" si="32"/>
        <v>1915.7142857142844</v>
      </c>
      <c r="N53" s="60">
        <f t="shared" si="3"/>
        <v>119.73214285714278</v>
      </c>
      <c r="O53" s="61">
        <f t="shared" si="4"/>
        <v>0</v>
      </c>
      <c r="P53" s="62">
        <f t="shared" si="5"/>
        <v>-5.2678571428572241</v>
      </c>
      <c r="Q53" s="203">
        <f t="shared" si="6"/>
        <v>0.95785714285714219</v>
      </c>
      <c r="R53" s="580"/>
      <c r="S53" s="63">
        <v>0.54999999999999993</v>
      </c>
      <c r="T53" s="63">
        <v>0.62777777777777777</v>
      </c>
      <c r="U53" s="202">
        <f t="shared" si="34"/>
        <v>56.999999999999957</v>
      </c>
      <c r="V53" s="208">
        <f t="shared" si="33"/>
        <v>112.00000000000009</v>
      </c>
      <c r="W53" s="64"/>
      <c r="X53" s="64"/>
      <c r="Y53" s="569"/>
      <c r="Z53" s="570"/>
      <c r="AA53" s="61">
        <f t="shared" si="8"/>
        <v>-84.285714285715585</v>
      </c>
      <c r="AB53" s="203">
        <f t="shared" si="9"/>
        <v>0.95785714285714219</v>
      </c>
      <c r="AC53" s="580"/>
    </row>
    <row r="54" spans="1:29" ht="15.75" customHeight="1">
      <c r="A54" s="577" t="s">
        <v>89</v>
      </c>
      <c r="B54" s="57" t="s">
        <v>31</v>
      </c>
      <c r="C54" s="567" t="s">
        <v>32</v>
      </c>
      <c r="D54" s="568"/>
      <c r="E54" s="57">
        <v>21.13</v>
      </c>
      <c r="F54" s="210">
        <v>2386</v>
      </c>
      <c r="G54" s="202">
        <f t="shared" si="31"/>
        <v>50416.18</v>
      </c>
      <c r="H54" s="211" t="s">
        <v>5</v>
      </c>
      <c r="I54" s="207">
        <v>10</v>
      </c>
      <c r="J54" s="58">
        <v>3000</v>
      </c>
      <c r="K54" s="59">
        <f t="shared" si="1"/>
        <v>300</v>
      </c>
      <c r="L54" s="207">
        <v>10</v>
      </c>
      <c r="M54" s="60">
        <f t="shared" si="32"/>
        <v>2863.2000000000007</v>
      </c>
      <c r="N54" s="60">
        <f t="shared" si="3"/>
        <v>286.32000000000005</v>
      </c>
      <c r="O54" s="61">
        <f t="shared" si="4"/>
        <v>0</v>
      </c>
      <c r="P54" s="62">
        <f t="shared" si="5"/>
        <v>-13.67999999999995</v>
      </c>
      <c r="Q54" s="203">
        <f t="shared" si="6"/>
        <v>0.95440000000000014</v>
      </c>
      <c r="R54" s="580"/>
      <c r="S54" s="63">
        <v>0.6333333333333333</v>
      </c>
      <c r="T54" s="63">
        <v>0.66805555555555551</v>
      </c>
      <c r="U54" s="202">
        <f t="shared" si="34"/>
        <v>7.9999999999999716</v>
      </c>
      <c r="V54" s="208">
        <f t="shared" si="33"/>
        <v>49.999999999999986</v>
      </c>
      <c r="W54" s="64"/>
      <c r="X54" s="64"/>
      <c r="Y54" s="569"/>
      <c r="Z54" s="570"/>
      <c r="AA54" s="61">
        <f t="shared" si="8"/>
        <v>-136.79999999999927</v>
      </c>
      <c r="AB54" s="203">
        <f t="shared" si="9"/>
        <v>0.95440000000000025</v>
      </c>
      <c r="AC54" s="580"/>
    </row>
    <row r="55" spans="1:29" ht="15.75" customHeight="1">
      <c r="A55" s="577" t="s">
        <v>89</v>
      </c>
      <c r="B55" s="57" t="s">
        <v>31</v>
      </c>
      <c r="C55" s="567" t="s">
        <v>33</v>
      </c>
      <c r="D55" s="568"/>
      <c r="E55" s="57">
        <v>27.17</v>
      </c>
      <c r="F55" s="210">
        <v>3086</v>
      </c>
      <c r="G55" s="202">
        <f t="shared" si="31"/>
        <v>83846.62000000001</v>
      </c>
      <c r="H55" s="211" t="s">
        <v>5</v>
      </c>
      <c r="I55" s="207">
        <v>10</v>
      </c>
      <c r="J55" s="58">
        <v>3000</v>
      </c>
      <c r="K55" s="59">
        <f t="shared" si="1"/>
        <v>300</v>
      </c>
      <c r="L55" s="207">
        <v>10</v>
      </c>
      <c r="M55" s="60">
        <f t="shared" si="32"/>
        <v>2893.1250000000036</v>
      </c>
      <c r="N55" s="60">
        <f t="shared" si="3"/>
        <v>289.31250000000034</v>
      </c>
      <c r="O55" s="61">
        <f t="shared" si="4"/>
        <v>0</v>
      </c>
      <c r="P55" s="62">
        <f t="shared" si="5"/>
        <v>-10.687499999999659</v>
      </c>
      <c r="Q55" s="203">
        <f t="shared" si="6"/>
        <v>0.96437500000000109</v>
      </c>
      <c r="R55" s="580"/>
      <c r="S55" s="63">
        <v>0.67152777777777772</v>
      </c>
      <c r="T55" s="63">
        <v>0.71597222222222212</v>
      </c>
      <c r="U55" s="202">
        <f t="shared" si="34"/>
        <v>4.9999999999999822</v>
      </c>
      <c r="V55" s="208">
        <f t="shared" si="33"/>
        <v>63.999999999999929</v>
      </c>
      <c r="W55" s="64"/>
      <c r="X55" s="64"/>
      <c r="Y55" s="569"/>
      <c r="Z55" s="570"/>
      <c r="AA55" s="61">
        <f t="shared" si="8"/>
        <v>-106.87499999999636</v>
      </c>
      <c r="AB55" s="203">
        <f t="shared" si="9"/>
        <v>0.9643750000000012</v>
      </c>
      <c r="AC55" s="580"/>
    </row>
    <row r="56" spans="1:29" ht="15.75" customHeight="1">
      <c r="A56" s="578" t="s">
        <v>89</v>
      </c>
      <c r="B56" s="57" t="s">
        <v>159</v>
      </c>
      <c r="C56" s="561"/>
      <c r="D56" s="562"/>
      <c r="E56" s="201"/>
      <c r="F56" s="210"/>
      <c r="G56" s="202"/>
      <c r="H56" s="210"/>
      <c r="I56" s="67">
        <v>11.5</v>
      </c>
      <c r="J56" s="58">
        <v>2750</v>
      </c>
      <c r="K56" s="59">
        <f t="shared" si="1"/>
        <v>239.13043478260869</v>
      </c>
      <c r="L56" s="67">
        <v>11.5</v>
      </c>
      <c r="M56" s="60">
        <f>AVERAGE(M48:M55)</f>
        <v>2631.6852359902573</v>
      </c>
      <c r="N56" s="59">
        <f t="shared" si="3"/>
        <v>228.84219443393542</v>
      </c>
      <c r="O56" s="61">
        <f t="shared" si="4"/>
        <v>0</v>
      </c>
      <c r="P56" s="62">
        <f t="shared" si="5"/>
        <v>-10.28824034867327</v>
      </c>
      <c r="Q56" s="203">
        <f t="shared" si="6"/>
        <v>0.95697644945100269</v>
      </c>
      <c r="R56" s="581"/>
      <c r="S56" s="63"/>
      <c r="T56" s="63"/>
      <c r="U56" s="202"/>
      <c r="V56" s="208"/>
      <c r="W56" s="64"/>
      <c r="X56" s="64"/>
      <c r="Y56" s="569"/>
      <c r="Z56" s="570"/>
      <c r="AA56" s="61">
        <f t="shared" si="8"/>
        <v>-118.3147640097427</v>
      </c>
      <c r="AB56" s="203">
        <f t="shared" si="9"/>
        <v>0.95697644945100269</v>
      </c>
      <c r="AC56" s="581"/>
    </row>
    <row r="57" spans="1:29" ht="15.75" customHeight="1">
      <c r="A57" s="574" t="s">
        <v>816</v>
      </c>
      <c r="B57" s="57" t="s">
        <v>10</v>
      </c>
      <c r="C57" s="560" t="s">
        <v>37</v>
      </c>
      <c r="D57" s="560"/>
      <c r="E57" s="57">
        <v>46</v>
      </c>
      <c r="F57" s="69">
        <v>2370</v>
      </c>
      <c r="G57" s="202">
        <f t="shared" ref="G57:G62" si="35">E57*F57</f>
        <v>109020</v>
      </c>
      <c r="H57" s="211" t="s">
        <v>5</v>
      </c>
      <c r="I57" s="207">
        <v>17</v>
      </c>
      <c r="J57" s="58">
        <v>2000</v>
      </c>
      <c r="K57" s="59">
        <f t="shared" si="1"/>
        <v>117.64705882352941</v>
      </c>
      <c r="L57" s="207">
        <v>17</v>
      </c>
      <c r="M57" s="60">
        <f t="shared" ref="M57:M62" si="36">F57/V57*60</f>
        <v>1921.6216216216224</v>
      </c>
      <c r="N57" s="60">
        <f t="shared" si="3"/>
        <v>113.0365659777425</v>
      </c>
      <c r="O57" s="61">
        <f t="shared" si="4"/>
        <v>0</v>
      </c>
      <c r="P57" s="62">
        <f t="shared" si="5"/>
        <v>-4.6104928457869079</v>
      </c>
      <c r="Q57" s="203">
        <f t="shared" si="6"/>
        <v>0.96081081081081132</v>
      </c>
      <c r="R57" s="566">
        <f>Q63</f>
        <v>0.96081974987703589</v>
      </c>
      <c r="S57" s="63">
        <v>0.33333333333333331</v>
      </c>
      <c r="T57" s="63">
        <v>0.38472222222222219</v>
      </c>
      <c r="U57" s="68"/>
      <c r="V57" s="208">
        <f t="shared" ref="V57:V62" si="37">(T57-S57)*24*60</f>
        <v>73.999999999999972</v>
      </c>
      <c r="W57" s="68"/>
      <c r="X57" s="68"/>
      <c r="Y57" s="559"/>
      <c r="Z57" s="559"/>
      <c r="AA57" s="61">
        <f t="shared" si="8"/>
        <v>-78.378378378377647</v>
      </c>
      <c r="AB57" s="203">
        <f t="shared" si="9"/>
        <v>0.96081081081081121</v>
      </c>
      <c r="AC57" s="566">
        <f>AB63</f>
        <v>0.96081974987703589</v>
      </c>
    </row>
    <row r="58" spans="1:29" ht="15.75" customHeight="1">
      <c r="A58" s="574" t="s">
        <v>817</v>
      </c>
      <c r="B58" s="57" t="s">
        <v>10</v>
      </c>
      <c r="C58" s="560" t="s">
        <v>38</v>
      </c>
      <c r="D58" s="560"/>
      <c r="E58" s="57">
        <v>46</v>
      </c>
      <c r="F58" s="69">
        <v>2478</v>
      </c>
      <c r="G58" s="202">
        <f t="shared" si="35"/>
        <v>113988</v>
      </c>
      <c r="H58" s="211" t="s">
        <v>5</v>
      </c>
      <c r="I58" s="207">
        <v>17</v>
      </c>
      <c r="J58" s="58">
        <v>2000</v>
      </c>
      <c r="K58" s="59">
        <f t="shared" si="1"/>
        <v>117.64705882352941</v>
      </c>
      <c r="L58" s="207">
        <v>17</v>
      </c>
      <c r="M58" s="60">
        <f t="shared" si="36"/>
        <v>1906.1538461538451</v>
      </c>
      <c r="N58" s="60">
        <f t="shared" si="3"/>
        <v>112.12669683257911</v>
      </c>
      <c r="O58" s="61">
        <f t="shared" si="4"/>
        <v>0</v>
      </c>
      <c r="P58" s="62">
        <f t="shared" si="5"/>
        <v>-5.5203619909502919</v>
      </c>
      <c r="Q58" s="203">
        <f t="shared" si="6"/>
        <v>0.95307692307692249</v>
      </c>
      <c r="R58" s="566"/>
      <c r="S58" s="63">
        <v>0.38958333333333328</v>
      </c>
      <c r="T58" s="63">
        <v>0.44374999999999998</v>
      </c>
      <c r="U58" s="202">
        <f t="shared" ref="U58:U62" si="38">IF(S58=TIME(17,0,0),"",(S58-T57)*24*60)</f>
        <v>6.9999999999999751</v>
      </c>
      <c r="V58" s="208">
        <f t="shared" si="37"/>
        <v>78.000000000000043</v>
      </c>
      <c r="W58" s="64"/>
      <c r="X58" s="64"/>
      <c r="Y58" s="559"/>
      <c r="Z58" s="559"/>
      <c r="AA58" s="61">
        <f t="shared" si="8"/>
        <v>-93.846153846154948</v>
      </c>
      <c r="AB58" s="203">
        <f t="shared" si="9"/>
        <v>0.95307692307692249</v>
      </c>
      <c r="AC58" s="566"/>
    </row>
    <row r="59" spans="1:29" ht="15.75" customHeight="1">
      <c r="A59" s="574" t="s">
        <v>818</v>
      </c>
      <c r="B59" s="57" t="s">
        <v>6</v>
      </c>
      <c r="C59" s="567" t="s">
        <v>39</v>
      </c>
      <c r="D59" s="568"/>
      <c r="E59" s="57">
        <v>55.56</v>
      </c>
      <c r="F59" s="69">
        <v>2375</v>
      </c>
      <c r="G59" s="202">
        <f t="shared" si="35"/>
        <v>131955</v>
      </c>
      <c r="H59" s="211" t="s">
        <v>5</v>
      </c>
      <c r="I59" s="207">
        <v>17</v>
      </c>
      <c r="J59" s="58">
        <v>2000</v>
      </c>
      <c r="K59" s="59">
        <f t="shared" si="1"/>
        <v>117.64705882352941</v>
      </c>
      <c r="L59" s="207">
        <v>17</v>
      </c>
      <c r="M59" s="60">
        <f t="shared" si="36"/>
        <v>1925.675675675674</v>
      </c>
      <c r="N59" s="60">
        <f t="shared" si="3"/>
        <v>113.27503974562788</v>
      </c>
      <c r="O59" s="61">
        <f t="shared" si="4"/>
        <v>0</v>
      </c>
      <c r="P59" s="62">
        <f t="shared" si="5"/>
        <v>-4.3720190779015269</v>
      </c>
      <c r="Q59" s="203">
        <f t="shared" si="6"/>
        <v>0.96283783783783705</v>
      </c>
      <c r="R59" s="566"/>
      <c r="S59" s="63">
        <v>0.70833333333333337</v>
      </c>
      <c r="T59" s="63">
        <v>0.7597222222222223</v>
      </c>
      <c r="U59" s="202" t="str">
        <f t="shared" si="38"/>
        <v/>
      </c>
      <c r="V59" s="208">
        <f t="shared" si="37"/>
        <v>74.000000000000057</v>
      </c>
      <c r="W59" s="64"/>
      <c r="X59" s="64"/>
      <c r="Y59" s="199"/>
      <c r="Z59" s="200"/>
      <c r="AA59" s="61">
        <f t="shared" si="8"/>
        <v>-74.324324324325971</v>
      </c>
      <c r="AB59" s="203">
        <f t="shared" si="9"/>
        <v>0.96283783783783705</v>
      </c>
      <c r="AC59" s="566"/>
    </row>
    <row r="60" spans="1:29" ht="15.75" customHeight="1">
      <c r="A60" s="574" t="s">
        <v>816</v>
      </c>
      <c r="B60" s="57" t="s">
        <v>6</v>
      </c>
      <c r="C60" s="204" t="s">
        <v>40</v>
      </c>
      <c r="D60" s="205"/>
      <c r="E60" s="57">
        <v>55.32</v>
      </c>
      <c r="F60" s="69">
        <v>1787</v>
      </c>
      <c r="G60" s="202">
        <f t="shared" si="35"/>
        <v>98856.84</v>
      </c>
      <c r="H60" s="211" t="s">
        <v>5</v>
      </c>
      <c r="I60" s="207">
        <v>15</v>
      </c>
      <c r="J60" s="58">
        <v>2000</v>
      </c>
      <c r="K60" s="59">
        <f t="shared" si="1"/>
        <v>133.33333333333334</v>
      </c>
      <c r="L60" s="207">
        <v>15</v>
      </c>
      <c r="M60" s="60">
        <f t="shared" si="36"/>
        <v>1914.6428571428585</v>
      </c>
      <c r="N60" s="60">
        <f t="shared" si="3"/>
        <v>127.64285714285724</v>
      </c>
      <c r="O60" s="61">
        <f t="shared" si="4"/>
        <v>0</v>
      </c>
      <c r="P60" s="62">
        <f t="shared" si="5"/>
        <v>-5.6904761904761045</v>
      </c>
      <c r="Q60" s="203">
        <f t="shared" si="6"/>
        <v>0.95732142857142921</v>
      </c>
      <c r="R60" s="566"/>
      <c r="S60" s="63">
        <v>0.76388888888888895</v>
      </c>
      <c r="T60" s="63">
        <v>0.80277777777777781</v>
      </c>
      <c r="U60" s="202">
        <f t="shared" si="38"/>
        <v>5.9999999999999787</v>
      </c>
      <c r="V60" s="208">
        <f t="shared" si="37"/>
        <v>55.999999999999957</v>
      </c>
      <c r="W60" s="64"/>
      <c r="X60" s="64"/>
      <c r="Y60" s="199"/>
      <c r="Z60" s="200"/>
      <c r="AA60" s="61">
        <f t="shared" si="8"/>
        <v>-85.357142857141525</v>
      </c>
      <c r="AB60" s="203">
        <f t="shared" si="9"/>
        <v>0.95732142857142921</v>
      </c>
      <c r="AC60" s="566"/>
    </row>
    <row r="61" spans="1:29" ht="15.75" customHeight="1">
      <c r="A61" s="574" t="s">
        <v>819</v>
      </c>
      <c r="B61" s="57" t="s">
        <v>6</v>
      </c>
      <c r="C61" s="204" t="s">
        <v>99</v>
      </c>
      <c r="D61" s="205"/>
      <c r="E61" s="57">
        <v>53.68</v>
      </c>
      <c r="F61" s="69">
        <v>1500</v>
      </c>
      <c r="G61" s="202">
        <f t="shared" si="35"/>
        <v>80520</v>
      </c>
      <c r="H61" s="211">
        <v>2</v>
      </c>
      <c r="I61" s="207">
        <v>16</v>
      </c>
      <c r="J61" s="58">
        <v>1500</v>
      </c>
      <c r="K61" s="59">
        <f t="shared" si="1"/>
        <v>93.75</v>
      </c>
      <c r="L61" s="207">
        <v>16</v>
      </c>
      <c r="M61" s="60">
        <f t="shared" si="36"/>
        <v>1451.6129032258077</v>
      </c>
      <c r="N61" s="60">
        <f t="shared" si="3"/>
        <v>90.725806451612982</v>
      </c>
      <c r="O61" s="61">
        <f t="shared" si="4"/>
        <v>0</v>
      </c>
      <c r="P61" s="62">
        <f t="shared" si="5"/>
        <v>-3.0241935483870179</v>
      </c>
      <c r="Q61" s="203">
        <f t="shared" si="6"/>
        <v>0.96774193548387177</v>
      </c>
      <c r="R61" s="566"/>
      <c r="S61" s="63">
        <v>0.80625000000000002</v>
      </c>
      <c r="T61" s="63">
        <v>0.84930555555555554</v>
      </c>
      <c r="U61" s="202">
        <f t="shared" si="38"/>
        <v>4.9999999999999822</v>
      </c>
      <c r="V61" s="208">
        <f t="shared" si="37"/>
        <v>61.999999999999943</v>
      </c>
      <c r="W61" s="64">
        <f>T61</f>
        <v>0.84930555555555554</v>
      </c>
      <c r="X61" s="64">
        <f>S62</f>
        <v>0.89166666666666661</v>
      </c>
      <c r="Y61" s="199"/>
      <c r="Z61" s="200"/>
      <c r="AA61" s="61">
        <f t="shared" si="8"/>
        <v>-48.387096774192287</v>
      </c>
      <c r="AB61" s="203">
        <f t="shared" si="9"/>
        <v>0.96774193548387177</v>
      </c>
      <c r="AC61" s="566"/>
    </row>
    <row r="62" spans="1:29" ht="15.75" customHeight="1">
      <c r="A62" s="574" t="s">
        <v>820</v>
      </c>
      <c r="B62" s="57" t="s">
        <v>6</v>
      </c>
      <c r="C62" s="567" t="s">
        <v>99</v>
      </c>
      <c r="D62" s="568"/>
      <c r="E62" s="57">
        <v>53.68</v>
      </c>
      <c r="F62" s="69">
        <v>1401</v>
      </c>
      <c r="G62" s="202">
        <f t="shared" si="35"/>
        <v>75205.679999999993</v>
      </c>
      <c r="H62" s="211" t="s">
        <v>5</v>
      </c>
      <c r="I62" s="207">
        <v>16</v>
      </c>
      <c r="J62" s="58">
        <v>1500</v>
      </c>
      <c r="K62" s="59">
        <f t="shared" si="1"/>
        <v>93.75</v>
      </c>
      <c r="L62" s="207">
        <v>16</v>
      </c>
      <c r="M62" s="60">
        <f t="shared" si="36"/>
        <v>1449.3103448275872</v>
      </c>
      <c r="N62" s="60">
        <f t="shared" si="3"/>
        <v>90.581896551724199</v>
      </c>
      <c r="O62" s="61">
        <f t="shared" si="4"/>
        <v>0</v>
      </c>
      <c r="P62" s="62">
        <f t="shared" si="5"/>
        <v>-3.1681034482758008</v>
      </c>
      <c r="Q62" s="203">
        <f t="shared" si="6"/>
        <v>0.96620689655172476</v>
      </c>
      <c r="R62" s="566"/>
      <c r="S62" s="63">
        <v>0.89166666666666661</v>
      </c>
      <c r="T62" s="63">
        <v>0.93194444444444435</v>
      </c>
      <c r="U62" s="202">
        <f t="shared" si="38"/>
        <v>60.999999999999943</v>
      </c>
      <c r="V62" s="208">
        <f t="shared" si="37"/>
        <v>57.999999999999957</v>
      </c>
      <c r="W62" s="64"/>
      <c r="X62" s="64"/>
      <c r="Y62" s="569"/>
      <c r="Z62" s="570"/>
      <c r="AA62" s="61">
        <f t="shared" si="8"/>
        <v>-50.689655172412813</v>
      </c>
      <c r="AB62" s="203">
        <f t="shared" si="9"/>
        <v>0.96620689655172476</v>
      </c>
      <c r="AC62" s="566"/>
    </row>
    <row r="63" spans="1:29">
      <c r="A63" s="575" t="s">
        <v>816</v>
      </c>
      <c r="B63" s="57" t="s">
        <v>821</v>
      </c>
      <c r="C63" s="571"/>
      <c r="D63" s="571"/>
      <c r="E63" s="206"/>
      <c r="F63" s="66"/>
      <c r="G63" s="59"/>
      <c r="H63" s="210"/>
      <c r="I63" s="67">
        <v>16.333333333333332</v>
      </c>
      <c r="J63" s="58">
        <v>1833.3333333333333</v>
      </c>
      <c r="K63" s="59">
        <f t="shared" si="1"/>
        <v>112.24489795918367</v>
      </c>
      <c r="L63" s="67">
        <v>16.333333333333332</v>
      </c>
      <c r="M63" s="60">
        <f>AVERAGE(M57:M62)</f>
        <v>1761.5028747745657</v>
      </c>
      <c r="N63" s="59">
        <f t="shared" si="3"/>
        <v>107.84711478211628</v>
      </c>
      <c r="O63" s="61">
        <f t="shared" si="4"/>
        <v>0</v>
      </c>
      <c r="P63" s="62">
        <f t="shared" si="5"/>
        <v>-4.3977831770673959</v>
      </c>
      <c r="Q63" s="203">
        <f t="shared" si="6"/>
        <v>0.96081974987703589</v>
      </c>
      <c r="R63" s="566"/>
      <c r="S63" s="70"/>
      <c r="T63" s="63"/>
      <c r="U63" s="59"/>
      <c r="V63" s="208"/>
      <c r="W63" s="59"/>
      <c r="X63" s="59"/>
      <c r="Y63" s="559"/>
      <c r="Z63" s="559"/>
      <c r="AA63" s="61">
        <f t="shared" si="8"/>
        <v>-71.830458558767532</v>
      </c>
      <c r="AB63" s="203">
        <f t="shared" si="9"/>
        <v>0.96081974987703589</v>
      </c>
      <c r="AC63" s="566"/>
    </row>
    <row r="64" spans="1:29" ht="15.75" customHeight="1">
      <c r="A64" s="572" t="s">
        <v>822</v>
      </c>
      <c r="B64" s="210" t="s">
        <v>10</v>
      </c>
      <c r="C64" s="560" t="s">
        <v>42</v>
      </c>
      <c r="D64" s="560"/>
      <c r="E64" s="57">
        <v>26.97</v>
      </c>
      <c r="F64" s="69">
        <v>3146</v>
      </c>
      <c r="G64" s="202">
        <f t="shared" ref="G64:G68" si="39">E64*F64</f>
        <v>84847.62</v>
      </c>
      <c r="H64" s="211" t="s">
        <v>5</v>
      </c>
      <c r="I64" s="207">
        <v>8</v>
      </c>
      <c r="J64" s="58">
        <v>1500</v>
      </c>
      <c r="K64" s="59">
        <f t="shared" si="1"/>
        <v>187.5</v>
      </c>
      <c r="L64" s="207">
        <v>8</v>
      </c>
      <c r="M64" s="60">
        <f t="shared" ref="M64:M68" si="40">F64/V64*60</f>
        <v>1429.9999999999993</v>
      </c>
      <c r="N64" s="59">
        <f t="shared" si="3"/>
        <v>178.74999999999991</v>
      </c>
      <c r="O64" s="61">
        <f t="shared" si="4"/>
        <v>0</v>
      </c>
      <c r="P64" s="62">
        <f t="shared" si="5"/>
        <v>-8.7500000000000853</v>
      </c>
      <c r="Q64" s="203">
        <f t="shared" si="6"/>
        <v>0.95333333333333292</v>
      </c>
      <c r="R64" s="566">
        <f>Q69</f>
        <v>0.96542355137946034</v>
      </c>
      <c r="S64" s="63">
        <v>0.20833333333333334</v>
      </c>
      <c r="T64" s="63">
        <v>0.30000000000000004</v>
      </c>
      <c r="U64" s="202"/>
      <c r="V64" s="208">
        <f t="shared" ref="V64:V68" si="41">(T64-S64)*24*60</f>
        <v>132.00000000000006</v>
      </c>
      <c r="W64" s="68"/>
      <c r="X64" s="68"/>
      <c r="Y64" s="559"/>
      <c r="Z64" s="559"/>
      <c r="AA64" s="61">
        <f t="shared" si="8"/>
        <v>-70.000000000000682</v>
      </c>
      <c r="AB64" s="203">
        <f t="shared" si="9"/>
        <v>0.95333333333333292</v>
      </c>
      <c r="AC64" s="566">
        <f>AB69</f>
        <v>0.96542355137946034</v>
      </c>
    </row>
    <row r="65" spans="1:29" ht="15.75" customHeight="1">
      <c r="A65" s="572" t="s">
        <v>170</v>
      </c>
      <c r="B65" s="210" t="s">
        <v>31</v>
      </c>
      <c r="C65" s="560" t="s">
        <v>41</v>
      </c>
      <c r="D65" s="560"/>
      <c r="E65" s="57">
        <v>26.78</v>
      </c>
      <c r="F65" s="69">
        <v>2817</v>
      </c>
      <c r="G65" s="202">
        <f t="shared" si="39"/>
        <v>75439.260000000009</v>
      </c>
      <c r="H65" s="211" t="s">
        <v>5</v>
      </c>
      <c r="I65" s="207">
        <v>10</v>
      </c>
      <c r="J65" s="58">
        <v>3000</v>
      </c>
      <c r="K65" s="59">
        <f t="shared" si="1"/>
        <v>300</v>
      </c>
      <c r="L65" s="207">
        <v>10</v>
      </c>
      <c r="M65" s="60">
        <f t="shared" si="40"/>
        <v>2864.7457627118633</v>
      </c>
      <c r="N65" s="59">
        <f t="shared" si="3"/>
        <v>286.47457627118632</v>
      </c>
      <c r="O65" s="61">
        <f t="shared" si="4"/>
        <v>0</v>
      </c>
      <c r="P65" s="62">
        <f t="shared" si="5"/>
        <v>-13.525423728813678</v>
      </c>
      <c r="Q65" s="203">
        <f t="shared" si="6"/>
        <v>0.95491525423728774</v>
      </c>
      <c r="R65" s="566"/>
      <c r="S65" s="63">
        <v>0.30347222222222225</v>
      </c>
      <c r="T65" s="63">
        <v>0.3444444444444445</v>
      </c>
      <c r="U65" s="202">
        <f t="shared" ref="U65:U68" si="42">(S65-T64)*24*60</f>
        <v>4.9999999999999822</v>
      </c>
      <c r="V65" s="208">
        <f t="shared" si="41"/>
        <v>59.000000000000028</v>
      </c>
      <c r="W65" s="202"/>
      <c r="X65" s="202"/>
      <c r="Y65" s="559"/>
      <c r="Z65" s="559"/>
      <c r="AA65" s="61">
        <f t="shared" si="8"/>
        <v>-135.25423728813666</v>
      </c>
      <c r="AB65" s="203">
        <f t="shared" si="9"/>
        <v>0.95491525423728774</v>
      </c>
      <c r="AC65" s="566"/>
    </row>
    <row r="66" spans="1:29" ht="15.75" customHeight="1">
      <c r="A66" s="572" t="s">
        <v>822</v>
      </c>
      <c r="B66" s="210" t="s">
        <v>31</v>
      </c>
      <c r="C66" s="560" t="s">
        <v>71</v>
      </c>
      <c r="D66" s="560"/>
      <c r="E66" s="57">
        <v>31</v>
      </c>
      <c r="F66" s="69">
        <v>2785</v>
      </c>
      <c r="G66" s="202">
        <f t="shared" si="39"/>
        <v>86335</v>
      </c>
      <c r="H66" s="211" t="s">
        <v>5</v>
      </c>
      <c r="I66" s="207">
        <v>13</v>
      </c>
      <c r="J66" s="58">
        <v>2000</v>
      </c>
      <c r="K66" s="59">
        <f t="shared" si="1"/>
        <v>153.84615384615384</v>
      </c>
      <c r="L66" s="207">
        <v>13</v>
      </c>
      <c r="M66" s="60">
        <f t="shared" si="40"/>
        <v>1920.6896551724137</v>
      </c>
      <c r="N66" s="59">
        <f t="shared" si="3"/>
        <v>147.74535809018568</v>
      </c>
      <c r="O66" s="61">
        <f t="shared" si="4"/>
        <v>0</v>
      </c>
      <c r="P66" s="62">
        <f t="shared" si="5"/>
        <v>-6.1007957559681643</v>
      </c>
      <c r="Q66" s="203">
        <f t="shared" si="6"/>
        <v>0.96034482758620698</v>
      </c>
      <c r="R66" s="566"/>
      <c r="S66" s="63">
        <v>0.35000000000000003</v>
      </c>
      <c r="T66" s="63">
        <v>0.41041666666666671</v>
      </c>
      <c r="U66" s="202">
        <f t="shared" si="42"/>
        <v>7.9999999999999716</v>
      </c>
      <c r="V66" s="208">
        <f t="shared" si="41"/>
        <v>87.000000000000014</v>
      </c>
      <c r="W66" s="202"/>
      <c r="X66" s="202"/>
      <c r="Y66" s="559"/>
      <c r="Z66" s="559"/>
      <c r="AA66" s="61">
        <f t="shared" si="8"/>
        <v>-79.310344827586277</v>
      </c>
      <c r="AB66" s="203">
        <f t="shared" si="9"/>
        <v>0.96034482758620687</v>
      </c>
      <c r="AC66" s="566"/>
    </row>
    <row r="67" spans="1:29" ht="15.75" customHeight="1">
      <c r="A67" s="572" t="s">
        <v>823</v>
      </c>
      <c r="B67" s="210" t="s">
        <v>31</v>
      </c>
      <c r="C67" s="560" t="s">
        <v>63</v>
      </c>
      <c r="D67" s="560"/>
      <c r="E67" s="57">
        <v>34.36</v>
      </c>
      <c r="F67" s="69">
        <v>2186</v>
      </c>
      <c r="G67" s="202">
        <f t="shared" si="39"/>
        <v>75110.959999999992</v>
      </c>
      <c r="H67" s="211" t="s">
        <v>5</v>
      </c>
      <c r="I67" s="207">
        <v>10</v>
      </c>
      <c r="J67" s="58">
        <v>3000</v>
      </c>
      <c r="K67" s="59">
        <f t="shared" si="1"/>
        <v>300</v>
      </c>
      <c r="L67" s="207">
        <v>10</v>
      </c>
      <c r="M67" s="60">
        <f t="shared" si="40"/>
        <v>2914.6666666666665</v>
      </c>
      <c r="N67" s="59">
        <f t="shared" si="3"/>
        <v>291.46666666666664</v>
      </c>
      <c r="O67" s="61">
        <f t="shared" si="4"/>
        <v>0</v>
      </c>
      <c r="P67" s="62">
        <f t="shared" si="5"/>
        <v>-8.5333333333333599</v>
      </c>
      <c r="Q67" s="203">
        <f t="shared" si="6"/>
        <v>0.97155555555555551</v>
      </c>
      <c r="R67" s="566"/>
      <c r="S67" s="63">
        <v>0.4152777777777778</v>
      </c>
      <c r="T67" s="63">
        <v>0.4465277777777778</v>
      </c>
      <c r="U67" s="202">
        <f t="shared" si="42"/>
        <v>6.9999999999999751</v>
      </c>
      <c r="V67" s="208">
        <f t="shared" si="41"/>
        <v>45</v>
      </c>
      <c r="W67" s="202"/>
      <c r="X67" s="202"/>
      <c r="Y67" s="559"/>
      <c r="Z67" s="559"/>
      <c r="AA67" s="61">
        <f t="shared" si="8"/>
        <v>-85.333333333333485</v>
      </c>
      <c r="AB67" s="203">
        <f t="shared" si="9"/>
        <v>0.97155555555555551</v>
      </c>
      <c r="AC67" s="566"/>
    </row>
    <row r="68" spans="1:29">
      <c r="A68" s="573" t="s">
        <v>824</v>
      </c>
      <c r="B68" s="210" t="s">
        <v>31</v>
      </c>
      <c r="C68" s="560" t="s">
        <v>36</v>
      </c>
      <c r="D68" s="560"/>
      <c r="E68" s="57">
        <v>36.14</v>
      </c>
      <c r="F68" s="69">
        <v>1273</v>
      </c>
      <c r="G68" s="202">
        <f t="shared" si="39"/>
        <v>46006.22</v>
      </c>
      <c r="H68" s="211" t="s">
        <v>5</v>
      </c>
      <c r="I68" s="207">
        <v>9</v>
      </c>
      <c r="J68" s="58">
        <v>3000</v>
      </c>
      <c r="K68" s="59">
        <f t="shared" si="1"/>
        <v>333.33333333333331</v>
      </c>
      <c r="L68" s="207">
        <v>9</v>
      </c>
      <c r="M68" s="60">
        <f t="shared" si="40"/>
        <v>2937.6923076923094</v>
      </c>
      <c r="N68" s="59">
        <f t="shared" si="3"/>
        <v>326.41025641025658</v>
      </c>
      <c r="O68" s="61">
        <f t="shared" si="4"/>
        <v>0</v>
      </c>
      <c r="P68" s="62">
        <f t="shared" si="5"/>
        <v>-6.9230769230767351</v>
      </c>
      <c r="Q68" s="203">
        <f t="shared" si="6"/>
        <v>0.97923076923076979</v>
      </c>
      <c r="R68" s="566"/>
      <c r="S68" s="63">
        <v>0.4513888888888889</v>
      </c>
      <c r="T68" s="63">
        <v>0.46944444444444444</v>
      </c>
      <c r="U68" s="202">
        <f t="shared" si="42"/>
        <v>6.9999999999999751</v>
      </c>
      <c r="V68" s="208">
        <f t="shared" si="41"/>
        <v>25.999999999999986</v>
      </c>
      <c r="W68" s="64"/>
      <c r="X68" s="64"/>
      <c r="Y68" s="559"/>
      <c r="Z68" s="559"/>
      <c r="AA68" s="61">
        <f t="shared" si="8"/>
        <v>-62.307692307690559</v>
      </c>
      <c r="AB68" s="203">
        <f t="shared" si="9"/>
        <v>0.97923076923076979</v>
      </c>
      <c r="AC68" s="566"/>
    </row>
    <row r="69" spans="1:29">
      <c r="A69" s="573" t="s">
        <v>825</v>
      </c>
      <c r="B69" s="57" t="s">
        <v>826</v>
      </c>
      <c r="C69" s="571"/>
      <c r="D69" s="571"/>
      <c r="E69" s="206"/>
      <c r="F69" s="66"/>
      <c r="G69" s="59"/>
      <c r="H69" s="210"/>
      <c r="I69" s="67">
        <v>10</v>
      </c>
      <c r="J69" s="58">
        <v>2500</v>
      </c>
      <c r="K69" s="59">
        <f t="shared" ref="K69:K79" si="43">J69/I69</f>
        <v>250</v>
      </c>
      <c r="L69" s="67">
        <v>10</v>
      </c>
      <c r="M69" s="60">
        <f>AVERAGE(M64:M68)</f>
        <v>2413.5588784486508</v>
      </c>
      <c r="N69" s="59">
        <f t="shared" ref="N69:N79" si="44">M69/L69</f>
        <v>241.35588784486509</v>
      </c>
      <c r="O69" s="61">
        <f t="shared" ref="O69:O79" si="45">L69-I69</f>
        <v>0</v>
      </c>
      <c r="P69" s="62">
        <f t="shared" ref="P69:P79" si="46">N69-K69</f>
        <v>-8.6441121551349056</v>
      </c>
      <c r="Q69" s="203">
        <f t="shared" ref="Q69:Q79" si="47">N69/K69</f>
        <v>0.96542355137946034</v>
      </c>
      <c r="R69" s="566"/>
      <c r="S69" s="63"/>
      <c r="T69" s="63"/>
      <c r="U69" s="59"/>
      <c r="V69" s="208"/>
      <c r="W69" s="59"/>
      <c r="X69" s="59"/>
      <c r="Y69" s="559"/>
      <c r="Z69" s="559"/>
      <c r="AA69" s="61">
        <f t="shared" ref="AA69:AA79" si="48">M69-J69</f>
        <v>-86.44112155134917</v>
      </c>
      <c r="AB69" s="203">
        <f t="shared" ref="AB69:AB79" si="49">M69/J69</f>
        <v>0.96542355137946034</v>
      </c>
      <c r="AC69" s="566"/>
    </row>
    <row r="70" spans="1:29" ht="15.75" customHeight="1">
      <c r="A70" s="563" t="s">
        <v>827</v>
      </c>
      <c r="B70" s="210" t="s">
        <v>15</v>
      </c>
      <c r="C70" s="560" t="s">
        <v>43</v>
      </c>
      <c r="D70" s="560"/>
      <c r="E70" s="57">
        <v>20.2</v>
      </c>
      <c r="F70" s="210">
        <v>2555</v>
      </c>
      <c r="G70" s="202">
        <f t="shared" ref="G70:G78" si="50">E70*F70</f>
        <v>51611</v>
      </c>
      <c r="H70" s="211" t="s">
        <v>5</v>
      </c>
      <c r="I70" s="207">
        <v>19</v>
      </c>
      <c r="J70" s="58">
        <v>2400</v>
      </c>
      <c r="K70" s="59">
        <f t="shared" si="43"/>
        <v>126.31578947368421</v>
      </c>
      <c r="L70" s="207">
        <v>19</v>
      </c>
      <c r="M70" s="60">
        <f t="shared" ref="M70:M78" si="51">F70/V70*60</f>
        <v>2288.0597014925379</v>
      </c>
      <c r="N70" s="59">
        <f t="shared" si="44"/>
        <v>120.42419481539673</v>
      </c>
      <c r="O70" s="61">
        <f t="shared" si="45"/>
        <v>0</v>
      </c>
      <c r="P70" s="62">
        <f t="shared" si="46"/>
        <v>-5.8915946582874739</v>
      </c>
      <c r="Q70" s="203">
        <f t="shared" si="47"/>
        <v>0.95335820895522416</v>
      </c>
      <c r="R70" s="566">
        <f>Q79</f>
        <v>0.95597854962974527</v>
      </c>
      <c r="S70" s="63">
        <v>8.3333333333333329E-2</v>
      </c>
      <c r="T70" s="63">
        <v>0.12986111111111109</v>
      </c>
      <c r="U70" s="68"/>
      <c r="V70" s="208">
        <f t="shared" ref="V70:V78" si="52">(T70-S70)*24*60</f>
        <v>66.999999999999972</v>
      </c>
      <c r="W70" s="64">
        <f>T70</f>
        <v>0.12986111111111109</v>
      </c>
      <c r="X70" s="64">
        <f>S71</f>
        <v>0.15069444444444444</v>
      </c>
      <c r="Y70" s="559"/>
      <c r="Z70" s="559"/>
      <c r="AA70" s="61">
        <f t="shared" si="48"/>
        <v>-111.9402985074621</v>
      </c>
      <c r="AB70" s="203">
        <f t="shared" si="49"/>
        <v>0.95335820895522416</v>
      </c>
      <c r="AC70" s="566">
        <f>AB79</f>
        <v>0.95597854962974527</v>
      </c>
    </row>
    <row r="71" spans="1:29" ht="15.75" customHeight="1">
      <c r="A71" s="564" t="s">
        <v>828</v>
      </c>
      <c r="B71" s="210" t="s">
        <v>15</v>
      </c>
      <c r="C71" s="560" t="s">
        <v>16</v>
      </c>
      <c r="D71" s="560"/>
      <c r="E71" s="57">
        <v>24.45</v>
      </c>
      <c r="F71" s="210">
        <v>2840</v>
      </c>
      <c r="G71" s="202">
        <f t="shared" si="50"/>
        <v>69438</v>
      </c>
      <c r="H71" s="211" t="s">
        <v>5</v>
      </c>
      <c r="I71" s="207">
        <v>20</v>
      </c>
      <c r="J71" s="58">
        <v>2400</v>
      </c>
      <c r="K71" s="59">
        <f t="shared" si="43"/>
        <v>120</v>
      </c>
      <c r="L71" s="207">
        <v>20</v>
      </c>
      <c r="M71" s="60">
        <f t="shared" si="51"/>
        <v>2302.7027027027025</v>
      </c>
      <c r="N71" s="59">
        <f t="shared" si="44"/>
        <v>115.13513513513513</v>
      </c>
      <c r="O71" s="61">
        <f t="shared" si="45"/>
        <v>0</v>
      </c>
      <c r="P71" s="62">
        <f t="shared" si="46"/>
        <v>-4.8648648648648702</v>
      </c>
      <c r="Q71" s="203">
        <f t="shared" si="47"/>
        <v>0.95945945945945943</v>
      </c>
      <c r="R71" s="566"/>
      <c r="S71" s="63">
        <v>0.15069444444444444</v>
      </c>
      <c r="T71" s="63">
        <v>0.20208333333333334</v>
      </c>
      <c r="U71" s="202">
        <f t="shared" ref="U71:U78" si="53">(S71-T70)*24*60</f>
        <v>30.000000000000014</v>
      </c>
      <c r="V71" s="208">
        <f t="shared" si="52"/>
        <v>74.000000000000014</v>
      </c>
      <c r="W71" s="64"/>
      <c r="X71" s="64"/>
      <c r="Y71" s="559"/>
      <c r="Z71" s="559"/>
      <c r="AA71" s="61">
        <f t="shared" si="48"/>
        <v>-97.297297297297519</v>
      </c>
      <c r="AB71" s="203">
        <f t="shared" si="49"/>
        <v>0.95945945945945932</v>
      </c>
      <c r="AC71" s="566"/>
    </row>
    <row r="72" spans="1:29" ht="15.75" customHeight="1">
      <c r="A72" s="564" t="s">
        <v>829</v>
      </c>
      <c r="B72" s="210" t="s">
        <v>15</v>
      </c>
      <c r="C72" s="560" t="s">
        <v>101</v>
      </c>
      <c r="D72" s="560"/>
      <c r="E72" s="57">
        <v>22.69</v>
      </c>
      <c r="F72" s="210">
        <v>2622</v>
      </c>
      <c r="G72" s="202">
        <f t="shared" si="50"/>
        <v>59493.18</v>
      </c>
      <c r="H72" s="211" t="s">
        <v>5</v>
      </c>
      <c r="I72" s="207">
        <v>15</v>
      </c>
      <c r="J72" s="58">
        <v>2400</v>
      </c>
      <c r="K72" s="59">
        <f t="shared" si="43"/>
        <v>160</v>
      </c>
      <c r="L72" s="207">
        <v>15</v>
      </c>
      <c r="M72" s="60">
        <f t="shared" si="51"/>
        <v>2313.5294117647063</v>
      </c>
      <c r="N72" s="59">
        <f t="shared" si="44"/>
        <v>154.2352941176471</v>
      </c>
      <c r="O72" s="61">
        <f t="shared" si="45"/>
        <v>0</v>
      </c>
      <c r="P72" s="62">
        <f t="shared" si="46"/>
        <v>-5.7647058823528994</v>
      </c>
      <c r="Q72" s="203">
        <f t="shared" si="47"/>
        <v>0.96397058823529436</v>
      </c>
      <c r="R72" s="566"/>
      <c r="S72" s="63">
        <v>0.20555555555555555</v>
      </c>
      <c r="T72" s="63">
        <v>0.25277777777777777</v>
      </c>
      <c r="U72" s="202">
        <f t="shared" si="53"/>
        <v>4.9999999999999822</v>
      </c>
      <c r="V72" s="208">
        <f t="shared" si="52"/>
        <v>68</v>
      </c>
      <c r="W72" s="64"/>
      <c r="X72" s="64"/>
      <c r="Y72" s="559"/>
      <c r="Z72" s="559"/>
      <c r="AA72" s="61">
        <f t="shared" si="48"/>
        <v>-86.47058823529369</v>
      </c>
      <c r="AB72" s="203">
        <f t="shared" si="49"/>
        <v>0.96397058823529425</v>
      </c>
      <c r="AC72" s="566"/>
    </row>
    <row r="73" spans="1:29" ht="15.75" customHeight="1">
      <c r="A73" s="564" t="s">
        <v>829</v>
      </c>
      <c r="B73" s="210" t="s">
        <v>15</v>
      </c>
      <c r="C73" s="560" t="s">
        <v>17</v>
      </c>
      <c r="D73" s="560"/>
      <c r="E73" s="57">
        <v>22.35</v>
      </c>
      <c r="F73" s="210">
        <v>2171</v>
      </c>
      <c r="G73" s="202">
        <f t="shared" si="50"/>
        <v>48521.850000000006</v>
      </c>
      <c r="H73" s="211" t="s">
        <v>5</v>
      </c>
      <c r="I73" s="207">
        <v>16</v>
      </c>
      <c r="J73" s="58">
        <v>2400</v>
      </c>
      <c r="K73" s="59">
        <f t="shared" si="43"/>
        <v>150</v>
      </c>
      <c r="L73" s="207">
        <v>16</v>
      </c>
      <c r="M73" s="60">
        <f t="shared" si="51"/>
        <v>2285.2631578947385</v>
      </c>
      <c r="N73" s="59">
        <f t="shared" si="44"/>
        <v>142.82894736842115</v>
      </c>
      <c r="O73" s="61">
        <f t="shared" si="45"/>
        <v>0</v>
      </c>
      <c r="P73" s="62">
        <f t="shared" si="46"/>
        <v>-7.1710526315788456</v>
      </c>
      <c r="Q73" s="203">
        <f t="shared" si="47"/>
        <v>0.95219298245614103</v>
      </c>
      <c r="R73" s="566"/>
      <c r="S73" s="63">
        <v>0.25694444444444442</v>
      </c>
      <c r="T73" s="63">
        <v>0.29652777777777772</v>
      </c>
      <c r="U73" s="202">
        <f t="shared" si="53"/>
        <v>5.9999999999999787</v>
      </c>
      <c r="V73" s="208">
        <f t="shared" si="52"/>
        <v>56.999999999999957</v>
      </c>
      <c r="W73" s="64"/>
      <c r="X73" s="64"/>
      <c r="Y73" s="559"/>
      <c r="Z73" s="559"/>
      <c r="AA73" s="61">
        <f t="shared" si="48"/>
        <v>-114.73684210526153</v>
      </c>
      <c r="AB73" s="203">
        <f t="shared" si="49"/>
        <v>0.95219298245614103</v>
      </c>
      <c r="AC73" s="566"/>
    </row>
    <row r="74" spans="1:29" ht="15.75" customHeight="1">
      <c r="A74" s="564" t="s">
        <v>830</v>
      </c>
      <c r="B74" s="210" t="s">
        <v>15</v>
      </c>
      <c r="C74" s="560" t="s">
        <v>24</v>
      </c>
      <c r="D74" s="560"/>
      <c r="E74" s="57">
        <v>20.52</v>
      </c>
      <c r="F74" s="210">
        <v>3680</v>
      </c>
      <c r="G74" s="202">
        <f t="shared" si="50"/>
        <v>75513.599999999991</v>
      </c>
      <c r="H74" s="211" t="s">
        <v>5</v>
      </c>
      <c r="I74" s="207">
        <v>18</v>
      </c>
      <c r="J74" s="58">
        <v>2400</v>
      </c>
      <c r="K74" s="59">
        <f t="shared" si="43"/>
        <v>133.33333333333334</v>
      </c>
      <c r="L74" s="207">
        <v>18</v>
      </c>
      <c r="M74" s="60">
        <f t="shared" si="51"/>
        <v>2300.0000000000005</v>
      </c>
      <c r="N74" s="59">
        <f t="shared" si="44"/>
        <v>127.7777777777778</v>
      </c>
      <c r="O74" s="61">
        <f t="shared" si="45"/>
        <v>0</v>
      </c>
      <c r="P74" s="62">
        <f t="shared" si="46"/>
        <v>-5.5555555555555429</v>
      </c>
      <c r="Q74" s="203">
        <f t="shared" si="47"/>
        <v>0.95833333333333348</v>
      </c>
      <c r="R74" s="566"/>
      <c r="S74" s="63">
        <v>0.30138888888888882</v>
      </c>
      <c r="T74" s="63">
        <v>0.36805555555555547</v>
      </c>
      <c r="U74" s="202">
        <f t="shared" si="53"/>
        <v>6.9999999999999751</v>
      </c>
      <c r="V74" s="208">
        <f t="shared" si="52"/>
        <v>95.999999999999972</v>
      </c>
      <c r="W74" s="64"/>
      <c r="X74" s="64"/>
      <c r="Y74" s="559"/>
      <c r="Z74" s="559"/>
      <c r="AA74" s="61">
        <f t="shared" si="48"/>
        <v>-99.999999999999545</v>
      </c>
      <c r="AB74" s="203">
        <f t="shared" si="49"/>
        <v>0.95833333333333348</v>
      </c>
      <c r="AC74" s="566"/>
    </row>
    <row r="75" spans="1:29" ht="15.75" customHeight="1">
      <c r="A75" s="564" t="s">
        <v>171</v>
      </c>
      <c r="B75" s="210" t="s">
        <v>15</v>
      </c>
      <c r="C75" s="560" t="s">
        <v>100</v>
      </c>
      <c r="D75" s="560"/>
      <c r="E75" s="57">
        <v>28.51</v>
      </c>
      <c r="F75" s="210">
        <v>1840</v>
      </c>
      <c r="G75" s="202">
        <f t="shared" si="50"/>
        <v>52458.400000000001</v>
      </c>
      <c r="H75" s="211" t="s">
        <v>5</v>
      </c>
      <c r="I75" s="207">
        <v>16</v>
      </c>
      <c r="J75" s="58">
        <v>2400</v>
      </c>
      <c r="K75" s="59">
        <f t="shared" si="43"/>
        <v>150</v>
      </c>
      <c r="L75" s="207">
        <v>16</v>
      </c>
      <c r="M75" s="60">
        <f t="shared" si="51"/>
        <v>2300.0000000000005</v>
      </c>
      <c r="N75" s="59">
        <f t="shared" si="44"/>
        <v>143.75000000000003</v>
      </c>
      <c r="O75" s="61">
        <f t="shared" si="45"/>
        <v>0</v>
      </c>
      <c r="P75" s="62">
        <f t="shared" si="46"/>
        <v>-6.2499999999999716</v>
      </c>
      <c r="Q75" s="203">
        <f t="shared" si="47"/>
        <v>0.95833333333333348</v>
      </c>
      <c r="R75" s="566"/>
      <c r="S75" s="63">
        <v>0.37222222222222212</v>
      </c>
      <c r="T75" s="63">
        <v>0.40555555555555545</v>
      </c>
      <c r="U75" s="202">
        <f t="shared" si="53"/>
        <v>5.9999999999999787</v>
      </c>
      <c r="V75" s="208">
        <f t="shared" si="52"/>
        <v>47.999999999999986</v>
      </c>
      <c r="W75" s="64"/>
      <c r="X75" s="64"/>
      <c r="Y75" s="559"/>
      <c r="Z75" s="559"/>
      <c r="AA75" s="61">
        <f t="shared" si="48"/>
        <v>-99.999999999999545</v>
      </c>
      <c r="AB75" s="203">
        <f t="shared" si="49"/>
        <v>0.95833333333333348</v>
      </c>
      <c r="AC75" s="566"/>
    </row>
    <row r="76" spans="1:29" ht="15.75" customHeight="1">
      <c r="A76" s="564" t="s">
        <v>831</v>
      </c>
      <c r="B76" s="210" t="s">
        <v>15</v>
      </c>
      <c r="C76" s="560" t="s">
        <v>70</v>
      </c>
      <c r="D76" s="560"/>
      <c r="E76" s="57">
        <v>25.99</v>
      </c>
      <c r="F76" s="210">
        <v>2900</v>
      </c>
      <c r="G76" s="202">
        <f t="shared" si="50"/>
        <v>75371</v>
      </c>
      <c r="H76" s="211">
        <v>2</v>
      </c>
      <c r="I76" s="207">
        <v>14</v>
      </c>
      <c r="J76" s="58">
        <v>2400</v>
      </c>
      <c r="K76" s="59">
        <f t="shared" si="43"/>
        <v>171.42857142857142</v>
      </c>
      <c r="L76" s="207">
        <v>14</v>
      </c>
      <c r="M76" s="60">
        <f t="shared" si="51"/>
        <v>2289.4736842105272</v>
      </c>
      <c r="N76" s="59">
        <f t="shared" si="44"/>
        <v>163.53383458646621</v>
      </c>
      <c r="O76" s="61">
        <f t="shared" si="45"/>
        <v>0</v>
      </c>
      <c r="P76" s="62">
        <f t="shared" si="46"/>
        <v>-7.8947368421052033</v>
      </c>
      <c r="Q76" s="203">
        <f t="shared" si="47"/>
        <v>0.95394736842105299</v>
      </c>
      <c r="R76" s="566"/>
      <c r="S76" s="63">
        <v>0.41041666666666654</v>
      </c>
      <c r="T76" s="63">
        <v>0.4631944444444443</v>
      </c>
      <c r="U76" s="202">
        <f t="shared" si="53"/>
        <v>6.9999999999999751</v>
      </c>
      <c r="V76" s="208">
        <f t="shared" si="52"/>
        <v>75.999999999999972</v>
      </c>
      <c r="W76" s="64"/>
      <c r="X76" s="64"/>
      <c r="Y76" s="569"/>
      <c r="Z76" s="570"/>
      <c r="AA76" s="61">
        <f t="shared" si="48"/>
        <v>-110.52631578947285</v>
      </c>
      <c r="AB76" s="203">
        <f t="shared" si="49"/>
        <v>0.95394736842105299</v>
      </c>
      <c r="AC76" s="566"/>
    </row>
    <row r="77" spans="1:29" ht="15.75" customHeight="1">
      <c r="A77" s="564" t="s">
        <v>832</v>
      </c>
      <c r="B77" s="210" t="s">
        <v>15</v>
      </c>
      <c r="C77" s="560" t="s">
        <v>44</v>
      </c>
      <c r="D77" s="560"/>
      <c r="E77" s="57">
        <v>19.02</v>
      </c>
      <c r="F77" s="210">
        <v>10940</v>
      </c>
      <c r="G77" s="202">
        <f t="shared" si="50"/>
        <v>208078.8</v>
      </c>
      <c r="H77" s="211" t="s">
        <v>5</v>
      </c>
      <c r="I77" s="207">
        <v>15</v>
      </c>
      <c r="J77" s="58">
        <v>2400</v>
      </c>
      <c r="K77" s="59">
        <f t="shared" si="43"/>
        <v>160</v>
      </c>
      <c r="L77" s="207">
        <v>15</v>
      </c>
      <c r="M77" s="60">
        <f t="shared" si="51"/>
        <v>2287.1080139372821</v>
      </c>
      <c r="N77" s="59">
        <f t="shared" si="44"/>
        <v>152.4738675958188</v>
      </c>
      <c r="O77" s="61">
        <f t="shared" si="45"/>
        <v>0</v>
      </c>
      <c r="P77" s="62">
        <f t="shared" si="46"/>
        <v>-7.5261324041811974</v>
      </c>
      <c r="Q77" s="203">
        <f t="shared" si="47"/>
        <v>0.95296167247386754</v>
      </c>
      <c r="R77" s="566"/>
      <c r="S77" s="63">
        <v>0.46805555555555539</v>
      </c>
      <c r="T77" s="63">
        <v>0.66736111111111096</v>
      </c>
      <c r="U77" s="202">
        <f t="shared" si="53"/>
        <v>6.9999999999999751</v>
      </c>
      <c r="V77" s="208">
        <f t="shared" si="52"/>
        <v>287</v>
      </c>
      <c r="W77" s="64"/>
      <c r="X77" s="64"/>
      <c r="Y77" s="569"/>
      <c r="Z77" s="570"/>
      <c r="AA77" s="61">
        <f t="shared" si="48"/>
        <v>-112.89198606271793</v>
      </c>
      <c r="AB77" s="203">
        <f t="shared" si="49"/>
        <v>0.95296167247386754</v>
      </c>
      <c r="AC77" s="566"/>
    </row>
    <row r="78" spans="1:29" ht="15.75" customHeight="1">
      <c r="A78" s="564" t="s">
        <v>833</v>
      </c>
      <c r="B78" s="210" t="s">
        <v>15</v>
      </c>
      <c r="C78" s="560" t="s">
        <v>70</v>
      </c>
      <c r="D78" s="560"/>
      <c r="E78" s="57">
        <v>25.99</v>
      </c>
      <c r="F78" s="210">
        <v>2283</v>
      </c>
      <c r="G78" s="202">
        <f t="shared" si="50"/>
        <v>59335.17</v>
      </c>
      <c r="H78" s="211" t="s">
        <v>5</v>
      </c>
      <c r="I78" s="207">
        <v>14</v>
      </c>
      <c r="J78" s="58">
        <v>2400</v>
      </c>
      <c r="K78" s="59">
        <f t="shared" si="43"/>
        <v>171.42857142857142</v>
      </c>
      <c r="L78" s="207">
        <v>14</v>
      </c>
      <c r="M78" s="60">
        <f t="shared" si="51"/>
        <v>2283.0000000000018</v>
      </c>
      <c r="N78" s="59">
        <f t="shared" si="44"/>
        <v>163.0714285714287</v>
      </c>
      <c r="O78" s="61">
        <f t="shared" si="45"/>
        <v>0</v>
      </c>
      <c r="P78" s="62">
        <f t="shared" si="46"/>
        <v>-8.3571428571427191</v>
      </c>
      <c r="Q78" s="203">
        <f t="shared" si="47"/>
        <v>0.95125000000000082</v>
      </c>
      <c r="R78" s="566"/>
      <c r="S78" s="63">
        <v>0.67152777777777761</v>
      </c>
      <c r="T78" s="63">
        <v>0.71319444444444424</v>
      </c>
      <c r="U78" s="202">
        <f t="shared" si="53"/>
        <v>5.9999999999999787</v>
      </c>
      <c r="V78" s="208">
        <f t="shared" si="52"/>
        <v>59.999999999999943</v>
      </c>
      <c r="W78" s="64"/>
      <c r="X78" s="64"/>
      <c r="Y78" s="569"/>
      <c r="Z78" s="570"/>
      <c r="AA78" s="61">
        <f t="shared" si="48"/>
        <v>-116.99999999999818</v>
      </c>
      <c r="AB78" s="203">
        <f t="shared" si="49"/>
        <v>0.95125000000000071</v>
      </c>
      <c r="AC78" s="566"/>
    </row>
    <row r="79" spans="1:29" ht="16.5" customHeight="1">
      <c r="A79" s="565" t="s">
        <v>834</v>
      </c>
      <c r="B79" s="57" t="s">
        <v>835</v>
      </c>
      <c r="C79" s="561"/>
      <c r="D79" s="562"/>
      <c r="E79" s="206"/>
      <c r="F79" s="66"/>
      <c r="G79" s="59"/>
      <c r="H79" s="210"/>
      <c r="I79" s="67">
        <v>16.333333333333332</v>
      </c>
      <c r="J79" s="58">
        <v>2400</v>
      </c>
      <c r="K79" s="59">
        <f t="shared" si="43"/>
        <v>146.9387755102041</v>
      </c>
      <c r="L79" s="67">
        <v>16.333333333333332</v>
      </c>
      <c r="M79" s="60">
        <f>AVERAGE(M70:M78)</f>
        <v>2294.3485191113887</v>
      </c>
      <c r="N79" s="59">
        <f t="shared" si="44"/>
        <v>140.47031749661565</v>
      </c>
      <c r="O79" s="61">
        <f t="shared" si="45"/>
        <v>0</v>
      </c>
      <c r="P79" s="62">
        <f t="shared" si="46"/>
        <v>-6.468458013588446</v>
      </c>
      <c r="Q79" s="203">
        <f t="shared" si="47"/>
        <v>0.95597854962974527</v>
      </c>
      <c r="R79" s="566"/>
      <c r="S79" s="63"/>
      <c r="T79" s="63"/>
      <c r="U79" s="59"/>
      <c r="V79" s="208"/>
      <c r="W79" s="59"/>
      <c r="X79" s="59"/>
      <c r="Y79" s="559"/>
      <c r="Z79" s="559"/>
      <c r="AA79" s="61">
        <f t="shared" si="48"/>
        <v>-105.65148088861133</v>
      </c>
      <c r="AB79" s="203">
        <f t="shared" si="49"/>
        <v>0.95597854962974527</v>
      </c>
      <c r="AC79" s="566"/>
    </row>
    <row r="80" spans="1:29">
      <c r="D80" s="122"/>
      <c r="E80" s="122"/>
    </row>
  </sheetData>
  <mergeCells count="206">
    <mergeCell ref="AC70:AC79"/>
    <mergeCell ref="C71:D71"/>
    <mergeCell ref="Y71:Z71"/>
    <mergeCell ref="C72:D72"/>
    <mergeCell ref="Y72:Z72"/>
    <mergeCell ref="C73:D73"/>
    <mergeCell ref="Y73:Z73"/>
    <mergeCell ref="C74:D74"/>
    <mergeCell ref="Y74:Z74"/>
    <mergeCell ref="C75:D75"/>
    <mergeCell ref="A70:A79"/>
    <mergeCell ref="C70:D70"/>
    <mergeCell ref="R70:R79"/>
    <mergeCell ref="Y70:Z70"/>
    <mergeCell ref="Y75:Z75"/>
    <mergeCell ref="A64:A69"/>
    <mergeCell ref="C64:D64"/>
    <mergeCell ref="R64:R69"/>
    <mergeCell ref="Y64:Z64"/>
    <mergeCell ref="C79:D79"/>
    <mergeCell ref="Y79:Z79"/>
    <mergeCell ref="C76:D76"/>
    <mergeCell ref="Y76:Z76"/>
    <mergeCell ref="C77:D77"/>
    <mergeCell ref="Y77:Z77"/>
    <mergeCell ref="C78:D78"/>
    <mergeCell ref="Y78:Z78"/>
    <mergeCell ref="A57:A63"/>
    <mergeCell ref="C57:D57"/>
    <mergeCell ref="R57:R63"/>
    <mergeCell ref="Y57:Z57"/>
    <mergeCell ref="AC64:AC69"/>
    <mergeCell ref="C65:D65"/>
    <mergeCell ref="Y65:Z65"/>
    <mergeCell ref="C66:D66"/>
    <mergeCell ref="Y66:Z66"/>
    <mergeCell ref="C67:D67"/>
    <mergeCell ref="AC57:AC63"/>
    <mergeCell ref="C58:D58"/>
    <mergeCell ref="Y58:Z58"/>
    <mergeCell ref="C59:D59"/>
    <mergeCell ref="C62:D62"/>
    <mergeCell ref="Y62:Z62"/>
    <mergeCell ref="C63:D63"/>
    <mergeCell ref="Y63:Z63"/>
    <mergeCell ref="Y67:Z67"/>
    <mergeCell ref="C68:D68"/>
    <mergeCell ref="Y68:Z68"/>
    <mergeCell ref="C69:D69"/>
    <mergeCell ref="Y69:Z69"/>
    <mergeCell ref="A48:A56"/>
    <mergeCell ref="C48:D48"/>
    <mergeCell ref="R48:R56"/>
    <mergeCell ref="Y48:Z48"/>
    <mergeCell ref="Y53:Z53"/>
    <mergeCell ref="C54:D54"/>
    <mergeCell ref="AC48:AC56"/>
    <mergeCell ref="C49:D49"/>
    <mergeCell ref="Y49:Z49"/>
    <mergeCell ref="C50:D50"/>
    <mergeCell ref="Y50:Z50"/>
    <mergeCell ref="C51:D51"/>
    <mergeCell ref="Y51:Z51"/>
    <mergeCell ref="C52:D52"/>
    <mergeCell ref="Y52:Z52"/>
    <mergeCell ref="C53:D53"/>
    <mergeCell ref="Y54:Z54"/>
    <mergeCell ref="C55:D55"/>
    <mergeCell ref="Y55:Z55"/>
    <mergeCell ref="C56:D56"/>
    <mergeCell ref="Y56:Z56"/>
    <mergeCell ref="A39:A47"/>
    <mergeCell ref="C39:D39"/>
    <mergeCell ref="R39:R47"/>
    <mergeCell ref="Y39:Z39"/>
    <mergeCell ref="Y44:Z44"/>
    <mergeCell ref="C45:D45"/>
    <mergeCell ref="Y45:Z45"/>
    <mergeCell ref="AC39:AC47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46:D46"/>
    <mergeCell ref="Y46:Z46"/>
    <mergeCell ref="C47:D47"/>
    <mergeCell ref="Y47:Z47"/>
    <mergeCell ref="A30:A38"/>
    <mergeCell ref="C30:D30"/>
    <mergeCell ref="R30:R38"/>
    <mergeCell ref="Y30:Z30"/>
    <mergeCell ref="Y35:Z35"/>
    <mergeCell ref="C36:D36"/>
    <mergeCell ref="Y36:Z36"/>
    <mergeCell ref="C37:D37"/>
    <mergeCell ref="AC30:AC38"/>
    <mergeCell ref="C31:D31"/>
    <mergeCell ref="Y31:Z31"/>
    <mergeCell ref="C32:D32"/>
    <mergeCell ref="Y32:Z32"/>
    <mergeCell ref="C33:D33"/>
    <mergeCell ref="Y33:Z33"/>
    <mergeCell ref="C34:D34"/>
    <mergeCell ref="Y34:Z34"/>
    <mergeCell ref="C35:D35"/>
    <mergeCell ref="Y37:Z37"/>
    <mergeCell ref="C38:D38"/>
    <mergeCell ref="Y38:Z38"/>
    <mergeCell ref="AC22:AC29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29:D29"/>
    <mergeCell ref="Y29:Z29"/>
    <mergeCell ref="A22:A29"/>
    <mergeCell ref="C22:D22"/>
    <mergeCell ref="R22:R29"/>
    <mergeCell ref="Y22:Z22"/>
    <mergeCell ref="Y27:Z27"/>
    <mergeCell ref="C28:D28"/>
    <mergeCell ref="Y28:Z28"/>
    <mergeCell ref="A17:A21"/>
    <mergeCell ref="C17:D17"/>
    <mergeCell ref="R17:R21"/>
    <mergeCell ref="Y17:Z17"/>
    <mergeCell ref="A3:A4"/>
    <mergeCell ref="B3:B4"/>
    <mergeCell ref="C3:D4"/>
    <mergeCell ref="E3:E4"/>
    <mergeCell ref="F3:F4"/>
    <mergeCell ref="G3:G4"/>
    <mergeCell ref="A5:A12"/>
    <mergeCell ref="C5:D5"/>
    <mergeCell ref="AC17:AC21"/>
    <mergeCell ref="C18:D18"/>
    <mergeCell ref="Y18:Z18"/>
    <mergeCell ref="C19:D19"/>
    <mergeCell ref="Y19:Z19"/>
    <mergeCell ref="C20:D20"/>
    <mergeCell ref="AC13:AC16"/>
    <mergeCell ref="C14:D14"/>
    <mergeCell ref="Y14:Z14"/>
    <mergeCell ref="C15:D15"/>
    <mergeCell ref="Y15:Z15"/>
    <mergeCell ref="C16:D16"/>
    <mergeCell ref="Y16:Z16"/>
    <mergeCell ref="Y20:Z20"/>
    <mergeCell ref="C21:D21"/>
    <mergeCell ref="Y21:Z21"/>
    <mergeCell ref="A13:A16"/>
    <mergeCell ref="C13:D13"/>
    <mergeCell ref="R13:R16"/>
    <mergeCell ref="Y13:Z13"/>
    <mergeCell ref="C8:D8"/>
    <mergeCell ref="Y8:Z8"/>
    <mergeCell ref="C9:D9"/>
    <mergeCell ref="Y9:Z9"/>
    <mergeCell ref="C10:D10"/>
    <mergeCell ref="Y10:Z10"/>
    <mergeCell ref="C11:D11"/>
    <mergeCell ref="Y11:Z11"/>
    <mergeCell ref="AC5:AC12"/>
    <mergeCell ref="C6:D6"/>
    <mergeCell ref="Y6:Z6"/>
    <mergeCell ref="C7:D7"/>
    <mergeCell ref="Y7:Z7"/>
    <mergeCell ref="R5:R12"/>
    <mergeCell ref="Y5:Z5"/>
    <mergeCell ref="C12:D12"/>
    <mergeCell ref="Y12:Z12"/>
    <mergeCell ref="H3:H4"/>
    <mergeCell ref="I3:I4"/>
    <mergeCell ref="W3:X3"/>
    <mergeCell ref="Y3:Z4"/>
    <mergeCell ref="N3:N4"/>
    <mergeCell ref="O3:O4"/>
    <mergeCell ref="Q3:Q4"/>
    <mergeCell ref="R3:R4"/>
    <mergeCell ref="S3:T3"/>
    <mergeCell ref="U3:U4"/>
    <mergeCell ref="V3:V4"/>
    <mergeCell ref="AA1:AC2"/>
    <mergeCell ref="J3:J4"/>
    <mergeCell ref="K3:K4"/>
    <mergeCell ref="L3:L4"/>
    <mergeCell ref="M3:M4"/>
    <mergeCell ref="P3:P4"/>
    <mergeCell ref="I1:K2"/>
    <mergeCell ref="L1:N2"/>
    <mergeCell ref="O1:R2"/>
    <mergeCell ref="S1:X2"/>
    <mergeCell ref="Y1:Z2"/>
    <mergeCell ref="AC3:AC4"/>
    <mergeCell ref="AA3:AA4"/>
    <mergeCell ref="AB3:AB4"/>
  </mergeCells>
  <phoneticPr fontId="3" type="noConversion"/>
  <conditionalFormatting sqref="O67:O75 O79 O5:O13 O16:O18 O56:O64 O21:O53">
    <cfRule type="cellIs" dxfId="664" priority="60" operator="greaterThan">
      <formula>0</formula>
    </cfRule>
  </conditionalFormatting>
  <conditionalFormatting sqref="P5:P11 P67:P68 AA67:AA68 P70:P75 P30:P37 P64 P13 P16:P18 P22:P28 P57:P62 P39:P53 AA5:AA64 AA70:AA79">
    <cfRule type="cellIs" dxfId="663" priority="64" operator="lessThan">
      <formula>0</formula>
    </cfRule>
  </conditionalFormatting>
  <conditionalFormatting sqref="AB67:AB68 Q67:Q75 Q79 Q5:Q13 Q16:Q18 Q56:Q64 Q21:Q53 AB5:AB64 AB70:AB79">
    <cfRule type="cellIs" dxfId="662" priority="61" operator="greaterThan">
      <formula>1</formula>
    </cfRule>
    <cfRule type="cellIs" dxfId="661" priority="62" operator="lessThan">
      <formula>0.8</formula>
    </cfRule>
  </conditionalFormatting>
  <conditionalFormatting sqref="AC17:AC18 R17:R18 AC67 R67:R75 R21:R27 AC21:AC27 R79 AC5:AC13 R5:R13 R29:R53 AC29:AC53 AC56:AC64 R56:R64">
    <cfRule type="cellIs" dxfId="660" priority="66" operator="lessThan">
      <formula>0.8</formula>
    </cfRule>
  </conditionalFormatting>
  <conditionalFormatting sqref="AC48">
    <cfRule type="cellIs" dxfId="659" priority="68" operator="lessThan">
      <formula>0.8</formula>
    </cfRule>
  </conditionalFormatting>
  <conditionalFormatting sqref="AC22:AC27">
    <cfRule type="cellIs" dxfId="658" priority="65" operator="lessThan">
      <formula>0.8</formula>
    </cfRule>
  </conditionalFormatting>
  <conditionalFormatting sqref="AC30">
    <cfRule type="cellIs" dxfId="657" priority="67" operator="lessThan">
      <formula>0.8</formula>
    </cfRule>
  </conditionalFormatting>
  <conditionalFormatting sqref="AC39:AC46">
    <cfRule type="cellIs" dxfId="656" priority="63" operator="lessThan">
      <formula>0.8</formula>
    </cfRule>
  </conditionalFormatting>
  <conditionalFormatting sqref="AA69">
    <cfRule type="cellIs" dxfId="655" priority="59" operator="lessThan">
      <formula>0</formula>
    </cfRule>
  </conditionalFormatting>
  <conditionalFormatting sqref="AB69">
    <cfRule type="cellIs" dxfId="654" priority="57" operator="greaterThan">
      <formula>1</formula>
    </cfRule>
    <cfRule type="cellIs" dxfId="653" priority="58" operator="lessThan">
      <formula>0.8</formula>
    </cfRule>
  </conditionalFormatting>
  <conditionalFormatting sqref="O19:O20">
    <cfRule type="cellIs" dxfId="652" priority="52" operator="greaterThan">
      <formula>0</formula>
    </cfRule>
  </conditionalFormatting>
  <conditionalFormatting sqref="P19:P20">
    <cfRule type="cellIs" dxfId="651" priority="55" operator="lessThan">
      <formula>0</formula>
    </cfRule>
  </conditionalFormatting>
  <conditionalFormatting sqref="Q19:Q20">
    <cfRule type="cellIs" dxfId="650" priority="53" operator="greaterThan">
      <formula>1</formula>
    </cfRule>
    <cfRule type="cellIs" dxfId="649" priority="54" operator="lessThan">
      <formula>0.8</formula>
    </cfRule>
  </conditionalFormatting>
  <conditionalFormatting sqref="R19:R20 AC19:AC20">
    <cfRule type="cellIs" dxfId="648" priority="56" operator="lessThan">
      <formula>0.8</formula>
    </cfRule>
  </conditionalFormatting>
  <conditionalFormatting sqref="O14:O15">
    <cfRule type="cellIs" dxfId="647" priority="48" operator="greaterThan">
      <formula>0</formula>
    </cfRule>
  </conditionalFormatting>
  <conditionalFormatting sqref="P14:P15">
    <cfRule type="cellIs" dxfId="646" priority="51" operator="lessThan">
      <formula>0</formula>
    </cfRule>
  </conditionalFormatting>
  <conditionalFormatting sqref="Q14:Q15">
    <cfRule type="cellIs" dxfId="645" priority="49" operator="greaterThan">
      <formula>1</formula>
    </cfRule>
    <cfRule type="cellIs" dxfId="644" priority="50" operator="lessThan">
      <formula>0.8</formula>
    </cfRule>
  </conditionalFormatting>
  <conditionalFormatting sqref="O66">
    <cfRule type="cellIs" dxfId="643" priority="43" operator="greaterThan">
      <formula>0</formula>
    </cfRule>
  </conditionalFormatting>
  <conditionalFormatting sqref="P66 AA66">
    <cfRule type="cellIs" dxfId="642" priority="46" operator="lessThan">
      <formula>0</formula>
    </cfRule>
  </conditionalFormatting>
  <conditionalFormatting sqref="Q66 AB66">
    <cfRule type="cellIs" dxfId="641" priority="44" operator="greaterThan">
      <formula>1</formula>
    </cfRule>
    <cfRule type="cellIs" dxfId="640" priority="45" operator="lessThan">
      <formula>0.8</formula>
    </cfRule>
  </conditionalFormatting>
  <conditionalFormatting sqref="R66 AC66">
    <cfRule type="cellIs" dxfId="639" priority="47" operator="lessThan">
      <formula>0.8</formula>
    </cfRule>
  </conditionalFormatting>
  <conditionalFormatting sqref="O76">
    <cfRule type="cellIs" dxfId="638" priority="38" operator="greaterThan">
      <formula>0</formula>
    </cfRule>
  </conditionalFormatting>
  <conditionalFormatting sqref="P76">
    <cfRule type="cellIs" dxfId="637" priority="41" operator="lessThan">
      <formula>0</formula>
    </cfRule>
  </conditionalFormatting>
  <conditionalFormatting sqref="Q76">
    <cfRule type="cellIs" dxfId="636" priority="39" operator="greaterThan">
      <formula>1</formula>
    </cfRule>
    <cfRule type="cellIs" dxfId="635" priority="40" operator="lessThan">
      <formula>0.8</formula>
    </cfRule>
  </conditionalFormatting>
  <conditionalFormatting sqref="R76">
    <cfRule type="cellIs" dxfId="634" priority="42" operator="lessThan">
      <formula>0.8</formula>
    </cfRule>
  </conditionalFormatting>
  <conditionalFormatting sqref="O54">
    <cfRule type="cellIs" dxfId="633" priority="32" operator="greaterThan">
      <formula>0</formula>
    </cfRule>
  </conditionalFormatting>
  <conditionalFormatting sqref="P54">
    <cfRule type="cellIs" dxfId="632" priority="36" operator="lessThan">
      <formula>0</formula>
    </cfRule>
  </conditionalFormatting>
  <conditionalFormatting sqref="Q54">
    <cfRule type="cellIs" dxfId="631" priority="33" operator="greaterThan">
      <formula>1</formula>
    </cfRule>
    <cfRule type="cellIs" dxfId="630" priority="34" operator="lessThan">
      <formula>0.8</formula>
    </cfRule>
  </conditionalFormatting>
  <conditionalFormatting sqref="R54 AC54">
    <cfRule type="cellIs" dxfId="629" priority="37" operator="lessThan">
      <formula>0.8</formula>
    </cfRule>
  </conditionalFormatting>
  <conditionalFormatting sqref="AC54">
    <cfRule type="cellIs" dxfId="628" priority="35" operator="lessThan">
      <formula>0.8</formula>
    </cfRule>
  </conditionalFormatting>
  <conditionalFormatting sqref="O55">
    <cfRule type="cellIs" dxfId="627" priority="26" operator="greaterThan">
      <formula>0</formula>
    </cfRule>
  </conditionalFormatting>
  <conditionalFormatting sqref="P55">
    <cfRule type="cellIs" dxfId="626" priority="30" operator="lessThan">
      <formula>0</formula>
    </cfRule>
  </conditionalFormatting>
  <conditionalFormatting sqref="Q55">
    <cfRule type="cellIs" dxfId="625" priority="27" operator="greaterThan">
      <formula>1</formula>
    </cfRule>
    <cfRule type="cellIs" dxfId="624" priority="28" operator="lessThan">
      <formula>0.8</formula>
    </cfRule>
  </conditionalFormatting>
  <conditionalFormatting sqref="R55 AC55">
    <cfRule type="cellIs" dxfId="623" priority="31" operator="lessThan">
      <formula>0.8</formula>
    </cfRule>
  </conditionalFormatting>
  <conditionalFormatting sqref="AC55">
    <cfRule type="cellIs" dxfId="622" priority="29" operator="lessThan">
      <formula>0.8</formula>
    </cfRule>
  </conditionalFormatting>
  <conditionalFormatting sqref="R28 AC28">
    <cfRule type="cellIs" dxfId="621" priority="25" operator="lessThan">
      <formula>0.8</formula>
    </cfRule>
  </conditionalFormatting>
  <conditionalFormatting sqref="AC28">
    <cfRule type="cellIs" dxfId="620" priority="24" operator="lessThan">
      <formula>0.8</formula>
    </cfRule>
  </conditionalFormatting>
  <conditionalFormatting sqref="O65">
    <cfRule type="cellIs" dxfId="619" priority="19" operator="greaterThan">
      <formula>0</formula>
    </cfRule>
  </conditionalFormatting>
  <conditionalFormatting sqref="P65 AA65">
    <cfRule type="cellIs" dxfId="618" priority="22" operator="lessThan">
      <formula>0</formula>
    </cfRule>
  </conditionalFormatting>
  <conditionalFormatting sqref="Q65 AB65">
    <cfRule type="cellIs" dxfId="617" priority="20" operator="greaterThan">
      <formula>1</formula>
    </cfRule>
    <cfRule type="cellIs" dxfId="616" priority="21" operator="lessThan">
      <formula>0.8</formula>
    </cfRule>
  </conditionalFormatting>
  <conditionalFormatting sqref="R65 AC65">
    <cfRule type="cellIs" dxfId="615" priority="23" operator="lessThan">
      <formula>0.8</formula>
    </cfRule>
  </conditionalFormatting>
  <conditionalFormatting sqref="P12">
    <cfRule type="cellIs" dxfId="614" priority="18" operator="lessThan">
      <formula>0</formula>
    </cfRule>
  </conditionalFormatting>
  <conditionalFormatting sqref="P21">
    <cfRule type="cellIs" dxfId="613" priority="17" operator="lessThan">
      <formula>0</formula>
    </cfRule>
  </conditionalFormatting>
  <conditionalFormatting sqref="P29">
    <cfRule type="cellIs" dxfId="612" priority="16" operator="lessThan">
      <formula>0</formula>
    </cfRule>
  </conditionalFormatting>
  <conditionalFormatting sqref="P38">
    <cfRule type="cellIs" dxfId="611" priority="15" operator="lessThan">
      <formula>0</formula>
    </cfRule>
  </conditionalFormatting>
  <conditionalFormatting sqref="P56">
    <cfRule type="cellIs" dxfId="610" priority="14" operator="lessThan">
      <formula>0</formula>
    </cfRule>
  </conditionalFormatting>
  <conditionalFormatting sqref="P63">
    <cfRule type="cellIs" dxfId="609" priority="13" operator="lessThan">
      <formula>0</formula>
    </cfRule>
  </conditionalFormatting>
  <conditionalFormatting sqref="P69">
    <cfRule type="cellIs" dxfId="608" priority="12" operator="lessThan">
      <formula>0</formula>
    </cfRule>
  </conditionalFormatting>
  <conditionalFormatting sqref="P79">
    <cfRule type="cellIs" dxfId="607" priority="11" operator="lessThan">
      <formula>0</formula>
    </cfRule>
  </conditionalFormatting>
  <conditionalFormatting sqref="O77">
    <cfRule type="cellIs" dxfId="606" priority="6" operator="greaterThan">
      <formula>0</formula>
    </cfRule>
  </conditionalFormatting>
  <conditionalFormatting sqref="P77">
    <cfRule type="cellIs" dxfId="605" priority="9" operator="lessThan">
      <formula>0</formula>
    </cfRule>
  </conditionalFormatting>
  <conditionalFormatting sqref="Q77">
    <cfRule type="cellIs" dxfId="604" priority="7" operator="greaterThan">
      <formula>1</formula>
    </cfRule>
    <cfRule type="cellIs" dxfId="603" priority="8" operator="lessThan">
      <formula>0.8</formula>
    </cfRule>
  </conditionalFormatting>
  <conditionalFormatting sqref="R77">
    <cfRule type="cellIs" dxfId="602" priority="10" operator="lessThan">
      <formula>0.8</formula>
    </cfRule>
  </conditionalFormatting>
  <conditionalFormatting sqref="O78">
    <cfRule type="cellIs" dxfId="601" priority="1" operator="greaterThan">
      <formula>0</formula>
    </cfRule>
  </conditionalFormatting>
  <conditionalFormatting sqref="P78">
    <cfRule type="cellIs" dxfId="600" priority="4" operator="lessThan">
      <formula>0</formula>
    </cfRule>
  </conditionalFormatting>
  <conditionalFormatting sqref="Q78">
    <cfRule type="cellIs" dxfId="599" priority="2" operator="greaterThan">
      <formula>1</formula>
    </cfRule>
    <cfRule type="cellIs" dxfId="598" priority="3" operator="lessThan">
      <formula>0.8</formula>
    </cfRule>
  </conditionalFormatting>
  <conditionalFormatting sqref="R78">
    <cfRule type="cellIs" dxfId="597" priority="5" operator="lessThan">
      <formula>0.8</formula>
    </cfRule>
  </conditionalFormatting>
  <dataValidations count="1">
    <dataValidation type="list" allowBlank="1" showInputMessage="1" showErrorMessage="1" sqref="Z68 Z10:Z12 Y5:Z9 Y10:Y68 Z14:Z64 Y69:Z79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="85" zoomScaleNormal="85" workbookViewId="0">
      <selection activeCell="C3" sqref="C3:D3"/>
    </sheetView>
  </sheetViews>
  <sheetFormatPr defaultColWidth="8.75" defaultRowHeight="15.75"/>
  <cols>
    <col min="1" max="1" width="8.75" style="2"/>
    <col min="2" max="2" width="17.875" style="2" customWidth="1"/>
    <col min="3" max="3" width="9.25" style="9" customWidth="1"/>
    <col min="4" max="13" width="12.625" style="2" customWidth="1"/>
    <col min="14" max="14" width="11" style="2" bestFit="1" customWidth="1"/>
    <col min="15" max="15" width="17.75" style="2" bestFit="1" customWidth="1"/>
    <col min="16" max="16" width="12.25" style="2" bestFit="1" customWidth="1"/>
    <col min="17" max="22" width="9.25" style="2" customWidth="1"/>
    <col min="23" max="23" width="10.75" style="2" customWidth="1"/>
    <col min="24" max="24" width="11" style="2" customWidth="1"/>
    <col min="25" max="16384" width="8.75" style="2"/>
  </cols>
  <sheetData>
    <row r="1" spans="2:17" ht="27.75" customHeight="1">
      <c r="B1" s="546" t="s">
        <v>102</v>
      </c>
      <c r="C1" s="546"/>
      <c r="D1" s="546"/>
      <c r="E1" s="546"/>
      <c r="F1" s="546"/>
      <c r="G1" s="546"/>
      <c r="H1" s="546"/>
      <c r="I1" s="546"/>
      <c r="J1" s="546"/>
      <c r="K1" s="1"/>
      <c r="L1" s="1"/>
      <c r="M1" s="1"/>
      <c r="N1" s="1"/>
      <c r="O1" s="1"/>
      <c r="P1" s="1"/>
    </row>
    <row r="2" spans="2:17" ht="27.75" customHeight="1">
      <c r="B2" s="547"/>
      <c r="C2" s="547"/>
      <c r="D2" s="547"/>
      <c r="E2" s="547"/>
      <c r="F2" s="547"/>
      <c r="G2" s="547"/>
      <c r="H2" s="547"/>
      <c r="I2" s="547"/>
      <c r="J2" s="547"/>
      <c r="K2" s="3"/>
      <c r="L2" s="3"/>
      <c r="M2" s="3"/>
      <c r="N2" s="1"/>
      <c r="O2" s="1"/>
      <c r="P2" s="1"/>
    </row>
    <row r="3" spans="2:17" ht="46.5" customHeight="1">
      <c r="B3" s="4" t="s">
        <v>103</v>
      </c>
      <c r="C3" s="548" t="str">
        <f>TEXT('1208 4度C'!A2,"yyyy.mm.ddaaaa")</f>
        <v>2025.12.08星期一</v>
      </c>
      <c r="D3" s="549"/>
      <c r="E3" s="4" t="s">
        <v>174</v>
      </c>
      <c r="F3" s="550">
        <f>'1208 4度C'!D1</f>
        <v>183631</v>
      </c>
      <c r="G3" s="551"/>
      <c r="H3" s="4" t="s">
        <v>333</v>
      </c>
      <c r="I3" s="552">
        <f>'1208 4度C'!F1</f>
        <v>6213604.4000000004</v>
      </c>
      <c r="J3" s="553"/>
      <c r="K3" s="5"/>
      <c r="L3" s="6"/>
      <c r="M3" s="7"/>
      <c r="N3" s="7"/>
    </row>
    <row r="4" spans="2:17" ht="28.5" customHeight="1">
      <c r="B4" s="554" t="s">
        <v>595</v>
      </c>
      <c r="C4" s="536" t="s">
        <v>596</v>
      </c>
      <c r="D4" s="537"/>
      <c r="E4" s="557" t="s">
        <v>597</v>
      </c>
      <c r="F4" s="558"/>
      <c r="G4" s="557" t="s">
        <v>598</v>
      </c>
      <c r="H4" s="558"/>
      <c r="I4" s="557" t="s">
        <v>120</v>
      </c>
      <c r="J4" s="558"/>
      <c r="L4" s="7"/>
      <c r="M4" s="7"/>
      <c r="N4" s="7"/>
    </row>
    <row r="5" spans="2:17" ht="28.5" customHeight="1">
      <c r="B5" s="555"/>
      <c r="C5" s="536" t="s">
        <v>257</v>
      </c>
      <c r="D5" s="537"/>
      <c r="E5" s="536" t="s">
        <v>599</v>
      </c>
      <c r="F5" s="537"/>
      <c r="G5" s="538" t="s">
        <v>600</v>
      </c>
      <c r="H5" s="539"/>
      <c r="I5" s="540" t="s">
        <v>124</v>
      </c>
      <c r="J5" s="541"/>
      <c r="K5" s="7"/>
      <c r="L5" s="7"/>
      <c r="M5" s="7"/>
      <c r="N5" s="7"/>
    </row>
    <row r="6" spans="2:17" ht="28.5" customHeight="1">
      <c r="B6" s="555"/>
      <c r="C6" s="536" t="s">
        <v>46</v>
      </c>
      <c r="D6" s="537"/>
      <c r="E6" s="542">
        <f>AVERAGE(D13:M13)</f>
        <v>154.94512028820745</v>
      </c>
      <c r="F6" s="543">
        <f>AVERAGE(D27:O27,D13:J13)</f>
        <v>160.9068941877164</v>
      </c>
      <c r="G6" s="544">
        <f>AVERAGE(D13:J13)</f>
        <v>160.9068941877164</v>
      </c>
      <c r="H6" s="545"/>
      <c r="I6" s="544">
        <f>AVERAGE(K13:M13)</f>
        <v>141.03431452268663</v>
      </c>
      <c r="J6" s="545"/>
      <c r="K6" s="7"/>
      <c r="L6" s="7"/>
      <c r="M6" s="7"/>
      <c r="N6" s="7"/>
    </row>
    <row r="7" spans="2:17" ht="28.5" customHeight="1">
      <c r="B7" s="555"/>
      <c r="C7" s="526" t="s">
        <v>47</v>
      </c>
      <c r="D7" s="527"/>
      <c r="E7" s="528">
        <f>AVERAGE(D14:M14)</f>
        <v>148.1412492430168</v>
      </c>
      <c r="F7" s="529">
        <f>AVERAGE(D28:O28,D14:J14)</f>
        <v>153.87552769890837</v>
      </c>
      <c r="G7" s="530">
        <f>AVERAGE(D14:J14)</f>
        <v>153.87552769890837</v>
      </c>
      <c r="H7" s="531"/>
      <c r="I7" s="530">
        <f>AVERAGE(K14:M14)</f>
        <v>134.76126617926971</v>
      </c>
      <c r="J7" s="531"/>
      <c r="K7" s="7"/>
      <c r="L7" s="7"/>
      <c r="M7" s="7"/>
      <c r="N7" s="7"/>
    </row>
    <row r="8" spans="2:17" ht="28.5" customHeight="1">
      <c r="B8" s="556"/>
      <c r="C8" s="526" t="s">
        <v>48</v>
      </c>
      <c r="D8" s="527"/>
      <c r="E8" s="532">
        <f>AVERAGE(D15:M15)</f>
        <v>0.95613765584012422</v>
      </c>
      <c r="F8" s="533">
        <f>AVERAGE(D15:J15,D29:O29)</f>
        <v>0.95641703187623539</v>
      </c>
      <c r="G8" s="534">
        <f>AVERAGE(D15:J15)</f>
        <v>0.95641703187623539</v>
      </c>
      <c r="H8" s="535"/>
      <c r="I8" s="534">
        <f>AVERAGE(K15:M15)</f>
        <v>0.95548577842253202</v>
      </c>
      <c r="J8" s="535"/>
      <c r="K8" s="8" t="s">
        <v>601</v>
      </c>
      <c r="L8" s="7"/>
      <c r="M8" s="7"/>
      <c r="N8" s="7"/>
    </row>
    <row r="9" spans="2:17" ht="28.5" customHeight="1" thickBot="1">
      <c r="H9" s="10"/>
      <c r="N9" s="7"/>
      <c r="O9" s="7"/>
      <c r="P9" s="7"/>
      <c r="Q9" s="7"/>
    </row>
    <row r="10" spans="2:17" ht="30" customHeight="1">
      <c r="B10" s="509" t="s">
        <v>602</v>
      </c>
      <c r="C10" s="510"/>
      <c r="D10" s="511" t="s">
        <v>603</v>
      </c>
      <c r="E10" s="512"/>
      <c r="F10" s="512"/>
      <c r="G10" s="512"/>
      <c r="H10" s="512"/>
      <c r="I10" s="512"/>
      <c r="J10" s="513"/>
      <c r="K10" s="514" t="s">
        <v>128</v>
      </c>
      <c r="L10" s="515"/>
      <c r="M10" s="516"/>
      <c r="P10" s="11"/>
      <c r="Q10" s="11"/>
    </row>
    <row r="11" spans="2:17" ht="17.25" customHeight="1">
      <c r="B11" s="517" t="s">
        <v>129</v>
      </c>
      <c r="C11" s="518"/>
      <c r="D11" s="12">
        <v>1</v>
      </c>
      <c r="E11" s="13">
        <v>2</v>
      </c>
      <c r="F11" s="13">
        <v>3</v>
      </c>
      <c r="G11" s="13">
        <v>4</v>
      </c>
      <c r="H11" s="13">
        <v>5</v>
      </c>
      <c r="I11" s="13">
        <v>6</v>
      </c>
      <c r="J11" s="14">
        <v>7</v>
      </c>
      <c r="K11" s="12">
        <v>1</v>
      </c>
      <c r="L11" s="13">
        <v>2</v>
      </c>
      <c r="M11" s="14">
        <v>3</v>
      </c>
      <c r="P11" s="11"/>
      <c r="Q11" s="11"/>
    </row>
    <row r="12" spans="2:17" ht="34.15" customHeight="1">
      <c r="B12" s="519"/>
      <c r="C12" s="520"/>
      <c r="D12" s="15" t="s">
        <v>49</v>
      </c>
      <c r="E12" s="16" t="s">
        <v>50</v>
      </c>
      <c r="F12" s="16" t="s">
        <v>51</v>
      </c>
      <c r="G12" s="16" t="s">
        <v>52</v>
      </c>
      <c r="H12" s="16" t="s">
        <v>53</v>
      </c>
      <c r="I12" s="16" t="s">
        <v>54</v>
      </c>
      <c r="J12" s="17" t="s">
        <v>55</v>
      </c>
      <c r="K12" s="15" t="s">
        <v>56</v>
      </c>
      <c r="L12" s="16" t="s">
        <v>57</v>
      </c>
      <c r="M12" s="17" t="s">
        <v>58</v>
      </c>
    </row>
    <row r="13" spans="2:17" ht="40.15" customHeight="1">
      <c r="B13" s="521" t="s">
        <v>66</v>
      </c>
      <c r="C13" s="18" t="s">
        <v>131</v>
      </c>
      <c r="D13" s="19">
        <f>SUMIFS('1208 4度C'!$K:$K,'1208 4度C'!$A:$A,"新豐6線",'1208 4度C'!$B:$B,"平均")</f>
        <v>137.93103448275863</v>
      </c>
      <c r="E13" s="20">
        <f>SUMIFS('1208 4度C'!$K:$K,'1208 4度C'!$A:$A,"新豐2線",'1208 4度C'!$B:$B,"平均")</f>
        <v>83.333333333333329</v>
      </c>
      <c r="F13" s="21">
        <f>SUMIFS('1208 4度C'!$K:$K,'1208 4度C'!$A:$A,"新豐5線",'1208 4度C'!$B:$B,"平均")</f>
        <v>98.901098901098905</v>
      </c>
      <c r="G13" s="21">
        <f>SUMIFS('1208 4度C'!$K:$K,'1208 4度C'!$A:$A,"新豐7線",'1208 4度C'!$B:$B,"平均")</f>
        <v>118.32061068702291</v>
      </c>
      <c r="H13" s="21">
        <f>SUMIFS('1208 4度C'!$K:$K,'1208 4度C'!$A:$A,"新豐3線",'1208 4度C'!$B:$B,"平均")</f>
        <v>283.95061728395063</v>
      </c>
      <c r="I13" s="21">
        <f>SUMIFS('1208 4度C'!$K:$K,'1208 4度C'!$A:$A,"新豐1線",'1208 4度C'!$B:$B,"平均")</f>
        <v>112.24489795918367</v>
      </c>
      <c r="J13" s="22">
        <f>SUMIFS('1208 4度C'!$K:$K,'1208 4度C'!$A:$A,"新豐10線",'1208 4度C'!$B:$B,"平均")</f>
        <v>291.66666666666669</v>
      </c>
      <c r="K13" s="23">
        <f>SUMIFS('1208 4度C'!$K:$K,'1208 4度C'!$A:$A,"新豐8線",'1208 4度C'!$B:$B,"平均")</f>
        <v>134.26573426573427</v>
      </c>
      <c r="L13" s="24">
        <f>SUMIFS('1208 4度C'!$K:$K,'1208 4度C'!$A:$A,"新豐9線",'1208 4度C'!$B:$B,"平均")</f>
        <v>140</v>
      </c>
      <c r="M13" s="22">
        <f>SUMIFS('1208 4度C'!$K:$K,'1208 4度C'!$A:$A,"新豐4線",'1208 4度C'!$B:$B,"平均")</f>
        <v>148.83720930232559</v>
      </c>
    </row>
    <row r="14" spans="2:17" ht="39.6" customHeight="1">
      <c r="B14" s="522"/>
      <c r="C14" s="25" t="s">
        <v>132</v>
      </c>
      <c r="D14" s="26">
        <f>SUMIFS('1208 4度C'!$N:$N,'1208 4度C'!$A:$A,"新豐6線",'1208 4度C'!$B:$B,"平均")</f>
        <v>131.90364388640253</v>
      </c>
      <c r="E14" s="27">
        <f>SUMIFS('1208 4度C'!$N:$N,'1208 4度C'!$A:$A,"新豐2線",'1208 4度C'!$B:$B,"平均")</f>
        <v>79.481646236984318</v>
      </c>
      <c r="F14" s="27">
        <f>SUMIFS('1208 4度C'!$N:$N,'1208 4度C'!$A:$A,"新豐5線",'1208 4度C'!$B:$B,"平均")</f>
        <v>94.651341284629339</v>
      </c>
      <c r="G14" s="27">
        <f>SUMIFS('1208 4度C'!$N:$N,'1208 4度C'!$A:$A,"新豐7線",'1208 4度C'!$B:$B,"平均")</f>
        <v>113.35395027586203</v>
      </c>
      <c r="H14" s="27">
        <f>SUMIFS('1208 4度C'!$N:$N,'1208 4度C'!$A:$A,"新豐3線",'1208 4度C'!$B:$B,"平均")</f>
        <v>271.7527334250068</v>
      </c>
      <c r="I14" s="27">
        <f>SUMIFS('1208 4度C'!$N:$N,'1208 4度C'!$A:$A,"新豐1線",'1208 4度C'!$B:$B,"平均")</f>
        <v>107.53787815768878</v>
      </c>
      <c r="J14" s="28">
        <f>SUMIFS('1208 4度C'!$N:$N,'1208 4度C'!$A:$A,"新豐10線",'1208 4度C'!$B:$B,"平均")</f>
        <v>278.44750062578481</v>
      </c>
      <c r="K14" s="29">
        <f>SUMIFS('1208 4度C'!$N:$N,'1208 4度C'!$A:$A,"新豐8線",'1208 4度C'!$B:$B,"平均")</f>
        <v>128.25586625699987</v>
      </c>
      <c r="L14" s="30">
        <f>SUMIFS('1208 4度C'!$N:$N,'1208 4度C'!$A:$A,"新豐9線",'1208 4度C'!$B:$B,"平均")</f>
        <v>133.58808573924938</v>
      </c>
      <c r="M14" s="28">
        <f>SUMIFS('1208 4度C'!$N:$N,'1208 4度C'!$A:$A,"新豐4線",'1208 4度C'!$B:$B,"平均")</f>
        <v>142.43984654155994</v>
      </c>
    </row>
    <row r="15" spans="2:17" ht="40.15" customHeight="1">
      <c r="B15" s="523"/>
      <c r="C15" s="31" t="s">
        <v>604</v>
      </c>
      <c r="D15" s="32">
        <f t="shared" ref="D15:M15" si="0">D14/D13</f>
        <v>0.95630141817641834</v>
      </c>
      <c r="E15" s="33">
        <f t="shared" si="0"/>
        <v>0.95377975484381183</v>
      </c>
      <c r="F15" s="33">
        <f t="shared" si="0"/>
        <v>0.95703022854458553</v>
      </c>
      <c r="G15" s="33">
        <f t="shared" si="0"/>
        <v>0.95802370878309195</v>
      </c>
      <c r="H15" s="33">
        <f t="shared" si="0"/>
        <v>0.95704223510545861</v>
      </c>
      <c r="I15" s="33">
        <f t="shared" si="0"/>
        <v>0.95806473267759096</v>
      </c>
      <c r="J15" s="34">
        <f t="shared" si="0"/>
        <v>0.95467714500269074</v>
      </c>
      <c r="K15" s="32">
        <f t="shared" si="0"/>
        <v>0.9552390038932802</v>
      </c>
      <c r="L15" s="33">
        <f t="shared" si="0"/>
        <v>0.95420061242320986</v>
      </c>
      <c r="M15" s="34">
        <f t="shared" si="0"/>
        <v>0.95701771895110588</v>
      </c>
    </row>
    <row r="16" spans="2:17" ht="17.25" customHeight="1">
      <c r="B16" s="524" t="s">
        <v>605</v>
      </c>
      <c r="C16" s="35" t="s">
        <v>135</v>
      </c>
      <c r="D16" s="49">
        <f>VLOOKUP("新豐6線",'1208 4度C'!$A:$T,19,0)</f>
        <v>0.70833333333333337</v>
      </c>
      <c r="E16" s="50">
        <f>VLOOKUP("新豐2線",'1208 4度C'!$A:$T,19,0)</f>
        <v>0.125</v>
      </c>
      <c r="F16" s="50">
        <f>VLOOKUP("新豐5線",'1208 4度C'!$A:$T,19,0)</f>
        <v>0.20833333333333334</v>
      </c>
      <c r="G16" s="50">
        <f>VLOOKUP("新豐7線",'1208 4度C'!$A:$T,19,0)</f>
        <v>0.20833333333333334</v>
      </c>
      <c r="H16" s="50">
        <f>VLOOKUP("新豐3線",'1208 4度C'!$A:$T,19,0)</f>
        <v>8.3333333333333329E-2</v>
      </c>
      <c r="I16" s="50">
        <f>VLOOKUP("新豐1線",'1208 4度C'!$A:$T,19,0)</f>
        <v>0.20833333333333334</v>
      </c>
      <c r="J16" s="51">
        <f>VLOOKUP("新豐10線",'1208 4度C'!$A:$T,19,0)</f>
        <v>0.20833333333333334</v>
      </c>
      <c r="K16" s="36">
        <f>VLOOKUP("新豐8線",'1208 4度C'!$A:$T,19,0)</f>
        <v>8.3333333333333329E-2</v>
      </c>
      <c r="L16" s="37">
        <f>VLOOKUP("新豐9線",'1208 4度C'!$A:$T,19,0)</f>
        <v>8.3333333333333329E-2</v>
      </c>
      <c r="M16" s="38">
        <f>VLOOKUP("新豐4線",'1208 4度C'!$A:$T,19,0)</f>
        <v>8.3333333333333329E-2</v>
      </c>
    </row>
    <row r="17" spans="2:13" ht="17.25" customHeight="1">
      <c r="B17" s="525"/>
      <c r="C17" s="35" t="s">
        <v>606</v>
      </c>
      <c r="D17" s="36">
        <f>LOOKUP(2,1/(('1208 4度C'!$A:$A="新豐6線")*('1208 4度C'!$T:$T&lt;&gt;"")),'1208 4度C'!$T:$T)</f>
        <v>0.91597222222222219</v>
      </c>
      <c r="E17" s="50">
        <f>LOOKUP(2,1/(('1208 4度C'!$A:$A="新豐2線")*('1208 4度C'!$T:$T&lt;&gt;"")),'1208 4度C'!$T:$T)</f>
        <v>0.46527777777777779</v>
      </c>
      <c r="F17" s="50">
        <f>LOOKUP(2,1/(('1208 4度C'!$A:$A="新豐5線")*('1208 4度C'!$T:$T&lt;&gt;"")),'1208 4度C'!$T:$T)</f>
        <v>0.85416666666666663</v>
      </c>
      <c r="G17" s="50">
        <f>LOOKUP(2,1/(('1208 4度C'!$A:$A="新豐7線")*('1208 4度C'!$T:$T&lt;&gt;"")),'1208 4度C'!$T:$T)</f>
        <v>0.85347222222222219</v>
      </c>
      <c r="H17" s="50">
        <f>LOOKUP(2,1/(('1208 4度C'!$A:$A="新豐3線")*('1208 4度C'!$T:$T&lt;&gt;"")),'1208 4度C'!$T:$T)</f>
        <v>0.60347222222222208</v>
      </c>
      <c r="I17" s="50">
        <f>LOOKUP(2,1/(('1208 4度C'!$A:$A="新豐1線")*('1208 4度C'!$T:$T&lt;&gt;"")),'1208 4度C'!$T:$T)</f>
        <v>0.92986111111111103</v>
      </c>
      <c r="J17" s="51">
        <f>LOOKUP(2,1/(('1208 4度C'!$A:$A="新豐10線")*('1208 4度C'!$T:$T&lt;&gt;"")),'1208 4度C'!$T:$T)</f>
        <v>0.4458333333333333</v>
      </c>
      <c r="K17" s="49">
        <f>LOOKUP(2,1/(('1208 4度C'!$A:$A="新豐8線")*('1208 4度C'!$T:$T&lt;&gt;"")),'1208 4度C'!$T:$T)</f>
        <v>0.72152777777777766</v>
      </c>
      <c r="L17" s="50">
        <f>LOOKUP(2,1/(('1208 4度C'!$A:$A="新豐9線")*('1208 4度C'!$T:$T&lt;&gt;"")),'1208 4度C'!$T:$T)</f>
        <v>0.7055555555555556</v>
      </c>
      <c r="M17" s="51">
        <f>LOOKUP(2,1/(('1208 4度C'!$A:$A="新豐4線")*('1208 4度C'!$T:$T&lt;&gt;"")),'1208 4度C'!$T:$T)</f>
        <v>0.63194444444444431</v>
      </c>
    </row>
    <row r="18" spans="2:13" ht="17.25" customHeight="1">
      <c r="B18" s="503" t="s">
        <v>74</v>
      </c>
      <c r="C18" s="504"/>
      <c r="D18" s="39">
        <f>SUMIFS('1208 4度C'!$I:$I,'1208 4度C'!$A:$A,"新豐6線",'1208 4度C'!$B:$B,"平均")</f>
        <v>14.5</v>
      </c>
      <c r="E18" s="40">
        <f>SUMIFS('1208 4度C'!$I:$I,'1208 4度C'!$A:$A,"新豐2線",'1208 4度C'!$B:$B,"平均")</f>
        <v>18</v>
      </c>
      <c r="F18" s="40">
        <f>SUMIFS('1208 4度C'!$I:$I,'1208 4度C'!$A:$A,"新豐5線",'1208 4度C'!$B:$B,"平均")</f>
        <v>18.2</v>
      </c>
      <c r="G18" s="40">
        <f>SUMIFS('1208 4度C'!$I:$I,'1208 4度C'!$A:$A,"新豐7線",'1208 4度C'!$B:$B,"平均")</f>
        <v>16.375</v>
      </c>
      <c r="H18" s="40">
        <f>SUMIFS('1208 4度C'!$I:$I,'1208 4度C'!$A:$A,"新豐3線",'1208 4度C'!$B:$B,"平均")</f>
        <v>10.125</v>
      </c>
      <c r="I18" s="40">
        <f>SUMIFS('1208 4度C'!$I:$I,'1208 4度C'!$A:$A,"新豐1線",'1208 4度C'!$B:$B,"平均")</f>
        <v>16.333333333333332</v>
      </c>
      <c r="J18" s="41">
        <f>SUMIFS('1208 4度C'!$I:$I,'1208 4度C'!$A:$A,"新豐10線",'1208 4度C'!$B:$B,"平均")</f>
        <v>9</v>
      </c>
      <c r="K18" s="39">
        <f>SUMIFS('1208 4度C'!$I:$I,'1208 4度C'!$A:$A,"新豐8線",'1208 4度C'!$B:$B,"平均")</f>
        <v>17.875</v>
      </c>
      <c r="L18" s="40">
        <f>SUMIFS('1208 4度C'!$I:$I,'1208 4度C'!$A:$A,"新豐9線",'1208 4度C'!$B:$B,"平均")</f>
        <v>17.142857142857142</v>
      </c>
      <c r="M18" s="41">
        <f>SUMIFS('1208 4度C'!$I:$I,'1208 4度C'!$A:$A,"新豐4線",'1208 4度C'!$B:$B,"平均")</f>
        <v>16.125</v>
      </c>
    </row>
    <row r="19" spans="2:13" ht="17.25" customHeight="1">
      <c r="B19" s="503" t="s">
        <v>136</v>
      </c>
      <c r="C19" s="504"/>
      <c r="D19" s="42" t="s">
        <v>59</v>
      </c>
      <c r="E19" s="43" t="s">
        <v>60</v>
      </c>
      <c r="F19" s="43" t="s">
        <v>62</v>
      </c>
      <c r="G19" s="43" t="s">
        <v>62</v>
      </c>
      <c r="H19" s="43" t="s">
        <v>61</v>
      </c>
      <c r="I19" s="43" t="s">
        <v>59</v>
      </c>
      <c r="J19" s="44" t="s">
        <v>61</v>
      </c>
      <c r="K19" s="42" t="s">
        <v>195</v>
      </c>
      <c r="L19" s="43" t="s">
        <v>195</v>
      </c>
      <c r="M19" s="44" t="s">
        <v>607</v>
      </c>
    </row>
    <row r="20" spans="2:13" ht="17.25" customHeight="1">
      <c r="B20" s="503" t="s">
        <v>608</v>
      </c>
      <c r="C20" s="504"/>
      <c r="D20" s="42"/>
      <c r="E20" s="43"/>
      <c r="F20" s="43" t="s">
        <v>141</v>
      </c>
      <c r="G20" s="43" t="s">
        <v>59</v>
      </c>
      <c r="H20" s="43"/>
      <c r="I20" s="43"/>
      <c r="J20" s="44"/>
      <c r="K20" s="42"/>
      <c r="L20" s="43"/>
      <c r="M20" s="44"/>
    </row>
    <row r="21" spans="2:13" ht="17.25" customHeight="1" thickBot="1">
      <c r="B21" s="505" t="s">
        <v>351</v>
      </c>
      <c r="C21" s="506"/>
      <c r="D21" s="45"/>
      <c r="E21" s="46" t="s">
        <v>143</v>
      </c>
      <c r="F21" s="507" t="s">
        <v>144</v>
      </c>
      <c r="G21" s="508"/>
      <c r="H21" s="46" t="s">
        <v>609</v>
      </c>
      <c r="I21" s="46" t="s">
        <v>355</v>
      </c>
      <c r="J21" s="47" t="s">
        <v>75</v>
      </c>
      <c r="K21" s="48"/>
      <c r="L21" s="46"/>
      <c r="M21" s="4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20:C20"/>
    <mergeCell ref="B21:C21"/>
    <mergeCell ref="F21:G21"/>
    <mergeCell ref="K10:M10"/>
    <mergeCell ref="B11:C12"/>
    <mergeCell ref="B13:B15"/>
    <mergeCell ref="B18:C18"/>
    <mergeCell ref="B19:C19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596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C75"/>
  <sheetViews>
    <sheetView zoomScale="80" zoomScaleNormal="80" workbookViewId="0">
      <pane ySplit="4" topLeftCell="A5" activePane="bottomLeft" state="frozen"/>
      <selection activeCell="C3" sqref="C3:D3"/>
      <selection pane="bottomLeft" activeCell="F14" sqref="F14"/>
    </sheetView>
  </sheetViews>
  <sheetFormatPr defaultColWidth="8" defaultRowHeight="15.75"/>
  <cols>
    <col min="1" max="1" width="15.125" style="54" customWidth="1"/>
    <col min="2" max="2" width="19.375" style="54" customWidth="1"/>
    <col min="3" max="3" width="15.25" style="54" customWidth="1"/>
    <col min="4" max="4" width="17.5" style="54" customWidth="1"/>
    <col min="5" max="5" width="7.5" style="54" bestFit="1" customWidth="1"/>
    <col min="6" max="6" width="14.375" style="54" bestFit="1" customWidth="1"/>
    <col min="7" max="7" width="14.375" style="54" customWidth="1"/>
    <col min="8" max="8" width="8" style="54" customWidth="1"/>
    <col min="9" max="9" width="5.875" style="54" customWidth="1"/>
    <col min="10" max="10" width="10.625" style="54" customWidth="1"/>
    <col min="11" max="11" width="14.625" style="54" customWidth="1"/>
    <col min="12" max="12" width="7.25" style="54" bestFit="1" customWidth="1"/>
    <col min="13" max="13" width="8" style="54" customWidth="1"/>
    <col min="14" max="14" width="12" style="54" customWidth="1"/>
    <col min="15" max="15" width="6" style="54" customWidth="1"/>
    <col min="16" max="16" width="9.25" style="54" customWidth="1"/>
    <col min="17" max="17" width="11.5" style="54" customWidth="1"/>
    <col min="18" max="18" width="8.5" style="54" customWidth="1"/>
    <col min="19" max="19" width="10.125" style="73" bestFit="1" customWidth="1"/>
    <col min="20" max="20" width="7.625" style="73" bestFit="1" customWidth="1"/>
    <col min="21" max="21" width="10.25" style="54" bestFit="1" customWidth="1"/>
    <col min="22" max="22" width="8.75" style="71" customWidth="1"/>
    <col min="23" max="23" width="7.375" style="54" customWidth="1"/>
    <col min="24" max="24" width="6.875" style="54" bestFit="1" customWidth="1"/>
    <col min="25" max="25" width="12.75" style="54" customWidth="1"/>
    <col min="26" max="26" width="18.875" style="54" customWidth="1"/>
    <col min="27" max="27" width="13.125" style="54" bestFit="1" customWidth="1"/>
    <col min="28" max="28" width="10.375" style="54" customWidth="1"/>
    <col min="29" max="29" width="9.375" style="54" customWidth="1"/>
    <col min="30" max="30" width="8" style="54"/>
    <col min="31" max="31" width="24.625" style="54" bestFit="1" customWidth="1"/>
    <col min="32" max="16384" width="8" style="54"/>
  </cols>
  <sheetData>
    <row r="1" spans="1:29" ht="26.25" customHeight="1">
      <c r="A1" s="52" t="s">
        <v>610</v>
      </c>
      <c r="B1" s="52"/>
      <c r="C1" s="117" t="s">
        <v>611</v>
      </c>
      <c r="D1" s="118">
        <f>SUM(F5:F74)</f>
        <v>183631</v>
      </c>
      <c r="E1" s="174" t="s">
        <v>612</v>
      </c>
      <c r="F1" s="52">
        <f>SUM(G5:G74)</f>
        <v>6213604.4000000004</v>
      </c>
      <c r="G1" s="52" t="s">
        <v>613</v>
      </c>
      <c r="H1" s="53">
        <f>L9+L12+L53+L60+L18+L65+L36+L44+L27+L74</f>
        <v>153.67619047619047</v>
      </c>
      <c r="I1" s="607" t="s">
        <v>614</v>
      </c>
      <c r="J1" s="607"/>
      <c r="K1" s="607"/>
      <c r="L1" s="607" t="s">
        <v>615</v>
      </c>
      <c r="M1" s="607"/>
      <c r="N1" s="607"/>
      <c r="O1" s="607" t="s">
        <v>616</v>
      </c>
      <c r="P1" s="607"/>
      <c r="Q1" s="607"/>
      <c r="R1" s="607"/>
      <c r="S1" s="607" t="s">
        <v>617</v>
      </c>
      <c r="T1" s="607"/>
      <c r="U1" s="607"/>
      <c r="V1" s="607"/>
      <c r="W1" s="607"/>
      <c r="X1" s="607"/>
      <c r="Y1" s="607" t="s">
        <v>618</v>
      </c>
      <c r="Z1" s="607"/>
      <c r="AA1" s="607" t="s">
        <v>619</v>
      </c>
      <c r="AB1" s="608"/>
      <c r="AC1" s="608"/>
    </row>
    <row r="2" spans="1:29" ht="26.25" customHeight="1">
      <c r="A2" s="55">
        <v>45999</v>
      </c>
      <c r="B2" s="56" t="s">
        <v>150</v>
      </c>
      <c r="C2" s="117" t="s">
        <v>620</v>
      </c>
      <c r="D2" s="119">
        <f>AVERAGE(N9,N12,N53,N60,N18,N65,N27,N36,N44,N74)</f>
        <v>148.1412492430168</v>
      </c>
      <c r="E2" s="120" t="s">
        <v>0</v>
      </c>
      <c r="F2" s="121">
        <f>F1/D1</f>
        <v>33.837447925459209</v>
      </c>
      <c r="G2" s="52" t="s">
        <v>621</v>
      </c>
      <c r="H2" s="185">
        <f>COUNT(H5:H74)</f>
        <v>9</v>
      </c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8"/>
      <c r="AB2" s="608"/>
      <c r="AC2" s="608"/>
    </row>
    <row r="3" spans="1:29" ht="23.25" customHeight="1">
      <c r="A3" s="559" t="s">
        <v>622</v>
      </c>
      <c r="B3" s="559" t="s">
        <v>623</v>
      </c>
      <c r="C3" s="559" t="s">
        <v>624</v>
      </c>
      <c r="D3" s="559"/>
      <c r="E3" s="605" t="s">
        <v>625</v>
      </c>
      <c r="F3" s="559" t="s">
        <v>626</v>
      </c>
      <c r="G3" s="605" t="s">
        <v>627</v>
      </c>
      <c r="H3" s="598" t="s">
        <v>628</v>
      </c>
      <c r="I3" s="596" t="s">
        <v>629</v>
      </c>
      <c r="J3" s="601" t="s">
        <v>630</v>
      </c>
      <c r="K3" s="603" t="s">
        <v>620</v>
      </c>
      <c r="L3" s="596" t="s">
        <v>631</v>
      </c>
      <c r="M3" s="601" t="s">
        <v>632</v>
      </c>
      <c r="N3" s="603" t="s">
        <v>620</v>
      </c>
      <c r="O3" s="596" t="s">
        <v>631</v>
      </c>
      <c r="P3" s="603" t="s">
        <v>620</v>
      </c>
      <c r="Q3" s="602" t="s">
        <v>633</v>
      </c>
      <c r="R3" s="574" t="s">
        <v>634</v>
      </c>
      <c r="S3" s="604" t="s">
        <v>1</v>
      </c>
      <c r="T3" s="604"/>
      <c r="U3" s="598" t="s">
        <v>2</v>
      </c>
      <c r="V3" s="598" t="s">
        <v>635</v>
      </c>
      <c r="W3" s="559" t="s">
        <v>636</v>
      </c>
      <c r="X3" s="559"/>
      <c r="Y3" s="599" t="s">
        <v>637</v>
      </c>
      <c r="Z3" s="600"/>
      <c r="AA3" s="601" t="s">
        <v>630</v>
      </c>
      <c r="AB3" s="602" t="s">
        <v>638</v>
      </c>
      <c r="AC3" s="574" t="s">
        <v>634</v>
      </c>
    </row>
    <row r="4" spans="1:29">
      <c r="A4" s="559"/>
      <c r="B4" s="559"/>
      <c r="C4" s="559"/>
      <c r="D4" s="559"/>
      <c r="E4" s="606"/>
      <c r="F4" s="559"/>
      <c r="G4" s="606"/>
      <c r="H4" s="598"/>
      <c r="I4" s="596"/>
      <c r="J4" s="601"/>
      <c r="K4" s="603"/>
      <c r="L4" s="596"/>
      <c r="M4" s="601"/>
      <c r="N4" s="603"/>
      <c r="O4" s="596"/>
      <c r="P4" s="603"/>
      <c r="Q4" s="602"/>
      <c r="R4" s="574"/>
      <c r="S4" s="183" t="s">
        <v>3</v>
      </c>
      <c r="T4" s="183" t="s">
        <v>4</v>
      </c>
      <c r="U4" s="598"/>
      <c r="V4" s="598"/>
      <c r="W4" s="174" t="s">
        <v>639</v>
      </c>
      <c r="X4" s="174" t="s">
        <v>640</v>
      </c>
      <c r="Y4" s="600"/>
      <c r="Z4" s="600"/>
      <c r="AA4" s="601"/>
      <c r="AB4" s="602"/>
      <c r="AC4" s="574"/>
    </row>
    <row r="5" spans="1:29">
      <c r="A5" s="595" t="s">
        <v>641</v>
      </c>
      <c r="B5" s="57" t="s">
        <v>6</v>
      </c>
      <c r="C5" s="597" t="s">
        <v>9</v>
      </c>
      <c r="D5" s="597"/>
      <c r="E5" s="57">
        <v>50.67</v>
      </c>
      <c r="F5" s="183">
        <v>1667</v>
      </c>
      <c r="G5" s="174">
        <f t="shared" ref="G5:G8" si="0">E5*F5</f>
        <v>84466.89</v>
      </c>
      <c r="H5" s="184" t="s">
        <v>5</v>
      </c>
      <c r="I5" s="181">
        <v>17</v>
      </c>
      <c r="J5" s="58">
        <v>2000</v>
      </c>
      <c r="K5" s="59">
        <f t="shared" ref="K5:K68" si="1">J5/I5</f>
        <v>117.64705882352941</v>
      </c>
      <c r="L5" s="181">
        <v>17</v>
      </c>
      <c r="M5" s="60">
        <f t="shared" ref="M5:M8" si="2">F5/V5*60</f>
        <v>1923.4615384615397</v>
      </c>
      <c r="N5" s="59">
        <f t="shared" ref="N5:N68" si="3">M5/L5</f>
        <v>113.14479638009057</v>
      </c>
      <c r="O5" s="61">
        <f t="shared" ref="O5:O68" si="4">L5-I5</f>
        <v>0</v>
      </c>
      <c r="P5" s="62">
        <f t="shared" ref="P5:P68" si="5">N5-K5</f>
        <v>-4.5022624434388376</v>
      </c>
      <c r="Q5" s="175">
        <f t="shared" ref="Q5:Q68" si="6">N5/K5</f>
        <v>0.96173076923076983</v>
      </c>
      <c r="R5" s="566">
        <f>Q9</f>
        <v>0.95630141817641834</v>
      </c>
      <c r="S5" s="63">
        <v>0.70833333333333337</v>
      </c>
      <c r="T5" s="63">
        <v>0.74444444444444446</v>
      </c>
      <c r="U5" s="174"/>
      <c r="V5" s="182">
        <f t="shared" ref="V5:V8" si="7">(T5-S5)*24*60</f>
        <v>51.999999999999972</v>
      </c>
      <c r="W5" s="64"/>
      <c r="X5" s="65"/>
      <c r="Y5" s="559"/>
      <c r="Z5" s="559"/>
      <c r="AA5" s="61">
        <f t="shared" ref="AA5:AA68" si="8">M5-J5</f>
        <v>-76.538461538460297</v>
      </c>
      <c r="AB5" s="175">
        <f t="shared" ref="AB5:AB68" si="9">M5/J5</f>
        <v>0.96173076923076983</v>
      </c>
      <c r="AC5" s="566">
        <f>AB9</f>
        <v>0.95630141817641834</v>
      </c>
    </row>
    <row r="6" spans="1:29">
      <c r="A6" s="596" t="s">
        <v>641</v>
      </c>
      <c r="B6" s="57" t="s">
        <v>6</v>
      </c>
      <c r="C6" s="597" t="s">
        <v>8</v>
      </c>
      <c r="D6" s="597"/>
      <c r="E6" s="57">
        <v>50.49</v>
      </c>
      <c r="F6" s="183">
        <v>2366</v>
      </c>
      <c r="G6" s="174">
        <f t="shared" si="0"/>
        <v>119459.34000000001</v>
      </c>
      <c r="H6" s="184" t="s">
        <v>5</v>
      </c>
      <c r="I6" s="181">
        <v>15</v>
      </c>
      <c r="J6" s="58">
        <v>2000</v>
      </c>
      <c r="K6" s="59">
        <f t="shared" si="1"/>
        <v>133.33333333333334</v>
      </c>
      <c r="L6" s="181">
        <v>15</v>
      </c>
      <c r="M6" s="60">
        <f t="shared" si="2"/>
        <v>1918.3783783783767</v>
      </c>
      <c r="N6" s="59">
        <f t="shared" si="3"/>
        <v>127.89189189189179</v>
      </c>
      <c r="O6" s="61">
        <f t="shared" si="4"/>
        <v>0</v>
      </c>
      <c r="P6" s="62">
        <f t="shared" si="5"/>
        <v>-5.4414414414415546</v>
      </c>
      <c r="Q6" s="175">
        <f t="shared" si="6"/>
        <v>0.95918918918918838</v>
      </c>
      <c r="R6" s="566"/>
      <c r="S6" s="63">
        <v>0.75</v>
      </c>
      <c r="T6" s="63">
        <v>0.80138888888888893</v>
      </c>
      <c r="U6" s="174">
        <f t="shared" ref="U6:U8" si="10">IF(S6=TIME(17,0,0),"",(S6-T5)*24*60)</f>
        <v>7.9999999999999716</v>
      </c>
      <c r="V6" s="182">
        <f t="shared" si="7"/>
        <v>74.000000000000057</v>
      </c>
      <c r="W6" s="64"/>
      <c r="X6" s="64"/>
      <c r="Y6" s="559"/>
      <c r="Z6" s="559"/>
      <c r="AA6" s="61">
        <f t="shared" si="8"/>
        <v>-81.621621621623262</v>
      </c>
      <c r="AB6" s="175">
        <f t="shared" si="9"/>
        <v>0.95918918918918838</v>
      </c>
      <c r="AC6" s="566"/>
    </row>
    <row r="7" spans="1:29">
      <c r="A7" s="596" t="s">
        <v>642</v>
      </c>
      <c r="B7" s="57" t="s">
        <v>6</v>
      </c>
      <c r="C7" s="590" t="s">
        <v>94</v>
      </c>
      <c r="D7" s="591"/>
      <c r="E7" s="57">
        <v>57.3</v>
      </c>
      <c r="F7" s="183">
        <v>1900</v>
      </c>
      <c r="G7" s="174">
        <f t="shared" si="0"/>
        <v>108870</v>
      </c>
      <c r="H7" s="184">
        <v>2</v>
      </c>
      <c r="I7" s="181">
        <v>13</v>
      </c>
      <c r="J7" s="58">
        <v>2000</v>
      </c>
      <c r="K7" s="59">
        <f t="shared" si="1"/>
        <v>153.84615384615384</v>
      </c>
      <c r="L7" s="181">
        <v>13</v>
      </c>
      <c r="M7" s="60">
        <f t="shared" si="2"/>
        <v>1900.0000000000018</v>
      </c>
      <c r="N7" s="59">
        <f t="shared" si="3"/>
        <v>146.1538461538463</v>
      </c>
      <c r="O7" s="61">
        <f t="shared" si="4"/>
        <v>0</v>
      </c>
      <c r="P7" s="62">
        <f t="shared" si="5"/>
        <v>-7.6923076923075371</v>
      </c>
      <c r="Q7" s="175">
        <f t="shared" si="6"/>
        <v>0.95000000000000095</v>
      </c>
      <c r="R7" s="566"/>
      <c r="S7" s="63">
        <v>0.80694444444444446</v>
      </c>
      <c r="T7" s="63">
        <v>0.84861111111111109</v>
      </c>
      <c r="U7" s="174">
        <f t="shared" si="10"/>
        <v>7.9999999999999716</v>
      </c>
      <c r="V7" s="182">
        <f t="shared" si="7"/>
        <v>59.999999999999943</v>
      </c>
      <c r="W7" s="64">
        <f>T7</f>
        <v>0.84861111111111109</v>
      </c>
      <c r="X7" s="64">
        <f>S8</f>
        <v>0.88680555555555551</v>
      </c>
      <c r="Y7" s="569"/>
      <c r="Z7" s="570"/>
      <c r="AA7" s="61">
        <f t="shared" si="8"/>
        <v>-99.999999999998181</v>
      </c>
      <c r="AB7" s="175">
        <f t="shared" si="9"/>
        <v>0.95000000000000095</v>
      </c>
      <c r="AC7" s="566"/>
    </row>
    <row r="8" spans="1:29">
      <c r="A8" s="596" t="s">
        <v>641</v>
      </c>
      <c r="B8" s="57" t="s">
        <v>6</v>
      </c>
      <c r="C8" s="590" t="s">
        <v>94</v>
      </c>
      <c r="D8" s="591"/>
      <c r="E8" s="57">
        <v>57.3</v>
      </c>
      <c r="F8" s="183">
        <v>1336</v>
      </c>
      <c r="G8" s="174">
        <f t="shared" si="0"/>
        <v>76552.800000000003</v>
      </c>
      <c r="H8" s="184" t="s">
        <v>5</v>
      </c>
      <c r="I8" s="181">
        <v>13</v>
      </c>
      <c r="J8" s="58">
        <v>2000</v>
      </c>
      <c r="K8" s="59">
        <f t="shared" si="1"/>
        <v>153.84615384615384</v>
      </c>
      <c r="L8" s="181">
        <v>13</v>
      </c>
      <c r="M8" s="60">
        <f t="shared" si="2"/>
        <v>1908.571428571428</v>
      </c>
      <c r="N8" s="59">
        <f t="shared" si="3"/>
        <v>146.81318681318677</v>
      </c>
      <c r="O8" s="61">
        <f t="shared" si="4"/>
        <v>0</v>
      </c>
      <c r="P8" s="62">
        <f t="shared" si="5"/>
        <v>-7.0329670329670648</v>
      </c>
      <c r="Q8" s="175">
        <f t="shared" si="6"/>
        <v>0.95428571428571407</v>
      </c>
      <c r="R8" s="566"/>
      <c r="S8" s="63">
        <v>0.88680555555555551</v>
      </c>
      <c r="T8" s="63">
        <v>0.91597222222222219</v>
      </c>
      <c r="U8" s="174">
        <f t="shared" si="10"/>
        <v>54.999999999999964</v>
      </c>
      <c r="V8" s="182">
        <f t="shared" si="7"/>
        <v>42.000000000000014</v>
      </c>
      <c r="W8" s="68"/>
      <c r="X8" s="68"/>
      <c r="Y8" s="569"/>
      <c r="Z8" s="570"/>
      <c r="AA8" s="61">
        <f t="shared" si="8"/>
        <v>-91.428571428572013</v>
      </c>
      <c r="AB8" s="175">
        <f t="shared" si="9"/>
        <v>0.95428571428571396</v>
      </c>
      <c r="AC8" s="566"/>
    </row>
    <row r="9" spans="1:29">
      <c r="A9" s="596" t="s">
        <v>642</v>
      </c>
      <c r="B9" s="57" t="s">
        <v>643</v>
      </c>
      <c r="C9" s="571"/>
      <c r="D9" s="571"/>
      <c r="E9" s="176"/>
      <c r="F9" s="66"/>
      <c r="G9" s="59"/>
      <c r="H9" s="183"/>
      <c r="I9" s="67">
        <v>14.5</v>
      </c>
      <c r="J9" s="58">
        <v>2000</v>
      </c>
      <c r="K9" s="59">
        <f t="shared" si="1"/>
        <v>137.93103448275863</v>
      </c>
      <c r="L9" s="67">
        <v>14.5</v>
      </c>
      <c r="M9" s="60">
        <f>AVERAGE(M5:M8)</f>
        <v>1912.6028363528367</v>
      </c>
      <c r="N9" s="59">
        <f t="shared" si="3"/>
        <v>131.90364388640253</v>
      </c>
      <c r="O9" s="61">
        <f t="shared" si="4"/>
        <v>0</v>
      </c>
      <c r="P9" s="62">
        <f t="shared" si="5"/>
        <v>-6.0273905963560992</v>
      </c>
      <c r="Q9" s="175">
        <f t="shared" si="6"/>
        <v>0.95630141817641834</v>
      </c>
      <c r="R9" s="566"/>
      <c r="S9" s="63"/>
      <c r="T9" s="63"/>
      <c r="U9" s="174"/>
      <c r="V9" s="182"/>
      <c r="W9" s="59"/>
      <c r="X9" s="59"/>
      <c r="Y9" s="559"/>
      <c r="Z9" s="559"/>
      <c r="AA9" s="61">
        <f t="shared" si="8"/>
        <v>-87.397163647163325</v>
      </c>
      <c r="AB9" s="175">
        <f t="shared" si="9"/>
        <v>0.95630141817641834</v>
      </c>
      <c r="AC9" s="566"/>
    </row>
    <row r="10" spans="1:29" ht="15.75" customHeight="1">
      <c r="A10" s="594" t="s">
        <v>644</v>
      </c>
      <c r="B10" s="57" t="s">
        <v>10</v>
      </c>
      <c r="C10" s="590" t="s">
        <v>14</v>
      </c>
      <c r="D10" s="591"/>
      <c r="E10" s="57">
        <v>39.619999999999997</v>
      </c>
      <c r="F10" s="183">
        <v>4289</v>
      </c>
      <c r="G10" s="174">
        <f t="shared" ref="G10:G11" si="11">E10*F10</f>
        <v>169930.18</v>
      </c>
      <c r="H10" s="184" t="s">
        <v>5</v>
      </c>
      <c r="I10" s="181">
        <v>19</v>
      </c>
      <c r="J10" s="58">
        <v>1500</v>
      </c>
      <c r="K10" s="59">
        <f t="shared" si="1"/>
        <v>78.94736842105263</v>
      </c>
      <c r="L10" s="181">
        <v>19</v>
      </c>
      <c r="M10" s="60">
        <f t="shared" ref="M10:M11" si="12">F10/V10*60</f>
        <v>1429.6666666666667</v>
      </c>
      <c r="N10" s="59">
        <f t="shared" si="3"/>
        <v>75.245614035087726</v>
      </c>
      <c r="O10" s="61">
        <f t="shared" si="4"/>
        <v>0</v>
      </c>
      <c r="P10" s="62">
        <f t="shared" si="5"/>
        <v>-3.7017543859649038</v>
      </c>
      <c r="Q10" s="175">
        <f t="shared" si="6"/>
        <v>0.95311111111111124</v>
      </c>
      <c r="R10" s="566">
        <f>Q12</f>
        <v>0.95377975484381183</v>
      </c>
      <c r="S10" s="63">
        <v>0.125</v>
      </c>
      <c r="T10" s="63">
        <v>0.25</v>
      </c>
      <c r="U10" s="174"/>
      <c r="V10" s="182">
        <f t="shared" ref="V10:V11" si="13">(T10-S10)*24*60</f>
        <v>180</v>
      </c>
      <c r="W10" s="64">
        <f>T10</f>
        <v>0.25</v>
      </c>
      <c r="X10" s="64">
        <f>S11</f>
        <v>0.27013888888888887</v>
      </c>
      <c r="Y10" s="559"/>
      <c r="Z10" s="559"/>
      <c r="AA10" s="61">
        <f t="shared" si="8"/>
        <v>-70.333333333333258</v>
      </c>
      <c r="AB10" s="175">
        <f t="shared" si="9"/>
        <v>0.95311111111111113</v>
      </c>
      <c r="AC10" s="566">
        <f>AB12</f>
        <v>0.95377975484381172</v>
      </c>
    </row>
    <row r="11" spans="1:29" ht="15.75" customHeight="1">
      <c r="A11" s="594" t="s">
        <v>645</v>
      </c>
      <c r="B11" s="57" t="s">
        <v>10</v>
      </c>
      <c r="C11" s="590" t="s">
        <v>11</v>
      </c>
      <c r="D11" s="591"/>
      <c r="E11" s="57">
        <v>39.799999999999997</v>
      </c>
      <c r="F11" s="183">
        <v>6705</v>
      </c>
      <c r="G11" s="174">
        <f t="shared" si="11"/>
        <v>266859</v>
      </c>
      <c r="H11" s="184" t="s">
        <v>5</v>
      </c>
      <c r="I11" s="181">
        <v>17</v>
      </c>
      <c r="J11" s="58">
        <v>1500</v>
      </c>
      <c r="K11" s="59">
        <f t="shared" si="1"/>
        <v>88.235294117647058</v>
      </c>
      <c r="L11" s="181">
        <v>17</v>
      </c>
      <c r="M11" s="60">
        <f t="shared" si="12"/>
        <v>1431.6725978647687</v>
      </c>
      <c r="N11" s="59">
        <f t="shared" si="3"/>
        <v>84.216035168515802</v>
      </c>
      <c r="O11" s="61">
        <f t="shared" si="4"/>
        <v>0</v>
      </c>
      <c r="P11" s="62">
        <f t="shared" si="5"/>
        <v>-4.019258949131256</v>
      </c>
      <c r="Q11" s="175">
        <f t="shared" si="6"/>
        <v>0.95444839857651242</v>
      </c>
      <c r="R11" s="566"/>
      <c r="S11" s="63">
        <v>0.27013888888888887</v>
      </c>
      <c r="T11" s="63">
        <v>0.46527777777777779</v>
      </c>
      <c r="U11" s="174">
        <f t="shared" ref="U11" si="14">IF(S11=TIME(17,0,0),"",(S11-T10)*24*60)</f>
        <v>28.999999999999979</v>
      </c>
      <c r="V11" s="182">
        <f t="shared" si="13"/>
        <v>281</v>
      </c>
      <c r="W11" s="64"/>
      <c r="X11" s="64"/>
      <c r="Y11" s="559"/>
      <c r="Z11" s="559"/>
      <c r="AA11" s="61">
        <f t="shared" si="8"/>
        <v>-68.327402135231296</v>
      </c>
      <c r="AB11" s="175">
        <f t="shared" si="9"/>
        <v>0.95444839857651242</v>
      </c>
      <c r="AC11" s="566"/>
    </row>
    <row r="12" spans="1:29" ht="16.5" customHeight="1">
      <c r="A12" s="594" t="s">
        <v>645</v>
      </c>
      <c r="B12" s="57" t="s">
        <v>646</v>
      </c>
      <c r="C12" s="571"/>
      <c r="D12" s="571"/>
      <c r="E12" s="176"/>
      <c r="F12" s="58"/>
      <c r="G12" s="60"/>
      <c r="H12" s="183"/>
      <c r="I12" s="67">
        <v>18</v>
      </c>
      <c r="J12" s="58">
        <v>1500</v>
      </c>
      <c r="K12" s="59">
        <f t="shared" si="1"/>
        <v>83.333333333333329</v>
      </c>
      <c r="L12" s="67">
        <v>18</v>
      </c>
      <c r="M12" s="60">
        <f>AVERAGE(M10:M11)</f>
        <v>1430.6696322657176</v>
      </c>
      <c r="N12" s="59">
        <f t="shared" si="3"/>
        <v>79.481646236984318</v>
      </c>
      <c r="O12" s="61">
        <f t="shared" si="4"/>
        <v>0</v>
      </c>
      <c r="P12" s="62">
        <f t="shared" si="5"/>
        <v>-3.8516870963490106</v>
      </c>
      <c r="Q12" s="175">
        <f t="shared" si="6"/>
        <v>0.95377975484381183</v>
      </c>
      <c r="R12" s="566"/>
      <c r="S12" s="63"/>
      <c r="T12" s="63"/>
      <c r="U12" s="59"/>
      <c r="V12" s="182"/>
      <c r="W12" s="59"/>
      <c r="X12" s="59"/>
      <c r="Y12" s="559"/>
      <c r="Z12" s="559"/>
      <c r="AA12" s="61">
        <f t="shared" si="8"/>
        <v>-69.33036773428239</v>
      </c>
      <c r="AB12" s="175">
        <f t="shared" si="9"/>
        <v>0.95377975484381172</v>
      </c>
      <c r="AC12" s="566"/>
    </row>
    <row r="13" spans="1:29" ht="16.5" customHeight="1">
      <c r="A13" s="592" t="s">
        <v>647</v>
      </c>
      <c r="B13" s="183" t="s">
        <v>12</v>
      </c>
      <c r="C13" s="584" t="s">
        <v>13</v>
      </c>
      <c r="D13" s="584"/>
      <c r="E13" s="57">
        <v>41</v>
      </c>
      <c r="F13" s="183">
        <v>2539</v>
      </c>
      <c r="G13" s="174">
        <f t="shared" ref="G13:G17" si="15">E13*F13</f>
        <v>104099</v>
      </c>
      <c r="H13" s="184" t="s">
        <v>5</v>
      </c>
      <c r="I13" s="181">
        <v>26</v>
      </c>
      <c r="J13" s="58">
        <v>1500</v>
      </c>
      <c r="K13" s="59">
        <f t="shared" si="1"/>
        <v>57.692307692307693</v>
      </c>
      <c r="L13" s="181">
        <v>26</v>
      </c>
      <c r="M13" s="60">
        <f t="shared" ref="M13:M17" si="16">F13/V13*60</f>
        <v>1437.1698113207549</v>
      </c>
      <c r="N13" s="59">
        <f t="shared" si="3"/>
        <v>55.275761973875191</v>
      </c>
      <c r="O13" s="61">
        <f t="shared" si="4"/>
        <v>0</v>
      </c>
      <c r="P13" s="62">
        <f t="shared" si="5"/>
        <v>-2.4165457184325021</v>
      </c>
      <c r="Q13" s="175">
        <f t="shared" si="6"/>
        <v>0.95811320754717</v>
      </c>
      <c r="R13" s="566">
        <f>Q18</f>
        <v>0.95703022854458553</v>
      </c>
      <c r="S13" s="63">
        <v>0.20833333333333334</v>
      </c>
      <c r="T13" s="63">
        <v>0.28194444444444444</v>
      </c>
      <c r="U13" s="174"/>
      <c r="V13" s="182">
        <f t="shared" ref="V13:V17" si="17">(T13-S13)*24*60</f>
        <v>105.99999999999999</v>
      </c>
      <c r="W13" s="68"/>
      <c r="X13" s="68"/>
      <c r="Y13" s="559"/>
      <c r="Z13" s="559"/>
      <c r="AA13" s="61">
        <f t="shared" si="8"/>
        <v>-62.830188679245111</v>
      </c>
      <c r="AB13" s="175">
        <f t="shared" si="9"/>
        <v>0.95811320754716989</v>
      </c>
      <c r="AC13" s="566">
        <f>AB18</f>
        <v>0.95703022854458542</v>
      </c>
    </row>
    <row r="14" spans="1:29" ht="16.5" customHeight="1">
      <c r="A14" s="593" t="s">
        <v>648</v>
      </c>
      <c r="B14" s="183" t="s">
        <v>656</v>
      </c>
      <c r="C14" s="584" t="s">
        <v>236</v>
      </c>
      <c r="D14" s="584"/>
      <c r="E14" s="57">
        <v>72.400000000000006</v>
      </c>
      <c r="F14" s="183">
        <v>2209</v>
      </c>
      <c r="G14" s="174">
        <f t="shared" si="15"/>
        <v>159931.6</v>
      </c>
      <c r="H14" s="184" t="s">
        <v>5</v>
      </c>
      <c r="I14" s="181">
        <v>18</v>
      </c>
      <c r="J14" s="58">
        <v>1500</v>
      </c>
      <c r="K14" s="59">
        <f t="shared" si="1"/>
        <v>83.333333333333329</v>
      </c>
      <c r="L14" s="181">
        <v>18</v>
      </c>
      <c r="M14" s="60">
        <f t="shared" si="16"/>
        <v>1440.6521739130435</v>
      </c>
      <c r="N14" s="59">
        <f t="shared" si="3"/>
        <v>80.036231884057969</v>
      </c>
      <c r="O14" s="61">
        <f t="shared" si="4"/>
        <v>0</v>
      </c>
      <c r="P14" s="62">
        <f t="shared" si="5"/>
        <v>-3.2971014492753596</v>
      </c>
      <c r="Q14" s="175">
        <f t="shared" si="6"/>
        <v>0.96043478260869564</v>
      </c>
      <c r="R14" s="566"/>
      <c r="S14" s="63">
        <v>0.28611111111111109</v>
      </c>
      <c r="T14" s="63">
        <v>0.35</v>
      </c>
      <c r="U14" s="174">
        <f t="shared" ref="U14:U17" si="18">IF(S14=TIME(17,0,0),"",(S14-T13)*24*60)</f>
        <v>5.9999999999999787</v>
      </c>
      <c r="V14" s="182">
        <f t="shared" si="17"/>
        <v>92</v>
      </c>
      <c r="W14" s="64"/>
      <c r="X14" s="64"/>
      <c r="Y14" s="559"/>
      <c r="Z14" s="559"/>
      <c r="AA14" s="61">
        <f t="shared" si="8"/>
        <v>-59.347826086956502</v>
      </c>
      <c r="AB14" s="175">
        <f t="shared" si="9"/>
        <v>0.96043478260869564</v>
      </c>
      <c r="AC14" s="566"/>
    </row>
    <row r="15" spans="1:29" ht="16.5" customHeight="1">
      <c r="A15" s="593" t="s">
        <v>648</v>
      </c>
      <c r="B15" s="183" t="s">
        <v>6</v>
      </c>
      <c r="C15" s="584" t="s">
        <v>95</v>
      </c>
      <c r="D15" s="584"/>
      <c r="E15" s="57">
        <v>50.98</v>
      </c>
      <c r="F15" s="183">
        <v>2941</v>
      </c>
      <c r="G15" s="174">
        <f t="shared" si="15"/>
        <v>149932.18</v>
      </c>
      <c r="H15" s="184" t="s">
        <v>5</v>
      </c>
      <c r="I15" s="181">
        <v>16</v>
      </c>
      <c r="J15" s="58">
        <v>2000</v>
      </c>
      <c r="K15" s="59">
        <f t="shared" si="1"/>
        <v>125</v>
      </c>
      <c r="L15" s="181">
        <v>16</v>
      </c>
      <c r="M15" s="60">
        <f t="shared" si="16"/>
        <v>1918.0434782608695</v>
      </c>
      <c r="N15" s="59">
        <f t="shared" si="3"/>
        <v>119.87771739130434</v>
      </c>
      <c r="O15" s="61">
        <f t="shared" si="4"/>
        <v>0</v>
      </c>
      <c r="P15" s="62">
        <f t="shared" si="5"/>
        <v>-5.1222826086956559</v>
      </c>
      <c r="Q15" s="175">
        <f t="shared" si="6"/>
        <v>0.95902173913043476</v>
      </c>
      <c r="R15" s="566"/>
      <c r="S15" s="63">
        <v>0.70833333333333337</v>
      </c>
      <c r="T15" s="63">
        <v>0.77222222222222225</v>
      </c>
      <c r="U15" s="174" t="str">
        <f t="shared" si="18"/>
        <v/>
      </c>
      <c r="V15" s="182">
        <f t="shared" si="17"/>
        <v>92</v>
      </c>
      <c r="W15" s="64"/>
      <c r="X15" s="64"/>
      <c r="Y15" s="559"/>
      <c r="Z15" s="559"/>
      <c r="AA15" s="61">
        <f t="shared" si="8"/>
        <v>-81.956521739130494</v>
      </c>
      <c r="AB15" s="175">
        <f t="shared" si="9"/>
        <v>0.95902173913043476</v>
      </c>
      <c r="AC15" s="566"/>
    </row>
    <row r="16" spans="1:29" ht="16.5" customHeight="1">
      <c r="A16" s="593" t="s">
        <v>647</v>
      </c>
      <c r="B16" s="183" t="s">
        <v>6</v>
      </c>
      <c r="C16" s="584" t="s">
        <v>18</v>
      </c>
      <c r="D16" s="584"/>
      <c r="E16" s="57">
        <v>50.92</v>
      </c>
      <c r="F16" s="183">
        <v>2902</v>
      </c>
      <c r="G16" s="174">
        <f t="shared" si="15"/>
        <v>147769.84</v>
      </c>
      <c r="H16" s="184" t="s">
        <v>5</v>
      </c>
      <c r="I16" s="181">
        <v>15</v>
      </c>
      <c r="J16" s="58">
        <v>2000</v>
      </c>
      <c r="K16" s="59">
        <f t="shared" si="1"/>
        <v>133.33333333333334</v>
      </c>
      <c r="L16" s="181">
        <v>15</v>
      </c>
      <c r="M16" s="60">
        <f t="shared" si="16"/>
        <v>1913.4065934065934</v>
      </c>
      <c r="N16" s="59">
        <f t="shared" si="3"/>
        <v>127.56043956043956</v>
      </c>
      <c r="O16" s="61">
        <f t="shared" si="4"/>
        <v>0</v>
      </c>
      <c r="P16" s="62">
        <f t="shared" si="5"/>
        <v>-5.7728937728937808</v>
      </c>
      <c r="Q16" s="175">
        <f t="shared" si="6"/>
        <v>0.95670329670329668</v>
      </c>
      <c r="R16" s="566"/>
      <c r="S16" s="63">
        <v>0.77638888888888891</v>
      </c>
      <c r="T16" s="63">
        <v>0.83958333333333335</v>
      </c>
      <c r="U16" s="174">
        <f t="shared" si="18"/>
        <v>5.9999999999999787</v>
      </c>
      <c r="V16" s="182">
        <f t="shared" si="17"/>
        <v>91</v>
      </c>
      <c r="W16" s="64"/>
      <c r="X16" s="64"/>
      <c r="Y16" s="559"/>
      <c r="Z16" s="559"/>
      <c r="AA16" s="61">
        <f t="shared" si="8"/>
        <v>-86.593406593406598</v>
      </c>
      <c r="AB16" s="175">
        <f t="shared" si="9"/>
        <v>0.95670329670329668</v>
      </c>
      <c r="AC16" s="566"/>
    </row>
    <row r="17" spans="1:29" ht="16.5" customHeight="1">
      <c r="A17" s="593" t="s">
        <v>648</v>
      </c>
      <c r="B17" s="183" t="s">
        <v>6</v>
      </c>
      <c r="C17" s="584" t="s">
        <v>7</v>
      </c>
      <c r="D17" s="584"/>
      <c r="E17" s="57">
        <v>46.93</v>
      </c>
      <c r="F17" s="183">
        <v>476</v>
      </c>
      <c r="G17" s="174">
        <f t="shared" si="15"/>
        <v>22338.68</v>
      </c>
      <c r="H17" s="184" t="s">
        <v>5</v>
      </c>
      <c r="I17" s="181">
        <v>16</v>
      </c>
      <c r="J17" s="58">
        <v>2000</v>
      </c>
      <c r="K17" s="59">
        <f t="shared" si="1"/>
        <v>125</v>
      </c>
      <c r="L17" s="181">
        <v>16</v>
      </c>
      <c r="M17" s="60">
        <f t="shared" si="16"/>
        <v>1904.0000000000066</v>
      </c>
      <c r="N17" s="59">
        <f t="shared" si="3"/>
        <v>119.00000000000041</v>
      </c>
      <c r="O17" s="61">
        <f t="shared" si="4"/>
        <v>0</v>
      </c>
      <c r="P17" s="62">
        <f t="shared" si="5"/>
        <v>-5.9999999999995879</v>
      </c>
      <c r="Q17" s="175">
        <f t="shared" si="6"/>
        <v>0.95200000000000329</v>
      </c>
      <c r="R17" s="566"/>
      <c r="S17" s="63">
        <v>0.84375</v>
      </c>
      <c r="T17" s="63">
        <v>0.85416666666666663</v>
      </c>
      <c r="U17" s="174">
        <f t="shared" si="18"/>
        <v>5.9999999999999787</v>
      </c>
      <c r="V17" s="182">
        <f t="shared" si="17"/>
        <v>14.999999999999947</v>
      </c>
      <c r="W17" s="64"/>
      <c r="X17" s="64"/>
      <c r="Y17" s="559"/>
      <c r="Z17" s="559"/>
      <c r="AA17" s="61">
        <f t="shared" si="8"/>
        <v>-95.999999999993406</v>
      </c>
      <c r="AB17" s="175">
        <f t="shared" si="9"/>
        <v>0.95200000000000329</v>
      </c>
      <c r="AC17" s="566"/>
    </row>
    <row r="18" spans="1:29" ht="16.5" customHeight="1">
      <c r="A18" s="593" t="s">
        <v>648</v>
      </c>
      <c r="B18" s="57" t="s">
        <v>646</v>
      </c>
      <c r="C18" s="571"/>
      <c r="D18" s="571"/>
      <c r="E18" s="176"/>
      <c r="F18" s="66"/>
      <c r="G18" s="59"/>
      <c r="H18" s="183"/>
      <c r="I18" s="67">
        <v>18.2</v>
      </c>
      <c r="J18" s="58">
        <v>1800</v>
      </c>
      <c r="K18" s="59">
        <f t="shared" si="1"/>
        <v>98.901098901098905</v>
      </c>
      <c r="L18" s="67">
        <v>18.2</v>
      </c>
      <c r="M18" s="60">
        <f>AVERAGE(M13:M17)</f>
        <v>1722.6544113802538</v>
      </c>
      <c r="N18" s="59">
        <f t="shared" si="3"/>
        <v>94.651341284629339</v>
      </c>
      <c r="O18" s="61">
        <f t="shared" si="4"/>
        <v>0</v>
      </c>
      <c r="P18" s="62">
        <f t="shared" si="5"/>
        <v>-4.2497576164695658</v>
      </c>
      <c r="Q18" s="175">
        <f t="shared" si="6"/>
        <v>0.95703022854458553</v>
      </c>
      <c r="R18" s="566"/>
      <c r="S18" s="63"/>
      <c r="T18" s="63"/>
      <c r="U18" s="174"/>
      <c r="V18" s="182"/>
      <c r="W18" s="59"/>
      <c r="X18" s="59"/>
      <c r="Y18" s="559"/>
      <c r="Z18" s="559"/>
      <c r="AA18" s="61">
        <f t="shared" si="8"/>
        <v>-77.345588619746195</v>
      </c>
      <c r="AB18" s="175">
        <f t="shared" si="9"/>
        <v>0.95703022854458542</v>
      </c>
      <c r="AC18" s="566"/>
    </row>
    <row r="19" spans="1:29" ht="15.75" customHeight="1">
      <c r="A19" s="588" t="s">
        <v>649</v>
      </c>
      <c r="B19" s="57" t="s">
        <v>12</v>
      </c>
      <c r="C19" s="584" t="s">
        <v>19</v>
      </c>
      <c r="D19" s="584"/>
      <c r="E19" s="57">
        <v>43.14</v>
      </c>
      <c r="F19" s="183">
        <v>1335</v>
      </c>
      <c r="G19" s="174">
        <f t="shared" ref="G19:G26" si="19">E19*F19</f>
        <v>57591.9</v>
      </c>
      <c r="H19" s="184" t="s">
        <v>5</v>
      </c>
      <c r="I19" s="181">
        <v>17</v>
      </c>
      <c r="J19" s="58">
        <v>2000</v>
      </c>
      <c r="K19" s="59">
        <f t="shared" si="1"/>
        <v>117.64705882352941</v>
      </c>
      <c r="L19" s="181">
        <v>17</v>
      </c>
      <c r="M19" s="60">
        <f t="shared" ref="M19:M26" si="20">F19/V19*60</f>
        <v>1907.1428571428564</v>
      </c>
      <c r="N19" s="59">
        <f t="shared" si="3"/>
        <v>112.1848739495798</v>
      </c>
      <c r="O19" s="61">
        <f t="shared" si="4"/>
        <v>0</v>
      </c>
      <c r="P19" s="62">
        <f t="shared" si="5"/>
        <v>-5.4621848739496102</v>
      </c>
      <c r="Q19" s="175">
        <f t="shared" si="6"/>
        <v>0.95357142857142829</v>
      </c>
      <c r="R19" s="566">
        <f>Q27</f>
        <v>0.95802370878309195</v>
      </c>
      <c r="S19" s="63">
        <v>0.20833333333333334</v>
      </c>
      <c r="T19" s="63">
        <v>0.23750000000000002</v>
      </c>
      <c r="U19" s="174"/>
      <c r="V19" s="182">
        <f t="shared" ref="V19:V26" si="21">(T19-S19)*24*60</f>
        <v>42.000000000000014</v>
      </c>
      <c r="W19" s="68"/>
      <c r="X19" s="68"/>
      <c r="Y19" s="559"/>
      <c r="Z19" s="559"/>
      <c r="AA19" s="61">
        <f t="shared" si="8"/>
        <v>-92.857142857143572</v>
      </c>
      <c r="AB19" s="175">
        <f t="shared" si="9"/>
        <v>0.95357142857142818</v>
      </c>
      <c r="AC19" s="566">
        <f>AB27</f>
        <v>0.95802370878309195</v>
      </c>
    </row>
    <row r="20" spans="1:29" ht="15.75" customHeight="1">
      <c r="A20" s="589" t="s">
        <v>650</v>
      </c>
      <c r="B20" s="57" t="s">
        <v>65</v>
      </c>
      <c r="C20" s="584" t="s">
        <v>97</v>
      </c>
      <c r="D20" s="584"/>
      <c r="E20" s="57">
        <v>49.9</v>
      </c>
      <c r="F20" s="183">
        <v>1753</v>
      </c>
      <c r="G20" s="174">
        <f t="shared" si="19"/>
        <v>87474.7</v>
      </c>
      <c r="H20" s="184" t="s">
        <v>5</v>
      </c>
      <c r="I20" s="181">
        <v>17</v>
      </c>
      <c r="J20" s="58">
        <v>2000</v>
      </c>
      <c r="K20" s="59">
        <f t="shared" si="1"/>
        <v>117.64705882352941</v>
      </c>
      <c r="L20" s="181">
        <v>17</v>
      </c>
      <c r="M20" s="60">
        <f t="shared" si="20"/>
        <v>1912.3636363636376</v>
      </c>
      <c r="N20" s="59">
        <f t="shared" si="3"/>
        <v>112.49197860962575</v>
      </c>
      <c r="O20" s="61">
        <f t="shared" si="4"/>
        <v>0</v>
      </c>
      <c r="P20" s="62">
        <f t="shared" si="5"/>
        <v>-5.1550802139036591</v>
      </c>
      <c r="Q20" s="175">
        <f t="shared" si="6"/>
        <v>0.95618181818181891</v>
      </c>
      <c r="R20" s="566"/>
      <c r="S20" s="63">
        <v>0.24236111111111114</v>
      </c>
      <c r="T20" s="63">
        <v>0.28055555555555556</v>
      </c>
      <c r="U20" s="174">
        <f t="shared" ref="U20:U26" si="22">IF(S20=TIME(17,0,0),"",(S20-T19)*24*60)</f>
        <v>7.0000000000000151</v>
      </c>
      <c r="V20" s="182">
        <f t="shared" si="21"/>
        <v>54.999999999999964</v>
      </c>
      <c r="W20" s="64"/>
      <c r="X20" s="174"/>
      <c r="Y20" s="559"/>
      <c r="Z20" s="559"/>
      <c r="AA20" s="61">
        <f t="shared" si="8"/>
        <v>-87.636363636362375</v>
      </c>
      <c r="AB20" s="175">
        <f t="shared" si="9"/>
        <v>0.9561818181818188</v>
      </c>
      <c r="AC20" s="566"/>
    </row>
    <row r="21" spans="1:29" ht="15.75" customHeight="1">
      <c r="A21" s="589" t="s">
        <v>649</v>
      </c>
      <c r="B21" s="57" t="s">
        <v>6</v>
      </c>
      <c r="C21" s="584" t="s">
        <v>20</v>
      </c>
      <c r="D21" s="584"/>
      <c r="E21" s="57">
        <v>57.73</v>
      </c>
      <c r="F21" s="183">
        <v>2903</v>
      </c>
      <c r="G21" s="174">
        <f t="shared" si="19"/>
        <v>167590.19</v>
      </c>
      <c r="H21" s="184" t="s">
        <v>5</v>
      </c>
      <c r="I21" s="181">
        <v>14</v>
      </c>
      <c r="J21" s="58">
        <v>2000</v>
      </c>
      <c r="K21" s="59">
        <f t="shared" si="1"/>
        <v>142.85714285714286</v>
      </c>
      <c r="L21" s="181">
        <v>14</v>
      </c>
      <c r="M21" s="60">
        <f t="shared" si="20"/>
        <v>1914.065934065934</v>
      </c>
      <c r="N21" s="59">
        <f t="shared" si="3"/>
        <v>136.71899529042386</v>
      </c>
      <c r="O21" s="61">
        <f t="shared" si="4"/>
        <v>0</v>
      </c>
      <c r="P21" s="62">
        <f t="shared" si="5"/>
        <v>-6.1381475667189989</v>
      </c>
      <c r="Q21" s="175">
        <f t="shared" si="6"/>
        <v>0.95703296703296703</v>
      </c>
      <c r="R21" s="566"/>
      <c r="S21" s="63">
        <v>0.28472222222222221</v>
      </c>
      <c r="T21" s="63">
        <v>0.34791666666666665</v>
      </c>
      <c r="U21" s="174">
        <f t="shared" si="22"/>
        <v>5.9999999999999787</v>
      </c>
      <c r="V21" s="182">
        <f t="shared" si="21"/>
        <v>91</v>
      </c>
      <c r="W21" s="64"/>
      <c r="X21" s="174"/>
      <c r="Y21" s="559"/>
      <c r="Z21" s="559"/>
      <c r="AA21" s="61">
        <f t="shared" si="8"/>
        <v>-85.934065934065984</v>
      </c>
      <c r="AB21" s="175">
        <f t="shared" si="9"/>
        <v>0.95703296703296703</v>
      </c>
      <c r="AC21" s="566"/>
    </row>
    <row r="22" spans="1:29" ht="15.75" customHeight="1">
      <c r="A22" s="589" t="s">
        <v>649</v>
      </c>
      <c r="B22" s="57" t="s">
        <v>6</v>
      </c>
      <c r="C22" s="584" t="s">
        <v>21</v>
      </c>
      <c r="D22" s="584"/>
      <c r="E22" s="57">
        <v>53.68</v>
      </c>
      <c r="F22" s="183">
        <v>1867</v>
      </c>
      <c r="G22" s="174">
        <f t="shared" si="19"/>
        <v>100220.56</v>
      </c>
      <c r="H22" s="184" t="s">
        <v>5</v>
      </c>
      <c r="I22" s="181">
        <v>16</v>
      </c>
      <c r="J22" s="58">
        <v>2000</v>
      </c>
      <c r="K22" s="59">
        <f t="shared" si="1"/>
        <v>125</v>
      </c>
      <c r="L22" s="181">
        <v>16</v>
      </c>
      <c r="M22" s="60">
        <f t="shared" si="20"/>
        <v>1931.3793103448263</v>
      </c>
      <c r="N22" s="59">
        <f t="shared" si="3"/>
        <v>120.71120689655164</v>
      </c>
      <c r="O22" s="61">
        <f t="shared" si="4"/>
        <v>0</v>
      </c>
      <c r="P22" s="62">
        <f t="shared" si="5"/>
        <v>-4.2887931034483557</v>
      </c>
      <c r="Q22" s="175">
        <f t="shared" si="6"/>
        <v>0.96568965517241312</v>
      </c>
      <c r="R22" s="566"/>
      <c r="S22" s="63">
        <v>0.3520833333333333</v>
      </c>
      <c r="T22" s="63">
        <v>0.3923611111111111</v>
      </c>
      <c r="U22" s="174">
        <f t="shared" si="22"/>
        <v>5.9999999999999787</v>
      </c>
      <c r="V22" s="182">
        <f t="shared" si="21"/>
        <v>58.000000000000036</v>
      </c>
      <c r="W22" s="64"/>
      <c r="X22" s="174"/>
      <c r="Y22" s="559"/>
      <c r="Z22" s="559"/>
      <c r="AA22" s="61">
        <f t="shared" si="8"/>
        <v>-68.620689655173692</v>
      </c>
      <c r="AB22" s="175">
        <f t="shared" si="9"/>
        <v>0.96568965517241312</v>
      </c>
      <c r="AC22" s="566"/>
    </row>
    <row r="23" spans="1:29" ht="15.75" customHeight="1">
      <c r="A23" s="589" t="s">
        <v>649</v>
      </c>
      <c r="B23" s="57" t="s">
        <v>6</v>
      </c>
      <c r="C23" s="584" t="s">
        <v>96</v>
      </c>
      <c r="D23" s="584"/>
      <c r="E23" s="57">
        <v>49.91</v>
      </c>
      <c r="F23" s="183">
        <v>1561</v>
      </c>
      <c r="G23" s="174">
        <f t="shared" si="19"/>
        <v>77909.509999999995</v>
      </c>
      <c r="H23" s="184" t="s">
        <v>5</v>
      </c>
      <c r="I23" s="181">
        <v>17</v>
      </c>
      <c r="J23" s="58">
        <v>2000</v>
      </c>
      <c r="K23" s="59">
        <f t="shared" si="1"/>
        <v>117.64705882352941</v>
      </c>
      <c r="L23" s="181">
        <v>17</v>
      </c>
      <c r="M23" s="60">
        <f t="shared" si="20"/>
        <v>1911.4285714285718</v>
      </c>
      <c r="N23" s="59">
        <f t="shared" si="3"/>
        <v>112.43697478991599</v>
      </c>
      <c r="O23" s="61">
        <f t="shared" si="4"/>
        <v>0</v>
      </c>
      <c r="P23" s="62">
        <f t="shared" si="5"/>
        <v>-5.2100840336134127</v>
      </c>
      <c r="Q23" s="175">
        <f t="shared" si="6"/>
        <v>0.95571428571428596</v>
      </c>
      <c r="R23" s="566"/>
      <c r="S23" s="63">
        <v>0.39583333333333331</v>
      </c>
      <c r="T23" s="63">
        <v>0.42986111111111108</v>
      </c>
      <c r="U23" s="174">
        <f t="shared" si="22"/>
        <v>4.9999999999999822</v>
      </c>
      <c r="V23" s="182">
        <f t="shared" si="21"/>
        <v>48.999999999999986</v>
      </c>
      <c r="W23" s="64"/>
      <c r="X23" s="174"/>
      <c r="Y23" s="559"/>
      <c r="Z23" s="559"/>
      <c r="AA23" s="61">
        <f t="shared" si="8"/>
        <v>-88.571428571428214</v>
      </c>
      <c r="AB23" s="175">
        <f t="shared" si="9"/>
        <v>0.95571428571428585</v>
      </c>
      <c r="AC23" s="566"/>
    </row>
    <row r="24" spans="1:29" ht="15.75" customHeight="1">
      <c r="A24" s="589" t="s">
        <v>650</v>
      </c>
      <c r="B24" s="57" t="s">
        <v>6</v>
      </c>
      <c r="C24" s="584" t="s">
        <v>22</v>
      </c>
      <c r="D24" s="584"/>
      <c r="E24" s="57">
        <v>54.09</v>
      </c>
      <c r="F24" s="183">
        <v>1888</v>
      </c>
      <c r="G24" s="174">
        <f t="shared" si="19"/>
        <v>102121.92000000001</v>
      </c>
      <c r="H24" s="184" t="s">
        <v>5</v>
      </c>
      <c r="I24" s="181">
        <v>19</v>
      </c>
      <c r="J24" s="58">
        <v>2000</v>
      </c>
      <c r="K24" s="59">
        <f t="shared" si="1"/>
        <v>105.26315789473684</v>
      </c>
      <c r="L24" s="181">
        <v>19</v>
      </c>
      <c r="M24" s="60">
        <f t="shared" si="20"/>
        <v>1920.0000000000018</v>
      </c>
      <c r="N24" s="59">
        <f t="shared" si="3"/>
        <v>101.05263157894747</v>
      </c>
      <c r="O24" s="61">
        <f t="shared" si="4"/>
        <v>0</v>
      </c>
      <c r="P24" s="62">
        <f t="shared" si="5"/>
        <v>-4.210526315789366</v>
      </c>
      <c r="Q24" s="175">
        <f t="shared" si="6"/>
        <v>0.96000000000000107</v>
      </c>
      <c r="R24" s="566"/>
      <c r="S24" s="63">
        <v>0.70833333333333337</v>
      </c>
      <c r="T24" s="63">
        <v>0.74930555555555556</v>
      </c>
      <c r="U24" s="174" t="str">
        <f t="shared" si="22"/>
        <v/>
      </c>
      <c r="V24" s="182">
        <f t="shared" si="21"/>
        <v>58.99999999999995</v>
      </c>
      <c r="W24" s="64"/>
      <c r="X24" s="68"/>
      <c r="Y24" s="559"/>
      <c r="Z24" s="559"/>
      <c r="AA24" s="61">
        <f t="shared" si="8"/>
        <v>-79.999999999998181</v>
      </c>
      <c r="AB24" s="175">
        <f t="shared" si="9"/>
        <v>0.96000000000000096</v>
      </c>
      <c r="AC24" s="566"/>
    </row>
    <row r="25" spans="1:29" ht="15.75" customHeight="1">
      <c r="A25" s="589" t="s">
        <v>649</v>
      </c>
      <c r="B25" s="57" t="s">
        <v>6</v>
      </c>
      <c r="C25" s="584" t="s">
        <v>69</v>
      </c>
      <c r="D25" s="584"/>
      <c r="E25" s="57">
        <v>57.73</v>
      </c>
      <c r="F25" s="183">
        <v>1701</v>
      </c>
      <c r="G25" s="174">
        <f t="shared" si="19"/>
        <v>98198.73</v>
      </c>
      <c r="H25" s="184" t="s">
        <v>5</v>
      </c>
      <c r="I25" s="181">
        <v>16</v>
      </c>
      <c r="J25" s="58">
        <v>1500</v>
      </c>
      <c r="K25" s="59">
        <f t="shared" si="1"/>
        <v>93.75</v>
      </c>
      <c r="L25" s="181">
        <v>16</v>
      </c>
      <c r="M25" s="60">
        <f t="shared" si="20"/>
        <v>1437.4647887323929</v>
      </c>
      <c r="N25" s="59">
        <f t="shared" si="3"/>
        <v>89.841549295774556</v>
      </c>
      <c r="O25" s="61">
        <f t="shared" si="4"/>
        <v>0</v>
      </c>
      <c r="P25" s="62">
        <f t="shared" si="5"/>
        <v>-3.9084507042254444</v>
      </c>
      <c r="Q25" s="175">
        <f t="shared" si="6"/>
        <v>0.95830985915492861</v>
      </c>
      <c r="R25" s="566"/>
      <c r="S25" s="63">
        <v>0.75347222222222221</v>
      </c>
      <c r="T25" s="63">
        <v>0.80277777777777781</v>
      </c>
      <c r="U25" s="174">
        <f t="shared" si="22"/>
        <v>5.9999999999999787</v>
      </c>
      <c r="V25" s="182">
        <f t="shared" si="21"/>
        <v>71.000000000000071</v>
      </c>
      <c r="W25" s="64"/>
      <c r="X25" s="68"/>
      <c r="Y25" s="569"/>
      <c r="Z25" s="570"/>
      <c r="AA25" s="61">
        <f t="shared" si="8"/>
        <v>-62.53521126760711</v>
      </c>
      <c r="AB25" s="175">
        <f t="shared" si="9"/>
        <v>0.95830985915492861</v>
      </c>
      <c r="AC25" s="566"/>
    </row>
    <row r="26" spans="1:29" ht="15.75" customHeight="1">
      <c r="A26" s="589" t="s">
        <v>649</v>
      </c>
      <c r="B26" s="57" t="s">
        <v>6</v>
      </c>
      <c r="C26" s="585" t="s">
        <v>68</v>
      </c>
      <c r="D26" s="586"/>
      <c r="E26" s="57">
        <v>50.67</v>
      </c>
      <c r="F26" s="183">
        <v>2139</v>
      </c>
      <c r="G26" s="174">
        <f t="shared" si="19"/>
        <v>108383.13</v>
      </c>
      <c r="H26" s="184" t="s">
        <v>5</v>
      </c>
      <c r="I26" s="181">
        <v>15</v>
      </c>
      <c r="J26" s="58">
        <v>2000</v>
      </c>
      <c r="K26" s="59">
        <f t="shared" si="1"/>
        <v>133.33333333333334</v>
      </c>
      <c r="L26" s="181">
        <v>15</v>
      </c>
      <c r="M26" s="60">
        <f t="shared" si="20"/>
        <v>1915.5223880597039</v>
      </c>
      <c r="N26" s="59">
        <f t="shared" si="3"/>
        <v>127.7014925373136</v>
      </c>
      <c r="O26" s="61">
        <f t="shared" si="4"/>
        <v>0</v>
      </c>
      <c r="P26" s="62">
        <f t="shared" si="5"/>
        <v>-5.6318407960197447</v>
      </c>
      <c r="Q26" s="175">
        <f t="shared" si="6"/>
        <v>0.95776119402985194</v>
      </c>
      <c r="R26" s="566"/>
      <c r="S26" s="63">
        <v>0.80694444444444446</v>
      </c>
      <c r="T26" s="63">
        <v>0.85347222222222219</v>
      </c>
      <c r="U26" s="174">
        <f t="shared" si="22"/>
        <v>5.9999999999999787</v>
      </c>
      <c r="V26" s="182">
        <f t="shared" si="21"/>
        <v>66.999999999999915</v>
      </c>
      <c r="W26" s="64"/>
      <c r="X26" s="64"/>
      <c r="Y26" s="569"/>
      <c r="Z26" s="570"/>
      <c r="AA26" s="61">
        <f t="shared" si="8"/>
        <v>-84.477611940296129</v>
      </c>
      <c r="AB26" s="175">
        <f t="shared" si="9"/>
        <v>0.95776119402985194</v>
      </c>
      <c r="AC26" s="566"/>
    </row>
    <row r="27" spans="1:29" ht="15.75" customHeight="1">
      <c r="A27" s="589" t="s">
        <v>649</v>
      </c>
      <c r="B27" s="57" t="s">
        <v>646</v>
      </c>
      <c r="C27" s="571"/>
      <c r="D27" s="571"/>
      <c r="E27" s="176"/>
      <c r="F27" s="183"/>
      <c r="G27" s="174"/>
      <c r="H27" s="183"/>
      <c r="I27" s="67">
        <v>16.375</v>
      </c>
      <c r="J27" s="58">
        <v>1937.5</v>
      </c>
      <c r="K27" s="59">
        <f t="shared" si="1"/>
        <v>118.32061068702291</v>
      </c>
      <c r="L27" s="67">
        <v>16.375</v>
      </c>
      <c r="M27" s="60">
        <f>AVERAGE(M19:M26)</f>
        <v>1856.1709357672407</v>
      </c>
      <c r="N27" s="59">
        <f t="shared" si="3"/>
        <v>113.35395027586203</v>
      </c>
      <c r="O27" s="61">
        <f t="shared" si="4"/>
        <v>0</v>
      </c>
      <c r="P27" s="62">
        <f t="shared" si="5"/>
        <v>-4.9666604111608734</v>
      </c>
      <c r="Q27" s="175">
        <f t="shared" si="6"/>
        <v>0.95802370878309195</v>
      </c>
      <c r="R27" s="566"/>
      <c r="S27" s="63"/>
      <c r="T27" s="63"/>
      <c r="U27" s="59"/>
      <c r="V27" s="182"/>
      <c r="W27" s="59"/>
      <c r="X27" s="59"/>
      <c r="Y27" s="559"/>
      <c r="Z27" s="559"/>
      <c r="AA27" s="61">
        <f t="shared" si="8"/>
        <v>-81.329064232759265</v>
      </c>
      <c r="AB27" s="175">
        <f t="shared" si="9"/>
        <v>0.95802370878309195</v>
      </c>
      <c r="AC27" s="566"/>
    </row>
    <row r="28" spans="1:29" ht="15.75" customHeight="1">
      <c r="A28" s="587" t="s">
        <v>651</v>
      </c>
      <c r="B28" s="57" t="s">
        <v>15</v>
      </c>
      <c r="C28" s="584" t="s">
        <v>26</v>
      </c>
      <c r="D28" s="584"/>
      <c r="E28" s="57">
        <v>31.29</v>
      </c>
      <c r="F28" s="183">
        <v>4800</v>
      </c>
      <c r="G28" s="174">
        <f t="shared" ref="G28:G35" si="23">E28*F28</f>
        <v>150192</v>
      </c>
      <c r="H28" s="184">
        <v>2</v>
      </c>
      <c r="I28" s="181">
        <v>18</v>
      </c>
      <c r="J28" s="58">
        <v>2400</v>
      </c>
      <c r="K28" s="59">
        <f t="shared" si="1"/>
        <v>133.33333333333334</v>
      </c>
      <c r="L28" s="181">
        <v>18</v>
      </c>
      <c r="M28" s="60">
        <f t="shared" ref="M28:M35" si="24">F28/V28*60</f>
        <v>2285.7142857142858</v>
      </c>
      <c r="N28" s="59">
        <f t="shared" si="3"/>
        <v>126.98412698412699</v>
      </c>
      <c r="O28" s="61">
        <f t="shared" si="4"/>
        <v>0</v>
      </c>
      <c r="P28" s="62">
        <f t="shared" si="5"/>
        <v>-6.3492063492063551</v>
      </c>
      <c r="Q28" s="175">
        <f t="shared" si="6"/>
        <v>0.95238095238095233</v>
      </c>
      <c r="R28" s="566">
        <f>Q36</f>
        <v>0.9552390038932802</v>
      </c>
      <c r="S28" s="63">
        <v>8.3333333333333329E-2</v>
      </c>
      <c r="T28" s="63">
        <v>0.17083333333333334</v>
      </c>
      <c r="U28" s="174"/>
      <c r="V28" s="182">
        <f t="shared" ref="V28:V35" si="25">(T28-S28)*24*60</f>
        <v>126</v>
      </c>
      <c r="W28" s="64">
        <f>T28</f>
        <v>0.17083333333333334</v>
      </c>
      <c r="X28" s="64">
        <f>S29</f>
        <v>0.19166666666666668</v>
      </c>
      <c r="Y28" s="559"/>
      <c r="Z28" s="559"/>
      <c r="AA28" s="61">
        <f t="shared" si="8"/>
        <v>-114.28571428571422</v>
      </c>
      <c r="AB28" s="175">
        <f t="shared" si="9"/>
        <v>0.95238095238095244</v>
      </c>
      <c r="AC28" s="566">
        <f>AB36</f>
        <v>0.95523900389328031</v>
      </c>
    </row>
    <row r="29" spans="1:29" ht="15.75" customHeight="1">
      <c r="A29" s="587" t="s">
        <v>651</v>
      </c>
      <c r="B29" s="57" t="s">
        <v>15</v>
      </c>
      <c r="C29" s="584" t="s">
        <v>23</v>
      </c>
      <c r="D29" s="584"/>
      <c r="E29" s="57">
        <v>26.2</v>
      </c>
      <c r="F29" s="183">
        <v>3500</v>
      </c>
      <c r="G29" s="174">
        <f t="shared" si="23"/>
        <v>91700</v>
      </c>
      <c r="H29" s="184">
        <v>2</v>
      </c>
      <c r="I29" s="181">
        <v>20</v>
      </c>
      <c r="J29" s="58">
        <v>2400</v>
      </c>
      <c r="K29" s="59">
        <f t="shared" si="1"/>
        <v>120</v>
      </c>
      <c r="L29" s="181">
        <v>20</v>
      </c>
      <c r="M29" s="60">
        <f t="shared" si="24"/>
        <v>2307.692307692309</v>
      </c>
      <c r="N29" s="59">
        <f t="shared" si="3"/>
        <v>115.38461538461544</v>
      </c>
      <c r="O29" s="61">
        <f t="shared" si="4"/>
        <v>0</v>
      </c>
      <c r="P29" s="62">
        <f t="shared" si="5"/>
        <v>-4.6153846153845564</v>
      </c>
      <c r="Q29" s="175">
        <f t="shared" si="6"/>
        <v>0.96153846153846201</v>
      </c>
      <c r="R29" s="566"/>
      <c r="S29" s="63">
        <v>0.19166666666666668</v>
      </c>
      <c r="T29" s="63">
        <v>0.25486111111111109</v>
      </c>
      <c r="U29" s="174">
        <f t="shared" ref="U29:U35" si="26">(S29-T28)*24*60</f>
        <v>30.000000000000014</v>
      </c>
      <c r="V29" s="182">
        <f t="shared" si="25"/>
        <v>90.999999999999957</v>
      </c>
      <c r="W29" s="64"/>
      <c r="X29" s="64"/>
      <c r="Y29" s="559"/>
      <c r="Z29" s="559"/>
      <c r="AA29" s="61">
        <f t="shared" si="8"/>
        <v>-92.307692307691013</v>
      </c>
      <c r="AB29" s="175">
        <f t="shared" si="9"/>
        <v>0.96153846153846212</v>
      </c>
      <c r="AC29" s="566"/>
    </row>
    <row r="30" spans="1:29" ht="15.75" customHeight="1">
      <c r="A30" s="587" t="s">
        <v>651</v>
      </c>
      <c r="B30" s="57" t="s">
        <v>15</v>
      </c>
      <c r="C30" s="584" t="s">
        <v>70</v>
      </c>
      <c r="D30" s="584"/>
      <c r="E30" s="57">
        <v>25.99</v>
      </c>
      <c r="F30" s="183">
        <v>3200</v>
      </c>
      <c r="G30" s="174">
        <f t="shared" si="23"/>
        <v>83168</v>
      </c>
      <c r="H30" s="184">
        <v>2</v>
      </c>
      <c r="I30" s="181">
        <v>14</v>
      </c>
      <c r="J30" s="58">
        <v>2400</v>
      </c>
      <c r="K30" s="59">
        <f t="shared" si="1"/>
        <v>171.42857142857142</v>
      </c>
      <c r="L30" s="181">
        <v>14</v>
      </c>
      <c r="M30" s="60">
        <f t="shared" si="24"/>
        <v>2285.7142857142849</v>
      </c>
      <c r="N30" s="59">
        <f t="shared" si="3"/>
        <v>163.26530612244892</v>
      </c>
      <c r="O30" s="61">
        <f t="shared" si="4"/>
        <v>0</v>
      </c>
      <c r="P30" s="62">
        <f t="shared" si="5"/>
        <v>-8.1632653061224971</v>
      </c>
      <c r="Q30" s="175">
        <f t="shared" si="6"/>
        <v>0.95238095238095211</v>
      </c>
      <c r="R30" s="566"/>
      <c r="S30" s="63">
        <v>0.25972222222222219</v>
      </c>
      <c r="T30" s="63">
        <v>0.31805555555555554</v>
      </c>
      <c r="U30" s="174">
        <f t="shared" si="26"/>
        <v>6.9999999999999751</v>
      </c>
      <c r="V30" s="182">
        <f t="shared" si="25"/>
        <v>84.000000000000028</v>
      </c>
      <c r="W30" s="64"/>
      <c r="X30" s="64"/>
      <c r="Y30" s="559"/>
      <c r="Z30" s="559"/>
      <c r="AA30" s="61">
        <f t="shared" si="8"/>
        <v>-114.28571428571513</v>
      </c>
      <c r="AB30" s="175">
        <f t="shared" si="9"/>
        <v>0.952380952380952</v>
      </c>
      <c r="AC30" s="566"/>
    </row>
    <row r="31" spans="1:29" ht="15.75" customHeight="1">
      <c r="A31" s="587" t="s">
        <v>652</v>
      </c>
      <c r="B31" s="57" t="s">
        <v>15</v>
      </c>
      <c r="C31" s="584" t="s">
        <v>45</v>
      </c>
      <c r="D31" s="584"/>
      <c r="E31" s="57">
        <v>20.52</v>
      </c>
      <c r="F31" s="183">
        <v>4960</v>
      </c>
      <c r="G31" s="174">
        <f t="shared" si="23"/>
        <v>101779.2</v>
      </c>
      <c r="H31" s="184" t="s">
        <v>5</v>
      </c>
      <c r="I31" s="181">
        <v>18</v>
      </c>
      <c r="J31" s="58">
        <v>2400</v>
      </c>
      <c r="K31" s="59">
        <f t="shared" si="1"/>
        <v>133.33333333333334</v>
      </c>
      <c r="L31" s="181">
        <v>18</v>
      </c>
      <c r="M31" s="60">
        <f t="shared" si="24"/>
        <v>2289.2307692307686</v>
      </c>
      <c r="N31" s="59">
        <f t="shared" si="3"/>
        <v>127.17948717948714</v>
      </c>
      <c r="O31" s="61">
        <f t="shared" si="4"/>
        <v>0</v>
      </c>
      <c r="P31" s="62">
        <f t="shared" si="5"/>
        <v>-6.153846153846203</v>
      </c>
      <c r="Q31" s="175">
        <f t="shared" si="6"/>
        <v>0.95384615384615346</v>
      </c>
      <c r="R31" s="566"/>
      <c r="S31" s="63">
        <v>0.32222222222222219</v>
      </c>
      <c r="T31" s="63">
        <v>0.41249999999999998</v>
      </c>
      <c r="U31" s="174">
        <f t="shared" si="26"/>
        <v>5.9999999999999787</v>
      </c>
      <c r="V31" s="182">
        <f t="shared" si="25"/>
        <v>130.00000000000003</v>
      </c>
      <c r="W31" s="64"/>
      <c r="X31" s="64"/>
      <c r="Y31" s="559"/>
      <c r="Z31" s="559"/>
      <c r="AA31" s="61">
        <f t="shared" si="8"/>
        <v>-110.7692307692314</v>
      </c>
      <c r="AB31" s="175">
        <f t="shared" si="9"/>
        <v>0.95384615384615357</v>
      </c>
      <c r="AC31" s="566"/>
    </row>
    <row r="32" spans="1:29" ht="15.75" customHeight="1">
      <c r="A32" s="587" t="s">
        <v>652</v>
      </c>
      <c r="B32" s="57" t="s">
        <v>15</v>
      </c>
      <c r="C32" s="584" t="s">
        <v>98</v>
      </c>
      <c r="D32" s="584"/>
      <c r="E32" s="57">
        <v>25.98</v>
      </c>
      <c r="F32" s="183">
        <v>4766</v>
      </c>
      <c r="G32" s="174">
        <f t="shared" si="23"/>
        <v>123820.68000000001</v>
      </c>
      <c r="H32" s="184" t="s">
        <v>5</v>
      </c>
      <c r="I32" s="181">
        <v>21</v>
      </c>
      <c r="J32" s="58">
        <v>2400</v>
      </c>
      <c r="K32" s="59">
        <f t="shared" si="1"/>
        <v>114.28571428571429</v>
      </c>
      <c r="L32" s="181">
        <v>21</v>
      </c>
      <c r="M32" s="60">
        <f t="shared" si="24"/>
        <v>2287.6799999999994</v>
      </c>
      <c r="N32" s="59">
        <f t="shared" si="3"/>
        <v>108.93714285714283</v>
      </c>
      <c r="O32" s="61">
        <f t="shared" si="4"/>
        <v>0</v>
      </c>
      <c r="P32" s="62">
        <f t="shared" si="5"/>
        <v>-5.3485714285714607</v>
      </c>
      <c r="Q32" s="175">
        <f t="shared" si="6"/>
        <v>0.95319999999999971</v>
      </c>
      <c r="R32" s="566"/>
      <c r="S32" s="63">
        <v>0.41597222222222219</v>
      </c>
      <c r="T32" s="63">
        <v>0.50277777777777777</v>
      </c>
      <c r="U32" s="174">
        <f t="shared" si="26"/>
        <v>4.9999999999999822</v>
      </c>
      <c r="V32" s="182">
        <f t="shared" si="25"/>
        <v>125.00000000000003</v>
      </c>
      <c r="W32" s="64">
        <f>T32</f>
        <v>0.50277777777777777</v>
      </c>
      <c r="X32" s="64">
        <f>S33</f>
        <v>0.5444444444444444</v>
      </c>
      <c r="Y32" s="559"/>
      <c r="Z32" s="559"/>
      <c r="AA32" s="61">
        <f t="shared" si="8"/>
        <v>-112.32000000000062</v>
      </c>
      <c r="AB32" s="175">
        <f t="shared" si="9"/>
        <v>0.95319999999999971</v>
      </c>
      <c r="AC32" s="566"/>
    </row>
    <row r="33" spans="1:29" ht="15.75" customHeight="1">
      <c r="A33" s="587" t="s">
        <v>652</v>
      </c>
      <c r="B33" s="57" t="s">
        <v>15</v>
      </c>
      <c r="C33" s="584" t="s">
        <v>26</v>
      </c>
      <c r="D33" s="584"/>
      <c r="E33" s="57">
        <v>31.29</v>
      </c>
      <c r="F33" s="183">
        <v>5097</v>
      </c>
      <c r="G33" s="174">
        <f t="shared" si="23"/>
        <v>159485.13</v>
      </c>
      <c r="H33" s="184" t="s">
        <v>5</v>
      </c>
      <c r="I33" s="181">
        <v>18</v>
      </c>
      <c r="J33" s="58">
        <v>2400</v>
      </c>
      <c r="K33" s="59">
        <f t="shared" si="1"/>
        <v>133.33333333333334</v>
      </c>
      <c r="L33" s="181">
        <v>18</v>
      </c>
      <c r="M33" s="60">
        <f t="shared" si="24"/>
        <v>2299.3984962406016</v>
      </c>
      <c r="N33" s="59">
        <f t="shared" si="3"/>
        <v>127.74436090225565</v>
      </c>
      <c r="O33" s="61">
        <f t="shared" si="4"/>
        <v>0</v>
      </c>
      <c r="P33" s="62">
        <f t="shared" si="5"/>
        <v>-5.5889724310776927</v>
      </c>
      <c r="Q33" s="175">
        <f t="shared" si="6"/>
        <v>0.95808270676691731</v>
      </c>
      <c r="R33" s="566"/>
      <c r="S33" s="63">
        <v>0.5444444444444444</v>
      </c>
      <c r="T33" s="63">
        <v>0.63680555555555551</v>
      </c>
      <c r="U33" s="174">
        <f t="shared" si="26"/>
        <v>59.999999999999943</v>
      </c>
      <c r="V33" s="182">
        <f t="shared" si="25"/>
        <v>133</v>
      </c>
      <c r="W33" s="64"/>
      <c r="X33" s="64"/>
      <c r="Y33" s="559"/>
      <c r="Z33" s="559"/>
      <c r="AA33" s="61">
        <f t="shared" si="8"/>
        <v>-100.60150375939838</v>
      </c>
      <c r="AB33" s="175">
        <f t="shared" si="9"/>
        <v>0.95808270676691731</v>
      </c>
      <c r="AC33" s="566"/>
    </row>
    <row r="34" spans="1:29" ht="15.75" customHeight="1">
      <c r="A34" s="587" t="s">
        <v>651</v>
      </c>
      <c r="B34" s="57" t="s">
        <v>15</v>
      </c>
      <c r="C34" s="584" t="s">
        <v>23</v>
      </c>
      <c r="D34" s="584"/>
      <c r="E34" s="57">
        <v>26.2</v>
      </c>
      <c r="F34" s="183">
        <v>2065</v>
      </c>
      <c r="G34" s="174">
        <f t="shared" si="23"/>
        <v>54103</v>
      </c>
      <c r="H34" s="184" t="s">
        <v>5</v>
      </c>
      <c r="I34" s="181">
        <v>20</v>
      </c>
      <c r="J34" s="58">
        <v>2400</v>
      </c>
      <c r="K34" s="59">
        <f t="shared" si="1"/>
        <v>120</v>
      </c>
      <c r="L34" s="181">
        <v>20</v>
      </c>
      <c r="M34" s="60">
        <f t="shared" si="24"/>
        <v>2294.4444444444457</v>
      </c>
      <c r="N34" s="59">
        <f t="shared" si="3"/>
        <v>114.72222222222229</v>
      </c>
      <c r="O34" s="61">
        <f t="shared" si="4"/>
        <v>0</v>
      </c>
      <c r="P34" s="62">
        <f t="shared" si="5"/>
        <v>-5.2777777777777146</v>
      </c>
      <c r="Q34" s="175">
        <f t="shared" si="6"/>
        <v>0.95601851851851904</v>
      </c>
      <c r="R34" s="566"/>
      <c r="S34" s="63">
        <v>0.64097222222222217</v>
      </c>
      <c r="T34" s="63">
        <v>0.67847222222222214</v>
      </c>
      <c r="U34" s="174">
        <f t="shared" si="26"/>
        <v>5.9999999999999787</v>
      </c>
      <c r="V34" s="182">
        <f t="shared" si="25"/>
        <v>53.999999999999972</v>
      </c>
      <c r="W34" s="64"/>
      <c r="X34" s="64"/>
      <c r="Y34" s="559"/>
      <c r="Z34" s="559"/>
      <c r="AA34" s="61">
        <f t="shared" si="8"/>
        <v>-105.55555555555429</v>
      </c>
      <c r="AB34" s="175">
        <f t="shared" si="9"/>
        <v>0.95601851851851904</v>
      </c>
      <c r="AC34" s="566"/>
    </row>
    <row r="35" spans="1:29" ht="15.75" customHeight="1">
      <c r="A35" s="587" t="s">
        <v>651</v>
      </c>
      <c r="B35" s="57" t="s">
        <v>15</v>
      </c>
      <c r="C35" s="584" t="s">
        <v>70</v>
      </c>
      <c r="D35" s="584"/>
      <c r="E35" s="57">
        <v>25.99</v>
      </c>
      <c r="F35" s="183">
        <v>2138</v>
      </c>
      <c r="G35" s="174">
        <f t="shared" si="23"/>
        <v>55566.619999999995</v>
      </c>
      <c r="H35" s="184" t="s">
        <v>5</v>
      </c>
      <c r="I35" s="181">
        <v>14</v>
      </c>
      <c r="J35" s="58">
        <v>2400</v>
      </c>
      <c r="K35" s="59">
        <f t="shared" si="1"/>
        <v>171.42857142857142</v>
      </c>
      <c r="L35" s="181">
        <v>14</v>
      </c>
      <c r="M35" s="60">
        <f t="shared" si="24"/>
        <v>2290.7142857142876</v>
      </c>
      <c r="N35" s="59">
        <f t="shared" si="3"/>
        <v>163.62244897959198</v>
      </c>
      <c r="O35" s="61">
        <f t="shared" si="4"/>
        <v>0</v>
      </c>
      <c r="P35" s="62">
        <f t="shared" si="5"/>
        <v>-7.806122448979437</v>
      </c>
      <c r="Q35" s="175">
        <f t="shared" si="6"/>
        <v>0.95446428571428665</v>
      </c>
      <c r="R35" s="566"/>
      <c r="S35" s="63">
        <v>0.6826388888888888</v>
      </c>
      <c r="T35" s="63">
        <v>0.72152777777777766</v>
      </c>
      <c r="U35" s="174">
        <f t="shared" si="26"/>
        <v>5.9999999999999787</v>
      </c>
      <c r="V35" s="182">
        <f t="shared" si="25"/>
        <v>55.999999999999957</v>
      </c>
      <c r="W35" s="64"/>
      <c r="X35" s="64"/>
      <c r="Y35" s="559"/>
      <c r="Z35" s="559"/>
      <c r="AA35" s="61">
        <f t="shared" si="8"/>
        <v>-109.2857142857124</v>
      </c>
      <c r="AB35" s="175">
        <f t="shared" si="9"/>
        <v>0.95446428571428654</v>
      </c>
      <c r="AC35" s="566"/>
    </row>
    <row r="36" spans="1:29" ht="15.75" customHeight="1">
      <c r="A36" s="587" t="s">
        <v>651</v>
      </c>
      <c r="B36" s="57" t="s">
        <v>646</v>
      </c>
      <c r="C36" s="571"/>
      <c r="D36" s="571"/>
      <c r="E36" s="176"/>
      <c r="F36" s="183"/>
      <c r="G36" s="174"/>
      <c r="H36" s="183"/>
      <c r="I36" s="67">
        <v>17.875</v>
      </c>
      <c r="J36" s="58">
        <v>2400</v>
      </c>
      <c r="K36" s="59">
        <f t="shared" si="1"/>
        <v>134.26573426573427</v>
      </c>
      <c r="L36" s="67">
        <v>17.875</v>
      </c>
      <c r="M36" s="60">
        <f>AVERAGE(M28:M35)</f>
        <v>2292.5736093438727</v>
      </c>
      <c r="N36" s="59">
        <f t="shared" si="3"/>
        <v>128.25586625699987</v>
      </c>
      <c r="O36" s="61">
        <f t="shared" si="4"/>
        <v>0</v>
      </c>
      <c r="P36" s="62">
        <f t="shared" si="5"/>
        <v>-6.0098680087344007</v>
      </c>
      <c r="Q36" s="175">
        <f t="shared" si="6"/>
        <v>0.9552390038932802</v>
      </c>
      <c r="R36" s="566"/>
      <c r="S36" s="63"/>
      <c r="T36" s="63"/>
      <c r="U36" s="174"/>
      <c r="V36" s="182"/>
      <c r="W36" s="174"/>
      <c r="X36" s="174"/>
      <c r="Y36" s="559"/>
      <c r="Z36" s="559"/>
      <c r="AA36" s="61">
        <f t="shared" si="8"/>
        <v>-107.4263906561273</v>
      </c>
      <c r="AB36" s="175">
        <f t="shared" si="9"/>
        <v>0.95523900389328031</v>
      </c>
      <c r="AC36" s="566"/>
    </row>
    <row r="37" spans="1:29" ht="15.75" customHeight="1">
      <c r="A37" s="582" t="s">
        <v>653</v>
      </c>
      <c r="B37" s="57" t="s">
        <v>15</v>
      </c>
      <c r="C37" s="560" t="s">
        <v>44</v>
      </c>
      <c r="D37" s="560"/>
      <c r="E37" s="57">
        <v>19.02</v>
      </c>
      <c r="F37" s="183">
        <v>4500</v>
      </c>
      <c r="G37" s="174">
        <f t="shared" ref="G37:G43" si="27">E37*F37</f>
        <v>85590</v>
      </c>
      <c r="H37" s="184">
        <v>2</v>
      </c>
      <c r="I37" s="181">
        <v>15</v>
      </c>
      <c r="J37" s="58">
        <v>2400</v>
      </c>
      <c r="K37" s="59">
        <f t="shared" si="1"/>
        <v>160</v>
      </c>
      <c r="L37" s="181">
        <v>15</v>
      </c>
      <c r="M37" s="60">
        <f t="shared" ref="M37:M43" si="28">F37/V37*60</f>
        <v>2288.1355932203392</v>
      </c>
      <c r="N37" s="59">
        <f t="shared" si="3"/>
        <v>152.54237288135593</v>
      </c>
      <c r="O37" s="61">
        <f t="shared" si="4"/>
        <v>0</v>
      </c>
      <c r="P37" s="62">
        <f t="shared" si="5"/>
        <v>-7.4576271186440692</v>
      </c>
      <c r="Q37" s="175">
        <f t="shared" si="6"/>
        <v>0.95338983050847459</v>
      </c>
      <c r="R37" s="566">
        <f>Q44</f>
        <v>0.95420061242320986</v>
      </c>
      <c r="S37" s="63">
        <v>8.3333333333333329E-2</v>
      </c>
      <c r="T37" s="63">
        <v>0.16527777777777777</v>
      </c>
      <c r="U37" s="174"/>
      <c r="V37" s="182">
        <f t="shared" ref="V37:V43" si="29">(T37-S37)*24*60</f>
        <v>118</v>
      </c>
      <c r="W37" s="68">
        <f>T37</f>
        <v>0.16527777777777777</v>
      </c>
      <c r="X37" s="68">
        <f>S38</f>
        <v>0.18472222222222223</v>
      </c>
      <c r="Y37" s="559"/>
      <c r="Z37" s="559"/>
      <c r="AA37" s="61">
        <f t="shared" si="8"/>
        <v>-111.86440677966084</v>
      </c>
      <c r="AB37" s="175">
        <f t="shared" si="9"/>
        <v>0.9533898305084747</v>
      </c>
      <c r="AC37" s="566">
        <f>AB44</f>
        <v>0.95420061242320986</v>
      </c>
    </row>
    <row r="38" spans="1:29" ht="15.75" customHeight="1">
      <c r="A38" s="582" t="s">
        <v>654</v>
      </c>
      <c r="B38" s="57" t="s">
        <v>15</v>
      </c>
      <c r="C38" s="560" t="s">
        <v>27</v>
      </c>
      <c r="D38" s="560"/>
      <c r="E38" s="57">
        <v>26.2</v>
      </c>
      <c r="F38" s="183">
        <v>4500</v>
      </c>
      <c r="G38" s="174">
        <f t="shared" si="27"/>
        <v>117900</v>
      </c>
      <c r="H38" s="184">
        <v>2</v>
      </c>
      <c r="I38" s="181">
        <v>18</v>
      </c>
      <c r="J38" s="58">
        <v>2400</v>
      </c>
      <c r="K38" s="59">
        <f t="shared" si="1"/>
        <v>133.33333333333334</v>
      </c>
      <c r="L38" s="181">
        <v>18</v>
      </c>
      <c r="M38" s="60">
        <f t="shared" si="28"/>
        <v>2288.1355932203396</v>
      </c>
      <c r="N38" s="59">
        <f t="shared" si="3"/>
        <v>127.11864406779665</v>
      </c>
      <c r="O38" s="61">
        <f t="shared" si="4"/>
        <v>0</v>
      </c>
      <c r="P38" s="62">
        <f t="shared" si="5"/>
        <v>-6.2146892655366912</v>
      </c>
      <c r="Q38" s="175">
        <f t="shared" si="6"/>
        <v>0.95338983050847481</v>
      </c>
      <c r="R38" s="566"/>
      <c r="S38" s="63">
        <v>0.18472222222222223</v>
      </c>
      <c r="T38" s="63">
        <v>0.26666666666666666</v>
      </c>
      <c r="U38" s="174">
        <f t="shared" ref="U38:U43" si="30">(S38-T37)*24*60</f>
        <v>28.000000000000021</v>
      </c>
      <c r="V38" s="182">
        <f t="shared" si="29"/>
        <v>117.99999999999999</v>
      </c>
      <c r="W38" s="174"/>
      <c r="X38" s="174"/>
      <c r="Y38" s="559"/>
      <c r="Z38" s="559"/>
      <c r="AA38" s="61">
        <f t="shared" si="8"/>
        <v>-111.86440677966038</v>
      </c>
      <c r="AB38" s="175">
        <f t="shared" si="9"/>
        <v>0.95338983050847481</v>
      </c>
      <c r="AC38" s="566"/>
    </row>
    <row r="39" spans="1:29">
      <c r="A39" s="583" t="s">
        <v>654</v>
      </c>
      <c r="B39" s="57" t="s">
        <v>15</v>
      </c>
      <c r="C39" s="560" t="s">
        <v>25</v>
      </c>
      <c r="D39" s="560"/>
      <c r="E39" s="57">
        <v>26.18</v>
      </c>
      <c r="F39" s="183">
        <v>2984</v>
      </c>
      <c r="G39" s="174">
        <f t="shared" si="27"/>
        <v>78121.119999999995</v>
      </c>
      <c r="H39" s="184" t="s">
        <v>5</v>
      </c>
      <c r="I39" s="181">
        <v>19</v>
      </c>
      <c r="J39" s="58">
        <v>2400</v>
      </c>
      <c r="K39" s="59">
        <f t="shared" si="1"/>
        <v>126.31578947368421</v>
      </c>
      <c r="L39" s="181">
        <v>19</v>
      </c>
      <c r="M39" s="60">
        <f t="shared" si="28"/>
        <v>2295.3846153846166</v>
      </c>
      <c r="N39" s="59">
        <f t="shared" si="3"/>
        <v>120.80971659919035</v>
      </c>
      <c r="O39" s="61">
        <f t="shared" si="4"/>
        <v>0</v>
      </c>
      <c r="P39" s="62">
        <f t="shared" si="5"/>
        <v>-5.506072874493853</v>
      </c>
      <c r="Q39" s="175">
        <f t="shared" si="6"/>
        <v>0.95641025641025701</v>
      </c>
      <c r="R39" s="566"/>
      <c r="S39" s="63">
        <v>0.27013888888888887</v>
      </c>
      <c r="T39" s="63">
        <v>0.32430555555555551</v>
      </c>
      <c r="U39" s="174">
        <f t="shared" si="30"/>
        <v>4.9999999999999822</v>
      </c>
      <c r="V39" s="182">
        <f t="shared" si="29"/>
        <v>77.999999999999957</v>
      </c>
      <c r="W39" s="174"/>
      <c r="X39" s="174"/>
      <c r="Y39" s="559"/>
      <c r="Z39" s="559"/>
      <c r="AA39" s="61">
        <f t="shared" si="8"/>
        <v>-104.61538461538339</v>
      </c>
      <c r="AB39" s="175">
        <f t="shared" si="9"/>
        <v>0.9564102564102569</v>
      </c>
      <c r="AC39" s="566"/>
    </row>
    <row r="40" spans="1:29">
      <c r="A40" s="583" t="s">
        <v>654</v>
      </c>
      <c r="B40" s="57" t="s">
        <v>15</v>
      </c>
      <c r="C40" s="560" t="s">
        <v>28</v>
      </c>
      <c r="D40" s="560"/>
      <c r="E40" s="57">
        <v>26.39</v>
      </c>
      <c r="F40" s="183">
        <v>7082</v>
      </c>
      <c r="G40" s="174">
        <f t="shared" si="27"/>
        <v>186893.98</v>
      </c>
      <c r="H40" s="184" t="s">
        <v>5</v>
      </c>
      <c r="I40" s="181">
        <v>19</v>
      </c>
      <c r="J40" s="58">
        <v>2400</v>
      </c>
      <c r="K40" s="59">
        <f t="shared" si="1"/>
        <v>126.31578947368421</v>
      </c>
      <c r="L40" s="181">
        <v>19</v>
      </c>
      <c r="M40" s="60">
        <f t="shared" si="28"/>
        <v>2296.864864864865</v>
      </c>
      <c r="N40" s="59">
        <f t="shared" si="3"/>
        <v>120.88762446657184</v>
      </c>
      <c r="O40" s="61">
        <f t="shared" si="4"/>
        <v>0</v>
      </c>
      <c r="P40" s="62">
        <f t="shared" si="5"/>
        <v>-5.4281650071123693</v>
      </c>
      <c r="Q40" s="175">
        <f t="shared" si="6"/>
        <v>0.95702702702702702</v>
      </c>
      <c r="R40" s="566"/>
      <c r="S40" s="63">
        <v>0.32777777777777772</v>
      </c>
      <c r="T40" s="63">
        <v>0.45624999999999993</v>
      </c>
      <c r="U40" s="174">
        <f t="shared" si="30"/>
        <v>4.9999999999999822</v>
      </c>
      <c r="V40" s="182">
        <f t="shared" si="29"/>
        <v>184.99999999999997</v>
      </c>
      <c r="W40" s="64"/>
      <c r="X40" s="64"/>
      <c r="Y40" s="559"/>
      <c r="Z40" s="559"/>
      <c r="AA40" s="61">
        <f t="shared" si="8"/>
        <v>-103.13513513513499</v>
      </c>
      <c r="AB40" s="175">
        <f t="shared" si="9"/>
        <v>0.95702702702702713</v>
      </c>
      <c r="AC40" s="566"/>
    </row>
    <row r="41" spans="1:29">
      <c r="A41" s="583" t="s">
        <v>654</v>
      </c>
      <c r="B41" s="57" t="s">
        <v>15</v>
      </c>
      <c r="C41" s="560" t="s">
        <v>100</v>
      </c>
      <c r="D41" s="560"/>
      <c r="E41" s="57">
        <v>28.51</v>
      </c>
      <c r="F41" s="183">
        <v>2550</v>
      </c>
      <c r="G41" s="174">
        <f t="shared" si="27"/>
        <v>72700.5</v>
      </c>
      <c r="H41" s="184" t="s">
        <v>5</v>
      </c>
      <c r="I41" s="181">
        <v>16</v>
      </c>
      <c r="J41" s="58">
        <v>2400</v>
      </c>
      <c r="K41" s="59">
        <f t="shared" si="1"/>
        <v>150</v>
      </c>
      <c r="L41" s="181">
        <v>16</v>
      </c>
      <c r="M41" s="60">
        <f t="shared" si="28"/>
        <v>2283.5820895522361</v>
      </c>
      <c r="N41" s="59">
        <f t="shared" si="3"/>
        <v>142.72388059701476</v>
      </c>
      <c r="O41" s="61">
        <f t="shared" si="4"/>
        <v>0</v>
      </c>
      <c r="P41" s="62">
        <f t="shared" si="5"/>
        <v>-7.2761194029852447</v>
      </c>
      <c r="Q41" s="175">
        <f t="shared" si="6"/>
        <v>0.95149253731343175</v>
      </c>
      <c r="R41" s="566"/>
      <c r="S41" s="63">
        <v>0.46041666666666659</v>
      </c>
      <c r="T41" s="63">
        <v>0.50694444444444442</v>
      </c>
      <c r="U41" s="174">
        <f t="shared" si="30"/>
        <v>5.9999999999999787</v>
      </c>
      <c r="V41" s="182">
        <f t="shared" si="29"/>
        <v>67.000000000000085</v>
      </c>
      <c r="W41" s="64">
        <f>T41</f>
        <v>0.50694444444444442</v>
      </c>
      <c r="X41" s="64">
        <f>S42</f>
        <v>0.54652777777777772</v>
      </c>
      <c r="Y41" s="559"/>
      <c r="Z41" s="559"/>
      <c r="AA41" s="61">
        <f t="shared" si="8"/>
        <v>-116.41791044776392</v>
      </c>
      <c r="AB41" s="175">
        <f t="shared" si="9"/>
        <v>0.95149253731343175</v>
      </c>
      <c r="AC41" s="566"/>
    </row>
    <row r="42" spans="1:29">
      <c r="A42" s="583" t="s">
        <v>88</v>
      </c>
      <c r="B42" s="57" t="s">
        <v>15</v>
      </c>
      <c r="C42" s="560" t="s">
        <v>44</v>
      </c>
      <c r="D42" s="560"/>
      <c r="E42" s="57">
        <v>19.02</v>
      </c>
      <c r="F42" s="183">
        <v>5873</v>
      </c>
      <c r="G42" s="174">
        <f t="shared" si="27"/>
        <v>111704.45999999999</v>
      </c>
      <c r="H42" s="184" t="s">
        <v>5</v>
      </c>
      <c r="I42" s="181">
        <v>15</v>
      </c>
      <c r="J42" s="58">
        <v>2400</v>
      </c>
      <c r="K42" s="59">
        <f t="shared" si="1"/>
        <v>160</v>
      </c>
      <c r="L42" s="181">
        <v>15</v>
      </c>
      <c r="M42" s="60">
        <f t="shared" si="28"/>
        <v>2288.1818181818167</v>
      </c>
      <c r="N42" s="59">
        <f t="shared" si="3"/>
        <v>152.54545454545445</v>
      </c>
      <c r="O42" s="61">
        <f t="shared" si="4"/>
        <v>0</v>
      </c>
      <c r="P42" s="62">
        <f t="shared" si="5"/>
        <v>-7.4545454545455527</v>
      </c>
      <c r="Q42" s="175">
        <f t="shared" si="6"/>
        <v>0.95340909090909032</v>
      </c>
      <c r="R42" s="566"/>
      <c r="S42" s="63">
        <v>0.54652777777777772</v>
      </c>
      <c r="T42" s="63">
        <v>0.65347222222222223</v>
      </c>
      <c r="U42" s="174">
        <f t="shared" si="30"/>
        <v>56.999999999999957</v>
      </c>
      <c r="V42" s="182">
        <f t="shared" si="29"/>
        <v>154.00000000000009</v>
      </c>
      <c r="W42" s="64"/>
      <c r="X42" s="64"/>
      <c r="Y42" s="559"/>
      <c r="Z42" s="559"/>
      <c r="AA42" s="61">
        <f t="shared" si="8"/>
        <v>-111.81818181818335</v>
      </c>
      <c r="AB42" s="175">
        <f t="shared" si="9"/>
        <v>0.95340909090909032</v>
      </c>
      <c r="AC42" s="566"/>
    </row>
    <row r="43" spans="1:29">
      <c r="A43" s="583" t="s">
        <v>88</v>
      </c>
      <c r="B43" s="57" t="s">
        <v>15</v>
      </c>
      <c r="C43" s="560" t="s">
        <v>27</v>
      </c>
      <c r="D43" s="560"/>
      <c r="E43" s="57">
        <v>26.2</v>
      </c>
      <c r="F43" s="183">
        <v>2672</v>
      </c>
      <c r="G43" s="174">
        <f t="shared" si="27"/>
        <v>70006.399999999994</v>
      </c>
      <c r="H43" s="184" t="s">
        <v>5</v>
      </c>
      <c r="I43" s="181">
        <v>18</v>
      </c>
      <c r="J43" s="58">
        <v>2400</v>
      </c>
      <c r="K43" s="59">
        <f t="shared" si="1"/>
        <v>133.33333333333334</v>
      </c>
      <c r="L43" s="181">
        <v>18</v>
      </c>
      <c r="M43" s="60">
        <f t="shared" si="28"/>
        <v>2290.2857142857119</v>
      </c>
      <c r="N43" s="59">
        <f t="shared" si="3"/>
        <v>127.23809523809511</v>
      </c>
      <c r="O43" s="61">
        <f t="shared" si="4"/>
        <v>0</v>
      </c>
      <c r="P43" s="62">
        <f t="shared" si="5"/>
        <v>-6.0952380952382299</v>
      </c>
      <c r="Q43" s="175">
        <f t="shared" si="6"/>
        <v>0.95428571428571329</v>
      </c>
      <c r="R43" s="566"/>
      <c r="S43" s="63">
        <v>0.65694444444444444</v>
      </c>
      <c r="T43" s="63">
        <v>0.7055555555555556</v>
      </c>
      <c r="U43" s="174">
        <f t="shared" si="30"/>
        <v>4.9999999999999822</v>
      </c>
      <c r="V43" s="182">
        <f t="shared" si="29"/>
        <v>70.000000000000071</v>
      </c>
      <c r="W43" s="64"/>
      <c r="X43" s="64"/>
      <c r="Y43" s="569"/>
      <c r="Z43" s="570"/>
      <c r="AA43" s="61">
        <f t="shared" si="8"/>
        <v>-109.71428571428805</v>
      </c>
      <c r="AB43" s="175">
        <f t="shared" si="9"/>
        <v>0.95428571428571329</v>
      </c>
      <c r="AC43" s="566"/>
    </row>
    <row r="44" spans="1:29">
      <c r="A44" s="583" t="s">
        <v>88</v>
      </c>
      <c r="B44" s="66" t="s">
        <v>67</v>
      </c>
      <c r="C44" s="571"/>
      <c r="D44" s="571"/>
      <c r="E44" s="176"/>
      <c r="F44" s="66"/>
      <c r="G44" s="59"/>
      <c r="H44" s="183"/>
      <c r="I44" s="67">
        <v>17.142857142857142</v>
      </c>
      <c r="J44" s="58">
        <v>2400</v>
      </c>
      <c r="K44" s="59">
        <f t="shared" si="1"/>
        <v>140</v>
      </c>
      <c r="L44" s="67">
        <v>17.142857142857142</v>
      </c>
      <c r="M44" s="60">
        <f>AVERAGE(M37:M43)</f>
        <v>2290.0814698157037</v>
      </c>
      <c r="N44" s="59">
        <f t="shared" si="3"/>
        <v>133.58808573924938</v>
      </c>
      <c r="O44" s="61">
        <f t="shared" si="4"/>
        <v>0</v>
      </c>
      <c r="P44" s="62">
        <f t="shared" si="5"/>
        <v>-6.4119142607506205</v>
      </c>
      <c r="Q44" s="175">
        <f t="shared" si="6"/>
        <v>0.95420061242320986</v>
      </c>
      <c r="R44" s="566"/>
      <c r="S44" s="63"/>
      <c r="T44" s="63"/>
      <c r="U44" s="59"/>
      <c r="V44" s="182"/>
      <c r="W44" s="59"/>
      <c r="X44" s="59"/>
      <c r="Y44" s="559"/>
      <c r="Z44" s="559"/>
      <c r="AA44" s="61">
        <f t="shared" si="8"/>
        <v>-109.91853018429629</v>
      </c>
      <c r="AB44" s="175">
        <f t="shared" si="9"/>
        <v>0.95420061242320986</v>
      </c>
      <c r="AC44" s="566"/>
    </row>
    <row r="45" spans="1:29" ht="15.75" customHeight="1">
      <c r="A45" s="576" t="s">
        <v>89</v>
      </c>
      <c r="B45" s="57" t="s">
        <v>31</v>
      </c>
      <c r="C45" s="567" t="s">
        <v>32</v>
      </c>
      <c r="D45" s="568"/>
      <c r="E45" s="57">
        <v>21.13</v>
      </c>
      <c r="F45" s="183">
        <v>5833</v>
      </c>
      <c r="G45" s="174">
        <f t="shared" ref="G45:G52" si="31">E45*F45</f>
        <v>123251.29</v>
      </c>
      <c r="H45" s="184" t="s">
        <v>5</v>
      </c>
      <c r="I45" s="181">
        <v>10</v>
      </c>
      <c r="J45" s="58">
        <v>3000</v>
      </c>
      <c r="K45" s="59">
        <f t="shared" si="1"/>
        <v>300</v>
      </c>
      <c r="L45" s="181">
        <v>10</v>
      </c>
      <c r="M45" s="60">
        <f t="shared" ref="M45:M52" si="32">F45/V45*60</f>
        <v>2868.688524590164</v>
      </c>
      <c r="N45" s="60">
        <f t="shared" si="3"/>
        <v>286.86885245901641</v>
      </c>
      <c r="O45" s="61">
        <f t="shared" si="4"/>
        <v>0</v>
      </c>
      <c r="P45" s="62">
        <f t="shared" si="5"/>
        <v>-13.131147540983591</v>
      </c>
      <c r="Q45" s="175">
        <f t="shared" si="6"/>
        <v>0.95622950819672137</v>
      </c>
      <c r="R45" s="579">
        <f>Q53</f>
        <v>0.95704223510545861</v>
      </c>
      <c r="S45" s="63">
        <v>8.3333333333333329E-2</v>
      </c>
      <c r="T45" s="63">
        <v>0.16805555555555554</v>
      </c>
      <c r="U45" s="68"/>
      <c r="V45" s="182">
        <f t="shared" ref="V45:V52" si="33">(T45-S45)*24*60</f>
        <v>122</v>
      </c>
      <c r="W45" s="64">
        <f>T45</f>
        <v>0.16805555555555554</v>
      </c>
      <c r="X45" s="64">
        <f>S46</f>
        <v>0.18888888888888888</v>
      </c>
      <c r="Y45" s="569"/>
      <c r="Z45" s="570"/>
      <c r="AA45" s="61">
        <f t="shared" si="8"/>
        <v>-131.31147540983602</v>
      </c>
      <c r="AB45" s="175">
        <f t="shared" si="9"/>
        <v>0.95622950819672137</v>
      </c>
      <c r="AC45" s="579">
        <f>AB53</f>
        <v>0.95704223510545872</v>
      </c>
    </row>
    <row r="46" spans="1:29" ht="15.75" customHeight="1">
      <c r="A46" s="577" t="s">
        <v>89</v>
      </c>
      <c r="B46" s="57" t="s">
        <v>31</v>
      </c>
      <c r="C46" s="567" t="s">
        <v>33</v>
      </c>
      <c r="D46" s="568"/>
      <c r="E46" s="57">
        <v>27.17</v>
      </c>
      <c r="F46" s="183">
        <v>3500</v>
      </c>
      <c r="G46" s="174">
        <f t="shared" si="31"/>
        <v>95095</v>
      </c>
      <c r="H46" s="184">
        <v>2</v>
      </c>
      <c r="I46" s="181">
        <v>10</v>
      </c>
      <c r="J46" s="58">
        <v>3000</v>
      </c>
      <c r="K46" s="59">
        <f t="shared" si="1"/>
        <v>300</v>
      </c>
      <c r="L46" s="181">
        <v>10</v>
      </c>
      <c r="M46" s="60">
        <f t="shared" si="32"/>
        <v>2876.7123287671238</v>
      </c>
      <c r="N46" s="60">
        <f t="shared" si="3"/>
        <v>287.67123287671239</v>
      </c>
      <c r="O46" s="61">
        <f t="shared" si="4"/>
        <v>0</v>
      </c>
      <c r="P46" s="62">
        <f t="shared" si="5"/>
        <v>-12.328767123287605</v>
      </c>
      <c r="Q46" s="175">
        <f t="shared" si="6"/>
        <v>0.95890410958904126</v>
      </c>
      <c r="R46" s="580"/>
      <c r="S46" s="63">
        <v>0.18888888888888888</v>
      </c>
      <c r="T46" s="63">
        <v>0.23958333333333331</v>
      </c>
      <c r="U46" s="174">
        <f t="shared" ref="U46:U52" si="34">(S46-T45)*24*60</f>
        <v>30.000000000000014</v>
      </c>
      <c r="V46" s="182">
        <f t="shared" si="33"/>
        <v>72.999999999999986</v>
      </c>
      <c r="W46" s="64"/>
      <c r="X46" s="64"/>
      <c r="Y46" s="569"/>
      <c r="Z46" s="570"/>
      <c r="AA46" s="61">
        <f t="shared" si="8"/>
        <v>-123.28767123287616</v>
      </c>
      <c r="AB46" s="175">
        <f t="shared" si="9"/>
        <v>0.95890410958904126</v>
      </c>
      <c r="AC46" s="580"/>
    </row>
    <row r="47" spans="1:29" ht="15.75" customHeight="1">
      <c r="A47" s="577" t="s">
        <v>89</v>
      </c>
      <c r="B47" s="57" t="s">
        <v>31</v>
      </c>
      <c r="C47" s="567" t="s">
        <v>34</v>
      </c>
      <c r="D47" s="568"/>
      <c r="E47" s="57">
        <v>35.119999999999997</v>
      </c>
      <c r="F47" s="183">
        <v>5024</v>
      </c>
      <c r="G47" s="174">
        <f t="shared" si="31"/>
        <v>176442.87999999998</v>
      </c>
      <c r="H47" s="184" t="s">
        <v>5</v>
      </c>
      <c r="I47" s="181">
        <v>10</v>
      </c>
      <c r="J47" s="58">
        <v>3000</v>
      </c>
      <c r="K47" s="59">
        <f t="shared" si="1"/>
        <v>300</v>
      </c>
      <c r="L47" s="181">
        <v>10</v>
      </c>
      <c r="M47" s="60">
        <f t="shared" si="32"/>
        <v>2870.8571428571431</v>
      </c>
      <c r="N47" s="60">
        <f t="shared" si="3"/>
        <v>287.08571428571429</v>
      </c>
      <c r="O47" s="61">
        <f t="shared" si="4"/>
        <v>0</v>
      </c>
      <c r="P47" s="62">
        <f t="shared" si="5"/>
        <v>-12.914285714285711</v>
      </c>
      <c r="Q47" s="175">
        <f t="shared" si="6"/>
        <v>0.956952380952381</v>
      </c>
      <c r="R47" s="580"/>
      <c r="S47" s="63">
        <v>0.24444444444444444</v>
      </c>
      <c r="T47" s="63">
        <v>0.31736111111111109</v>
      </c>
      <c r="U47" s="174">
        <f t="shared" si="34"/>
        <v>7.0000000000000151</v>
      </c>
      <c r="V47" s="182">
        <f t="shared" si="33"/>
        <v>104.99999999999999</v>
      </c>
      <c r="W47" s="64"/>
      <c r="X47" s="64"/>
      <c r="Y47" s="569"/>
      <c r="Z47" s="570"/>
      <c r="AA47" s="61">
        <f t="shared" si="8"/>
        <v>-129.14285714285688</v>
      </c>
      <c r="AB47" s="175">
        <f t="shared" si="9"/>
        <v>0.956952380952381</v>
      </c>
      <c r="AC47" s="580"/>
    </row>
    <row r="48" spans="1:29" ht="15.75" customHeight="1">
      <c r="A48" s="577" t="s">
        <v>89</v>
      </c>
      <c r="B48" s="57" t="s">
        <v>31</v>
      </c>
      <c r="C48" s="567" t="s">
        <v>35</v>
      </c>
      <c r="D48" s="568"/>
      <c r="E48" s="57">
        <v>35.869999999999997</v>
      </c>
      <c r="F48" s="183">
        <v>3224</v>
      </c>
      <c r="G48" s="174">
        <f t="shared" si="31"/>
        <v>115644.87999999999</v>
      </c>
      <c r="H48" s="184" t="s">
        <v>5</v>
      </c>
      <c r="I48" s="181">
        <v>9</v>
      </c>
      <c r="J48" s="58">
        <v>3000</v>
      </c>
      <c r="K48" s="59">
        <f t="shared" si="1"/>
        <v>333.33333333333331</v>
      </c>
      <c r="L48" s="181">
        <v>9</v>
      </c>
      <c r="M48" s="60">
        <f t="shared" si="32"/>
        <v>2887.1641791044776</v>
      </c>
      <c r="N48" s="60">
        <f t="shared" si="3"/>
        <v>320.79601990049753</v>
      </c>
      <c r="O48" s="61">
        <f t="shared" si="4"/>
        <v>0</v>
      </c>
      <c r="P48" s="62">
        <f t="shared" si="5"/>
        <v>-12.537313432835788</v>
      </c>
      <c r="Q48" s="175">
        <f t="shared" si="6"/>
        <v>0.96238805970149266</v>
      </c>
      <c r="R48" s="580"/>
      <c r="S48" s="63">
        <v>0.3208333333333333</v>
      </c>
      <c r="T48" s="63">
        <v>0.36736111111111108</v>
      </c>
      <c r="U48" s="174">
        <f t="shared" si="34"/>
        <v>4.9999999999999822</v>
      </c>
      <c r="V48" s="182">
        <f t="shared" si="33"/>
        <v>67</v>
      </c>
      <c r="W48" s="64"/>
      <c r="X48" s="64"/>
      <c r="Y48" s="569"/>
      <c r="Z48" s="570"/>
      <c r="AA48" s="61">
        <f t="shared" si="8"/>
        <v>-112.83582089552237</v>
      </c>
      <c r="AB48" s="175">
        <f t="shared" si="9"/>
        <v>0.96238805970149255</v>
      </c>
      <c r="AC48" s="580"/>
    </row>
    <row r="49" spans="1:29" ht="15.75" customHeight="1">
      <c r="A49" s="577" t="s">
        <v>89</v>
      </c>
      <c r="B49" s="57" t="s">
        <v>31</v>
      </c>
      <c r="C49" s="567" t="s">
        <v>36</v>
      </c>
      <c r="D49" s="568"/>
      <c r="E49" s="57">
        <v>36.14</v>
      </c>
      <c r="F49" s="183">
        <v>1386</v>
      </c>
      <c r="G49" s="174">
        <f t="shared" si="31"/>
        <v>50090.04</v>
      </c>
      <c r="H49" s="184" t="s">
        <v>5</v>
      </c>
      <c r="I49" s="181">
        <v>9</v>
      </c>
      <c r="J49" s="58">
        <v>3000</v>
      </c>
      <c r="K49" s="59">
        <f t="shared" si="1"/>
        <v>333.33333333333331</v>
      </c>
      <c r="L49" s="181">
        <v>9</v>
      </c>
      <c r="M49" s="60">
        <f t="shared" si="32"/>
        <v>2867.5862068965539</v>
      </c>
      <c r="N49" s="60">
        <f t="shared" si="3"/>
        <v>318.62068965517267</v>
      </c>
      <c r="O49" s="61">
        <f t="shared" si="4"/>
        <v>0</v>
      </c>
      <c r="P49" s="62">
        <f t="shared" si="5"/>
        <v>-14.712643678160646</v>
      </c>
      <c r="Q49" s="175">
        <f t="shared" si="6"/>
        <v>0.95586206896551806</v>
      </c>
      <c r="R49" s="580"/>
      <c r="S49" s="63">
        <v>0.37291666666666662</v>
      </c>
      <c r="T49" s="63">
        <v>0.39305555555555549</v>
      </c>
      <c r="U49" s="174">
        <f t="shared" si="34"/>
        <v>7.9999999999999716</v>
      </c>
      <c r="V49" s="182">
        <f t="shared" si="33"/>
        <v>28.999999999999979</v>
      </c>
      <c r="W49" s="64"/>
      <c r="X49" s="64"/>
      <c r="Y49" s="569"/>
      <c r="Z49" s="570"/>
      <c r="AA49" s="61">
        <f t="shared" si="8"/>
        <v>-132.4137931034461</v>
      </c>
      <c r="AB49" s="175">
        <f t="shared" si="9"/>
        <v>0.95586206896551795</v>
      </c>
      <c r="AC49" s="580"/>
    </row>
    <row r="50" spans="1:29" ht="15.75" customHeight="1">
      <c r="A50" s="577" t="s">
        <v>89</v>
      </c>
      <c r="B50" s="57" t="s">
        <v>31</v>
      </c>
      <c r="C50" s="567" t="s">
        <v>63</v>
      </c>
      <c r="D50" s="568"/>
      <c r="E50" s="57">
        <v>34.36</v>
      </c>
      <c r="F50" s="183">
        <v>2435</v>
      </c>
      <c r="G50" s="174">
        <f t="shared" si="31"/>
        <v>83666.600000000006</v>
      </c>
      <c r="H50" s="184" t="s">
        <v>5</v>
      </c>
      <c r="I50" s="181">
        <v>10</v>
      </c>
      <c r="J50" s="58">
        <v>3000</v>
      </c>
      <c r="K50" s="59">
        <f t="shared" si="1"/>
        <v>300</v>
      </c>
      <c r="L50" s="181">
        <v>10</v>
      </c>
      <c r="M50" s="60">
        <f t="shared" si="32"/>
        <v>2864.7058823529424</v>
      </c>
      <c r="N50" s="60">
        <f t="shared" si="3"/>
        <v>286.47058823529426</v>
      </c>
      <c r="O50" s="61">
        <f t="shared" si="4"/>
        <v>0</v>
      </c>
      <c r="P50" s="62">
        <f t="shared" si="5"/>
        <v>-13.529411764705742</v>
      </c>
      <c r="Q50" s="175">
        <f t="shared" si="6"/>
        <v>0.95490196078431422</v>
      </c>
      <c r="R50" s="580"/>
      <c r="S50" s="63">
        <v>0.39722222222222214</v>
      </c>
      <c r="T50" s="63">
        <v>0.4326388888888888</v>
      </c>
      <c r="U50" s="174">
        <f t="shared" si="34"/>
        <v>5.9999999999999787</v>
      </c>
      <c r="V50" s="182">
        <f t="shared" si="33"/>
        <v>50.999999999999979</v>
      </c>
      <c r="W50" s="64"/>
      <c r="X50" s="64"/>
      <c r="Y50" s="569"/>
      <c r="Z50" s="570"/>
      <c r="AA50" s="61">
        <f t="shared" si="8"/>
        <v>-135.29411764705765</v>
      </c>
      <c r="AB50" s="175">
        <f t="shared" si="9"/>
        <v>0.95490196078431411</v>
      </c>
      <c r="AC50" s="580"/>
    </row>
    <row r="51" spans="1:29" ht="15.75" customHeight="1">
      <c r="A51" s="577" t="s">
        <v>89</v>
      </c>
      <c r="B51" s="57" t="s">
        <v>31</v>
      </c>
      <c r="C51" s="567" t="s">
        <v>71</v>
      </c>
      <c r="D51" s="568"/>
      <c r="E51" s="57">
        <v>31</v>
      </c>
      <c r="F51" s="183">
        <v>3189</v>
      </c>
      <c r="G51" s="174">
        <f t="shared" si="31"/>
        <v>98859</v>
      </c>
      <c r="H51" s="184" t="s">
        <v>5</v>
      </c>
      <c r="I51" s="181">
        <v>13</v>
      </c>
      <c r="J51" s="58">
        <v>2000</v>
      </c>
      <c r="K51" s="59">
        <f t="shared" si="1"/>
        <v>153.84615384615384</v>
      </c>
      <c r="L51" s="181">
        <v>13</v>
      </c>
      <c r="M51" s="60">
        <f t="shared" si="32"/>
        <v>1913.4000000000005</v>
      </c>
      <c r="N51" s="60">
        <f t="shared" si="3"/>
        <v>147.18461538461543</v>
      </c>
      <c r="O51" s="61">
        <f t="shared" si="4"/>
        <v>0</v>
      </c>
      <c r="P51" s="62">
        <f t="shared" si="5"/>
        <v>-6.661538461538413</v>
      </c>
      <c r="Q51" s="175">
        <f t="shared" si="6"/>
        <v>0.95670000000000033</v>
      </c>
      <c r="R51" s="580"/>
      <c r="S51" s="63">
        <v>0.43680555555555545</v>
      </c>
      <c r="T51" s="63">
        <v>0.50624999999999987</v>
      </c>
      <c r="U51" s="174">
        <f t="shared" si="34"/>
        <v>5.9999999999999787</v>
      </c>
      <c r="V51" s="182">
        <f t="shared" si="33"/>
        <v>99.999999999999972</v>
      </c>
      <c r="W51" s="64">
        <f>T51</f>
        <v>0.50624999999999987</v>
      </c>
      <c r="X51" s="64">
        <f>S52</f>
        <v>0.54513888888888873</v>
      </c>
      <c r="Y51" s="569"/>
      <c r="Z51" s="570"/>
      <c r="AA51" s="61">
        <f t="shared" si="8"/>
        <v>-86.599999999999454</v>
      </c>
      <c r="AB51" s="175">
        <f t="shared" si="9"/>
        <v>0.95670000000000033</v>
      </c>
      <c r="AC51" s="580"/>
    </row>
    <row r="52" spans="1:29" ht="15.75" customHeight="1">
      <c r="A52" s="577" t="s">
        <v>89</v>
      </c>
      <c r="B52" s="57" t="s">
        <v>31</v>
      </c>
      <c r="C52" s="567" t="s">
        <v>33</v>
      </c>
      <c r="D52" s="568"/>
      <c r="E52" s="57">
        <v>27.17</v>
      </c>
      <c r="F52" s="183">
        <v>4008</v>
      </c>
      <c r="G52" s="174">
        <f t="shared" si="31"/>
        <v>108897.36</v>
      </c>
      <c r="H52" s="184" t="s">
        <v>5</v>
      </c>
      <c r="I52" s="181">
        <v>10</v>
      </c>
      <c r="J52" s="58">
        <v>3000</v>
      </c>
      <c r="K52" s="59">
        <f t="shared" si="1"/>
        <v>300</v>
      </c>
      <c r="L52" s="181">
        <v>10</v>
      </c>
      <c r="M52" s="60">
        <f t="shared" si="32"/>
        <v>2862.8571428571422</v>
      </c>
      <c r="N52" s="60">
        <f t="shared" si="3"/>
        <v>286.28571428571422</v>
      </c>
      <c r="O52" s="61">
        <f t="shared" si="4"/>
        <v>0</v>
      </c>
      <c r="P52" s="62">
        <f t="shared" si="5"/>
        <v>-13.714285714285779</v>
      </c>
      <c r="Q52" s="175">
        <f t="shared" si="6"/>
        <v>0.95428571428571407</v>
      </c>
      <c r="R52" s="580"/>
      <c r="S52" s="63">
        <v>0.54513888888888873</v>
      </c>
      <c r="T52" s="63">
        <v>0.60347222222222208</v>
      </c>
      <c r="U52" s="174">
        <f t="shared" si="34"/>
        <v>55.999999999999957</v>
      </c>
      <c r="V52" s="182">
        <f t="shared" si="33"/>
        <v>84.000000000000028</v>
      </c>
      <c r="W52" s="64"/>
      <c r="X52" s="64"/>
      <c r="Y52" s="569"/>
      <c r="Z52" s="570"/>
      <c r="AA52" s="61">
        <f t="shared" si="8"/>
        <v>-137.14285714285779</v>
      </c>
      <c r="AB52" s="175">
        <f t="shared" si="9"/>
        <v>0.95428571428571407</v>
      </c>
      <c r="AC52" s="580"/>
    </row>
    <row r="53" spans="1:29" ht="15.75" customHeight="1">
      <c r="A53" s="578" t="s">
        <v>89</v>
      </c>
      <c r="B53" s="57" t="s">
        <v>67</v>
      </c>
      <c r="C53" s="561"/>
      <c r="D53" s="562"/>
      <c r="E53" s="173"/>
      <c r="F53" s="183"/>
      <c r="G53" s="174"/>
      <c r="H53" s="183"/>
      <c r="I53" s="67">
        <v>10.125</v>
      </c>
      <c r="J53" s="58">
        <v>2875</v>
      </c>
      <c r="K53" s="59">
        <f t="shared" si="1"/>
        <v>283.95061728395063</v>
      </c>
      <c r="L53" s="67">
        <v>10.125</v>
      </c>
      <c r="M53" s="60">
        <f>AVERAGE(M45:M52)</f>
        <v>2751.4964259281937</v>
      </c>
      <c r="N53" s="59">
        <f t="shared" si="3"/>
        <v>271.7527334250068</v>
      </c>
      <c r="O53" s="61">
        <f t="shared" si="4"/>
        <v>0</v>
      </c>
      <c r="P53" s="62">
        <f t="shared" si="5"/>
        <v>-12.19788385894384</v>
      </c>
      <c r="Q53" s="175">
        <f t="shared" si="6"/>
        <v>0.95704223510545861</v>
      </c>
      <c r="R53" s="581"/>
      <c r="S53" s="63"/>
      <c r="T53" s="63"/>
      <c r="U53" s="174"/>
      <c r="V53" s="182"/>
      <c r="W53" s="64"/>
      <c r="X53" s="64"/>
      <c r="Y53" s="569"/>
      <c r="Z53" s="570"/>
      <c r="AA53" s="61">
        <f t="shared" si="8"/>
        <v>-123.50357407180627</v>
      </c>
      <c r="AB53" s="175">
        <f t="shared" si="9"/>
        <v>0.95704223510545872</v>
      </c>
      <c r="AC53" s="581"/>
    </row>
    <row r="54" spans="1:29" ht="15.75" customHeight="1">
      <c r="A54" s="574" t="s">
        <v>117</v>
      </c>
      <c r="B54" s="57" t="s">
        <v>10</v>
      </c>
      <c r="C54" s="560" t="s">
        <v>37</v>
      </c>
      <c r="D54" s="560"/>
      <c r="E54" s="57">
        <v>46</v>
      </c>
      <c r="F54" s="69">
        <v>2402</v>
      </c>
      <c r="G54" s="174">
        <f t="shared" ref="G54:G59" si="35">E54*F54</f>
        <v>110492</v>
      </c>
      <c r="H54" s="184" t="s">
        <v>5</v>
      </c>
      <c r="I54" s="181">
        <v>17</v>
      </c>
      <c r="J54" s="58">
        <v>2000</v>
      </c>
      <c r="K54" s="59">
        <f t="shared" si="1"/>
        <v>117.64705882352941</v>
      </c>
      <c r="L54" s="181">
        <v>17</v>
      </c>
      <c r="M54" s="60">
        <f t="shared" ref="M54:M59" si="36">F54/V54*60</f>
        <v>1921.6</v>
      </c>
      <c r="N54" s="60">
        <f t="shared" si="3"/>
        <v>113.03529411764706</v>
      </c>
      <c r="O54" s="61">
        <f t="shared" si="4"/>
        <v>0</v>
      </c>
      <c r="P54" s="62">
        <f t="shared" si="5"/>
        <v>-4.6117647058823508</v>
      </c>
      <c r="Q54" s="175">
        <f t="shared" si="6"/>
        <v>0.96079999999999999</v>
      </c>
      <c r="R54" s="566">
        <f>Q60</f>
        <v>0.95806473267759096</v>
      </c>
      <c r="S54" s="63">
        <v>0.20833333333333334</v>
      </c>
      <c r="T54" s="63">
        <v>0.26041666666666669</v>
      </c>
      <c r="U54" s="68"/>
      <c r="V54" s="182">
        <f t="shared" ref="V54:V59" si="37">(T54-S54)*24*60</f>
        <v>75.000000000000014</v>
      </c>
      <c r="W54" s="68"/>
      <c r="X54" s="68"/>
      <c r="Y54" s="559"/>
      <c r="Z54" s="559"/>
      <c r="AA54" s="61">
        <f t="shared" si="8"/>
        <v>-78.400000000000091</v>
      </c>
      <c r="AB54" s="175">
        <f t="shared" si="9"/>
        <v>0.96079999999999999</v>
      </c>
      <c r="AC54" s="566">
        <f>AB60</f>
        <v>0.95806473267759085</v>
      </c>
    </row>
    <row r="55" spans="1:29" ht="15.75" customHeight="1">
      <c r="A55" s="574" t="s">
        <v>117</v>
      </c>
      <c r="B55" s="57" t="s">
        <v>10</v>
      </c>
      <c r="C55" s="560" t="s">
        <v>38</v>
      </c>
      <c r="D55" s="560"/>
      <c r="E55" s="57">
        <v>46</v>
      </c>
      <c r="F55" s="69">
        <v>2552</v>
      </c>
      <c r="G55" s="174">
        <f t="shared" si="35"/>
        <v>117392</v>
      </c>
      <c r="H55" s="184" t="s">
        <v>5</v>
      </c>
      <c r="I55" s="181">
        <v>17</v>
      </c>
      <c r="J55" s="58">
        <v>2000</v>
      </c>
      <c r="K55" s="59">
        <f t="shared" si="1"/>
        <v>117.64705882352941</v>
      </c>
      <c r="L55" s="181">
        <v>17</v>
      </c>
      <c r="M55" s="60">
        <f t="shared" si="36"/>
        <v>1914.0000000000009</v>
      </c>
      <c r="N55" s="60">
        <f t="shared" si="3"/>
        <v>112.58823529411769</v>
      </c>
      <c r="O55" s="61">
        <f t="shared" si="4"/>
        <v>0</v>
      </c>
      <c r="P55" s="62">
        <f t="shared" si="5"/>
        <v>-5.0588235294117112</v>
      </c>
      <c r="Q55" s="175">
        <f t="shared" si="6"/>
        <v>0.95700000000000041</v>
      </c>
      <c r="R55" s="566"/>
      <c r="S55" s="63">
        <v>0.26527777777777778</v>
      </c>
      <c r="T55" s="63">
        <v>0.3208333333333333</v>
      </c>
      <c r="U55" s="174">
        <f t="shared" ref="U55:U59" si="38">IF(S55=TIME(17,0,0),"",(S55-T54)*24*60)</f>
        <v>6.9999999999999751</v>
      </c>
      <c r="V55" s="182">
        <f t="shared" si="37"/>
        <v>79.999999999999957</v>
      </c>
      <c r="W55" s="64"/>
      <c r="X55" s="64"/>
      <c r="Y55" s="559"/>
      <c r="Z55" s="559"/>
      <c r="AA55" s="61">
        <f t="shared" si="8"/>
        <v>-85.999999999999091</v>
      </c>
      <c r="AB55" s="175">
        <f t="shared" si="9"/>
        <v>0.95700000000000041</v>
      </c>
      <c r="AC55" s="566"/>
    </row>
    <row r="56" spans="1:29" ht="15.75" customHeight="1">
      <c r="A56" s="574" t="s">
        <v>117</v>
      </c>
      <c r="B56" s="57" t="s">
        <v>6</v>
      </c>
      <c r="C56" s="567" t="s">
        <v>39</v>
      </c>
      <c r="D56" s="568"/>
      <c r="E56" s="57">
        <v>55.56</v>
      </c>
      <c r="F56" s="69">
        <v>2261</v>
      </c>
      <c r="G56" s="174">
        <f t="shared" si="35"/>
        <v>125621.16</v>
      </c>
      <c r="H56" s="184" t="s">
        <v>5</v>
      </c>
      <c r="I56" s="181">
        <v>17</v>
      </c>
      <c r="J56" s="58">
        <v>2000</v>
      </c>
      <c r="K56" s="59">
        <f t="shared" si="1"/>
        <v>117.64705882352941</v>
      </c>
      <c r="L56" s="181">
        <v>17</v>
      </c>
      <c r="M56" s="60">
        <f t="shared" si="36"/>
        <v>1910.7042253521108</v>
      </c>
      <c r="N56" s="60">
        <f t="shared" si="3"/>
        <v>112.39436619718299</v>
      </c>
      <c r="O56" s="61">
        <f t="shared" si="4"/>
        <v>0</v>
      </c>
      <c r="P56" s="62">
        <f t="shared" si="5"/>
        <v>-5.2526926263464162</v>
      </c>
      <c r="Q56" s="175">
        <f t="shared" si="6"/>
        <v>0.95535211267605546</v>
      </c>
      <c r="R56" s="566"/>
      <c r="S56" s="63">
        <v>0.70833333333333337</v>
      </c>
      <c r="T56" s="63">
        <v>0.75763888888888897</v>
      </c>
      <c r="U56" s="174" t="str">
        <f t="shared" si="38"/>
        <v/>
      </c>
      <c r="V56" s="182">
        <f t="shared" si="37"/>
        <v>71.000000000000071</v>
      </c>
      <c r="W56" s="64"/>
      <c r="X56" s="64"/>
      <c r="Y56" s="177"/>
      <c r="Z56" s="178"/>
      <c r="AA56" s="61">
        <f t="shared" si="8"/>
        <v>-89.295774647889175</v>
      </c>
      <c r="AB56" s="175">
        <f t="shared" si="9"/>
        <v>0.95535211267605546</v>
      </c>
      <c r="AC56" s="566"/>
    </row>
    <row r="57" spans="1:29" ht="15.75" customHeight="1">
      <c r="A57" s="574" t="s">
        <v>117</v>
      </c>
      <c r="B57" s="57" t="s">
        <v>6</v>
      </c>
      <c r="C57" s="179" t="s">
        <v>40</v>
      </c>
      <c r="D57" s="180"/>
      <c r="E57" s="57">
        <v>55.32</v>
      </c>
      <c r="F57" s="69">
        <v>1801</v>
      </c>
      <c r="G57" s="174">
        <f t="shared" si="35"/>
        <v>99631.32</v>
      </c>
      <c r="H57" s="184" t="s">
        <v>5</v>
      </c>
      <c r="I57" s="181">
        <v>15</v>
      </c>
      <c r="J57" s="58">
        <v>2000</v>
      </c>
      <c r="K57" s="59">
        <f t="shared" si="1"/>
        <v>133.33333333333334</v>
      </c>
      <c r="L57" s="181">
        <v>15</v>
      </c>
      <c r="M57" s="60">
        <f t="shared" si="36"/>
        <v>1929.6428571428587</v>
      </c>
      <c r="N57" s="60">
        <f t="shared" si="3"/>
        <v>128.64285714285725</v>
      </c>
      <c r="O57" s="61">
        <f t="shared" si="4"/>
        <v>0</v>
      </c>
      <c r="P57" s="62">
        <f t="shared" si="5"/>
        <v>-4.6904761904760903</v>
      </c>
      <c r="Q57" s="175">
        <f t="shared" si="6"/>
        <v>0.96482142857142927</v>
      </c>
      <c r="R57" s="566"/>
      <c r="S57" s="63">
        <v>0.76111111111111118</v>
      </c>
      <c r="T57" s="63">
        <v>0.8</v>
      </c>
      <c r="U57" s="174">
        <f t="shared" si="38"/>
        <v>4.9999999999999822</v>
      </c>
      <c r="V57" s="182">
        <f t="shared" si="37"/>
        <v>55.999999999999957</v>
      </c>
      <c r="W57" s="64"/>
      <c r="X57" s="64"/>
      <c r="Y57" s="177"/>
      <c r="Z57" s="178"/>
      <c r="AA57" s="61">
        <f t="shared" si="8"/>
        <v>-70.357142857141298</v>
      </c>
      <c r="AB57" s="175">
        <f t="shared" si="9"/>
        <v>0.96482142857142938</v>
      </c>
      <c r="AC57" s="566"/>
    </row>
    <row r="58" spans="1:29" ht="15.75" customHeight="1">
      <c r="A58" s="574" t="s">
        <v>117</v>
      </c>
      <c r="B58" s="57" t="s">
        <v>6</v>
      </c>
      <c r="C58" s="179" t="s">
        <v>99</v>
      </c>
      <c r="D58" s="180"/>
      <c r="E58" s="57">
        <v>53.68</v>
      </c>
      <c r="F58" s="69">
        <v>1500</v>
      </c>
      <c r="G58" s="174">
        <f t="shared" si="35"/>
        <v>80520</v>
      </c>
      <c r="H58" s="184">
        <v>2</v>
      </c>
      <c r="I58" s="181">
        <v>16</v>
      </c>
      <c r="J58" s="58">
        <v>1500</v>
      </c>
      <c r="K58" s="59">
        <f t="shared" si="1"/>
        <v>93.75</v>
      </c>
      <c r="L58" s="181">
        <v>16</v>
      </c>
      <c r="M58" s="60">
        <f t="shared" si="36"/>
        <v>1428.57142857143</v>
      </c>
      <c r="N58" s="60">
        <f t="shared" si="3"/>
        <v>89.285714285714377</v>
      </c>
      <c r="O58" s="61">
        <f t="shared" si="4"/>
        <v>0</v>
      </c>
      <c r="P58" s="62">
        <f t="shared" si="5"/>
        <v>-4.4642857142856229</v>
      </c>
      <c r="Q58" s="175">
        <f t="shared" si="6"/>
        <v>0.95238095238095333</v>
      </c>
      <c r="R58" s="566"/>
      <c r="S58" s="63">
        <v>0.80347222222222225</v>
      </c>
      <c r="T58" s="63">
        <v>0.84722222222222221</v>
      </c>
      <c r="U58" s="174">
        <f t="shared" si="38"/>
        <v>4.9999999999999822</v>
      </c>
      <c r="V58" s="182">
        <f t="shared" si="37"/>
        <v>62.999999999999936</v>
      </c>
      <c r="W58" s="64">
        <f>T58</f>
        <v>0.84722222222222221</v>
      </c>
      <c r="X58" s="64">
        <f>S59</f>
        <v>0.88680555555555551</v>
      </c>
      <c r="Y58" s="177"/>
      <c r="Z58" s="178"/>
      <c r="AA58" s="61">
        <f t="shared" si="8"/>
        <v>-71.428571428569967</v>
      </c>
      <c r="AB58" s="175">
        <f t="shared" si="9"/>
        <v>0.95238095238095333</v>
      </c>
      <c r="AC58" s="566"/>
    </row>
    <row r="59" spans="1:29" ht="15.75" customHeight="1">
      <c r="A59" s="574" t="s">
        <v>117</v>
      </c>
      <c r="B59" s="57" t="s">
        <v>6</v>
      </c>
      <c r="C59" s="567" t="s">
        <v>99</v>
      </c>
      <c r="D59" s="568"/>
      <c r="E59" s="57">
        <v>53.68</v>
      </c>
      <c r="F59" s="69">
        <v>1482</v>
      </c>
      <c r="G59" s="174">
        <f t="shared" si="35"/>
        <v>79553.759999999995</v>
      </c>
      <c r="H59" s="184" t="s">
        <v>5</v>
      </c>
      <c r="I59" s="181">
        <v>16</v>
      </c>
      <c r="J59" s="58">
        <v>1500</v>
      </c>
      <c r="K59" s="59">
        <f t="shared" si="1"/>
        <v>93.75</v>
      </c>
      <c r="L59" s="181">
        <v>16</v>
      </c>
      <c r="M59" s="60">
        <f t="shared" si="36"/>
        <v>1434.193548387098</v>
      </c>
      <c r="N59" s="60">
        <f t="shared" si="3"/>
        <v>89.637096774193623</v>
      </c>
      <c r="O59" s="61">
        <f t="shared" si="4"/>
        <v>0</v>
      </c>
      <c r="P59" s="62">
        <f t="shared" si="5"/>
        <v>-4.1129032258063773</v>
      </c>
      <c r="Q59" s="175">
        <f t="shared" si="6"/>
        <v>0.95612903225806534</v>
      </c>
      <c r="R59" s="566"/>
      <c r="S59" s="63">
        <v>0.88680555555555551</v>
      </c>
      <c r="T59" s="63">
        <v>0.92986111111111103</v>
      </c>
      <c r="U59" s="174">
        <f t="shared" si="38"/>
        <v>56.999999999999957</v>
      </c>
      <c r="V59" s="182">
        <f t="shared" si="37"/>
        <v>61.999999999999943</v>
      </c>
      <c r="W59" s="64"/>
      <c r="X59" s="64"/>
      <c r="Y59" s="569"/>
      <c r="Z59" s="570"/>
      <c r="AA59" s="61">
        <f t="shared" si="8"/>
        <v>-65.806451612902038</v>
      </c>
      <c r="AB59" s="175">
        <f t="shared" si="9"/>
        <v>0.95612903225806534</v>
      </c>
      <c r="AC59" s="566"/>
    </row>
    <row r="60" spans="1:29">
      <c r="A60" s="575" t="s">
        <v>117</v>
      </c>
      <c r="B60" s="57" t="s">
        <v>67</v>
      </c>
      <c r="C60" s="571"/>
      <c r="D60" s="571"/>
      <c r="E60" s="176"/>
      <c r="F60" s="66"/>
      <c r="G60" s="59"/>
      <c r="H60" s="183"/>
      <c r="I60" s="67">
        <v>16.333333333333332</v>
      </c>
      <c r="J60" s="58">
        <v>1833.3333333333333</v>
      </c>
      <c r="K60" s="59">
        <f t="shared" si="1"/>
        <v>112.24489795918367</v>
      </c>
      <c r="L60" s="67">
        <v>16.333333333333332</v>
      </c>
      <c r="M60" s="60">
        <f>AVERAGE(M54:M59)</f>
        <v>1756.4520099089166</v>
      </c>
      <c r="N60" s="59">
        <f t="shared" si="3"/>
        <v>107.53787815768878</v>
      </c>
      <c r="O60" s="61">
        <f t="shared" si="4"/>
        <v>0</v>
      </c>
      <c r="P60" s="62">
        <f t="shared" si="5"/>
        <v>-4.7070198014948943</v>
      </c>
      <c r="Q60" s="175">
        <f t="shared" si="6"/>
        <v>0.95806473267759096</v>
      </c>
      <c r="R60" s="566"/>
      <c r="S60" s="70"/>
      <c r="T60" s="63"/>
      <c r="U60" s="59"/>
      <c r="V60" s="182"/>
      <c r="W60" s="59"/>
      <c r="X60" s="59"/>
      <c r="Y60" s="559"/>
      <c r="Z60" s="559"/>
      <c r="AA60" s="61">
        <f t="shared" si="8"/>
        <v>-76.881323424416678</v>
      </c>
      <c r="AB60" s="175">
        <f t="shared" si="9"/>
        <v>0.95806473267759085</v>
      </c>
      <c r="AC60" s="566"/>
    </row>
    <row r="61" spans="1:29" ht="15.75" customHeight="1">
      <c r="A61" s="572" t="s">
        <v>93</v>
      </c>
      <c r="B61" s="183" t="s">
        <v>10</v>
      </c>
      <c r="C61" s="560" t="s">
        <v>42</v>
      </c>
      <c r="D61" s="560"/>
      <c r="E61" s="57">
        <v>26.97</v>
      </c>
      <c r="F61" s="69">
        <v>3051</v>
      </c>
      <c r="G61" s="174">
        <f t="shared" ref="G61:G64" si="39">E61*F61</f>
        <v>82285.47</v>
      </c>
      <c r="H61" s="184" t="s">
        <v>5</v>
      </c>
      <c r="I61" s="181">
        <v>8</v>
      </c>
      <c r="J61" s="58">
        <v>1500</v>
      </c>
      <c r="K61" s="59">
        <f t="shared" si="1"/>
        <v>187.5</v>
      </c>
      <c r="L61" s="181">
        <v>8</v>
      </c>
      <c r="M61" s="60">
        <f t="shared" ref="M61:M64" si="40">F61/V61*60</f>
        <v>1430.1562500000002</v>
      </c>
      <c r="N61" s="59">
        <f t="shared" si="3"/>
        <v>178.76953125000003</v>
      </c>
      <c r="O61" s="61">
        <f t="shared" si="4"/>
        <v>0</v>
      </c>
      <c r="P61" s="62">
        <f t="shared" si="5"/>
        <v>-8.7304687499999716</v>
      </c>
      <c r="Q61" s="175">
        <f t="shared" si="6"/>
        <v>0.95343750000000016</v>
      </c>
      <c r="R61" s="566">
        <f>Q65</f>
        <v>0.95467714500269074</v>
      </c>
      <c r="S61" s="63">
        <v>0.20833333333333334</v>
      </c>
      <c r="T61" s="63">
        <v>0.29722222222222222</v>
      </c>
      <c r="U61" s="174"/>
      <c r="V61" s="182">
        <f t="shared" ref="V61:V64" si="41">(T61-S61)*24*60</f>
        <v>127.99999999999997</v>
      </c>
      <c r="W61" s="68"/>
      <c r="X61" s="68"/>
      <c r="Y61" s="559"/>
      <c r="Z61" s="559"/>
      <c r="AA61" s="61">
        <f t="shared" si="8"/>
        <v>-69.843749999999773</v>
      </c>
      <c r="AB61" s="175">
        <f t="shared" si="9"/>
        <v>0.95343750000000016</v>
      </c>
      <c r="AC61" s="566">
        <f>AB65</f>
        <v>0.95467714500269085</v>
      </c>
    </row>
    <row r="62" spans="1:29" ht="15.75" customHeight="1">
      <c r="A62" s="572" t="s">
        <v>93</v>
      </c>
      <c r="B62" s="183" t="s">
        <v>31</v>
      </c>
      <c r="C62" s="560" t="s">
        <v>41</v>
      </c>
      <c r="D62" s="560"/>
      <c r="E62" s="57">
        <v>26.78</v>
      </c>
      <c r="F62" s="69">
        <v>2924</v>
      </c>
      <c r="G62" s="174">
        <f t="shared" si="39"/>
        <v>78304.72</v>
      </c>
      <c r="H62" s="184" t="s">
        <v>5</v>
      </c>
      <c r="I62" s="181">
        <v>10</v>
      </c>
      <c r="J62" s="58">
        <v>3000</v>
      </c>
      <c r="K62" s="59">
        <f t="shared" si="1"/>
        <v>300</v>
      </c>
      <c r="L62" s="181">
        <v>10</v>
      </c>
      <c r="M62" s="60">
        <f t="shared" si="40"/>
        <v>2876.065573770491</v>
      </c>
      <c r="N62" s="59">
        <f t="shared" si="3"/>
        <v>287.60655737704911</v>
      </c>
      <c r="O62" s="61">
        <f t="shared" si="4"/>
        <v>0</v>
      </c>
      <c r="P62" s="62">
        <f t="shared" si="5"/>
        <v>-12.393442622950886</v>
      </c>
      <c r="Q62" s="175">
        <f t="shared" si="6"/>
        <v>0.95868852459016374</v>
      </c>
      <c r="R62" s="566"/>
      <c r="S62" s="63">
        <v>0.30208333333333331</v>
      </c>
      <c r="T62" s="63">
        <v>0.34444444444444444</v>
      </c>
      <c r="U62" s="174">
        <f t="shared" ref="U62:U64" si="42">(S62-T61)*24*60</f>
        <v>6.9999999999999751</v>
      </c>
      <c r="V62" s="182">
        <f t="shared" si="41"/>
        <v>61.000000000000021</v>
      </c>
      <c r="W62" s="174"/>
      <c r="X62" s="174"/>
      <c r="Y62" s="559"/>
      <c r="Z62" s="559"/>
      <c r="AA62" s="61">
        <f t="shared" si="8"/>
        <v>-123.93442622950897</v>
      </c>
      <c r="AB62" s="175">
        <f t="shared" si="9"/>
        <v>0.95868852459016363</v>
      </c>
      <c r="AC62" s="566"/>
    </row>
    <row r="63" spans="1:29" ht="15.75" customHeight="1">
      <c r="A63" s="572" t="s">
        <v>93</v>
      </c>
      <c r="B63" s="183" t="s">
        <v>31</v>
      </c>
      <c r="C63" s="560" t="s">
        <v>64</v>
      </c>
      <c r="D63" s="560"/>
      <c r="E63" s="57">
        <v>37.880000000000003</v>
      </c>
      <c r="F63" s="69">
        <v>3280</v>
      </c>
      <c r="G63" s="174">
        <f t="shared" si="39"/>
        <v>124246.40000000001</v>
      </c>
      <c r="H63" s="184" t="s">
        <v>5</v>
      </c>
      <c r="I63" s="181">
        <v>10</v>
      </c>
      <c r="J63" s="58">
        <v>3000</v>
      </c>
      <c r="K63" s="59">
        <f t="shared" si="1"/>
        <v>300</v>
      </c>
      <c r="L63" s="181">
        <v>10</v>
      </c>
      <c r="M63" s="60">
        <f t="shared" si="40"/>
        <v>2852.173913043478</v>
      </c>
      <c r="N63" s="59">
        <f t="shared" si="3"/>
        <v>285.21739130434781</v>
      </c>
      <c r="O63" s="61">
        <f t="shared" si="4"/>
        <v>0</v>
      </c>
      <c r="P63" s="62">
        <f t="shared" si="5"/>
        <v>-14.782608695652186</v>
      </c>
      <c r="Q63" s="175">
        <f t="shared" si="6"/>
        <v>0.95072463768115933</v>
      </c>
      <c r="R63" s="566"/>
      <c r="S63" s="63">
        <v>0.34861111111111109</v>
      </c>
      <c r="T63" s="63">
        <v>0.39652777777777776</v>
      </c>
      <c r="U63" s="174">
        <f t="shared" si="42"/>
        <v>5.9999999999999787</v>
      </c>
      <c r="V63" s="182">
        <f t="shared" si="41"/>
        <v>69</v>
      </c>
      <c r="W63" s="174"/>
      <c r="X63" s="174"/>
      <c r="Y63" s="559"/>
      <c r="Z63" s="559"/>
      <c r="AA63" s="61">
        <f t="shared" si="8"/>
        <v>-147.82608695652198</v>
      </c>
      <c r="AB63" s="175">
        <f t="shared" si="9"/>
        <v>0.95072463768115933</v>
      </c>
      <c r="AC63" s="566"/>
    </row>
    <row r="64" spans="1:29" ht="15.75" customHeight="1">
      <c r="A64" s="572" t="s">
        <v>93</v>
      </c>
      <c r="B64" s="183" t="s">
        <v>31</v>
      </c>
      <c r="C64" s="560" t="s">
        <v>72</v>
      </c>
      <c r="D64" s="560"/>
      <c r="E64" s="57">
        <v>40.51</v>
      </c>
      <c r="F64" s="69">
        <v>3009</v>
      </c>
      <c r="G64" s="174">
        <f t="shared" si="39"/>
        <v>121894.59</v>
      </c>
      <c r="H64" s="184" t="s">
        <v>5</v>
      </c>
      <c r="I64" s="181">
        <v>8</v>
      </c>
      <c r="J64" s="58">
        <v>3000</v>
      </c>
      <c r="K64" s="59">
        <f t="shared" si="1"/>
        <v>375</v>
      </c>
      <c r="L64" s="181">
        <v>8</v>
      </c>
      <c r="M64" s="60">
        <f t="shared" si="40"/>
        <v>2865.7142857142853</v>
      </c>
      <c r="N64" s="59">
        <f t="shared" si="3"/>
        <v>358.21428571428567</v>
      </c>
      <c r="O64" s="61">
        <f t="shared" si="4"/>
        <v>0</v>
      </c>
      <c r="P64" s="62">
        <f t="shared" si="5"/>
        <v>-16.785714285714334</v>
      </c>
      <c r="Q64" s="175">
        <f t="shared" si="6"/>
        <v>0.95523809523809511</v>
      </c>
      <c r="R64" s="566"/>
      <c r="S64" s="63">
        <v>0.40208333333333329</v>
      </c>
      <c r="T64" s="63">
        <v>0.4458333333333333</v>
      </c>
      <c r="U64" s="174">
        <f t="shared" si="42"/>
        <v>7.9999999999999716</v>
      </c>
      <c r="V64" s="182">
        <f t="shared" si="41"/>
        <v>63.000000000000014</v>
      </c>
      <c r="W64" s="174"/>
      <c r="X64" s="174"/>
      <c r="Y64" s="559"/>
      <c r="Z64" s="559"/>
      <c r="AA64" s="61">
        <f t="shared" si="8"/>
        <v>-134.28571428571468</v>
      </c>
      <c r="AB64" s="175">
        <f t="shared" si="9"/>
        <v>0.95523809523809511</v>
      </c>
      <c r="AC64" s="566"/>
    </row>
    <row r="65" spans="1:29">
      <c r="A65" s="573" t="s">
        <v>93</v>
      </c>
      <c r="B65" s="57" t="s">
        <v>67</v>
      </c>
      <c r="C65" s="571"/>
      <c r="D65" s="571"/>
      <c r="E65" s="176"/>
      <c r="F65" s="66"/>
      <c r="G65" s="59"/>
      <c r="H65" s="183"/>
      <c r="I65" s="67">
        <v>9</v>
      </c>
      <c r="J65" s="58">
        <v>2625</v>
      </c>
      <c r="K65" s="59">
        <f t="shared" si="1"/>
        <v>291.66666666666669</v>
      </c>
      <c r="L65" s="67">
        <v>9</v>
      </c>
      <c r="M65" s="60">
        <f>AVERAGE(M61:M64)</f>
        <v>2506.0275056320634</v>
      </c>
      <c r="N65" s="59">
        <f t="shared" si="3"/>
        <v>278.44750062578481</v>
      </c>
      <c r="O65" s="61">
        <f t="shared" si="4"/>
        <v>0</v>
      </c>
      <c r="P65" s="62">
        <f t="shared" si="5"/>
        <v>-13.219166040881873</v>
      </c>
      <c r="Q65" s="175">
        <f t="shared" si="6"/>
        <v>0.95467714500269074</v>
      </c>
      <c r="R65" s="566"/>
      <c r="S65" s="63"/>
      <c r="T65" s="63"/>
      <c r="U65" s="59"/>
      <c r="V65" s="182"/>
      <c r="W65" s="59"/>
      <c r="X65" s="59"/>
      <c r="Y65" s="559"/>
      <c r="Z65" s="559"/>
      <c r="AA65" s="61">
        <f t="shared" si="8"/>
        <v>-118.97249436793663</v>
      </c>
      <c r="AB65" s="175">
        <f t="shared" si="9"/>
        <v>0.95467714500269085</v>
      </c>
      <c r="AC65" s="566"/>
    </row>
    <row r="66" spans="1:29" ht="15.75" customHeight="1">
      <c r="A66" s="563" t="s">
        <v>90</v>
      </c>
      <c r="B66" s="183" t="s">
        <v>15</v>
      </c>
      <c r="C66" s="560" t="s">
        <v>43</v>
      </c>
      <c r="D66" s="560"/>
      <c r="E66" s="57">
        <v>20.2</v>
      </c>
      <c r="F66" s="183">
        <v>2433</v>
      </c>
      <c r="G66" s="174">
        <f t="shared" ref="G66:G73" si="43">E66*F66</f>
        <v>49146.6</v>
      </c>
      <c r="H66" s="184" t="s">
        <v>5</v>
      </c>
      <c r="I66" s="181">
        <v>19</v>
      </c>
      <c r="J66" s="58">
        <v>2400</v>
      </c>
      <c r="K66" s="59">
        <f t="shared" si="1"/>
        <v>126.31578947368421</v>
      </c>
      <c r="L66" s="181">
        <v>19</v>
      </c>
      <c r="M66" s="60">
        <f t="shared" ref="M66:M73" si="44">F66/V66*60</f>
        <v>2317.1428571428578</v>
      </c>
      <c r="N66" s="59">
        <f t="shared" si="3"/>
        <v>121.95488721804514</v>
      </c>
      <c r="O66" s="61">
        <f t="shared" si="4"/>
        <v>0</v>
      </c>
      <c r="P66" s="62">
        <f t="shared" si="5"/>
        <v>-4.3609022556390613</v>
      </c>
      <c r="Q66" s="175">
        <f t="shared" si="6"/>
        <v>0.96547619047619071</v>
      </c>
      <c r="R66" s="566">
        <f>Q74</f>
        <v>0.95701771895110588</v>
      </c>
      <c r="S66" s="63">
        <v>8.3333333333333329E-2</v>
      </c>
      <c r="T66" s="63">
        <v>0.12708333333333333</v>
      </c>
      <c r="U66" s="68"/>
      <c r="V66" s="182">
        <f t="shared" ref="V66:V73" si="45">(T66-S66)*24*60</f>
        <v>62.999999999999986</v>
      </c>
      <c r="W66" s="64">
        <f>T66</f>
        <v>0.12708333333333333</v>
      </c>
      <c r="X66" s="64">
        <f>S67</f>
        <v>0.14583333333333331</v>
      </c>
      <c r="Y66" s="559"/>
      <c r="Z66" s="559"/>
      <c r="AA66" s="61">
        <f t="shared" si="8"/>
        <v>-82.857142857142208</v>
      </c>
      <c r="AB66" s="175">
        <f t="shared" si="9"/>
        <v>0.96547619047619071</v>
      </c>
      <c r="AC66" s="566">
        <f>AB74</f>
        <v>0.95701771895110599</v>
      </c>
    </row>
    <row r="67" spans="1:29" ht="15.75" customHeight="1">
      <c r="A67" s="564" t="s">
        <v>90</v>
      </c>
      <c r="B67" s="183" t="s">
        <v>15</v>
      </c>
      <c r="C67" s="560" t="s">
        <v>16</v>
      </c>
      <c r="D67" s="560"/>
      <c r="E67" s="57">
        <v>24.45</v>
      </c>
      <c r="F67" s="183">
        <v>2745</v>
      </c>
      <c r="G67" s="174">
        <f t="shared" si="43"/>
        <v>67115.25</v>
      </c>
      <c r="H67" s="184" t="s">
        <v>5</v>
      </c>
      <c r="I67" s="181">
        <v>20</v>
      </c>
      <c r="J67" s="58">
        <v>2400</v>
      </c>
      <c r="K67" s="59">
        <f t="shared" si="1"/>
        <v>120</v>
      </c>
      <c r="L67" s="181">
        <v>20</v>
      </c>
      <c r="M67" s="60">
        <f t="shared" si="44"/>
        <v>2287.5000000000005</v>
      </c>
      <c r="N67" s="59">
        <f t="shared" si="3"/>
        <v>114.37500000000003</v>
      </c>
      <c r="O67" s="61">
        <f t="shared" si="4"/>
        <v>0</v>
      </c>
      <c r="P67" s="62">
        <f t="shared" si="5"/>
        <v>-5.6249999999999716</v>
      </c>
      <c r="Q67" s="175">
        <f t="shared" si="6"/>
        <v>0.95312500000000022</v>
      </c>
      <c r="R67" s="566"/>
      <c r="S67" s="63">
        <v>0.14583333333333331</v>
      </c>
      <c r="T67" s="63">
        <v>0.1958333333333333</v>
      </c>
      <c r="U67" s="174">
        <f t="shared" ref="U67:U73" si="46">(S67-T66)*24*60</f>
        <v>26.999999999999986</v>
      </c>
      <c r="V67" s="182">
        <f t="shared" si="45"/>
        <v>71.999999999999986</v>
      </c>
      <c r="W67" s="64"/>
      <c r="X67" s="64"/>
      <c r="Y67" s="559"/>
      <c r="Z67" s="559"/>
      <c r="AA67" s="61">
        <f t="shared" si="8"/>
        <v>-112.49999999999955</v>
      </c>
      <c r="AB67" s="175">
        <f t="shared" si="9"/>
        <v>0.95312500000000022</v>
      </c>
      <c r="AC67" s="566"/>
    </row>
    <row r="68" spans="1:29" ht="15.75" customHeight="1">
      <c r="A68" s="564" t="s">
        <v>90</v>
      </c>
      <c r="B68" s="183" t="s">
        <v>15</v>
      </c>
      <c r="C68" s="560" t="s">
        <v>17</v>
      </c>
      <c r="D68" s="560"/>
      <c r="E68" s="57">
        <v>22.35</v>
      </c>
      <c r="F68" s="183">
        <v>2287</v>
      </c>
      <c r="G68" s="174">
        <f t="shared" si="43"/>
        <v>51114.450000000004</v>
      </c>
      <c r="H68" s="184" t="s">
        <v>5</v>
      </c>
      <c r="I68" s="181">
        <v>16</v>
      </c>
      <c r="J68" s="58">
        <v>2400</v>
      </c>
      <c r="K68" s="59">
        <f t="shared" si="1"/>
        <v>150</v>
      </c>
      <c r="L68" s="181">
        <v>16</v>
      </c>
      <c r="M68" s="60">
        <f t="shared" si="44"/>
        <v>2287.0000000000005</v>
      </c>
      <c r="N68" s="59">
        <f t="shared" si="3"/>
        <v>142.93750000000003</v>
      </c>
      <c r="O68" s="61">
        <f t="shared" si="4"/>
        <v>0</v>
      </c>
      <c r="P68" s="62">
        <f t="shared" si="5"/>
        <v>-7.0624999999999716</v>
      </c>
      <c r="Q68" s="175">
        <f t="shared" si="6"/>
        <v>0.95291666666666686</v>
      </c>
      <c r="R68" s="566"/>
      <c r="S68" s="63">
        <v>0.20069444444444443</v>
      </c>
      <c r="T68" s="63">
        <v>0.24236111111111108</v>
      </c>
      <c r="U68" s="174">
        <f t="shared" si="46"/>
        <v>7.0000000000000151</v>
      </c>
      <c r="V68" s="182">
        <f t="shared" si="45"/>
        <v>59.999999999999986</v>
      </c>
      <c r="W68" s="64"/>
      <c r="X68" s="64"/>
      <c r="Y68" s="559"/>
      <c r="Z68" s="559"/>
      <c r="AA68" s="61">
        <f t="shared" si="8"/>
        <v>-112.99999999999955</v>
      </c>
      <c r="AB68" s="175">
        <f t="shared" si="9"/>
        <v>0.95291666666666686</v>
      </c>
      <c r="AC68" s="566"/>
    </row>
    <row r="69" spans="1:29" ht="15.75" customHeight="1">
      <c r="A69" s="564" t="s">
        <v>90</v>
      </c>
      <c r="B69" s="183" t="s">
        <v>15</v>
      </c>
      <c r="C69" s="560" t="s">
        <v>30</v>
      </c>
      <c r="D69" s="560"/>
      <c r="E69" s="57">
        <v>24.25</v>
      </c>
      <c r="F69" s="183">
        <v>2638</v>
      </c>
      <c r="G69" s="174">
        <f t="shared" si="43"/>
        <v>63971.5</v>
      </c>
      <c r="H69" s="184" t="s">
        <v>5</v>
      </c>
      <c r="I69" s="181">
        <v>13</v>
      </c>
      <c r="J69" s="58">
        <v>2400</v>
      </c>
      <c r="K69" s="59">
        <f t="shared" ref="K69:K74" si="47">J69/I69</f>
        <v>184.61538461538461</v>
      </c>
      <c r="L69" s="181">
        <v>13</v>
      </c>
      <c r="M69" s="60">
        <f t="shared" si="44"/>
        <v>2293.9130434782624</v>
      </c>
      <c r="N69" s="59">
        <f t="shared" ref="N69:N74" si="48">M69/L69</f>
        <v>176.45484949832786</v>
      </c>
      <c r="O69" s="61">
        <f t="shared" ref="O69:O74" si="49">L69-I69</f>
        <v>0</v>
      </c>
      <c r="P69" s="62">
        <f t="shared" ref="P69:P74" si="50">N69-K69</f>
        <v>-8.1605351170567531</v>
      </c>
      <c r="Q69" s="175">
        <f t="shared" ref="Q69:Q74" si="51">N69/K69</f>
        <v>0.95579710144927588</v>
      </c>
      <c r="R69" s="566"/>
      <c r="S69" s="63">
        <v>0.24791666666666665</v>
      </c>
      <c r="T69" s="63">
        <v>0.29583333333333328</v>
      </c>
      <c r="U69" s="174">
        <f t="shared" si="46"/>
        <v>8.0000000000000107</v>
      </c>
      <c r="V69" s="182">
        <f t="shared" si="45"/>
        <v>68.999999999999957</v>
      </c>
      <c r="W69" s="64"/>
      <c r="X69" s="64"/>
      <c r="Y69" s="559"/>
      <c r="Z69" s="559"/>
      <c r="AA69" s="61">
        <f t="shared" ref="AA69:AA74" si="52">M69-J69</f>
        <v>-106.08695652173765</v>
      </c>
      <c r="AB69" s="175">
        <f t="shared" ref="AB69:AB74" si="53">M69/J69</f>
        <v>0.95579710144927599</v>
      </c>
      <c r="AC69" s="566"/>
    </row>
    <row r="70" spans="1:29" ht="15.75" customHeight="1">
      <c r="A70" s="564" t="s">
        <v>90</v>
      </c>
      <c r="B70" s="183" t="s">
        <v>15</v>
      </c>
      <c r="C70" s="560" t="s">
        <v>24</v>
      </c>
      <c r="D70" s="560"/>
      <c r="E70" s="57">
        <v>20.52</v>
      </c>
      <c r="F70" s="183">
        <v>3714</v>
      </c>
      <c r="G70" s="174">
        <f t="shared" si="43"/>
        <v>76211.28</v>
      </c>
      <c r="H70" s="184" t="s">
        <v>5</v>
      </c>
      <c r="I70" s="181">
        <v>18</v>
      </c>
      <c r="J70" s="58">
        <v>2400</v>
      </c>
      <c r="K70" s="59">
        <f t="shared" si="47"/>
        <v>133.33333333333334</v>
      </c>
      <c r="L70" s="181">
        <v>18</v>
      </c>
      <c r="M70" s="60">
        <f t="shared" si="44"/>
        <v>2297.3195876288669</v>
      </c>
      <c r="N70" s="59">
        <f t="shared" si="48"/>
        <v>127.62886597938149</v>
      </c>
      <c r="O70" s="61">
        <f t="shared" si="49"/>
        <v>0</v>
      </c>
      <c r="P70" s="62">
        <f t="shared" si="50"/>
        <v>-5.7044673539518556</v>
      </c>
      <c r="Q70" s="175">
        <f t="shared" si="51"/>
        <v>0.95721649484536109</v>
      </c>
      <c r="R70" s="566"/>
      <c r="S70" s="63">
        <v>0.30069444444444438</v>
      </c>
      <c r="T70" s="63">
        <v>0.36805555555555547</v>
      </c>
      <c r="U70" s="174">
        <f t="shared" si="46"/>
        <v>6.9999999999999751</v>
      </c>
      <c r="V70" s="182">
        <f t="shared" si="45"/>
        <v>96.999999999999972</v>
      </c>
      <c r="W70" s="64"/>
      <c r="X70" s="64"/>
      <c r="Y70" s="559"/>
      <c r="Z70" s="559"/>
      <c r="AA70" s="61">
        <f t="shared" si="52"/>
        <v>-102.68041237113312</v>
      </c>
      <c r="AB70" s="175">
        <f t="shared" si="53"/>
        <v>0.9572164948453612</v>
      </c>
      <c r="AC70" s="566"/>
    </row>
    <row r="71" spans="1:29" ht="15.75" customHeight="1">
      <c r="A71" s="564" t="s">
        <v>90</v>
      </c>
      <c r="B71" s="183" t="s">
        <v>15</v>
      </c>
      <c r="C71" s="560" t="s">
        <v>101</v>
      </c>
      <c r="D71" s="560"/>
      <c r="E71" s="57">
        <v>22.69</v>
      </c>
      <c r="F71" s="183">
        <v>3609</v>
      </c>
      <c r="G71" s="174">
        <f t="shared" si="43"/>
        <v>81888.210000000006</v>
      </c>
      <c r="H71" s="184" t="s">
        <v>5</v>
      </c>
      <c r="I71" s="181">
        <v>15</v>
      </c>
      <c r="J71" s="58">
        <v>2400</v>
      </c>
      <c r="K71" s="59">
        <f t="shared" si="47"/>
        <v>160</v>
      </c>
      <c r="L71" s="181">
        <v>15</v>
      </c>
      <c r="M71" s="60">
        <f t="shared" si="44"/>
        <v>2303.6170212765965</v>
      </c>
      <c r="N71" s="59">
        <f t="shared" si="48"/>
        <v>153.57446808510642</v>
      </c>
      <c r="O71" s="61">
        <f t="shared" si="49"/>
        <v>0</v>
      </c>
      <c r="P71" s="62">
        <f t="shared" si="50"/>
        <v>-6.4255319148935826</v>
      </c>
      <c r="Q71" s="175">
        <f t="shared" si="51"/>
        <v>0.95984042553191506</v>
      </c>
      <c r="R71" s="566"/>
      <c r="S71" s="63">
        <v>0.37291666666666656</v>
      </c>
      <c r="T71" s="63">
        <v>0.43819444444444433</v>
      </c>
      <c r="U71" s="174">
        <f t="shared" si="46"/>
        <v>6.9999999999999751</v>
      </c>
      <c r="V71" s="182">
        <f t="shared" si="45"/>
        <v>93.999999999999986</v>
      </c>
      <c r="W71" s="64"/>
      <c r="X71" s="64"/>
      <c r="Y71" s="559"/>
      <c r="Z71" s="559"/>
      <c r="AA71" s="61">
        <f t="shared" si="52"/>
        <v>-96.382978723403539</v>
      </c>
      <c r="AB71" s="175">
        <f t="shared" si="53"/>
        <v>0.95984042553191518</v>
      </c>
      <c r="AC71" s="566"/>
    </row>
    <row r="72" spans="1:29" ht="15.75" customHeight="1">
      <c r="A72" s="564" t="s">
        <v>90</v>
      </c>
      <c r="B72" s="183" t="s">
        <v>15</v>
      </c>
      <c r="C72" s="560" t="s">
        <v>29</v>
      </c>
      <c r="D72" s="560"/>
      <c r="E72" s="57">
        <v>24.43</v>
      </c>
      <c r="F72" s="183">
        <v>3800</v>
      </c>
      <c r="G72" s="174">
        <f t="shared" si="43"/>
        <v>92834</v>
      </c>
      <c r="H72" s="184">
        <v>2</v>
      </c>
      <c r="I72" s="181">
        <v>14</v>
      </c>
      <c r="J72" s="58">
        <v>2400</v>
      </c>
      <c r="K72" s="59">
        <f t="shared" si="47"/>
        <v>171.42857142857142</v>
      </c>
      <c r="L72" s="181">
        <v>14</v>
      </c>
      <c r="M72" s="60">
        <f t="shared" si="44"/>
        <v>2303.0303030303039</v>
      </c>
      <c r="N72" s="59">
        <f t="shared" si="48"/>
        <v>164.50216450216456</v>
      </c>
      <c r="O72" s="61">
        <f t="shared" si="49"/>
        <v>0</v>
      </c>
      <c r="P72" s="62">
        <f t="shared" si="50"/>
        <v>-6.9264069264068553</v>
      </c>
      <c r="Q72" s="175">
        <f t="shared" si="51"/>
        <v>0.95959595959596</v>
      </c>
      <c r="R72" s="566"/>
      <c r="S72" s="63">
        <v>0.44166666666666654</v>
      </c>
      <c r="T72" s="63">
        <v>0.51041666666666652</v>
      </c>
      <c r="U72" s="174">
        <f t="shared" si="46"/>
        <v>4.9999999999999822</v>
      </c>
      <c r="V72" s="182">
        <f t="shared" si="45"/>
        <v>98.999999999999972</v>
      </c>
      <c r="W72" s="64">
        <f>T72</f>
        <v>0.51041666666666652</v>
      </c>
      <c r="X72" s="64">
        <f>S73</f>
        <v>0.55208333333333315</v>
      </c>
      <c r="Y72" s="569"/>
      <c r="Z72" s="570"/>
      <c r="AA72" s="61">
        <f t="shared" si="52"/>
        <v>-96.969696969696088</v>
      </c>
      <c r="AB72" s="175">
        <f t="shared" si="53"/>
        <v>0.95959595959596</v>
      </c>
      <c r="AC72" s="566"/>
    </row>
    <row r="73" spans="1:29" ht="15.75" customHeight="1">
      <c r="A73" s="564" t="s">
        <v>90</v>
      </c>
      <c r="B73" s="183" t="s">
        <v>15</v>
      </c>
      <c r="C73" s="560" t="s">
        <v>29</v>
      </c>
      <c r="D73" s="560"/>
      <c r="E73" s="57">
        <v>24.43</v>
      </c>
      <c r="F73" s="183">
        <v>4380</v>
      </c>
      <c r="G73" s="174">
        <f t="shared" si="43"/>
        <v>107003.4</v>
      </c>
      <c r="H73" s="184" t="s">
        <v>5</v>
      </c>
      <c r="I73" s="181">
        <v>14</v>
      </c>
      <c r="J73" s="58">
        <v>2400</v>
      </c>
      <c r="K73" s="59">
        <f t="shared" si="47"/>
        <v>171.42857142857142</v>
      </c>
      <c r="L73" s="181">
        <v>14</v>
      </c>
      <c r="M73" s="60">
        <f t="shared" si="44"/>
        <v>2285.2173913043462</v>
      </c>
      <c r="N73" s="59">
        <f t="shared" si="48"/>
        <v>163.22981366459615</v>
      </c>
      <c r="O73" s="61">
        <f t="shared" si="49"/>
        <v>0</v>
      </c>
      <c r="P73" s="62">
        <f t="shared" si="50"/>
        <v>-8.1987577639752658</v>
      </c>
      <c r="Q73" s="175">
        <f t="shared" si="51"/>
        <v>0.95217391304347765</v>
      </c>
      <c r="R73" s="566"/>
      <c r="S73" s="63">
        <v>0.55208333333333315</v>
      </c>
      <c r="T73" s="63">
        <v>0.63194444444444431</v>
      </c>
      <c r="U73" s="174">
        <f t="shared" si="46"/>
        <v>59.999999999999943</v>
      </c>
      <c r="V73" s="182">
        <f t="shared" si="45"/>
        <v>115.00000000000007</v>
      </c>
      <c r="W73" s="64"/>
      <c r="X73" s="64"/>
      <c r="Y73" s="569"/>
      <c r="Z73" s="570"/>
      <c r="AA73" s="61">
        <f t="shared" si="52"/>
        <v>-114.78260869565383</v>
      </c>
      <c r="AB73" s="175">
        <f t="shared" si="53"/>
        <v>0.95217391304347754</v>
      </c>
      <c r="AC73" s="566"/>
    </row>
    <row r="74" spans="1:29" ht="16.5" customHeight="1">
      <c r="A74" s="565" t="s">
        <v>90</v>
      </c>
      <c r="B74" s="57" t="s">
        <v>67</v>
      </c>
      <c r="C74" s="561"/>
      <c r="D74" s="562"/>
      <c r="E74" s="176"/>
      <c r="F74" s="66"/>
      <c r="G74" s="59"/>
      <c r="H74" s="183"/>
      <c r="I74" s="67">
        <v>16.125</v>
      </c>
      <c r="J74" s="58">
        <v>2400</v>
      </c>
      <c r="K74" s="59">
        <f t="shared" si="47"/>
        <v>148.83720930232559</v>
      </c>
      <c r="L74" s="67">
        <v>16.125</v>
      </c>
      <c r="M74" s="60">
        <f>AVERAGE(M66:M73)</f>
        <v>2296.8425254826543</v>
      </c>
      <c r="N74" s="59">
        <f t="shared" si="48"/>
        <v>142.43984654155994</v>
      </c>
      <c r="O74" s="61">
        <f t="shared" si="49"/>
        <v>0</v>
      </c>
      <c r="P74" s="62">
        <f t="shared" si="50"/>
        <v>-6.3973627607656454</v>
      </c>
      <c r="Q74" s="175">
        <f t="shared" si="51"/>
        <v>0.95701771895110588</v>
      </c>
      <c r="R74" s="566"/>
      <c r="S74" s="63"/>
      <c r="T74" s="63"/>
      <c r="U74" s="59"/>
      <c r="V74" s="182"/>
      <c r="W74" s="59"/>
      <c r="X74" s="59"/>
      <c r="Y74" s="559"/>
      <c r="Z74" s="559"/>
      <c r="AA74" s="61">
        <f t="shared" si="52"/>
        <v>-103.15747451734569</v>
      </c>
      <c r="AB74" s="175">
        <f t="shared" si="53"/>
        <v>0.95701771895110599</v>
      </c>
      <c r="AC74" s="566"/>
    </row>
    <row r="75" spans="1:29">
      <c r="D75" s="122"/>
      <c r="E75" s="122"/>
    </row>
  </sheetData>
  <mergeCells count="196">
    <mergeCell ref="AC66:AC74"/>
    <mergeCell ref="C67:D67"/>
    <mergeCell ref="Y67:Z67"/>
    <mergeCell ref="C68:D68"/>
    <mergeCell ref="Y68:Z68"/>
    <mergeCell ref="C69:D69"/>
    <mergeCell ref="Y69:Z69"/>
    <mergeCell ref="C70:D70"/>
    <mergeCell ref="Y70:Z70"/>
    <mergeCell ref="C71:D71"/>
    <mergeCell ref="A66:A74"/>
    <mergeCell ref="C66:D66"/>
    <mergeCell ref="R66:R74"/>
    <mergeCell ref="Y66:Z66"/>
    <mergeCell ref="Y71:Z71"/>
    <mergeCell ref="C72:D72"/>
    <mergeCell ref="Y72:Z72"/>
    <mergeCell ref="A61:A65"/>
    <mergeCell ref="C61:D61"/>
    <mergeCell ref="R61:R65"/>
    <mergeCell ref="Y61:Z61"/>
    <mergeCell ref="C73:D73"/>
    <mergeCell ref="Y73:Z73"/>
    <mergeCell ref="C74:D74"/>
    <mergeCell ref="Y74:Z74"/>
    <mergeCell ref="AC61:AC65"/>
    <mergeCell ref="C62:D62"/>
    <mergeCell ref="Y62:Z62"/>
    <mergeCell ref="C63:D63"/>
    <mergeCell ref="Y63:Z63"/>
    <mergeCell ref="C64:D64"/>
    <mergeCell ref="AC54:AC60"/>
    <mergeCell ref="C55:D55"/>
    <mergeCell ref="Y55:Z55"/>
    <mergeCell ref="C56:D56"/>
    <mergeCell ref="C59:D59"/>
    <mergeCell ref="Y59:Z59"/>
    <mergeCell ref="C60:D60"/>
    <mergeCell ref="Y60:Z60"/>
    <mergeCell ref="Y64:Z64"/>
    <mergeCell ref="C65:D65"/>
    <mergeCell ref="Y65:Z65"/>
    <mergeCell ref="A54:A60"/>
    <mergeCell ref="C54:D54"/>
    <mergeCell ref="R54:R60"/>
    <mergeCell ref="Y54:Z54"/>
    <mergeCell ref="AC45:AC53"/>
    <mergeCell ref="C46:D46"/>
    <mergeCell ref="Y46:Z46"/>
    <mergeCell ref="C47:D47"/>
    <mergeCell ref="Y47:Z47"/>
    <mergeCell ref="C48:D48"/>
    <mergeCell ref="Y48:Z48"/>
    <mergeCell ref="C49:D49"/>
    <mergeCell ref="Y49:Z49"/>
    <mergeCell ref="C50:D50"/>
    <mergeCell ref="A37:A44"/>
    <mergeCell ref="C37:D37"/>
    <mergeCell ref="R37:R44"/>
    <mergeCell ref="Y37:Z37"/>
    <mergeCell ref="C44:D44"/>
    <mergeCell ref="Y44:Z44"/>
    <mergeCell ref="A45:A53"/>
    <mergeCell ref="C45:D45"/>
    <mergeCell ref="R45:R53"/>
    <mergeCell ref="Y45:Z45"/>
    <mergeCell ref="Y50:Z50"/>
    <mergeCell ref="C51:D51"/>
    <mergeCell ref="Y51:Z51"/>
    <mergeCell ref="C52:D52"/>
    <mergeCell ref="Y52:Z52"/>
    <mergeCell ref="C53:D53"/>
    <mergeCell ref="Y53:Z53"/>
    <mergeCell ref="C32:D32"/>
    <mergeCell ref="Y32:Z32"/>
    <mergeCell ref="C33:D33"/>
    <mergeCell ref="Y40:Z40"/>
    <mergeCell ref="C41:D41"/>
    <mergeCell ref="Y41:Z41"/>
    <mergeCell ref="C42:D42"/>
    <mergeCell ref="Y42:Z42"/>
    <mergeCell ref="C43:D43"/>
    <mergeCell ref="Y43:Z43"/>
    <mergeCell ref="A28:A36"/>
    <mergeCell ref="C28:D28"/>
    <mergeCell ref="R28:R36"/>
    <mergeCell ref="Y28:Z28"/>
    <mergeCell ref="Y33:Z33"/>
    <mergeCell ref="AC37:AC44"/>
    <mergeCell ref="C38:D38"/>
    <mergeCell ref="Y38:Z38"/>
    <mergeCell ref="C39:D39"/>
    <mergeCell ref="Y39:Z39"/>
    <mergeCell ref="C40:D40"/>
    <mergeCell ref="C34:D34"/>
    <mergeCell ref="Y34:Z34"/>
    <mergeCell ref="C35:D35"/>
    <mergeCell ref="Y35:Z35"/>
    <mergeCell ref="C36:D36"/>
    <mergeCell ref="Y36:Z36"/>
    <mergeCell ref="AC28:AC36"/>
    <mergeCell ref="C29:D29"/>
    <mergeCell ref="Y29:Z29"/>
    <mergeCell ref="C30:D30"/>
    <mergeCell ref="Y30:Z30"/>
    <mergeCell ref="C31:D31"/>
    <mergeCell ref="Y31:Z31"/>
    <mergeCell ref="A19:A27"/>
    <mergeCell ref="C19:D19"/>
    <mergeCell ref="R19:R27"/>
    <mergeCell ref="Y19:Z19"/>
    <mergeCell ref="Y24:Z24"/>
    <mergeCell ref="C25:D25"/>
    <mergeCell ref="A13:A18"/>
    <mergeCell ref="AC19:AC27"/>
    <mergeCell ref="C20:D20"/>
    <mergeCell ref="Y20:Z20"/>
    <mergeCell ref="C21:D21"/>
    <mergeCell ref="Y21:Z21"/>
    <mergeCell ref="C22:D22"/>
    <mergeCell ref="Y22:Z22"/>
    <mergeCell ref="C23:D23"/>
    <mergeCell ref="Y23:Z23"/>
    <mergeCell ref="C24:D24"/>
    <mergeCell ref="Y25:Z25"/>
    <mergeCell ref="C26:D26"/>
    <mergeCell ref="Y26:Z26"/>
    <mergeCell ref="C27:D27"/>
    <mergeCell ref="Y27:Z27"/>
    <mergeCell ref="C14:D14"/>
    <mergeCell ref="Y14:Z14"/>
    <mergeCell ref="C15:D15"/>
    <mergeCell ref="Y15:Z15"/>
    <mergeCell ref="C16:D16"/>
    <mergeCell ref="Y16:Z16"/>
    <mergeCell ref="AC10:AC12"/>
    <mergeCell ref="C11:D11"/>
    <mergeCell ref="Y11:Z11"/>
    <mergeCell ref="C12:D12"/>
    <mergeCell ref="Y12:Z12"/>
    <mergeCell ref="C13:D13"/>
    <mergeCell ref="R13:R18"/>
    <mergeCell ref="Y13:Z13"/>
    <mergeCell ref="AC13:AC18"/>
    <mergeCell ref="C17:D17"/>
    <mergeCell ref="Y17:Z17"/>
    <mergeCell ref="C18:D18"/>
    <mergeCell ref="Y18:Z18"/>
    <mergeCell ref="C8:D8"/>
    <mergeCell ref="Y8:Z8"/>
    <mergeCell ref="C9:D9"/>
    <mergeCell ref="Y9:Z9"/>
    <mergeCell ref="A10:A12"/>
    <mergeCell ref="C10:D10"/>
    <mergeCell ref="R10:R12"/>
    <mergeCell ref="Y10:Z10"/>
    <mergeCell ref="AC3:AC4"/>
    <mergeCell ref="A5:A9"/>
    <mergeCell ref="C5:D5"/>
    <mergeCell ref="R5:R9"/>
    <mergeCell ref="Y5:Z5"/>
    <mergeCell ref="AC5:AC9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</mergeCells>
  <phoneticPr fontId="3" type="noConversion"/>
  <conditionalFormatting sqref="O64:O71 O74 O5:O10 O12:O14 O53:O61 O18:O50">
    <cfRule type="cellIs" dxfId="595" priority="61" operator="greaterThan">
      <formula>0</formula>
    </cfRule>
  </conditionalFormatting>
  <conditionalFormatting sqref="P5:P8 P64 AA64 P66:P71 P28:P35 P61 P10 P12:P14 P19:P26 P54:P59 P37:P50 AA5:AA61 AA66:AA74">
    <cfRule type="cellIs" dxfId="594" priority="65" operator="lessThan">
      <formula>0</formula>
    </cfRule>
  </conditionalFormatting>
  <conditionalFormatting sqref="AB64 Q64:Q71 Q74 Q5:Q10 Q12:Q14 Q53:Q61 Q18:Q50 AB5:AB61 AB66:AB74">
    <cfRule type="cellIs" dxfId="593" priority="62" operator="greaterThan">
      <formula>1</formula>
    </cfRule>
    <cfRule type="cellIs" dxfId="592" priority="63" operator="lessThan">
      <formula>0.8</formula>
    </cfRule>
  </conditionalFormatting>
  <conditionalFormatting sqref="AC13:AC14 R13:R14 AC64 R64:R71 R18:R24 AC18:AC24 R74 AC5:AC10 R5:R10 R27:R50 AC27:AC50 AC53:AC61 R53:R61">
    <cfRule type="cellIs" dxfId="591" priority="67" operator="lessThan">
      <formula>0.8</formula>
    </cfRule>
  </conditionalFormatting>
  <conditionalFormatting sqref="AC45">
    <cfRule type="cellIs" dxfId="590" priority="69" operator="lessThan">
      <formula>0.8</formula>
    </cfRule>
  </conditionalFormatting>
  <conditionalFormatting sqref="AC19:AC24">
    <cfRule type="cellIs" dxfId="589" priority="66" operator="lessThan">
      <formula>0.8</formula>
    </cfRule>
  </conditionalFormatting>
  <conditionalFormatting sqref="AC28">
    <cfRule type="cellIs" dxfId="588" priority="68" operator="lessThan">
      <formula>0.8</formula>
    </cfRule>
  </conditionalFormatting>
  <conditionalFormatting sqref="AC37:AC43">
    <cfRule type="cellIs" dxfId="587" priority="64" operator="lessThan">
      <formula>0.8</formula>
    </cfRule>
  </conditionalFormatting>
  <conditionalFormatting sqref="AA65">
    <cfRule type="cellIs" dxfId="586" priority="60" operator="lessThan">
      <formula>0</formula>
    </cfRule>
  </conditionalFormatting>
  <conditionalFormatting sqref="AB65">
    <cfRule type="cellIs" dxfId="585" priority="58" operator="greaterThan">
      <formula>1</formula>
    </cfRule>
    <cfRule type="cellIs" dxfId="584" priority="59" operator="lessThan">
      <formula>0.8</formula>
    </cfRule>
  </conditionalFormatting>
  <conditionalFormatting sqref="O15:O16">
    <cfRule type="cellIs" dxfId="583" priority="53" operator="greaterThan">
      <formula>0</formula>
    </cfRule>
  </conditionalFormatting>
  <conditionalFormatting sqref="P15:P16">
    <cfRule type="cellIs" dxfId="582" priority="56" operator="lessThan">
      <formula>0</formula>
    </cfRule>
  </conditionalFormatting>
  <conditionalFormatting sqref="Q15:Q16">
    <cfRule type="cellIs" dxfId="581" priority="54" operator="greaterThan">
      <formula>1</formula>
    </cfRule>
    <cfRule type="cellIs" dxfId="580" priority="55" operator="lessThan">
      <formula>0.8</formula>
    </cfRule>
  </conditionalFormatting>
  <conditionalFormatting sqref="R15:R16 AC15:AC16">
    <cfRule type="cellIs" dxfId="579" priority="57" operator="lessThan">
      <formula>0.8</formula>
    </cfRule>
  </conditionalFormatting>
  <conditionalFormatting sqref="O11">
    <cfRule type="cellIs" dxfId="578" priority="49" operator="greaterThan">
      <formula>0</formula>
    </cfRule>
  </conditionalFormatting>
  <conditionalFormatting sqref="P11">
    <cfRule type="cellIs" dxfId="577" priority="52" operator="lessThan">
      <formula>0</formula>
    </cfRule>
  </conditionalFormatting>
  <conditionalFormatting sqref="Q11">
    <cfRule type="cellIs" dxfId="576" priority="50" operator="greaterThan">
      <formula>1</formula>
    </cfRule>
    <cfRule type="cellIs" dxfId="575" priority="51" operator="lessThan">
      <formula>0.8</formula>
    </cfRule>
  </conditionalFormatting>
  <conditionalFormatting sqref="AC26 R26">
    <cfRule type="cellIs" dxfId="574" priority="48" operator="lessThan">
      <formula>0.8</formula>
    </cfRule>
  </conditionalFormatting>
  <conditionalFormatting sqref="O63">
    <cfRule type="cellIs" dxfId="573" priority="43" operator="greaterThan">
      <formula>0</formula>
    </cfRule>
  </conditionalFormatting>
  <conditionalFormatting sqref="P63 AA63">
    <cfRule type="cellIs" dxfId="572" priority="46" operator="lessThan">
      <formula>0</formula>
    </cfRule>
  </conditionalFormatting>
  <conditionalFormatting sqref="Q63 AB63">
    <cfRule type="cellIs" dxfId="571" priority="44" operator="greaterThan">
      <formula>1</formula>
    </cfRule>
    <cfRule type="cellIs" dxfId="570" priority="45" operator="lessThan">
      <formula>0.8</formula>
    </cfRule>
  </conditionalFormatting>
  <conditionalFormatting sqref="R63 AC63">
    <cfRule type="cellIs" dxfId="569" priority="47" operator="lessThan">
      <formula>0.8</formula>
    </cfRule>
  </conditionalFormatting>
  <conditionalFormatting sqref="O72">
    <cfRule type="cellIs" dxfId="568" priority="38" operator="greaterThan">
      <formula>0</formula>
    </cfRule>
  </conditionalFormatting>
  <conditionalFormatting sqref="P72">
    <cfRule type="cellIs" dxfId="567" priority="41" operator="lessThan">
      <formula>0</formula>
    </cfRule>
  </conditionalFormatting>
  <conditionalFormatting sqref="Q72">
    <cfRule type="cellIs" dxfId="566" priority="39" operator="greaterThan">
      <formula>1</formula>
    </cfRule>
    <cfRule type="cellIs" dxfId="565" priority="40" operator="lessThan">
      <formula>0.8</formula>
    </cfRule>
  </conditionalFormatting>
  <conditionalFormatting sqref="R72">
    <cfRule type="cellIs" dxfId="564" priority="42" operator="lessThan">
      <formula>0.8</formula>
    </cfRule>
  </conditionalFormatting>
  <conditionalFormatting sqref="O17">
    <cfRule type="cellIs" dxfId="563" priority="33" operator="greaterThan">
      <formula>0</formula>
    </cfRule>
  </conditionalFormatting>
  <conditionalFormatting sqref="P17">
    <cfRule type="cellIs" dxfId="562" priority="36" operator="lessThan">
      <formula>0</formula>
    </cfRule>
  </conditionalFormatting>
  <conditionalFormatting sqref="Q17">
    <cfRule type="cellIs" dxfId="561" priority="34" operator="greaterThan">
      <formula>1</formula>
    </cfRule>
    <cfRule type="cellIs" dxfId="560" priority="35" operator="lessThan">
      <formula>0.8</formula>
    </cfRule>
  </conditionalFormatting>
  <conditionalFormatting sqref="R17 AC17">
    <cfRule type="cellIs" dxfId="559" priority="37" operator="lessThan">
      <formula>0.8</formula>
    </cfRule>
  </conditionalFormatting>
  <conditionalFormatting sqref="O51">
    <cfRule type="cellIs" dxfId="558" priority="27" operator="greaterThan">
      <formula>0</formula>
    </cfRule>
  </conditionalFormatting>
  <conditionalFormatting sqref="P51">
    <cfRule type="cellIs" dxfId="557" priority="31" operator="lessThan">
      <formula>0</formula>
    </cfRule>
  </conditionalFormatting>
  <conditionalFormatting sqref="Q51">
    <cfRule type="cellIs" dxfId="556" priority="28" operator="greaterThan">
      <formula>1</formula>
    </cfRule>
    <cfRule type="cellIs" dxfId="555" priority="29" operator="lessThan">
      <formula>0.8</formula>
    </cfRule>
  </conditionalFormatting>
  <conditionalFormatting sqref="R51 AC51">
    <cfRule type="cellIs" dxfId="554" priority="32" operator="lessThan">
      <formula>0.8</formula>
    </cfRule>
  </conditionalFormatting>
  <conditionalFormatting sqref="AC51">
    <cfRule type="cellIs" dxfId="553" priority="30" operator="lessThan">
      <formula>0.8</formula>
    </cfRule>
  </conditionalFormatting>
  <conditionalFormatting sqref="O52">
    <cfRule type="cellIs" dxfId="552" priority="21" operator="greaterThan">
      <formula>0</formula>
    </cfRule>
  </conditionalFormatting>
  <conditionalFormatting sqref="P52">
    <cfRule type="cellIs" dxfId="551" priority="25" operator="lessThan">
      <formula>0</formula>
    </cfRule>
  </conditionalFormatting>
  <conditionalFormatting sqref="Q52">
    <cfRule type="cellIs" dxfId="550" priority="22" operator="greaterThan">
      <formula>1</formula>
    </cfRule>
    <cfRule type="cellIs" dxfId="549" priority="23" operator="lessThan">
      <formula>0.8</formula>
    </cfRule>
  </conditionalFormatting>
  <conditionalFormatting sqref="R52 AC52">
    <cfRule type="cellIs" dxfId="548" priority="26" operator="lessThan">
      <formula>0.8</formula>
    </cfRule>
  </conditionalFormatting>
  <conditionalFormatting sqref="AC52">
    <cfRule type="cellIs" dxfId="547" priority="24" operator="lessThan">
      <formula>0.8</formula>
    </cfRule>
  </conditionalFormatting>
  <conditionalFormatting sqref="R25 AC25">
    <cfRule type="cellIs" dxfId="546" priority="20" operator="lessThan">
      <formula>0.8</formula>
    </cfRule>
  </conditionalFormatting>
  <conditionalFormatting sqref="AC25">
    <cfRule type="cellIs" dxfId="545" priority="19" operator="lessThan">
      <formula>0.8</formula>
    </cfRule>
  </conditionalFormatting>
  <conditionalFormatting sqref="O62">
    <cfRule type="cellIs" dxfId="544" priority="14" operator="greaterThan">
      <formula>0</formula>
    </cfRule>
  </conditionalFormatting>
  <conditionalFormatting sqref="P62 AA62">
    <cfRule type="cellIs" dxfId="543" priority="17" operator="lessThan">
      <formula>0</formula>
    </cfRule>
  </conditionalFormatting>
  <conditionalFormatting sqref="Q62 AB62">
    <cfRule type="cellIs" dxfId="542" priority="15" operator="greaterThan">
      <formula>1</formula>
    </cfRule>
    <cfRule type="cellIs" dxfId="541" priority="16" operator="lessThan">
      <formula>0.8</formula>
    </cfRule>
  </conditionalFormatting>
  <conditionalFormatting sqref="R62 AC62">
    <cfRule type="cellIs" dxfId="540" priority="18" operator="lessThan">
      <formula>0.8</formula>
    </cfRule>
  </conditionalFormatting>
  <conditionalFormatting sqref="P9">
    <cfRule type="cellIs" dxfId="539" priority="13" operator="lessThan">
      <formula>0</formula>
    </cfRule>
  </conditionalFormatting>
  <conditionalFormatting sqref="P18">
    <cfRule type="cellIs" dxfId="538" priority="12" operator="lessThan">
      <formula>0</formula>
    </cfRule>
  </conditionalFormatting>
  <conditionalFormatting sqref="P27">
    <cfRule type="cellIs" dxfId="537" priority="11" operator="lessThan">
      <formula>0</formula>
    </cfRule>
  </conditionalFormatting>
  <conditionalFormatting sqref="P36">
    <cfRule type="cellIs" dxfId="536" priority="10" operator="lessThan">
      <formula>0</formula>
    </cfRule>
  </conditionalFormatting>
  <conditionalFormatting sqref="P53">
    <cfRule type="cellIs" dxfId="535" priority="9" operator="lessThan">
      <formula>0</formula>
    </cfRule>
  </conditionalFormatting>
  <conditionalFormatting sqref="P60">
    <cfRule type="cellIs" dxfId="534" priority="8" operator="lessThan">
      <formula>0</formula>
    </cfRule>
  </conditionalFormatting>
  <conditionalFormatting sqref="P65">
    <cfRule type="cellIs" dxfId="533" priority="7" operator="lessThan">
      <formula>0</formula>
    </cfRule>
  </conditionalFormatting>
  <conditionalFormatting sqref="P74">
    <cfRule type="cellIs" dxfId="532" priority="6" operator="lessThan">
      <formula>0</formula>
    </cfRule>
  </conditionalFormatting>
  <conditionalFormatting sqref="O73">
    <cfRule type="cellIs" dxfId="531" priority="1" operator="greaterThan">
      <formula>0</formula>
    </cfRule>
  </conditionalFormatting>
  <conditionalFormatting sqref="P73">
    <cfRule type="cellIs" dxfId="530" priority="4" operator="lessThan">
      <formula>0</formula>
    </cfRule>
  </conditionalFormatting>
  <conditionalFormatting sqref="Q73">
    <cfRule type="cellIs" dxfId="529" priority="2" operator="greaterThan">
      <formula>1</formula>
    </cfRule>
    <cfRule type="cellIs" dxfId="528" priority="3" operator="lessThan">
      <formula>0.8</formula>
    </cfRule>
  </conditionalFormatting>
  <conditionalFormatting sqref="R73">
    <cfRule type="cellIs" dxfId="527" priority="5" operator="lessThan">
      <formula>0.8</formula>
    </cfRule>
  </conditionalFormatting>
  <dataValidations count="1">
    <dataValidation type="list" allowBlank="1" showInputMessage="1" showErrorMessage="1" sqref="Z9 Y5:Z8 Y9:Y64 Z11:Z61 Y65:Z74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="85" zoomScaleNormal="85" workbookViewId="0">
      <selection activeCell="A2" sqref="A2"/>
    </sheetView>
  </sheetViews>
  <sheetFormatPr defaultColWidth="8.75" defaultRowHeight="15.75"/>
  <cols>
    <col min="1" max="1" width="8.75" style="2"/>
    <col min="2" max="2" width="17.875" style="2" customWidth="1"/>
    <col min="3" max="3" width="9.25" style="9" customWidth="1"/>
    <col min="4" max="13" width="12.625" style="2" customWidth="1"/>
    <col min="14" max="14" width="11" style="2" bestFit="1" customWidth="1"/>
    <col min="15" max="15" width="17.75" style="2" bestFit="1" customWidth="1"/>
    <col min="16" max="16" width="12.25" style="2" bestFit="1" customWidth="1"/>
    <col min="17" max="22" width="9.25" style="2" customWidth="1"/>
    <col min="23" max="23" width="10.75" style="2" customWidth="1"/>
    <col min="24" max="24" width="11" style="2" customWidth="1"/>
    <col min="25" max="16384" width="8.75" style="2"/>
  </cols>
  <sheetData>
    <row r="1" spans="2:17" ht="27.75" customHeight="1">
      <c r="B1" s="546" t="s">
        <v>556</v>
      </c>
      <c r="C1" s="546"/>
      <c r="D1" s="546"/>
      <c r="E1" s="546"/>
      <c r="F1" s="546"/>
      <c r="G1" s="546"/>
      <c r="H1" s="546"/>
      <c r="I1" s="546"/>
      <c r="J1" s="546"/>
      <c r="K1" s="1"/>
      <c r="L1" s="1"/>
      <c r="M1" s="1"/>
      <c r="N1" s="1"/>
      <c r="O1" s="1"/>
      <c r="P1" s="1"/>
    </row>
    <row r="2" spans="2:17" ht="27.75" customHeight="1">
      <c r="B2" s="547"/>
      <c r="C2" s="547"/>
      <c r="D2" s="547"/>
      <c r="E2" s="547"/>
      <c r="F2" s="547"/>
      <c r="G2" s="547"/>
      <c r="H2" s="547"/>
      <c r="I2" s="547"/>
      <c r="J2" s="547"/>
      <c r="K2" s="3"/>
      <c r="L2" s="3"/>
      <c r="M2" s="3"/>
      <c r="N2" s="1"/>
      <c r="O2" s="1"/>
      <c r="P2" s="1"/>
    </row>
    <row r="3" spans="2:17" ht="46.5" customHeight="1">
      <c r="B3" s="4" t="s">
        <v>103</v>
      </c>
      <c r="C3" s="548" t="str">
        <f>TEXT('1207 4度C'!A2,"yyyy.mm.ddaaaa")</f>
        <v>2025.12.07星期日</v>
      </c>
      <c r="D3" s="549"/>
      <c r="E3" s="4" t="s">
        <v>557</v>
      </c>
      <c r="F3" s="550">
        <f>'1207 4度C'!D1</f>
        <v>196565</v>
      </c>
      <c r="G3" s="551"/>
      <c r="H3" s="4" t="s">
        <v>558</v>
      </c>
      <c r="I3" s="552">
        <f>'1207 4度C'!F1</f>
        <v>6649003.1000000006</v>
      </c>
      <c r="J3" s="553"/>
      <c r="K3" s="5"/>
      <c r="L3" s="6"/>
      <c r="M3" s="7"/>
      <c r="N3" s="7"/>
    </row>
    <row r="4" spans="2:17" ht="28.5" customHeight="1">
      <c r="B4" s="554" t="s">
        <v>106</v>
      </c>
      <c r="C4" s="536" t="s">
        <v>107</v>
      </c>
      <c r="D4" s="537"/>
      <c r="E4" s="557" t="s">
        <v>118</v>
      </c>
      <c r="F4" s="558"/>
      <c r="G4" s="557" t="s">
        <v>559</v>
      </c>
      <c r="H4" s="558"/>
      <c r="I4" s="557" t="s">
        <v>120</v>
      </c>
      <c r="J4" s="558"/>
      <c r="L4" s="7"/>
      <c r="M4" s="7"/>
      <c r="N4" s="7"/>
    </row>
    <row r="5" spans="2:17" ht="28.5" customHeight="1">
      <c r="B5" s="555"/>
      <c r="C5" s="536" t="s">
        <v>121</v>
      </c>
      <c r="D5" s="537"/>
      <c r="E5" s="536" t="s">
        <v>122</v>
      </c>
      <c r="F5" s="537"/>
      <c r="G5" s="538" t="s">
        <v>183</v>
      </c>
      <c r="H5" s="539"/>
      <c r="I5" s="540" t="s">
        <v>560</v>
      </c>
      <c r="J5" s="541"/>
      <c r="K5" s="7"/>
      <c r="L5" s="7"/>
      <c r="M5" s="7"/>
      <c r="N5" s="7"/>
    </row>
    <row r="6" spans="2:17" ht="28.5" customHeight="1">
      <c r="B6" s="555"/>
      <c r="C6" s="536" t="s">
        <v>46</v>
      </c>
      <c r="D6" s="537"/>
      <c r="E6" s="542">
        <f>AVERAGE(D13:M13)</f>
        <v>155.33538422987326</v>
      </c>
      <c r="F6" s="543">
        <f>AVERAGE(D27:O27,D13:J13)</f>
        <v>161.46441410438183</v>
      </c>
      <c r="G6" s="544">
        <f>AVERAGE(D13:J13)</f>
        <v>161.46441410438183</v>
      </c>
      <c r="H6" s="545"/>
      <c r="I6" s="544">
        <f>AVERAGE(K13:M13)</f>
        <v>141.03431452268663</v>
      </c>
      <c r="J6" s="545"/>
      <c r="K6" s="7"/>
      <c r="L6" s="7"/>
      <c r="M6" s="7"/>
      <c r="N6" s="7"/>
    </row>
    <row r="7" spans="2:17" ht="28.5" customHeight="1">
      <c r="B7" s="555"/>
      <c r="C7" s="526" t="s">
        <v>47</v>
      </c>
      <c r="D7" s="527"/>
      <c r="E7" s="528">
        <f>AVERAGE(D14:M14)</f>
        <v>148.69749620418924</v>
      </c>
      <c r="F7" s="529">
        <f>AVERAGE(D28:O28,D14:J14)</f>
        <v>154.68171600276489</v>
      </c>
      <c r="G7" s="530">
        <f>AVERAGE(D14:J14)</f>
        <v>154.68171600276489</v>
      </c>
      <c r="H7" s="531"/>
      <c r="I7" s="530">
        <f>AVERAGE(K14:M14)</f>
        <v>134.73431667417938</v>
      </c>
      <c r="J7" s="531"/>
      <c r="K7" s="7"/>
      <c r="L7" s="7"/>
      <c r="M7" s="7"/>
      <c r="N7" s="7"/>
    </row>
    <row r="8" spans="2:17" ht="28.5" customHeight="1">
      <c r="B8" s="556"/>
      <c r="C8" s="526" t="s">
        <v>48</v>
      </c>
      <c r="D8" s="527"/>
      <c r="E8" s="532">
        <f>AVERAGE(D15:M15)</f>
        <v>0.95678136622622423</v>
      </c>
      <c r="F8" s="533">
        <f>AVERAGE(D15:J15,D29:O29)</f>
        <v>0.95741645401783892</v>
      </c>
      <c r="G8" s="534">
        <f>AVERAGE(D15:J15)</f>
        <v>0.95741645401783892</v>
      </c>
      <c r="H8" s="535"/>
      <c r="I8" s="534">
        <f>AVERAGE(K15:M15)</f>
        <v>0.95529949471245723</v>
      </c>
      <c r="J8" s="535"/>
      <c r="K8" s="8" t="s">
        <v>125</v>
      </c>
      <c r="L8" s="7"/>
      <c r="M8" s="7"/>
      <c r="N8" s="7"/>
    </row>
    <row r="9" spans="2:17" ht="28.5" customHeight="1" thickBot="1">
      <c r="H9" s="10"/>
      <c r="N9" s="7"/>
      <c r="O9" s="7"/>
      <c r="P9" s="7"/>
      <c r="Q9" s="7"/>
    </row>
    <row r="10" spans="2:17" ht="30" customHeight="1">
      <c r="B10" s="509" t="s">
        <v>126</v>
      </c>
      <c r="C10" s="510"/>
      <c r="D10" s="511" t="s">
        <v>561</v>
      </c>
      <c r="E10" s="512"/>
      <c r="F10" s="512"/>
      <c r="G10" s="512"/>
      <c r="H10" s="512"/>
      <c r="I10" s="512"/>
      <c r="J10" s="513"/>
      <c r="K10" s="514" t="s">
        <v>562</v>
      </c>
      <c r="L10" s="515"/>
      <c r="M10" s="516"/>
      <c r="P10" s="11"/>
      <c r="Q10" s="11"/>
    </row>
    <row r="11" spans="2:17" ht="17.25" customHeight="1">
      <c r="B11" s="517" t="s">
        <v>188</v>
      </c>
      <c r="C11" s="518"/>
      <c r="D11" s="12">
        <v>1</v>
      </c>
      <c r="E11" s="13">
        <v>2</v>
      </c>
      <c r="F11" s="13">
        <v>3</v>
      </c>
      <c r="G11" s="13">
        <v>4</v>
      </c>
      <c r="H11" s="13">
        <v>5</v>
      </c>
      <c r="I11" s="13">
        <v>6</v>
      </c>
      <c r="J11" s="14">
        <v>7</v>
      </c>
      <c r="K11" s="12">
        <v>1</v>
      </c>
      <c r="L11" s="13">
        <v>2</v>
      </c>
      <c r="M11" s="14">
        <v>3</v>
      </c>
      <c r="P11" s="11"/>
      <c r="Q11" s="11"/>
    </row>
    <row r="12" spans="2:17" ht="34.15" customHeight="1">
      <c r="B12" s="519"/>
      <c r="C12" s="520"/>
      <c r="D12" s="15" t="s">
        <v>49</v>
      </c>
      <c r="E12" s="16" t="s">
        <v>50</v>
      </c>
      <c r="F12" s="16" t="s">
        <v>51</v>
      </c>
      <c r="G12" s="16" t="s">
        <v>52</v>
      </c>
      <c r="H12" s="16" t="s">
        <v>53</v>
      </c>
      <c r="I12" s="16" t="s">
        <v>54</v>
      </c>
      <c r="J12" s="17" t="s">
        <v>55</v>
      </c>
      <c r="K12" s="15" t="s">
        <v>56</v>
      </c>
      <c r="L12" s="16" t="s">
        <v>57</v>
      </c>
      <c r="M12" s="17" t="s">
        <v>58</v>
      </c>
    </row>
    <row r="13" spans="2:17" ht="40.15" customHeight="1">
      <c r="B13" s="521" t="s">
        <v>66</v>
      </c>
      <c r="C13" s="18" t="s">
        <v>267</v>
      </c>
      <c r="D13" s="19">
        <f>SUMIFS('1207 4度C'!$K:$K,'1207 4度C'!$A:$A,"新豐6線",'1207 4度C'!$B:$B,"平均")</f>
        <v>137.93103448275863</v>
      </c>
      <c r="E13" s="20">
        <f>SUMIFS('1207 4度C'!$K:$K,'1207 4度C'!$A:$A,"新豐2線",'1207 4度C'!$B:$B,"平均")</f>
        <v>83.333333333333329</v>
      </c>
      <c r="F13" s="21">
        <f>SUMIFS('1207 4度C'!$K:$K,'1207 4度C'!$A:$A,"新豐5線",'1207 4度C'!$B:$B,"平均")</f>
        <v>102.80373831775701</v>
      </c>
      <c r="G13" s="21">
        <f>SUMIFS('1207 4度C'!$K:$K,'1207 4度C'!$A:$A,"新豐7線",'1207 4度C'!$B:$B,"平均")</f>
        <v>118.32061068702291</v>
      </c>
      <c r="H13" s="21">
        <f>SUMIFS('1207 4度C'!$K:$K,'1207 4度C'!$A:$A,"新豐3線",'1207 4度C'!$B:$B,"平均")</f>
        <v>283.95061728395063</v>
      </c>
      <c r="I13" s="21">
        <f>SUMIFS('1207 4度C'!$K:$K,'1207 4度C'!$A:$A,"新豐1線",'1207 4度C'!$B:$B,"平均")</f>
        <v>112.24489795918367</v>
      </c>
      <c r="J13" s="22">
        <f>SUMIFS('1207 4度C'!$K:$K,'1207 4度C'!$A:$A,"新豐10線",'1207 4度C'!$B:$B,"平均")</f>
        <v>291.66666666666669</v>
      </c>
      <c r="K13" s="23">
        <f>SUMIFS('1207 4度C'!$K:$K,'1207 4度C'!$A:$A,"新豐8線",'1207 4度C'!$B:$B,"平均")</f>
        <v>134.26573426573427</v>
      </c>
      <c r="L13" s="24">
        <f>SUMIFS('1207 4度C'!$K:$K,'1207 4度C'!$A:$A,"新豐9線",'1207 4度C'!$B:$B,"平均")</f>
        <v>140</v>
      </c>
      <c r="M13" s="22">
        <f>SUMIFS('1207 4度C'!$K:$K,'1207 4度C'!$A:$A,"新豐4線",'1207 4度C'!$B:$B,"平均")</f>
        <v>148.83720930232559</v>
      </c>
    </row>
    <row r="14" spans="2:17" ht="39.6" customHeight="1">
      <c r="B14" s="522"/>
      <c r="C14" s="25" t="s">
        <v>132</v>
      </c>
      <c r="D14" s="26">
        <f>SUMIFS('1207 4度C'!$N:$N,'1207 4度C'!$A:$A,"新豐6線",'1207 4度C'!$B:$B,"平均")</f>
        <v>132.92525279186543</v>
      </c>
      <c r="E14" s="27">
        <f>SUMIFS('1207 4度C'!$N:$N,'1207 4度C'!$A:$A,"新豐2線",'1207 4度C'!$B:$B,"平均")</f>
        <v>79.32719810968787</v>
      </c>
      <c r="F14" s="27">
        <f>SUMIFS('1207 4度C'!$N:$N,'1207 4度C'!$A:$A,"新豐5線",'1207 4度C'!$B:$B,"平均")</f>
        <v>98.372095936979306</v>
      </c>
      <c r="G14" s="27">
        <f>SUMIFS('1207 4度C'!$N:$N,'1207 4度C'!$A:$A,"新豐7線",'1207 4度C'!$B:$B,"平均")</f>
        <v>113.05548691719935</v>
      </c>
      <c r="H14" s="27">
        <f>SUMIFS('1207 4度C'!$N:$N,'1207 4度C'!$A:$A,"新豐3線",'1207 4度C'!$B:$B,"平均")</f>
        <v>271.72512388419864</v>
      </c>
      <c r="I14" s="27">
        <f>SUMIFS('1207 4度C'!$N:$N,'1207 4度C'!$A:$A,"新豐1線",'1207 4度C'!$B:$B,"平均")</f>
        <v>107.4400650179545</v>
      </c>
      <c r="J14" s="28">
        <f>SUMIFS('1207 4度C'!$N:$N,'1207 4度C'!$A:$A,"新豐10線",'1207 4度C'!$B:$B,"平均")</f>
        <v>279.9267893614691</v>
      </c>
      <c r="K14" s="29">
        <f>SUMIFS('1207 4度C'!$N:$N,'1207 4度C'!$A:$A,"新豐8線",'1207 4度C'!$B:$B,"平均")</f>
        <v>128.23704682808244</v>
      </c>
      <c r="L14" s="30">
        <f>SUMIFS('1207 4度C'!$N:$N,'1207 4度C'!$A:$A,"新豐9線",'1207 4度C'!$B:$B,"平均")</f>
        <v>133.58354050102898</v>
      </c>
      <c r="M14" s="28">
        <f>SUMIFS('1207 4度C'!$N:$N,'1207 4度C'!$A:$A,"新豐4線",'1207 4度C'!$B:$B,"平均")</f>
        <v>142.38236269342678</v>
      </c>
    </row>
    <row r="15" spans="2:17" ht="40.15" customHeight="1">
      <c r="B15" s="523"/>
      <c r="C15" s="31" t="s">
        <v>133</v>
      </c>
      <c r="D15" s="32">
        <f t="shared" ref="D15:M15" si="0">D14/D13</f>
        <v>0.96370808274102426</v>
      </c>
      <c r="E15" s="33">
        <f t="shared" si="0"/>
        <v>0.95192637731625451</v>
      </c>
      <c r="F15" s="33">
        <f t="shared" si="0"/>
        <v>0.95689220593243507</v>
      </c>
      <c r="G15" s="33">
        <f t="shared" si="0"/>
        <v>0.95550121200987825</v>
      </c>
      <c r="H15" s="33">
        <f t="shared" si="0"/>
        <v>0.95694500150522122</v>
      </c>
      <c r="I15" s="33">
        <f t="shared" si="0"/>
        <v>0.95719330652359458</v>
      </c>
      <c r="J15" s="34">
        <f t="shared" si="0"/>
        <v>0.95974899209646547</v>
      </c>
      <c r="K15" s="32">
        <f t="shared" si="0"/>
        <v>0.95509883835498899</v>
      </c>
      <c r="L15" s="33">
        <f t="shared" si="0"/>
        <v>0.95416814643592129</v>
      </c>
      <c r="M15" s="34">
        <f t="shared" si="0"/>
        <v>0.95663149934646119</v>
      </c>
    </row>
    <row r="16" spans="2:17" ht="17.25" customHeight="1">
      <c r="B16" s="524" t="s">
        <v>563</v>
      </c>
      <c r="C16" s="35" t="s">
        <v>192</v>
      </c>
      <c r="D16" s="49">
        <f>VLOOKUP("新豐6線",'1207 4度C'!$A:$T,19,0)</f>
        <v>0.70833333333333337</v>
      </c>
      <c r="E16" s="50">
        <f>VLOOKUP("新豐2線",'1207 4度C'!$A:$T,19,0)</f>
        <v>0.125</v>
      </c>
      <c r="F16" s="50">
        <f>VLOOKUP("新豐5線",'1207 4度C'!$A:$T,19,0)</f>
        <v>0.20833333333333334</v>
      </c>
      <c r="G16" s="50">
        <f>VLOOKUP("新豐7線",'1207 4度C'!$A:$T,19,0)</f>
        <v>0.20833333333333334</v>
      </c>
      <c r="H16" s="50">
        <f>VLOOKUP("新豐3線",'1207 4度C'!$A:$T,19,0)</f>
        <v>8.3333333333333329E-2</v>
      </c>
      <c r="I16" s="50">
        <f>VLOOKUP("新豐1線",'1207 4度C'!$A:$T,19,0)</f>
        <v>0.20833333333333334</v>
      </c>
      <c r="J16" s="51">
        <f>VLOOKUP("新豐10線",'1207 4度C'!$A:$T,19,0)</f>
        <v>0.20833333333333334</v>
      </c>
      <c r="K16" s="36">
        <f>VLOOKUP("新豐8線",'1207 4度C'!$A:$T,19,0)</f>
        <v>8.3333333333333329E-2</v>
      </c>
      <c r="L16" s="37">
        <f>VLOOKUP("新豐9線",'1207 4度C'!$A:$T,19,0)</f>
        <v>8.3333333333333329E-2</v>
      </c>
      <c r="M16" s="38">
        <f>VLOOKUP("新豐4線",'1207 4度C'!$A:$T,19,0)</f>
        <v>8.3333333333333329E-2</v>
      </c>
    </row>
    <row r="17" spans="2:13" ht="17.25" customHeight="1">
      <c r="B17" s="525"/>
      <c r="C17" s="35" t="s">
        <v>564</v>
      </c>
      <c r="D17" s="36">
        <f>LOOKUP(2,1/(('1207 4度C'!$A:$A="新豐6線")*('1207 4度C'!$T:$T&lt;&gt;"")),'1207 4度C'!$T:$T)</f>
        <v>0.91597222222222219</v>
      </c>
      <c r="E17" s="50">
        <f>LOOKUP(2,1/(('1207 4度C'!$A:$A="新豐2線")*('1207 4度C'!$T:$T&lt;&gt;"")),'1207 4度C'!$T:$T)</f>
        <v>0.4819444444444444</v>
      </c>
      <c r="F17" s="50">
        <f>LOOKUP(2,1/(('1207 4度C'!$A:$A="新豐5線")*('1207 4度C'!$T:$T&lt;&gt;"")),'1207 4度C'!$T:$T)</f>
        <v>0.91666666666666663</v>
      </c>
      <c r="G17" s="50">
        <f>LOOKUP(2,1/(('1207 4度C'!$A:$A="新豐7線")*('1207 4度C'!$T:$T&lt;&gt;"")),'1207 4度C'!$T:$T)</f>
        <v>0.85902777777777783</v>
      </c>
      <c r="H17" s="50">
        <f>LOOKUP(2,1/(('1207 4度C'!$A:$A="新豐3線")*('1207 4度C'!$T:$T&lt;&gt;"")),'1207 4度C'!$T:$T)</f>
        <v>0.62430555555555545</v>
      </c>
      <c r="I17" s="50">
        <f>LOOKUP(2,1/(('1207 4度C'!$A:$A="新豐1線")*('1207 4度C'!$T:$T&lt;&gt;"")),'1207 4度C'!$T:$T)</f>
        <v>0.94166666666666665</v>
      </c>
      <c r="J17" s="51">
        <f>LOOKUP(2,1/(('1207 4度C'!$A:$A="新豐10線")*('1207 4度C'!$T:$T&lt;&gt;"")),'1207 4度C'!$T:$T)</f>
        <v>0.4465277777777778</v>
      </c>
      <c r="K17" s="49">
        <f>LOOKUP(2,1/(('1207 4度C'!$A:$A="新豐8線")*('1207 4度C'!$T:$T&lt;&gt;"")),'1207 4度C'!$T:$T)</f>
        <v>0.78055555555555545</v>
      </c>
      <c r="L17" s="50">
        <f>LOOKUP(2,1/(('1207 4度C'!$A:$A="新豐9線")*('1207 4度C'!$T:$T&lt;&gt;"")),'1207 4度C'!$T:$T)</f>
        <v>0.75763888888888886</v>
      </c>
      <c r="M17" s="51">
        <f>LOOKUP(2,1/(('1207 4度C'!$A:$A="新豐4線")*('1207 4度C'!$T:$T&lt;&gt;"")),'1207 4度C'!$T:$T)</f>
        <v>0.66666666666666652</v>
      </c>
    </row>
    <row r="18" spans="2:13" ht="17.25" customHeight="1">
      <c r="B18" s="503" t="s">
        <v>74</v>
      </c>
      <c r="C18" s="504"/>
      <c r="D18" s="39">
        <f>SUMIFS('1207 4度C'!$I:$I,'1207 4度C'!$A:$A,"新豐6線",'1207 4度C'!$B:$B,"平均")</f>
        <v>14.5</v>
      </c>
      <c r="E18" s="40">
        <f>SUMIFS('1207 4度C'!$I:$I,'1207 4度C'!$A:$A,"新豐2線",'1207 4度C'!$B:$B,"平均")</f>
        <v>18</v>
      </c>
      <c r="F18" s="40">
        <f>SUMIFS('1207 4度C'!$I:$I,'1207 4度C'!$A:$A,"新豐5線",'1207 4度C'!$B:$B,"平均")</f>
        <v>17.833333333333332</v>
      </c>
      <c r="G18" s="40">
        <f>SUMIFS('1207 4度C'!$I:$I,'1207 4度C'!$A:$A,"新豐7線",'1207 4度C'!$B:$B,"平均")</f>
        <v>16.375</v>
      </c>
      <c r="H18" s="40">
        <f>SUMIFS('1207 4度C'!$I:$I,'1207 4度C'!$A:$A,"新豐3線",'1207 4度C'!$B:$B,"平均")</f>
        <v>10.125</v>
      </c>
      <c r="I18" s="40">
        <f>SUMIFS('1207 4度C'!$I:$I,'1207 4度C'!$A:$A,"新豐1線",'1207 4度C'!$B:$B,"平均")</f>
        <v>16.333333333333332</v>
      </c>
      <c r="J18" s="41">
        <f>SUMIFS('1207 4度C'!$I:$I,'1207 4度C'!$A:$A,"新豐10線",'1207 4度C'!$B:$B,"平均")</f>
        <v>9</v>
      </c>
      <c r="K18" s="39">
        <f>SUMIFS('1207 4度C'!$I:$I,'1207 4度C'!$A:$A,"新豐8線",'1207 4度C'!$B:$B,"平均")</f>
        <v>17.875</v>
      </c>
      <c r="L18" s="40">
        <f>SUMIFS('1207 4度C'!$I:$I,'1207 4度C'!$A:$A,"新豐9線",'1207 4度C'!$B:$B,"平均")</f>
        <v>17.142857142857142</v>
      </c>
      <c r="M18" s="41">
        <f>SUMIFS('1207 4度C'!$I:$I,'1207 4度C'!$A:$A,"新豐4線",'1207 4度C'!$B:$B,"平均")</f>
        <v>16.125</v>
      </c>
    </row>
    <row r="19" spans="2:13" ht="17.25" customHeight="1">
      <c r="B19" s="503" t="s">
        <v>136</v>
      </c>
      <c r="C19" s="504"/>
      <c r="D19" s="42" t="s">
        <v>59</v>
      </c>
      <c r="E19" s="43" t="s">
        <v>60</v>
      </c>
      <c r="F19" s="43" t="s">
        <v>62</v>
      </c>
      <c r="G19" s="43" t="s">
        <v>62</v>
      </c>
      <c r="H19" s="43" t="s">
        <v>61</v>
      </c>
      <c r="I19" s="43" t="s">
        <v>59</v>
      </c>
      <c r="J19" s="44" t="s">
        <v>61</v>
      </c>
      <c r="K19" s="42" t="s">
        <v>565</v>
      </c>
      <c r="L19" s="43" t="s">
        <v>138</v>
      </c>
      <c r="M19" s="44" t="s">
        <v>138</v>
      </c>
    </row>
    <row r="20" spans="2:13" ht="17.25" customHeight="1">
      <c r="B20" s="503" t="s">
        <v>566</v>
      </c>
      <c r="C20" s="504"/>
      <c r="D20" s="42"/>
      <c r="E20" s="43"/>
      <c r="F20" s="43" t="s">
        <v>141</v>
      </c>
      <c r="G20" s="43" t="s">
        <v>59</v>
      </c>
      <c r="H20" s="43"/>
      <c r="I20" s="43"/>
      <c r="J20" s="44"/>
      <c r="K20" s="42"/>
      <c r="L20" s="43"/>
      <c r="M20" s="44"/>
    </row>
    <row r="21" spans="2:13" ht="17.25" customHeight="1" thickBot="1">
      <c r="B21" s="505" t="s">
        <v>142</v>
      </c>
      <c r="C21" s="506"/>
      <c r="D21" s="45"/>
      <c r="E21" s="46" t="s">
        <v>143</v>
      </c>
      <c r="F21" s="507" t="s">
        <v>144</v>
      </c>
      <c r="G21" s="508"/>
      <c r="H21" s="46" t="s">
        <v>75</v>
      </c>
      <c r="I21" s="46" t="s">
        <v>145</v>
      </c>
      <c r="J21" s="47" t="s">
        <v>567</v>
      </c>
      <c r="K21" s="48"/>
      <c r="L21" s="46"/>
      <c r="M21" s="4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20:C20"/>
    <mergeCell ref="B21:C21"/>
    <mergeCell ref="F21:G21"/>
    <mergeCell ref="K10:M10"/>
    <mergeCell ref="B11:C12"/>
    <mergeCell ref="B13:B15"/>
    <mergeCell ref="B18:C18"/>
    <mergeCell ref="B19:C19"/>
  </mergeCells>
  <phoneticPr fontId="3" type="noConversion"/>
  <conditionalFormatting sqref="D15:M15">
    <cfRule type="cellIs" dxfId="526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C76"/>
  <sheetViews>
    <sheetView zoomScale="80" zoomScaleNormal="80" workbookViewId="0">
      <pane ySplit="4" topLeftCell="A5" activePane="bottomLeft" state="frozen"/>
      <selection activeCell="B6" sqref="B6"/>
      <selection pane="bottomLeft" activeCell="B15" sqref="B15"/>
    </sheetView>
  </sheetViews>
  <sheetFormatPr defaultColWidth="8" defaultRowHeight="15.75"/>
  <cols>
    <col min="1" max="1" width="15.125" style="54" customWidth="1"/>
    <col min="2" max="2" width="19.375" style="54" customWidth="1"/>
    <col min="3" max="3" width="15.25" style="54" customWidth="1"/>
    <col min="4" max="4" width="17.5" style="54" customWidth="1"/>
    <col min="5" max="5" width="7.5" style="54" bestFit="1" customWidth="1"/>
    <col min="6" max="6" width="14.375" style="54" bestFit="1" customWidth="1"/>
    <col min="7" max="7" width="14.375" style="54" customWidth="1"/>
    <col min="8" max="8" width="8" style="54" customWidth="1"/>
    <col min="9" max="9" width="5.875" style="54" customWidth="1"/>
    <col min="10" max="10" width="10.625" style="54" customWidth="1"/>
    <col min="11" max="11" width="14.625" style="54" customWidth="1"/>
    <col min="12" max="12" width="7.25" style="54" bestFit="1" customWidth="1"/>
    <col min="13" max="13" width="8" style="54" customWidth="1"/>
    <col min="14" max="14" width="12" style="54" customWidth="1"/>
    <col min="15" max="15" width="6" style="54" customWidth="1"/>
    <col min="16" max="16" width="9.25" style="54" customWidth="1"/>
    <col min="17" max="17" width="11.5" style="54" customWidth="1"/>
    <col min="18" max="18" width="8.5" style="54" customWidth="1"/>
    <col min="19" max="19" width="10.125" style="73" bestFit="1" customWidth="1"/>
    <col min="20" max="20" width="7.625" style="73" bestFit="1" customWidth="1"/>
    <col min="21" max="21" width="10.25" style="54" bestFit="1" customWidth="1"/>
    <col min="22" max="22" width="8.75" style="71" customWidth="1"/>
    <col min="23" max="23" width="7.375" style="54" customWidth="1"/>
    <col min="24" max="24" width="6.875" style="54" bestFit="1" customWidth="1"/>
    <col min="25" max="25" width="12.75" style="54" customWidth="1"/>
    <col min="26" max="26" width="18.875" style="54" customWidth="1"/>
    <col min="27" max="27" width="13.125" style="54" bestFit="1" customWidth="1"/>
    <col min="28" max="28" width="10.375" style="54" customWidth="1"/>
    <col min="29" max="29" width="9.375" style="54" customWidth="1"/>
    <col min="30" max="30" width="8" style="54"/>
    <col min="31" max="31" width="24.625" style="54" bestFit="1" customWidth="1"/>
    <col min="32" max="16384" width="8" style="54"/>
  </cols>
  <sheetData>
    <row r="1" spans="1:29" ht="26.25" customHeight="1">
      <c r="A1" s="52" t="s">
        <v>568</v>
      </c>
      <c r="B1" s="52"/>
      <c r="C1" s="117" t="s">
        <v>569</v>
      </c>
      <c r="D1" s="118">
        <f>SUM(F5:F75)</f>
        <v>196565</v>
      </c>
      <c r="E1" s="159" t="s">
        <v>570</v>
      </c>
      <c r="F1" s="52">
        <f>SUM(G5:G75)</f>
        <v>6649003.1000000006</v>
      </c>
      <c r="G1" s="52" t="s">
        <v>571</v>
      </c>
      <c r="H1" s="53">
        <f>L9+L12+L54+L61+L19+L66+L37+L45+L28+L75</f>
        <v>153.3095238095238</v>
      </c>
      <c r="I1" s="607" t="s">
        <v>572</v>
      </c>
      <c r="J1" s="607"/>
      <c r="K1" s="607"/>
      <c r="L1" s="607" t="s">
        <v>207</v>
      </c>
      <c r="M1" s="607"/>
      <c r="N1" s="607"/>
      <c r="O1" s="607" t="s">
        <v>91</v>
      </c>
      <c r="P1" s="607"/>
      <c r="Q1" s="607"/>
      <c r="R1" s="607"/>
      <c r="S1" s="607" t="s">
        <v>109</v>
      </c>
      <c r="T1" s="607"/>
      <c r="U1" s="607"/>
      <c r="V1" s="607"/>
      <c r="W1" s="607"/>
      <c r="X1" s="607"/>
      <c r="Y1" s="607" t="s">
        <v>77</v>
      </c>
      <c r="Z1" s="607"/>
      <c r="AA1" s="607" t="s">
        <v>573</v>
      </c>
      <c r="AB1" s="608"/>
      <c r="AC1" s="608"/>
    </row>
    <row r="2" spans="1:29" ht="26.25" customHeight="1">
      <c r="A2" s="55">
        <v>45998</v>
      </c>
      <c r="B2" s="56" t="s">
        <v>574</v>
      </c>
      <c r="C2" s="117" t="s">
        <v>575</v>
      </c>
      <c r="D2" s="119">
        <f>AVERAGE(N9,N12,N54,N61,N19,N66,N28,N37,N45,N75)</f>
        <v>148.69749620418924</v>
      </c>
      <c r="E2" s="120" t="s">
        <v>0</v>
      </c>
      <c r="F2" s="121">
        <f>F1/D1</f>
        <v>33.825976648945641</v>
      </c>
      <c r="G2" s="52" t="s">
        <v>92</v>
      </c>
      <c r="H2" s="169">
        <f>COUNT(H5:H75)</f>
        <v>10</v>
      </c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8"/>
      <c r="AB2" s="608"/>
      <c r="AC2" s="608"/>
    </row>
    <row r="3" spans="1:29" ht="23.25" customHeight="1">
      <c r="A3" s="559" t="s">
        <v>576</v>
      </c>
      <c r="B3" s="559" t="s">
        <v>151</v>
      </c>
      <c r="C3" s="559" t="s">
        <v>577</v>
      </c>
      <c r="D3" s="559"/>
      <c r="E3" s="605" t="s">
        <v>111</v>
      </c>
      <c r="F3" s="559" t="s">
        <v>79</v>
      </c>
      <c r="G3" s="605" t="s">
        <v>80</v>
      </c>
      <c r="H3" s="598" t="s">
        <v>81</v>
      </c>
      <c r="I3" s="596" t="s">
        <v>82</v>
      </c>
      <c r="J3" s="601" t="s">
        <v>83</v>
      </c>
      <c r="K3" s="603" t="s">
        <v>575</v>
      </c>
      <c r="L3" s="596" t="s">
        <v>82</v>
      </c>
      <c r="M3" s="601" t="s">
        <v>578</v>
      </c>
      <c r="N3" s="603" t="s">
        <v>66</v>
      </c>
      <c r="O3" s="596" t="s">
        <v>82</v>
      </c>
      <c r="P3" s="603" t="s">
        <v>66</v>
      </c>
      <c r="Q3" s="602" t="s">
        <v>84</v>
      </c>
      <c r="R3" s="574" t="s">
        <v>114</v>
      </c>
      <c r="S3" s="604" t="s">
        <v>1</v>
      </c>
      <c r="T3" s="604"/>
      <c r="U3" s="598" t="s">
        <v>2</v>
      </c>
      <c r="V3" s="598" t="s">
        <v>579</v>
      </c>
      <c r="W3" s="559" t="s">
        <v>580</v>
      </c>
      <c r="X3" s="559"/>
      <c r="Y3" s="599" t="s">
        <v>113</v>
      </c>
      <c r="Z3" s="600"/>
      <c r="AA3" s="601" t="s">
        <v>83</v>
      </c>
      <c r="AB3" s="602" t="s">
        <v>581</v>
      </c>
      <c r="AC3" s="574" t="s">
        <v>114</v>
      </c>
    </row>
    <row r="4" spans="1:29">
      <c r="A4" s="559"/>
      <c r="B4" s="559"/>
      <c r="C4" s="559"/>
      <c r="D4" s="559"/>
      <c r="E4" s="606"/>
      <c r="F4" s="559"/>
      <c r="G4" s="606"/>
      <c r="H4" s="598"/>
      <c r="I4" s="596"/>
      <c r="J4" s="601"/>
      <c r="K4" s="603"/>
      <c r="L4" s="596"/>
      <c r="M4" s="601"/>
      <c r="N4" s="603"/>
      <c r="O4" s="596"/>
      <c r="P4" s="603"/>
      <c r="Q4" s="602"/>
      <c r="R4" s="574"/>
      <c r="S4" s="168" t="s">
        <v>3</v>
      </c>
      <c r="T4" s="168" t="s">
        <v>4</v>
      </c>
      <c r="U4" s="598"/>
      <c r="V4" s="598"/>
      <c r="W4" s="159" t="s">
        <v>229</v>
      </c>
      <c r="X4" s="159" t="s">
        <v>156</v>
      </c>
      <c r="Y4" s="600"/>
      <c r="Z4" s="600"/>
      <c r="AA4" s="601"/>
      <c r="AB4" s="602"/>
      <c r="AC4" s="574"/>
    </row>
    <row r="5" spans="1:29">
      <c r="A5" s="595" t="s">
        <v>116</v>
      </c>
      <c r="B5" s="57" t="s">
        <v>6</v>
      </c>
      <c r="C5" s="597" t="s">
        <v>9</v>
      </c>
      <c r="D5" s="597"/>
      <c r="E5" s="57">
        <v>50.67</v>
      </c>
      <c r="F5" s="168">
        <v>1879</v>
      </c>
      <c r="G5" s="159">
        <f t="shared" ref="G5:G8" si="0">E5*F5</f>
        <v>95208.930000000008</v>
      </c>
      <c r="H5" s="172" t="s">
        <v>5</v>
      </c>
      <c r="I5" s="166">
        <v>17</v>
      </c>
      <c r="J5" s="58">
        <v>2000</v>
      </c>
      <c r="K5" s="59">
        <f t="shared" ref="K5:K68" si="1">J5/I5</f>
        <v>117.64705882352941</v>
      </c>
      <c r="L5" s="166">
        <v>17</v>
      </c>
      <c r="M5" s="60">
        <f t="shared" ref="M5:M8" si="2">F5/V5*60</f>
        <v>1910.8474576271203</v>
      </c>
      <c r="N5" s="59">
        <f t="shared" ref="N5:N68" si="3">M5/L5</f>
        <v>112.40279162512472</v>
      </c>
      <c r="O5" s="61">
        <f t="shared" ref="O5:O68" si="4">L5-I5</f>
        <v>0</v>
      </c>
      <c r="P5" s="62">
        <f t="shared" ref="P5:P68" si="5">N5-K5</f>
        <v>-5.2442671984046854</v>
      </c>
      <c r="Q5" s="160">
        <f t="shared" ref="Q5:Q68" si="6">N5/K5</f>
        <v>0.95542372881356019</v>
      </c>
      <c r="R5" s="566">
        <f>Q9</f>
        <v>0.96370808274102426</v>
      </c>
      <c r="S5" s="63">
        <v>0.70833333333333337</v>
      </c>
      <c r="T5" s="63">
        <v>0.74930555555555556</v>
      </c>
      <c r="U5" s="159"/>
      <c r="V5" s="167">
        <f t="shared" ref="V5:V8" si="7">(T5-S5)*24*60</f>
        <v>58.99999999999995</v>
      </c>
      <c r="W5" s="64"/>
      <c r="X5" s="65"/>
      <c r="Y5" s="559"/>
      <c r="Z5" s="559"/>
      <c r="AA5" s="61">
        <f t="shared" ref="AA5:AA68" si="8">M5-J5</f>
        <v>-89.15254237287968</v>
      </c>
      <c r="AB5" s="160">
        <f t="shared" ref="AB5:AB68" si="9">M5/J5</f>
        <v>0.95542372881356019</v>
      </c>
      <c r="AC5" s="566">
        <f>AB9</f>
        <v>0.96370808274102437</v>
      </c>
    </row>
    <row r="6" spans="1:29">
      <c r="A6" s="596" t="s">
        <v>582</v>
      </c>
      <c r="B6" s="57" t="s">
        <v>6</v>
      </c>
      <c r="C6" s="597" t="s">
        <v>8</v>
      </c>
      <c r="D6" s="597"/>
      <c r="E6" s="57">
        <v>50.49</v>
      </c>
      <c r="F6" s="168">
        <v>2298</v>
      </c>
      <c r="G6" s="159">
        <f t="shared" si="0"/>
        <v>116026.02</v>
      </c>
      <c r="H6" s="172" t="s">
        <v>5</v>
      </c>
      <c r="I6" s="166">
        <v>15</v>
      </c>
      <c r="J6" s="58">
        <v>2000</v>
      </c>
      <c r="K6" s="59">
        <f t="shared" si="1"/>
        <v>133.33333333333334</v>
      </c>
      <c r="L6" s="166">
        <v>15</v>
      </c>
      <c r="M6" s="60">
        <f t="shared" si="2"/>
        <v>1914.9999999999986</v>
      </c>
      <c r="N6" s="59">
        <f t="shared" si="3"/>
        <v>127.66666666666657</v>
      </c>
      <c r="O6" s="61">
        <f t="shared" si="4"/>
        <v>0</v>
      </c>
      <c r="P6" s="62">
        <f t="shared" si="5"/>
        <v>-5.6666666666667709</v>
      </c>
      <c r="Q6" s="160">
        <f t="shared" si="6"/>
        <v>0.95749999999999924</v>
      </c>
      <c r="R6" s="566"/>
      <c r="S6" s="63">
        <v>0.75277777777777777</v>
      </c>
      <c r="T6" s="63">
        <v>0.80277777777777781</v>
      </c>
      <c r="U6" s="159">
        <f t="shared" ref="U6:U8" si="10">IF(S6=TIME(17,0,0),"",(S6-T5)*24*60)</f>
        <v>4.9999999999999822</v>
      </c>
      <c r="V6" s="167">
        <f t="shared" si="7"/>
        <v>72.000000000000057</v>
      </c>
      <c r="W6" s="64"/>
      <c r="X6" s="64"/>
      <c r="Y6" s="559"/>
      <c r="Z6" s="559"/>
      <c r="AA6" s="61">
        <f t="shared" si="8"/>
        <v>-85.000000000001364</v>
      </c>
      <c r="AB6" s="160">
        <f t="shared" si="9"/>
        <v>0.95749999999999935</v>
      </c>
      <c r="AC6" s="566"/>
    </row>
    <row r="7" spans="1:29">
      <c r="A7" s="596" t="s">
        <v>116</v>
      </c>
      <c r="B7" s="57" t="s">
        <v>6</v>
      </c>
      <c r="C7" s="590" t="s">
        <v>94</v>
      </c>
      <c r="D7" s="591"/>
      <c r="E7" s="57">
        <v>57.3</v>
      </c>
      <c r="F7" s="168">
        <v>2000</v>
      </c>
      <c r="G7" s="159">
        <f t="shared" si="0"/>
        <v>114600</v>
      </c>
      <c r="H7" s="172">
        <v>2</v>
      </c>
      <c r="I7" s="166">
        <v>13</v>
      </c>
      <c r="J7" s="58">
        <v>2000</v>
      </c>
      <c r="K7" s="59">
        <f t="shared" si="1"/>
        <v>153.84615384615384</v>
      </c>
      <c r="L7" s="166">
        <v>13</v>
      </c>
      <c r="M7" s="60">
        <f t="shared" si="2"/>
        <v>1935.4838709677435</v>
      </c>
      <c r="N7" s="59">
        <f t="shared" si="3"/>
        <v>148.88337468982644</v>
      </c>
      <c r="O7" s="61">
        <f t="shared" si="4"/>
        <v>0</v>
      </c>
      <c r="P7" s="62">
        <f t="shared" si="5"/>
        <v>-4.9627791563274002</v>
      </c>
      <c r="Q7" s="160">
        <f t="shared" si="6"/>
        <v>0.96774193548387188</v>
      </c>
      <c r="R7" s="566"/>
      <c r="S7" s="63">
        <v>0.80763888888888891</v>
      </c>
      <c r="T7" s="63">
        <v>0.85069444444444442</v>
      </c>
      <c r="U7" s="159">
        <f t="shared" si="10"/>
        <v>6.9999999999999751</v>
      </c>
      <c r="V7" s="167">
        <f t="shared" si="7"/>
        <v>61.999999999999943</v>
      </c>
      <c r="W7" s="64">
        <f>T7</f>
        <v>0.85069444444444442</v>
      </c>
      <c r="X7" s="64">
        <f>S8</f>
        <v>0.89097222222222217</v>
      </c>
      <c r="Y7" s="569"/>
      <c r="Z7" s="570"/>
      <c r="AA7" s="61">
        <f t="shared" si="8"/>
        <v>-64.516129032256458</v>
      </c>
      <c r="AB7" s="160">
        <f t="shared" si="9"/>
        <v>0.96774193548387177</v>
      </c>
      <c r="AC7" s="566"/>
    </row>
    <row r="8" spans="1:29">
      <c r="A8" s="596" t="s">
        <v>116</v>
      </c>
      <c r="B8" s="57" t="s">
        <v>6</v>
      </c>
      <c r="C8" s="590" t="s">
        <v>94</v>
      </c>
      <c r="D8" s="591"/>
      <c r="E8" s="57">
        <v>57.3</v>
      </c>
      <c r="F8" s="168">
        <v>1169</v>
      </c>
      <c r="G8" s="159">
        <f t="shared" si="0"/>
        <v>66983.7</v>
      </c>
      <c r="H8" s="172" t="s">
        <v>5</v>
      </c>
      <c r="I8" s="166">
        <v>13</v>
      </c>
      <c r="J8" s="58">
        <v>2000</v>
      </c>
      <c r="K8" s="59">
        <f t="shared" si="1"/>
        <v>153.84615384615384</v>
      </c>
      <c r="L8" s="166">
        <v>13</v>
      </c>
      <c r="M8" s="60">
        <f t="shared" si="2"/>
        <v>1948.3333333333321</v>
      </c>
      <c r="N8" s="59">
        <f t="shared" si="3"/>
        <v>149.87179487179478</v>
      </c>
      <c r="O8" s="61">
        <f t="shared" si="4"/>
        <v>0</v>
      </c>
      <c r="P8" s="62">
        <f t="shared" si="5"/>
        <v>-3.9743589743590633</v>
      </c>
      <c r="Q8" s="160">
        <f t="shared" si="6"/>
        <v>0.97416666666666607</v>
      </c>
      <c r="R8" s="566"/>
      <c r="S8" s="63">
        <v>0.89097222222222217</v>
      </c>
      <c r="T8" s="63">
        <v>0.91597222222222219</v>
      </c>
      <c r="U8" s="159">
        <f t="shared" si="10"/>
        <v>57.999999999999957</v>
      </c>
      <c r="V8" s="167">
        <f t="shared" si="7"/>
        <v>36.000000000000028</v>
      </c>
      <c r="W8" s="68"/>
      <c r="X8" s="68"/>
      <c r="Y8" s="569"/>
      <c r="Z8" s="570"/>
      <c r="AA8" s="61">
        <f t="shared" si="8"/>
        <v>-51.666666666667879</v>
      </c>
      <c r="AB8" s="160">
        <f t="shared" si="9"/>
        <v>0.97416666666666607</v>
      </c>
      <c r="AC8" s="566"/>
    </row>
    <row r="9" spans="1:29">
      <c r="A9" s="596" t="s">
        <v>116</v>
      </c>
      <c r="B9" s="57" t="s">
        <v>583</v>
      </c>
      <c r="C9" s="571"/>
      <c r="D9" s="571"/>
      <c r="E9" s="161"/>
      <c r="F9" s="66"/>
      <c r="G9" s="59"/>
      <c r="H9" s="168"/>
      <c r="I9" s="67">
        <v>14.5</v>
      </c>
      <c r="J9" s="58">
        <v>2000</v>
      </c>
      <c r="K9" s="59">
        <f t="shared" si="1"/>
        <v>137.93103448275863</v>
      </c>
      <c r="L9" s="67">
        <v>14.5</v>
      </c>
      <c r="M9" s="60">
        <f>AVERAGE(M5:M8)</f>
        <v>1927.4161654820487</v>
      </c>
      <c r="N9" s="59">
        <f t="shared" si="3"/>
        <v>132.92525279186543</v>
      </c>
      <c r="O9" s="61">
        <f t="shared" si="4"/>
        <v>0</v>
      </c>
      <c r="P9" s="62">
        <f t="shared" si="5"/>
        <v>-5.0057816908932011</v>
      </c>
      <c r="Q9" s="160">
        <f t="shared" si="6"/>
        <v>0.96370808274102426</v>
      </c>
      <c r="R9" s="566"/>
      <c r="S9" s="63"/>
      <c r="T9" s="63"/>
      <c r="U9" s="159"/>
      <c r="V9" s="167"/>
      <c r="W9" s="59"/>
      <c r="X9" s="59"/>
      <c r="Y9" s="559"/>
      <c r="Z9" s="559"/>
      <c r="AA9" s="61">
        <f t="shared" si="8"/>
        <v>-72.583834517951345</v>
      </c>
      <c r="AB9" s="160">
        <f t="shared" si="9"/>
        <v>0.96370808274102437</v>
      </c>
      <c r="AC9" s="566"/>
    </row>
    <row r="10" spans="1:29" ht="15.75" customHeight="1">
      <c r="A10" s="594" t="s">
        <v>234</v>
      </c>
      <c r="B10" s="57" t="s">
        <v>10</v>
      </c>
      <c r="C10" s="590" t="s">
        <v>14</v>
      </c>
      <c r="D10" s="591"/>
      <c r="E10" s="57">
        <v>39.619999999999997</v>
      </c>
      <c r="F10" s="168">
        <v>4456</v>
      </c>
      <c r="G10" s="159">
        <f t="shared" ref="G10:G11" si="11">E10*F10</f>
        <v>176546.72</v>
      </c>
      <c r="H10" s="172" t="s">
        <v>5</v>
      </c>
      <c r="I10" s="166">
        <v>19</v>
      </c>
      <c r="J10" s="58">
        <v>1500</v>
      </c>
      <c r="K10" s="59">
        <f t="shared" si="1"/>
        <v>78.94736842105263</v>
      </c>
      <c r="L10" s="166">
        <v>19</v>
      </c>
      <c r="M10" s="60">
        <f t="shared" ref="M10:M11" si="12">F10/V10*60</f>
        <v>1429.7326203208559</v>
      </c>
      <c r="N10" s="59">
        <f t="shared" si="3"/>
        <v>75.249085280045051</v>
      </c>
      <c r="O10" s="61">
        <f t="shared" si="4"/>
        <v>0</v>
      </c>
      <c r="P10" s="62">
        <f t="shared" si="5"/>
        <v>-3.6982831410075789</v>
      </c>
      <c r="Q10" s="160">
        <f t="shared" si="6"/>
        <v>0.95315508021390405</v>
      </c>
      <c r="R10" s="566">
        <f>Q12</f>
        <v>0.95192637731625451</v>
      </c>
      <c r="S10" s="63">
        <v>0.125</v>
      </c>
      <c r="T10" s="63">
        <v>0.25486111111111109</v>
      </c>
      <c r="U10" s="159"/>
      <c r="V10" s="167">
        <f t="shared" ref="V10:V11" si="13">(T10-S10)*24*60</f>
        <v>186.99999999999997</v>
      </c>
      <c r="W10" s="64">
        <f>T10</f>
        <v>0.25486111111111109</v>
      </c>
      <c r="X10" s="64">
        <f>S11</f>
        <v>0.27291666666666664</v>
      </c>
      <c r="Y10" s="559"/>
      <c r="Z10" s="559"/>
      <c r="AA10" s="61">
        <f t="shared" si="8"/>
        <v>-70.267379679144142</v>
      </c>
      <c r="AB10" s="160">
        <f t="shared" si="9"/>
        <v>0.95315508021390394</v>
      </c>
      <c r="AC10" s="566">
        <f>AB12</f>
        <v>0.9519263773162544</v>
      </c>
    </row>
    <row r="11" spans="1:29" ht="15.75" customHeight="1">
      <c r="A11" s="594" t="s">
        <v>234</v>
      </c>
      <c r="B11" s="57" t="s">
        <v>10</v>
      </c>
      <c r="C11" s="590" t="s">
        <v>11</v>
      </c>
      <c r="D11" s="591"/>
      <c r="E11" s="57">
        <v>39.799999999999997</v>
      </c>
      <c r="F11" s="168">
        <v>7154</v>
      </c>
      <c r="G11" s="159">
        <f t="shared" si="11"/>
        <v>284729.19999999995</v>
      </c>
      <c r="H11" s="172" t="s">
        <v>5</v>
      </c>
      <c r="I11" s="166">
        <v>17</v>
      </c>
      <c r="J11" s="58">
        <v>1500</v>
      </c>
      <c r="K11" s="59">
        <f t="shared" si="1"/>
        <v>88.235294117647058</v>
      </c>
      <c r="L11" s="166">
        <v>17</v>
      </c>
      <c r="M11" s="60">
        <f t="shared" si="12"/>
        <v>1426.0465116279072</v>
      </c>
      <c r="N11" s="59">
        <f t="shared" si="3"/>
        <v>83.885088919288663</v>
      </c>
      <c r="O11" s="61">
        <f t="shared" si="4"/>
        <v>0</v>
      </c>
      <c r="P11" s="62">
        <f t="shared" si="5"/>
        <v>-4.3502051983583954</v>
      </c>
      <c r="Q11" s="160">
        <f t="shared" si="6"/>
        <v>0.95069767441860487</v>
      </c>
      <c r="R11" s="566"/>
      <c r="S11" s="63">
        <v>0.27291666666666664</v>
      </c>
      <c r="T11" s="63">
        <v>0.4819444444444444</v>
      </c>
      <c r="U11" s="159">
        <f t="shared" ref="U11" si="14">IF(S11=TIME(17,0,0),"",(S11-T10)*24*60)</f>
        <v>25.999999999999986</v>
      </c>
      <c r="V11" s="167">
        <f t="shared" si="13"/>
        <v>300.99999999999994</v>
      </c>
      <c r="W11" s="64"/>
      <c r="X11" s="64"/>
      <c r="Y11" s="559"/>
      <c r="Z11" s="559"/>
      <c r="AA11" s="61">
        <f t="shared" si="8"/>
        <v>-73.953488372092806</v>
      </c>
      <c r="AB11" s="160">
        <f t="shared" si="9"/>
        <v>0.95069767441860475</v>
      </c>
      <c r="AC11" s="566"/>
    </row>
    <row r="12" spans="1:29" ht="16.5" customHeight="1">
      <c r="A12" s="594" t="s">
        <v>234</v>
      </c>
      <c r="B12" s="57" t="s">
        <v>67</v>
      </c>
      <c r="C12" s="571"/>
      <c r="D12" s="571"/>
      <c r="E12" s="161"/>
      <c r="F12" s="58"/>
      <c r="G12" s="60"/>
      <c r="H12" s="168"/>
      <c r="I12" s="67">
        <v>18</v>
      </c>
      <c r="J12" s="58">
        <v>1500</v>
      </c>
      <c r="K12" s="59">
        <f t="shared" si="1"/>
        <v>83.333333333333329</v>
      </c>
      <c r="L12" s="67">
        <v>18</v>
      </c>
      <c r="M12" s="60">
        <f>AVERAGE(M10:M11)</f>
        <v>1427.8895659743816</v>
      </c>
      <c r="N12" s="59">
        <f t="shared" si="3"/>
        <v>79.32719810968787</v>
      </c>
      <c r="O12" s="61">
        <f t="shared" si="4"/>
        <v>0</v>
      </c>
      <c r="P12" s="62">
        <f t="shared" si="5"/>
        <v>-4.0061352236454582</v>
      </c>
      <c r="Q12" s="160">
        <f t="shared" si="6"/>
        <v>0.95192637731625451</v>
      </c>
      <c r="R12" s="566"/>
      <c r="S12" s="63"/>
      <c r="T12" s="63"/>
      <c r="U12" s="59"/>
      <c r="V12" s="167"/>
      <c r="W12" s="59"/>
      <c r="X12" s="59"/>
      <c r="Y12" s="559"/>
      <c r="Z12" s="559"/>
      <c r="AA12" s="61">
        <f t="shared" si="8"/>
        <v>-72.11043402561836</v>
      </c>
      <c r="AB12" s="160">
        <f t="shared" si="9"/>
        <v>0.9519263773162544</v>
      </c>
      <c r="AC12" s="566"/>
    </row>
    <row r="13" spans="1:29" ht="16.5" customHeight="1">
      <c r="A13" s="592" t="s">
        <v>161</v>
      </c>
      <c r="B13" s="168" t="s">
        <v>12</v>
      </c>
      <c r="C13" s="584" t="s">
        <v>13</v>
      </c>
      <c r="D13" s="584"/>
      <c r="E13" s="57">
        <v>41</v>
      </c>
      <c r="F13" s="168">
        <v>2447</v>
      </c>
      <c r="G13" s="159">
        <f t="shared" ref="G13:G18" si="15">E13*F13</f>
        <v>100327</v>
      </c>
      <c r="H13" s="172" t="s">
        <v>5</v>
      </c>
      <c r="I13" s="166">
        <v>26</v>
      </c>
      <c r="J13" s="58">
        <v>1500</v>
      </c>
      <c r="K13" s="59">
        <f t="shared" si="1"/>
        <v>57.692307692307693</v>
      </c>
      <c r="L13" s="166">
        <v>26</v>
      </c>
      <c r="M13" s="60">
        <f t="shared" ref="M13:M18" si="16">F13/V13*60</f>
        <v>1425.4368932038835</v>
      </c>
      <c r="N13" s="59">
        <f t="shared" si="3"/>
        <v>54.824495892457058</v>
      </c>
      <c r="O13" s="61">
        <f t="shared" si="4"/>
        <v>0</v>
      </c>
      <c r="P13" s="62">
        <f t="shared" si="5"/>
        <v>-2.8678117998506352</v>
      </c>
      <c r="Q13" s="160">
        <f t="shared" si="6"/>
        <v>0.9502912621359223</v>
      </c>
      <c r="R13" s="566">
        <f>Q19</f>
        <v>0.95689220593243507</v>
      </c>
      <c r="S13" s="63">
        <v>0.20833333333333334</v>
      </c>
      <c r="T13" s="63">
        <v>0.27986111111111112</v>
      </c>
      <c r="U13" s="159"/>
      <c r="V13" s="167">
        <f t="shared" ref="V13:V18" si="17">(T13-S13)*24*60</f>
        <v>103</v>
      </c>
      <c r="W13" s="68"/>
      <c r="X13" s="68"/>
      <c r="Y13" s="559"/>
      <c r="Z13" s="559"/>
      <c r="AA13" s="61">
        <f t="shared" si="8"/>
        <v>-74.563106796116472</v>
      </c>
      <c r="AB13" s="160">
        <f t="shared" si="9"/>
        <v>0.9502912621359223</v>
      </c>
      <c r="AC13" s="566">
        <f>AB19</f>
        <v>0.95689220593243507</v>
      </c>
    </row>
    <row r="14" spans="1:29" ht="16.5" customHeight="1">
      <c r="A14" s="593" t="s">
        <v>584</v>
      </c>
      <c r="B14" s="168" t="s">
        <v>656</v>
      </c>
      <c r="C14" s="584" t="s">
        <v>236</v>
      </c>
      <c r="D14" s="584"/>
      <c r="E14" s="57">
        <v>72.400000000000006</v>
      </c>
      <c r="F14" s="168">
        <v>3429</v>
      </c>
      <c r="G14" s="159">
        <f t="shared" si="15"/>
        <v>248259.6</v>
      </c>
      <c r="H14" s="172" t="s">
        <v>5</v>
      </c>
      <c r="I14" s="166">
        <v>18</v>
      </c>
      <c r="J14" s="58">
        <v>1500</v>
      </c>
      <c r="K14" s="59">
        <f t="shared" si="1"/>
        <v>83.333333333333329</v>
      </c>
      <c r="L14" s="166">
        <v>18</v>
      </c>
      <c r="M14" s="60">
        <f t="shared" si="16"/>
        <v>1428.7500000000002</v>
      </c>
      <c r="N14" s="59">
        <f t="shared" si="3"/>
        <v>79.375000000000014</v>
      </c>
      <c r="O14" s="61">
        <f t="shared" si="4"/>
        <v>0</v>
      </c>
      <c r="P14" s="62">
        <f t="shared" si="5"/>
        <v>-3.9583333333333144</v>
      </c>
      <c r="Q14" s="160">
        <f t="shared" si="6"/>
        <v>0.95250000000000024</v>
      </c>
      <c r="R14" s="566"/>
      <c r="S14" s="63">
        <v>0.28472222222222221</v>
      </c>
      <c r="T14" s="63">
        <v>0.38472222222222219</v>
      </c>
      <c r="U14" s="159">
        <f t="shared" ref="U14:U18" si="18">IF(S14=TIME(17,0,0),"",(S14-T13)*24*60)</f>
        <v>6.9999999999999751</v>
      </c>
      <c r="V14" s="167">
        <f t="shared" si="17"/>
        <v>143.99999999999997</v>
      </c>
      <c r="W14" s="64"/>
      <c r="X14" s="64"/>
      <c r="Y14" s="559"/>
      <c r="Z14" s="559"/>
      <c r="AA14" s="61">
        <f t="shared" si="8"/>
        <v>-71.249999999999773</v>
      </c>
      <c r="AB14" s="160">
        <f t="shared" si="9"/>
        <v>0.95250000000000012</v>
      </c>
      <c r="AC14" s="566"/>
    </row>
    <row r="15" spans="1:29" ht="16.5" customHeight="1">
      <c r="A15" s="593" t="s">
        <v>584</v>
      </c>
      <c r="B15" s="168" t="s">
        <v>6</v>
      </c>
      <c r="C15" s="584" t="s">
        <v>95</v>
      </c>
      <c r="D15" s="584"/>
      <c r="E15" s="57">
        <v>50.98</v>
      </c>
      <c r="F15" s="168">
        <v>1600</v>
      </c>
      <c r="G15" s="159">
        <f t="shared" si="15"/>
        <v>81568</v>
      </c>
      <c r="H15" s="172">
        <v>2</v>
      </c>
      <c r="I15" s="166">
        <v>16</v>
      </c>
      <c r="J15" s="58">
        <v>2000</v>
      </c>
      <c r="K15" s="59">
        <f t="shared" si="1"/>
        <v>125</v>
      </c>
      <c r="L15" s="166">
        <v>16</v>
      </c>
      <c r="M15" s="60">
        <f t="shared" si="16"/>
        <v>1920.0000000000005</v>
      </c>
      <c r="N15" s="59">
        <f t="shared" si="3"/>
        <v>120.00000000000003</v>
      </c>
      <c r="O15" s="61">
        <f t="shared" si="4"/>
        <v>0</v>
      </c>
      <c r="P15" s="62">
        <f t="shared" si="5"/>
        <v>-4.9999999999999716</v>
      </c>
      <c r="Q15" s="160">
        <f t="shared" si="6"/>
        <v>0.96000000000000019</v>
      </c>
      <c r="R15" s="566"/>
      <c r="S15" s="63">
        <v>0.70833333333333337</v>
      </c>
      <c r="T15" s="63">
        <v>0.74305555555555558</v>
      </c>
      <c r="U15" s="159" t="str">
        <f t="shared" si="18"/>
        <v/>
      </c>
      <c r="V15" s="167">
        <f t="shared" si="17"/>
        <v>49.999999999999986</v>
      </c>
      <c r="W15" s="64"/>
      <c r="X15" s="64"/>
      <c r="Y15" s="559"/>
      <c r="Z15" s="559"/>
      <c r="AA15" s="61">
        <f t="shared" si="8"/>
        <v>-79.999999999999545</v>
      </c>
      <c r="AB15" s="160">
        <f t="shared" si="9"/>
        <v>0.96000000000000019</v>
      </c>
      <c r="AC15" s="566"/>
    </row>
    <row r="16" spans="1:29" ht="16.5" customHeight="1">
      <c r="A16" s="593" t="s">
        <v>161</v>
      </c>
      <c r="B16" s="168" t="s">
        <v>6</v>
      </c>
      <c r="C16" s="584" t="s">
        <v>18</v>
      </c>
      <c r="D16" s="584"/>
      <c r="E16" s="57">
        <v>50.92</v>
      </c>
      <c r="F16" s="168">
        <v>2997</v>
      </c>
      <c r="G16" s="159">
        <f t="shared" si="15"/>
        <v>152607.24</v>
      </c>
      <c r="H16" s="172" t="s">
        <v>5</v>
      </c>
      <c r="I16" s="166">
        <v>15</v>
      </c>
      <c r="J16" s="58">
        <v>2000</v>
      </c>
      <c r="K16" s="59">
        <f t="shared" si="1"/>
        <v>133.33333333333334</v>
      </c>
      <c r="L16" s="166">
        <v>15</v>
      </c>
      <c r="M16" s="60">
        <f t="shared" si="16"/>
        <v>1912.9787234042556</v>
      </c>
      <c r="N16" s="59">
        <f t="shared" si="3"/>
        <v>127.53191489361704</v>
      </c>
      <c r="O16" s="61">
        <f t="shared" si="4"/>
        <v>0</v>
      </c>
      <c r="P16" s="62">
        <f t="shared" si="5"/>
        <v>-5.8014184397163007</v>
      </c>
      <c r="Q16" s="160">
        <f t="shared" si="6"/>
        <v>0.95648936170212773</v>
      </c>
      <c r="R16" s="566"/>
      <c r="S16" s="63">
        <v>0.74791666666666667</v>
      </c>
      <c r="T16" s="63">
        <v>0.81319444444444444</v>
      </c>
      <c r="U16" s="159">
        <f t="shared" si="18"/>
        <v>6.9999999999999751</v>
      </c>
      <c r="V16" s="167">
        <f t="shared" si="17"/>
        <v>93.999999999999986</v>
      </c>
      <c r="W16" s="64"/>
      <c r="X16" s="64"/>
      <c r="Y16" s="559"/>
      <c r="Z16" s="559"/>
      <c r="AA16" s="61">
        <f t="shared" si="8"/>
        <v>-87.021276595744439</v>
      </c>
      <c r="AB16" s="160">
        <f t="shared" si="9"/>
        <v>0.95648936170212773</v>
      </c>
      <c r="AC16" s="566"/>
    </row>
    <row r="17" spans="1:29" ht="16.5" customHeight="1">
      <c r="A17" s="593" t="s">
        <v>161</v>
      </c>
      <c r="B17" s="168" t="s">
        <v>6</v>
      </c>
      <c r="C17" s="584" t="s">
        <v>7</v>
      </c>
      <c r="D17" s="584"/>
      <c r="E17" s="57">
        <v>46.93</v>
      </c>
      <c r="F17" s="168">
        <v>1177</v>
      </c>
      <c r="G17" s="159">
        <f t="shared" si="15"/>
        <v>55236.61</v>
      </c>
      <c r="H17" s="172" t="s">
        <v>5</v>
      </c>
      <c r="I17" s="166">
        <v>16</v>
      </c>
      <c r="J17" s="58">
        <v>2000</v>
      </c>
      <c r="K17" s="59">
        <f t="shared" si="1"/>
        <v>125</v>
      </c>
      <c r="L17" s="166">
        <v>16</v>
      </c>
      <c r="M17" s="60">
        <f t="shared" si="16"/>
        <v>1908.6486486486472</v>
      </c>
      <c r="N17" s="59">
        <f t="shared" si="3"/>
        <v>119.29054054054045</v>
      </c>
      <c r="O17" s="61">
        <f t="shared" si="4"/>
        <v>0</v>
      </c>
      <c r="P17" s="62">
        <f t="shared" si="5"/>
        <v>-5.709459459459552</v>
      </c>
      <c r="Q17" s="160">
        <f t="shared" si="6"/>
        <v>0.95432432432432357</v>
      </c>
      <c r="R17" s="566"/>
      <c r="S17" s="63">
        <v>0.81666666666666665</v>
      </c>
      <c r="T17" s="63">
        <v>0.84236111111111112</v>
      </c>
      <c r="U17" s="159">
        <f t="shared" si="18"/>
        <v>4.9999999999999822</v>
      </c>
      <c r="V17" s="167">
        <f t="shared" si="17"/>
        <v>37.000000000000028</v>
      </c>
      <c r="W17" s="64">
        <f>T17</f>
        <v>0.84236111111111112</v>
      </c>
      <c r="X17" s="64">
        <f>S18</f>
        <v>0.8833333333333333</v>
      </c>
      <c r="Y17" s="559"/>
      <c r="Z17" s="559"/>
      <c r="AA17" s="61">
        <f t="shared" si="8"/>
        <v>-91.351351351352832</v>
      </c>
      <c r="AB17" s="160">
        <f t="shared" si="9"/>
        <v>0.95432432432432357</v>
      </c>
      <c r="AC17" s="566"/>
    </row>
    <row r="18" spans="1:29" ht="16.5" customHeight="1">
      <c r="A18" s="593" t="s">
        <v>161</v>
      </c>
      <c r="B18" s="168" t="s">
        <v>6</v>
      </c>
      <c r="C18" s="585" t="s">
        <v>95</v>
      </c>
      <c r="D18" s="586"/>
      <c r="E18" s="57">
        <v>50.98</v>
      </c>
      <c r="F18" s="168">
        <v>1544</v>
      </c>
      <c r="G18" s="159">
        <f t="shared" si="15"/>
        <v>78713.119999999995</v>
      </c>
      <c r="H18" s="172" t="s">
        <v>5</v>
      </c>
      <c r="I18" s="166">
        <v>16</v>
      </c>
      <c r="J18" s="58">
        <v>2000</v>
      </c>
      <c r="K18" s="59">
        <f t="shared" si="1"/>
        <v>125</v>
      </c>
      <c r="L18" s="166">
        <v>16</v>
      </c>
      <c r="M18" s="60">
        <f t="shared" si="16"/>
        <v>1930.0000000000007</v>
      </c>
      <c r="N18" s="59">
        <f t="shared" si="3"/>
        <v>120.62500000000004</v>
      </c>
      <c r="O18" s="61">
        <f t="shared" si="4"/>
        <v>0</v>
      </c>
      <c r="P18" s="62">
        <f t="shared" si="5"/>
        <v>-4.3749999999999574</v>
      </c>
      <c r="Q18" s="160">
        <f t="shared" si="6"/>
        <v>0.9650000000000003</v>
      </c>
      <c r="R18" s="566"/>
      <c r="S18" s="63">
        <v>0.8833333333333333</v>
      </c>
      <c r="T18" s="63">
        <v>0.91666666666666663</v>
      </c>
      <c r="U18" s="159">
        <f t="shared" si="18"/>
        <v>58.99999999999995</v>
      </c>
      <c r="V18" s="167">
        <f t="shared" si="17"/>
        <v>47.999999999999986</v>
      </c>
      <c r="W18" s="64"/>
      <c r="X18" s="64"/>
      <c r="Y18" s="569"/>
      <c r="Z18" s="570"/>
      <c r="AA18" s="61">
        <f t="shared" si="8"/>
        <v>-69.999999999999318</v>
      </c>
      <c r="AB18" s="160">
        <f t="shared" si="9"/>
        <v>0.9650000000000003</v>
      </c>
      <c r="AC18" s="566"/>
    </row>
    <row r="19" spans="1:29" ht="16.5" customHeight="1">
      <c r="A19" s="593" t="s">
        <v>161</v>
      </c>
      <c r="B19" s="57" t="s">
        <v>585</v>
      </c>
      <c r="C19" s="571"/>
      <c r="D19" s="571"/>
      <c r="E19" s="161"/>
      <c r="F19" s="66"/>
      <c r="G19" s="59"/>
      <c r="H19" s="168"/>
      <c r="I19" s="67">
        <v>17.833333333333332</v>
      </c>
      <c r="J19" s="58">
        <v>1833.3333333333333</v>
      </c>
      <c r="K19" s="59">
        <f t="shared" si="1"/>
        <v>102.80373831775701</v>
      </c>
      <c r="L19" s="67">
        <v>17.833333333333332</v>
      </c>
      <c r="M19" s="60">
        <f>AVERAGE(M13:M18)</f>
        <v>1754.3023775427976</v>
      </c>
      <c r="N19" s="59">
        <f t="shared" si="3"/>
        <v>98.372095936979306</v>
      </c>
      <c r="O19" s="61">
        <f t="shared" si="4"/>
        <v>0</v>
      </c>
      <c r="P19" s="62">
        <f t="shared" si="5"/>
        <v>-4.4316423807777028</v>
      </c>
      <c r="Q19" s="160">
        <f t="shared" si="6"/>
        <v>0.95689220593243507</v>
      </c>
      <c r="R19" s="566"/>
      <c r="S19" s="63"/>
      <c r="T19" s="63"/>
      <c r="U19" s="159"/>
      <c r="V19" s="167"/>
      <c r="W19" s="59"/>
      <c r="X19" s="59"/>
      <c r="Y19" s="559"/>
      <c r="Z19" s="559"/>
      <c r="AA19" s="61">
        <f t="shared" si="8"/>
        <v>-79.0309557905357</v>
      </c>
      <c r="AB19" s="160">
        <f t="shared" si="9"/>
        <v>0.95689220593243507</v>
      </c>
      <c r="AC19" s="566"/>
    </row>
    <row r="20" spans="1:29" ht="15.75" customHeight="1">
      <c r="A20" s="588" t="s">
        <v>586</v>
      </c>
      <c r="B20" s="57" t="s">
        <v>12</v>
      </c>
      <c r="C20" s="584" t="s">
        <v>19</v>
      </c>
      <c r="D20" s="584"/>
      <c r="E20" s="57">
        <v>43.14</v>
      </c>
      <c r="F20" s="168">
        <v>1271</v>
      </c>
      <c r="G20" s="159">
        <f t="shared" ref="G20:G27" si="19">E20*F20</f>
        <v>54830.94</v>
      </c>
      <c r="H20" s="172" t="s">
        <v>5</v>
      </c>
      <c r="I20" s="166">
        <v>17</v>
      </c>
      <c r="J20" s="58">
        <v>2000</v>
      </c>
      <c r="K20" s="59">
        <f t="shared" si="1"/>
        <v>117.64705882352941</v>
      </c>
      <c r="L20" s="166">
        <v>17</v>
      </c>
      <c r="M20" s="60">
        <f t="shared" ref="M20:M27" si="20">F20/V20*60</f>
        <v>1906.5000000000009</v>
      </c>
      <c r="N20" s="59">
        <f t="shared" si="3"/>
        <v>112.14705882352946</v>
      </c>
      <c r="O20" s="61">
        <f t="shared" si="4"/>
        <v>0</v>
      </c>
      <c r="P20" s="62">
        <f t="shared" si="5"/>
        <v>-5.4999999999999432</v>
      </c>
      <c r="Q20" s="160">
        <f t="shared" si="6"/>
        <v>0.95325000000000049</v>
      </c>
      <c r="R20" s="566">
        <f>Q28</f>
        <v>0.95550121200987825</v>
      </c>
      <c r="S20" s="63">
        <v>0.20833333333333334</v>
      </c>
      <c r="T20" s="63">
        <v>0.2361111111111111</v>
      </c>
      <c r="U20" s="159"/>
      <c r="V20" s="167">
        <f t="shared" ref="V20:V27" si="21">(T20-S20)*24*60</f>
        <v>39.999999999999979</v>
      </c>
      <c r="W20" s="68"/>
      <c r="X20" s="68"/>
      <c r="Y20" s="559"/>
      <c r="Z20" s="559"/>
      <c r="AA20" s="61">
        <f t="shared" si="8"/>
        <v>-93.499999999999091</v>
      </c>
      <c r="AB20" s="160">
        <f t="shared" si="9"/>
        <v>0.95325000000000049</v>
      </c>
      <c r="AC20" s="566">
        <f>AB28</f>
        <v>0.95550121200987836</v>
      </c>
    </row>
    <row r="21" spans="1:29" ht="15.75" customHeight="1">
      <c r="A21" s="589" t="s">
        <v>86</v>
      </c>
      <c r="B21" s="57" t="s">
        <v>65</v>
      </c>
      <c r="C21" s="584" t="s">
        <v>97</v>
      </c>
      <c r="D21" s="584"/>
      <c r="E21" s="57">
        <v>49.9</v>
      </c>
      <c r="F21" s="168">
        <v>1999</v>
      </c>
      <c r="G21" s="159">
        <f t="shared" si="19"/>
        <v>99750.099999999991</v>
      </c>
      <c r="H21" s="172" t="s">
        <v>5</v>
      </c>
      <c r="I21" s="166">
        <v>17</v>
      </c>
      <c r="J21" s="58">
        <v>2000</v>
      </c>
      <c r="K21" s="59">
        <f t="shared" si="1"/>
        <v>117.64705882352941</v>
      </c>
      <c r="L21" s="166">
        <v>17</v>
      </c>
      <c r="M21" s="60">
        <f t="shared" si="20"/>
        <v>1903.8095238095245</v>
      </c>
      <c r="N21" s="59">
        <f t="shared" si="3"/>
        <v>111.98879551820733</v>
      </c>
      <c r="O21" s="61">
        <f t="shared" si="4"/>
        <v>0</v>
      </c>
      <c r="P21" s="62">
        <f t="shared" si="5"/>
        <v>-5.6582633053220803</v>
      </c>
      <c r="Q21" s="160">
        <f t="shared" si="6"/>
        <v>0.95190476190476236</v>
      </c>
      <c r="R21" s="566"/>
      <c r="S21" s="63">
        <v>0.24166666666666667</v>
      </c>
      <c r="T21" s="63">
        <v>0.28541666666666665</v>
      </c>
      <c r="U21" s="159">
        <f t="shared" ref="U21:U27" si="22">IF(S21=TIME(17,0,0),"",(S21-T20)*24*60)</f>
        <v>8.0000000000000107</v>
      </c>
      <c r="V21" s="167">
        <f t="shared" si="21"/>
        <v>62.999999999999979</v>
      </c>
      <c r="W21" s="64"/>
      <c r="X21" s="159"/>
      <c r="Y21" s="559"/>
      <c r="Z21" s="559"/>
      <c r="AA21" s="61">
        <f t="shared" si="8"/>
        <v>-96.190476190475465</v>
      </c>
      <c r="AB21" s="160">
        <f t="shared" si="9"/>
        <v>0.95190476190476225</v>
      </c>
      <c r="AC21" s="566"/>
    </row>
    <row r="22" spans="1:29" ht="15.75" customHeight="1">
      <c r="A22" s="589" t="s">
        <v>587</v>
      </c>
      <c r="B22" s="57" t="s">
        <v>6</v>
      </c>
      <c r="C22" s="584" t="s">
        <v>20</v>
      </c>
      <c r="D22" s="584"/>
      <c r="E22" s="57">
        <v>57.73</v>
      </c>
      <c r="F22" s="168">
        <v>3110</v>
      </c>
      <c r="G22" s="159">
        <f t="shared" si="19"/>
        <v>179540.3</v>
      </c>
      <c r="H22" s="172" t="s">
        <v>5</v>
      </c>
      <c r="I22" s="166">
        <v>14</v>
      </c>
      <c r="J22" s="58">
        <v>2000</v>
      </c>
      <c r="K22" s="59">
        <f t="shared" si="1"/>
        <v>142.85714285714286</v>
      </c>
      <c r="L22" s="166">
        <v>14</v>
      </c>
      <c r="M22" s="60">
        <f t="shared" si="20"/>
        <v>1904.0816326530619</v>
      </c>
      <c r="N22" s="59">
        <f t="shared" si="3"/>
        <v>136.00583090379013</v>
      </c>
      <c r="O22" s="61">
        <f t="shared" si="4"/>
        <v>0</v>
      </c>
      <c r="P22" s="62">
        <f t="shared" si="5"/>
        <v>-6.8513119533527345</v>
      </c>
      <c r="Q22" s="160">
        <f t="shared" si="6"/>
        <v>0.95204081632653081</v>
      </c>
      <c r="R22" s="566"/>
      <c r="S22" s="63">
        <v>0.29027777777777775</v>
      </c>
      <c r="T22" s="63">
        <v>0.35833333333333328</v>
      </c>
      <c r="U22" s="159">
        <f t="shared" si="22"/>
        <v>6.9999999999999751</v>
      </c>
      <c r="V22" s="167">
        <f t="shared" si="21"/>
        <v>97.999999999999972</v>
      </c>
      <c r="W22" s="64"/>
      <c r="X22" s="159"/>
      <c r="Y22" s="559"/>
      <c r="Z22" s="559"/>
      <c r="AA22" s="61">
        <f t="shared" si="8"/>
        <v>-95.918367346938112</v>
      </c>
      <c r="AB22" s="160">
        <f t="shared" si="9"/>
        <v>0.95204081632653093</v>
      </c>
      <c r="AC22" s="566"/>
    </row>
    <row r="23" spans="1:29" ht="15.75" customHeight="1">
      <c r="A23" s="589" t="s">
        <v>587</v>
      </c>
      <c r="B23" s="57" t="s">
        <v>6</v>
      </c>
      <c r="C23" s="584" t="s">
        <v>21</v>
      </c>
      <c r="D23" s="584"/>
      <c r="E23" s="57">
        <v>53.68</v>
      </c>
      <c r="F23" s="168">
        <v>1857</v>
      </c>
      <c r="G23" s="159">
        <f t="shared" si="19"/>
        <v>99683.76</v>
      </c>
      <c r="H23" s="172" t="s">
        <v>5</v>
      </c>
      <c r="I23" s="166">
        <v>16</v>
      </c>
      <c r="J23" s="58">
        <v>2000</v>
      </c>
      <c r="K23" s="59">
        <f t="shared" si="1"/>
        <v>125</v>
      </c>
      <c r="L23" s="166">
        <v>16</v>
      </c>
      <c r="M23" s="60">
        <f t="shared" si="20"/>
        <v>1921.0344827586196</v>
      </c>
      <c r="N23" s="59">
        <f t="shared" si="3"/>
        <v>120.06465517241372</v>
      </c>
      <c r="O23" s="61">
        <f t="shared" si="4"/>
        <v>0</v>
      </c>
      <c r="P23" s="62">
        <f t="shared" si="5"/>
        <v>-4.9353448275862775</v>
      </c>
      <c r="Q23" s="160">
        <f t="shared" si="6"/>
        <v>0.96051724137930983</v>
      </c>
      <c r="R23" s="566"/>
      <c r="S23" s="63">
        <v>0.36388888888888882</v>
      </c>
      <c r="T23" s="63">
        <v>0.40416666666666662</v>
      </c>
      <c r="U23" s="159">
        <f t="shared" si="22"/>
        <v>7.9999999999999716</v>
      </c>
      <c r="V23" s="167">
        <f t="shared" si="21"/>
        <v>58.000000000000036</v>
      </c>
      <c r="W23" s="64"/>
      <c r="X23" s="159"/>
      <c r="Y23" s="559"/>
      <c r="Z23" s="559"/>
      <c r="AA23" s="61">
        <f t="shared" si="8"/>
        <v>-78.965517241380439</v>
      </c>
      <c r="AB23" s="160">
        <f t="shared" si="9"/>
        <v>0.96051724137930983</v>
      </c>
      <c r="AC23" s="566"/>
    </row>
    <row r="24" spans="1:29" ht="15.75" customHeight="1">
      <c r="A24" s="589" t="s">
        <v>86</v>
      </c>
      <c r="B24" s="57" t="s">
        <v>6</v>
      </c>
      <c r="C24" s="584" t="s">
        <v>96</v>
      </c>
      <c r="D24" s="584"/>
      <c r="E24" s="57">
        <v>49.91</v>
      </c>
      <c r="F24" s="168">
        <v>1681</v>
      </c>
      <c r="G24" s="159">
        <f t="shared" si="19"/>
        <v>83898.709999999992</v>
      </c>
      <c r="H24" s="172" t="s">
        <v>5</v>
      </c>
      <c r="I24" s="166">
        <v>17</v>
      </c>
      <c r="J24" s="58">
        <v>2000</v>
      </c>
      <c r="K24" s="59">
        <f t="shared" si="1"/>
        <v>117.64705882352941</v>
      </c>
      <c r="L24" s="166">
        <v>17</v>
      </c>
      <c r="M24" s="60">
        <f t="shared" si="20"/>
        <v>1903.0188679245293</v>
      </c>
      <c r="N24" s="59">
        <f t="shared" si="3"/>
        <v>111.94228634850172</v>
      </c>
      <c r="O24" s="61">
        <f t="shared" si="4"/>
        <v>0</v>
      </c>
      <c r="P24" s="62">
        <f t="shared" si="5"/>
        <v>-5.7047724750276814</v>
      </c>
      <c r="Q24" s="160">
        <f t="shared" si="6"/>
        <v>0.95150943396226473</v>
      </c>
      <c r="R24" s="566"/>
      <c r="S24" s="63">
        <v>0.40833333333333327</v>
      </c>
      <c r="T24" s="63">
        <v>0.44513888888888881</v>
      </c>
      <c r="U24" s="159">
        <f t="shared" si="22"/>
        <v>5.9999999999999787</v>
      </c>
      <c r="V24" s="167">
        <f t="shared" si="21"/>
        <v>52.999999999999972</v>
      </c>
      <c r="W24" s="64"/>
      <c r="X24" s="159"/>
      <c r="Y24" s="559"/>
      <c r="Z24" s="559"/>
      <c r="AA24" s="61">
        <f t="shared" si="8"/>
        <v>-96.981132075470668</v>
      </c>
      <c r="AB24" s="160">
        <f t="shared" si="9"/>
        <v>0.95150943396226462</v>
      </c>
      <c r="AC24" s="566"/>
    </row>
    <row r="25" spans="1:29" ht="15.75" customHeight="1">
      <c r="A25" s="589" t="s">
        <v>586</v>
      </c>
      <c r="B25" s="57" t="s">
        <v>6</v>
      </c>
      <c r="C25" s="584" t="s">
        <v>22</v>
      </c>
      <c r="D25" s="584"/>
      <c r="E25" s="57">
        <v>54.09</v>
      </c>
      <c r="F25" s="168">
        <v>2018</v>
      </c>
      <c r="G25" s="159">
        <f t="shared" si="19"/>
        <v>109153.62000000001</v>
      </c>
      <c r="H25" s="172" t="s">
        <v>5</v>
      </c>
      <c r="I25" s="166">
        <v>19</v>
      </c>
      <c r="J25" s="58">
        <v>2000</v>
      </c>
      <c r="K25" s="59">
        <f t="shared" si="1"/>
        <v>105.26315789473684</v>
      </c>
      <c r="L25" s="166">
        <v>19</v>
      </c>
      <c r="M25" s="60">
        <f t="shared" si="20"/>
        <v>1921.904761904764</v>
      </c>
      <c r="N25" s="59">
        <f t="shared" si="3"/>
        <v>101.15288220551389</v>
      </c>
      <c r="O25" s="61">
        <f t="shared" si="4"/>
        <v>0</v>
      </c>
      <c r="P25" s="62">
        <f t="shared" si="5"/>
        <v>-4.1102756892229451</v>
      </c>
      <c r="Q25" s="160">
        <f t="shared" si="6"/>
        <v>0.960952380952382</v>
      </c>
      <c r="R25" s="566"/>
      <c r="S25" s="63">
        <v>0.70833333333333337</v>
      </c>
      <c r="T25" s="63">
        <v>0.75208333333333333</v>
      </c>
      <c r="U25" s="159" t="str">
        <f t="shared" si="22"/>
        <v/>
      </c>
      <c r="V25" s="167">
        <f t="shared" si="21"/>
        <v>62.999999999999936</v>
      </c>
      <c r="W25" s="64"/>
      <c r="X25" s="68"/>
      <c r="Y25" s="559"/>
      <c r="Z25" s="559"/>
      <c r="AA25" s="61">
        <f t="shared" si="8"/>
        <v>-78.095238095236027</v>
      </c>
      <c r="AB25" s="160">
        <f t="shared" si="9"/>
        <v>0.960952380952382</v>
      </c>
      <c r="AC25" s="566"/>
    </row>
    <row r="26" spans="1:29" ht="15.75" customHeight="1">
      <c r="A26" s="589" t="s">
        <v>86</v>
      </c>
      <c r="B26" s="57" t="s">
        <v>6</v>
      </c>
      <c r="C26" s="584" t="s">
        <v>69</v>
      </c>
      <c r="D26" s="584"/>
      <c r="E26" s="57">
        <v>57.73</v>
      </c>
      <c r="F26" s="168">
        <v>1685</v>
      </c>
      <c r="G26" s="159">
        <f t="shared" si="19"/>
        <v>97275.049999999988</v>
      </c>
      <c r="H26" s="172" t="s">
        <v>5</v>
      </c>
      <c r="I26" s="166">
        <v>16</v>
      </c>
      <c r="J26" s="58">
        <v>1500</v>
      </c>
      <c r="K26" s="59">
        <f t="shared" si="1"/>
        <v>93.75</v>
      </c>
      <c r="L26" s="166">
        <v>16</v>
      </c>
      <c r="M26" s="60">
        <f t="shared" si="20"/>
        <v>1444.2857142857129</v>
      </c>
      <c r="N26" s="59">
        <f t="shared" si="3"/>
        <v>90.267857142857054</v>
      </c>
      <c r="O26" s="61">
        <f t="shared" si="4"/>
        <v>0</v>
      </c>
      <c r="P26" s="62">
        <f t="shared" si="5"/>
        <v>-3.4821428571429465</v>
      </c>
      <c r="Q26" s="160">
        <f t="shared" si="6"/>
        <v>0.96285714285714186</v>
      </c>
      <c r="R26" s="566"/>
      <c r="S26" s="63">
        <v>0.75763888888888886</v>
      </c>
      <c r="T26" s="63">
        <v>0.80625000000000002</v>
      </c>
      <c r="U26" s="159">
        <f t="shared" si="22"/>
        <v>7.9999999999999716</v>
      </c>
      <c r="V26" s="167">
        <f t="shared" si="21"/>
        <v>70.000000000000071</v>
      </c>
      <c r="W26" s="64"/>
      <c r="X26" s="68"/>
      <c r="Y26" s="569"/>
      <c r="Z26" s="570"/>
      <c r="AA26" s="61">
        <f t="shared" si="8"/>
        <v>-55.714285714287143</v>
      </c>
      <c r="AB26" s="160">
        <f t="shared" si="9"/>
        <v>0.96285714285714186</v>
      </c>
      <c r="AC26" s="566"/>
    </row>
    <row r="27" spans="1:29" ht="15.75" customHeight="1">
      <c r="A27" s="589" t="s">
        <v>587</v>
      </c>
      <c r="B27" s="57" t="s">
        <v>6</v>
      </c>
      <c r="C27" s="585" t="s">
        <v>68</v>
      </c>
      <c r="D27" s="586"/>
      <c r="E27" s="57">
        <v>50.67</v>
      </c>
      <c r="F27" s="168">
        <v>2255</v>
      </c>
      <c r="G27" s="159">
        <f t="shared" si="19"/>
        <v>114260.85</v>
      </c>
      <c r="H27" s="172" t="s">
        <v>5</v>
      </c>
      <c r="I27" s="166">
        <v>15</v>
      </c>
      <c r="J27" s="58">
        <v>2000</v>
      </c>
      <c r="K27" s="59">
        <f t="shared" si="1"/>
        <v>133.33333333333334</v>
      </c>
      <c r="L27" s="166">
        <v>15</v>
      </c>
      <c r="M27" s="60">
        <f t="shared" si="20"/>
        <v>1905.6338028168996</v>
      </c>
      <c r="N27" s="59">
        <f t="shared" si="3"/>
        <v>127.04225352112664</v>
      </c>
      <c r="O27" s="61">
        <f t="shared" si="4"/>
        <v>0</v>
      </c>
      <c r="P27" s="62">
        <f t="shared" si="5"/>
        <v>-6.2910798122067035</v>
      </c>
      <c r="Q27" s="160">
        <f t="shared" si="6"/>
        <v>0.95281690140844977</v>
      </c>
      <c r="R27" s="566"/>
      <c r="S27" s="63">
        <v>0.80972222222222223</v>
      </c>
      <c r="T27" s="63">
        <v>0.85902777777777783</v>
      </c>
      <c r="U27" s="159">
        <f t="shared" si="22"/>
        <v>4.9999999999999822</v>
      </c>
      <c r="V27" s="167">
        <f t="shared" si="21"/>
        <v>71.000000000000071</v>
      </c>
      <c r="W27" s="64"/>
      <c r="X27" s="64"/>
      <c r="Y27" s="569"/>
      <c r="Z27" s="570"/>
      <c r="AA27" s="61">
        <f t="shared" si="8"/>
        <v>-94.366197183100439</v>
      </c>
      <c r="AB27" s="160">
        <f t="shared" si="9"/>
        <v>0.95281690140844977</v>
      </c>
      <c r="AC27" s="566"/>
    </row>
    <row r="28" spans="1:29" ht="15.75" customHeight="1">
      <c r="A28" s="589" t="s">
        <v>586</v>
      </c>
      <c r="B28" s="57" t="s">
        <v>67</v>
      </c>
      <c r="C28" s="571"/>
      <c r="D28" s="571"/>
      <c r="E28" s="161"/>
      <c r="F28" s="168"/>
      <c r="G28" s="159"/>
      <c r="H28" s="168"/>
      <c r="I28" s="67">
        <v>16.375</v>
      </c>
      <c r="J28" s="58">
        <v>1937.5</v>
      </c>
      <c r="K28" s="59">
        <f t="shared" si="1"/>
        <v>118.32061068702291</v>
      </c>
      <c r="L28" s="67">
        <v>16.375</v>
      </c>
      <c r="M28" s="60">
        <f>AVERAGE(M20:M27)</f>
        <v>1851.2835982691392</v>
      </c>
      <c r="N28" s="59">
        <f t="shared" si="3"/>
        <v>113.05548691719935</v>
      </c>
      <c r="O28" s="61">
        <f t="shared" si="4"/>
        <v>0</v>
      </c>
      <c r="P28" s="62">
        <f t="shared" si="5"/>
        <v>-5.2651237698235605</v>
      </c>
      <c r="Q28" s="160">
        <f t="shared" si="6"/>
        <v>0.95550121200987825</v>
      </c>
      <c r="R28" s="566"/>
      <c r="S28" s="63"/>
      <c r="T28" s="63"/>
      <c r="U28" s="59"/>
      <c r="V28" s="167"/>
      <c r="W28" s="59"/>
      <c r="X28" s="59"/>
      <c r="Y28" s="559"/>
      <c r="Z28" s="559"/>
      <c r="AA28" s="61">
        <f t="shared" si="8"/>
        <v>-86.216401730860753</v>
      </c>
      <c r="AB28" s="160">
        <f t="shared" si="9"/>
        <v>0.95550121200987836</v>
      </c>
      <c r="AC28" s="566"/>
    </row>
    <row r="29" spans="1:29" ht="15.75" customHeight="1">
      <c r="A29" s="587" t="s">
        <v>87</v>
      </c>
      <c r="B29" s="57" t="s">
        <v>15</v>
      </c>
      <c r="C29" s="584" t="s">
        <v>26</v>
      </c>
      <c r="D29" s="584"/>
      <c r="E29" s="57">
        <v>31.29</v>
      </c>
      <c r="F29" s="168">
        <v>4800</v>
      </c>
      <c r="G29" s="159">
        <f t="shared" ref="G29:G36" si="23">E29*F29</f>
        <v>150192</v>
      </c>
      <c r="H29" s="172">
        <v>2</v>
      </c>
      <c r="I29" s="166">
        <v>18</v>
      </c>
      <c r="J29" s="58">
        <v>2400</v>
      </c>
      <c r="K29" s="59">
        <f t="shared" si="1"/>
        <v>133.33333333333334</v>
      </c>
      <c r="L29" s="166">
        <v>18</v>
      </c>
      <c r="M29" s="60">
        <f t="shared" ref="M29:M36" si="24">F29/V29*60</f>
        <v>2285.7142857142858</v>
      </c>
      <c r="N29" s="59">
        <f t="shared" si="3"/>
        <v>126.98412698412699</v>
      </c>
      <c r="O29" s="61">
        <f t="shared" si="4"/>
        <v>0</v>
      </c>
      <c r="P29" s="62">
        <f t="shared" si="5"/>
        <v>-6.3492063492063551</v>
      </c>
      <c r="Q29" s="160">
        <f t="shared" si="6"/>
        <v>0.95238095238095233</v>
      </c>
      <c r="R29" s="566">
        <f>Q37</f>
        <v>0.95509883835498899</v>
      </c>
      <c r="S29" s="63">
        <v>8.3333333333333329E-2</v>
      </c>
      <c r="T29" s="63">
        <v>0.17083333333333334</v>
      </c>
      <c r="U29" s="159"/>
      <c r="V29" s="167">
        <f t="shared" ref="V29:V36" si="25">(T29-S29)*24*60</f>
        <v>126</v>
      </c>
      <c r="W29" s="64">
        <f>T29</f>
        <v>0.17083333333333334</v>
      </c>
      <c r="X29" s="64">
        <f>S30</f>
        <v>0.19027777777777777</v>
      </c>
      <c r="Y29" s="559"/>
      <c r="Z29" s="559"/>
      <c r="AA29" s="61">
        <f t="shared" si="8"/>
        <v>-114.28571428571422</v>
      </c>
      <c r="AB29" s="160">
        <f t="shared" si="9"/>
        <v>0.95238095238095244</v>
      </c>
      <c r="AC29" s="566">
        <f>AB37</f>
        <v>0.95509883835498899</v>
      </c>
    </row>
    <row r="30" spans="1:29" ht="15.75" customHeight="1">
      <c r="A30" s="587" t="s">
        <v>588</v>
      </c>
      <c r="B30" s="57" t="s">
        <v>15</v>
      </c>
      <c r="C30" s="584" t="s">
        <v>23</v>
      </c>
      <c r="D30" s="584"/>
      <c r="E30" s="57">
        <v>26.2</v>
      </c>
      <c r="F30" s="168">
        <v>3500</v>
      </c>
      <c r="G30" s="159">
        <f t="shared" si="23"/>
        <v>91700</v>
      </c>
      <c r="H30" s="172">
        <v>2</v>
      </c>
      <c r="I30" s="166">
        <v>20</v>
      </c>
      <c r="J30" s="58">
        <v>2400</v>
      </c>
      <c r="K30" s="59">
        <f t="shared" si="1"/>
        <v>120</v>
      </c>
      <c r="L30" s="166">
        <v>20</v>
      </c>
      <c r="M30" s="60">
        <f t="shared" si="24"/>
        <v>2307.6923076923076</v>
      </c>
      <c r="N30" s="59">
        <f t="shared" si="3"/>
        <v>115.38461538461539</v>
      </c>
      <c r="O30" s="61">
        <f t="shared" si="4"/>
        <v>0</v>
      </c>
      <c r="P30" s="62">
        <f t="shared" si="5"/>
        <v>-4.6153846153846132</v>
      </c>
      <c r="Q30" s="160">
        <f t="shared" si="6"/>
        <v>0.96153846153846156</v>
      </c>
      <c r="R30" s="566"/>
      <c r="S30" s="63">
        <v>0.19027777777777777</v>
      </c>
      <c r="T30" s="63">
        <v>0.25347222222222221</v>
      </c>
      <c r="U30" s="159">
        <f t="shared" ref="U30:U36" si="26">(S30-T29)*24*60</f>
        <v>27.999999999999979</v>
      </c>
      <c r="V30" s="167">
        <f t="shared" si="25"/>
        <v>91</v>
      </c>
      <c r="W30" s="64"/>
      <c r="X30" s="64"/>
      <c r="Y30" s="559"/>
      <c r="Z30" s="559"/>
      <c r="AA30" s="61">
        <f t="shared" si="8"/>
        <v>-92.307692307692378</v>
      </c>
      <c r="AB30" s="160">
        <f t="shared" si="9"/>
        <v>0.96153846153846156</v>
      </c>
      <c r="AC30" s="566"/>
    </row>
    <row r="31" spans="1:29" ht="15.75" customHeight="1">
      <c r="A31" s="587" t="s">
        <v>87</v>
      </c>
      <c r="B31" s="57" t="s">
        <v>15</v>
      </c>
      <c r="C31" s="584" t="s">
        <v>70</v>
      </c>
      <c r="D31" s="584"/>
      <c r="E31" s="57">
        <v>25.99</v>
      </c>
      <c r="F31" s="168">
        <v>3200</v>
      </c>
      <c r="G31" s="159">
        <f t="shared" si="23"/>
        <v>83168</v>
      </c>
      <c r="H31" s="172">
        <v>2</v>
      </c>
      <c r="I31" s="166">
        <v>14</v>
      </c>
      <c r="J31" s="58">
        <v>2400</v>
      </c>
      <c r="K31" s="59">
        <f t="shared" si="1"/>
        <v>171.42857142857142</v>
      </c>
      <c r="L31" s="166">
        <v>14</v>
      </c>
      <c r="M31" s="60">
        <f t="shared" si="24"/>
        <v>2285.7142857142849</v>
      </c>
      <c r="N31" s="59">
        <f t="shared" si="3"/>
        <v>163.26530612244892</v>
      </c>
      <c r="O31" s="61">
        <f t="shared" si="4"/>
        <v>0</v>
      </c>
      <c r="P31" s="62">
        <f t="shared" si="5"/>
        <v>-8.1632653061224971</v>
      </c>
      <c r="Q31" s="160">
        <f t="shared" si="6"/>
        <v>0.95238095238095211</v>
      </c>
      <c r="R31" s="566"/>
      <c r="S31" s="63">
        <v>0.2583333333333333</v>
      </c>
      <c r="T31" s="63">
        <v>0.31666666666666665</v>
      </c>
      <c r="U31" s="159">
        <f t="shared" si="26"/>
        <v>6.9999999999999751</v>
      </c>
      <c r="V31" s="167">
        <f t="shared" si="25"/>
        <v>84.000000000000028</v>
      </c>
      <c r="W31" s="64"/>
      <c r="X31" s="64"/>
      <c r="Y31" s="559"/>
      <c r="Z31" s="559"/>
      <c r="AA31" s="61">
        <f t="shared" si="8"/>
        <v>-114.28571428571513</v>
      </c>
      <c r="AB31" s="160">
        <f t="shared" si="9"/>
        <v>0.952380952380952</v>
      </c>
      <c r="AC31" s="566"/>
    </row>
    <row r="32" spans="1:29" ht="15.75" customHeight="1">
      <c r="A32" s="587" t="s">
        <v>87</v>
      </c>
      <c r="B32" s="57" t="s">
        <v>15</v>
      </c>
      <c r="C32" s="584" t="s">
        <v>45</v>
      </c>
      <c r="D32" s="584"/>
      <c r="E32" s="57">
        <v>20.52</v>
      </c>
      <c r="F32" s="168">
        <v>5621</v>
      </c>
      <c r="G32" s="159">
        <f t="shared" si="23"/>
        <v>115342.92</v>
      </c>
      <c r="H32" s="172" t="s">
        <v>5</v>
      </c>
      <c r="I32" s="166">
        <v>18</v>
      </c>
      <c r="J32" s="58">
        <v>2400</v>
      </c>
      <c r="K32" s="59">
        <f t="shared" si="1"/>
        <v>133.33333333333334</v>
      </c>
      <c r="L32" s="166">
        <v>18</v>
      </c>
      <c r="M32" s="60">
        <f t="shared" si="24"/>
        <v>2294.2857142857142</v>
      </c>
      <c r="N32" s="59">
        <f t="shared" si="3"/>
        <v>127.46031746031746</v>
      </c>
      <c r="O32" s="61">
        <f t="shared" si="4"/>
        <v>0</v>
      </c>
      <c r="P32" s="62">
        <f t="shared" si="5"/>
        <v>-5.8730158730158877</v>
      </c>
      <c r="Q32" s="160">
        <f t="shared" si="6"/>
        <v>0.95595238095238089</v>
      </c>
      <c r="R32" s="566"/>
      <c r="S32" s="63">
        <v>0.3208333333333333</v>
      </c>
      <c r="T32" s="63">
        <v>0.42291666666666666</v>
      </c>
      <c r="U32" s="159">
        <f t="shared" si="26"/>
        <v>5.9999999999999787</v>
      </c>
      <c r="V32" s="167">
        <f t="shared" si="25"/>
        <v>147.00000000000003</v>
      </c>
      <c r="W32" s="64"/>
      <c r="X32" s="64"/>
      <c r="Y32" s="559"/>
      <c r="Z32" s="559"/>
      <c r="AA32" s="61">
        <f t="shared" si="8"/>
        <v>-105.71428571428578</v>
      </c>
      <c r="AB32" s="160">
        <f t="shared" si="9"/>
        <v>0.95595238095238089</v>
      </c>
      <c r="AC32" s="566"/>
    </row>
    <row r="33" spans="1:29" ht="15.75" customHeight="1">
      <c r="A33" s="587" t="s">
        <v>588</v>
      </c>
      <c r="B33" s="57" t="s">
        <v>15</v>
      </c>
      <c r="C33" s="584" t="s">
        <v>98</v>
      </c>
      <c r="D33" s="584"/>
      <c r="E33" s="57">
        <v>25.98</v>
      </c>
      <c r="F33" s="168">
        <v>5392</v>
      </c>
      <c r="G33" s="159">
        <f t="shared" si="23"/>
        <v>140084.16</v>
      </c>
      <c r="H33" s="172" t="s">
        <v>5</v>
      </c>
      <c r="I33" s="166">
        <v>21</v>
      </c>
      <c r="J33" s="58">
        <v>2400</v>
      </c>
      <c r="K33" s="59">
        <f t="shared" si="1"/>
        <v>114.28571428571429</v>
      </c>
      <c r="L33" s="166">
        <v>21</v>
      </c>
      <c r="M33" s="60">
        <f t="shared" si="24"/>
        <v>2294.4680851063817</v>
      </c>
      <c r="N33" s="59">
        <f t="shared" si="3"/>
        <v>109.2603850050658</v>
      </c>
      <c r="O33" s="61">
        <f t="shared" si="4"/>
        <v>0</v>
      </c>
      <c r="P33" s="62">
        <f t="shared" si="5"/>
        <v>-5.0253292806484922</v>
      </c>
      <c r="Q33" s="160">
        <f t="shared" si="6"/>
        <v>0.95602836879432573</v>
      </c>
      <c r="R33" s="566"/>
      <c r="S33" s="63">
        <v>0.42777777777777776</v>
      </c>
      <c r="T33" s="63">
        <v>0.52569444444444446</v>
      </c>
      <c r="U33" s="159">
        <f t="shared" si="26"/>
        <v>6.9999999999999751</v>
      </c>
      <c r="V33" s="167">
        <f t="shared" si="25"/>
        <v>141.00000000000006</v>
      </c>
      <c r="W33" s="64">
        <f>T33</f>
        <v>0.52569444444444446</v>
      </c>
      <c r="X33" s="64">
        <f>S34</f>
        <v>0.56597222222222221</v>
      </c>
      <c r="Y33" s="559"/>
      <c r="Z33" s="559"/>
      <c r="AA33" s="61">
        <f t="shared" si="8"/>
        <v>-105.53191489361825</v>
      </c>
      <c r="AB33" s="160">
        <f t="shared" si="9"/>
        <v>0.95602836879432573</v>
      </c>
      <c r="AC33" s="566"/>
    </row>
    <row r="34" spans="1:29" ht="15.75" customHeight="1">
      <c r="A34" s="587" t="s">
        <v>87</v>
      </c>
      <c r="B34" s="57" t="s">
        <v>15</v>
      </c>
      <c r="C34" s="584" t="s">
        <v>26</v>
      </c>
      <c r="D34" s="584"/>
      <c r="E34" s="57">
        <v>31.29</v>
      </c>
      <c r="F34" s="168">
        <v>6104</v>
      </c>
      <c r="G34" s="159">
        <f t="shared" si="23"/>
        <v>190994.16</v>
      </c>
      <c r="H34" s="172" t="s">
        <v>5</v>
      </c>
      <c r="I34" s="166">
        <v>18</v>
      </c>
      <c r="J34" s="58">
        <v>2400</v>
      </c>
      <c r="K34" s="59">
        <f t="shared" si="1"/>
        <v>133.33333333333334</v>
      </c>
      <c r="L34" s="166">
        <v>18</v>
      </c>
      <c r="M34" s="60">
        <f t="shared" si="24"/>
        <v>2289.0000000000014</v>
      </c>
      <c r="N34" s="59">
        <f t="shared" si="3"/>
        <v>127.16666666666674</v>
      </c>
      <c r="O34" s="61">
        <f t="shared" si="4"/>
        <v>0</v>
      </c>
      <c r="P34" s="62">
        <f t="shared" si="5"/>
        <v>-6.1666666666666003</v>
      </c>
      <c r="Q34" s="160">
        <f t="shared" si="6"/>
        <v>0.95375000000000054</v>
      </c>
      <c r="R34" s="566"/>
      <c r="S34" s="63">
        <v>0.56597222222222221</v>
      </c>
      <c r="T34" s="63">
        <v>0.67708333333333326</v>
      </c>
      <c r="U34" s="159">
        <f t="shared" si="26"/>
        <v>57.999999999999957</v>
      </c>
      <c r="V34" s="167">
        <f t="shared" si="25"/>
        <v>159.99999999999991</v>
      </c>
      <c r="W34" s="64"/>
      <c r="X34" s="64"/>
      <c r="Y34" s="559"/>
      <c r="Z34" s="559"/>
      <c r="AA34" s="61">
        <f t="shared" si="8"/>
        <v>-110.99999999999864</v>
      </c>
      <c r="AB34" s="160">
        <f t="shared" si="9"/>
        <v>0.95375000000000054</v>
      </c>
      <c r="AC34" s="566"/>
    </row>
    <row r="35" spans="1:29" ht="15.75" customHeight="1">
      <c r="A35" s="587" t="s">
        <v>589</v>
      </c>
      <c r="B35" s="57" t="s">
        <v>15</v>
      </c>
      <c r="C35" s="584" t="s">
        <v>23</v>
      </c>
      <c r="D35" s="584"/>
      <c r="E35" s="57">
        <v>26.2</v>
      </c>
      <c r="F35" s="168">
        <v>2634</v>
      </c>
      <c r="G35" s="159">
        <f t="shared" si="23"/>
        <v>69010.8</v>
      </c>
      <c r="H35" s="172" t="s">
        <v>5</v>
      </c>
      <c r="I35" s="166">
        <v>20</v>
      </c>
      <c r="J35" s="58">
        <v>2400</v>
      </c>
      <c r="K35" s="59">
        <f t="shared" si="1"/>
        <v>120</v>
      </c>
      <c r="L35" s="166">
        <v>20</v>
      </c>
      <c r="M35" s="60">
        <f t="shared" si="24"/>
        <v>2290.4347826086987</v>
      </c>
      <c r="N35" s="59">
        <f t="shared" si="3"/>
        <v>114.52173913043494</v>
      </c>
      <c r="O35" s="61">
        <f t="shared" si="4"/>
        <v>0</v>
      </c>
      <c r="P35" s="62">
        <f t="shared" si="5"/>
        <v>-5.4782608695650623</v>
      </c>
      <c r="Q35" s="160">
        <f t="shared" si="6"/>
        <v>0.95434782608695778</v>
      </c>
      <c r="R35" s="566"/>
      <c r="S35" s="63">
        <v>0.68124999999999991</v>
      </c>
      <c r="T35" s="63">
        <v>0.72916666666666652</v>
      </c>
      <c r="U35" s="159">
        <f t="shared" si="26"/>
        <v>5.9999999999999787</v>
      </c>
      <c r="V35" s="167">
        <f t="shared" si="25"/>
        <v>68.999999999999915</v>
      </c>
      <c r="W35" s="64"/>
      <c r="X35" s="64"/>
      <c r="Y35" s="559"/>
      <c r="Z35" s="559"/>
      <c r="AA35" s="61">
        <f t="shared" si="8"/>
        <v>-109.5652173913013</v>
      </c>
      <c r="AB35" s="160">
        <f t="shared" si="9"/>
        <v>0.95434782608695778</v>
      </c>
      <c r="AC35" s="566"/>
    </row>
    <row r="36" spans="1:29" ht="15.75" customHeight="1">
      <c r="A36" s="587" t="s">
        <v>590</v>
      </c>
      <c r="B36" s="57" t="s">
        <v>15</v>
      </c>
      <c r="C36" s="584" t="s">
        <v>70</v>
      </c>
      <c r="D36" s="584"/>
      <c r="E36" s="57">
        <v>25.99</v>
      </c>
      <c r="F36" s="168">
        <v>2596</v>
      </c>
      <c r="G36" s="159">
        <f t="shared" si="23"/>
        <v>67470.039999999994</v>
      </c>
      <c r="H36" s="172" t="s">
        <v>5</v>
      </c>
      <c r="I36" s="166">
        <v>14</v>
      </c>
      <c r="J36" s="58">
        <v>2400</v>
      </c>
      <c r="K36" s="59">
        <f t="shared" si="1"/>
        <v>171.42857142857142</v>
      </c>
      <c r="L36" s="166">
        <v>14</v>
      </c>
      <c r="M36" s="60">
        <f t="shared" si="24"/>
        <v>2290.5882352941148</v>
      </c>
      <c r="N36" s="59">
        <f t="shared" si="3"/>
        <v>163.61344537815106</v>
      </c>
      <c r="O36" s="61">
        <f t="shared" si="4"/>
        <v>0</v>
      </c>
      <c r="P36" s="62">
        <f t="shared" si="5"/>
        <v>-7.8151260504203606</v>
      </c>
      <c r="Q36" s="160">
        <f t="shared" si="6"/>
        <v>0.95441176470588118</v>
      </c>
      <c r="R36" s="566"/>
      <c r="S36" s="63">
        <v>0.73333333333333317</v>
      </c>
      <c r="T36" s="63">
        <v>0.78055555555555545</v>
      </c>
      <c r="U36" s="159">
        <f t="shared" si="26"/>
        <v>5.9999999999999787</v>
      </c>
      <c r="V36" s="167">
        <f t="shared" si="25"/>
        <v>68.000000000000085</v>
      </c>
      <c r="W36" s="64"/>
      <c r="X36" s="64"/>
      <c r="Y36" s="559"/>
      <c r="Z36" s="559"/>
      <c r="AA36" s="61">
        <f t="shared" si="8"/>
        <v>-109.41176470588516</v>
      </c>
      <c r="AB36" s="160">
        <f t="shared" si="9"/>
        <v>0.95441176470588118</v>
      </c>
      <c r="AC36" s="566"/>
    </row>
    <row r="37" spans="1:29" ht="15.75" customHeight="1">
      <c r="A37" s="587" t="s">
        <v>589</v>
      </c>
      <c r="B37" s="57" t="s">
        <v>67</v>
      </c>
      <c r="C37" s="571"/>
      <c r="D37" s="571"/>
      <c r="E37" s="161"/>
      <c r="F37" s="168"/>
      <c r="G37" s="159"/>
      <c r="H37" s="168"/>
      <c r="I37" s="67">
        <v>17.875</v>
      </c>
      <c r="J37" s="58">
        <v>2400</v>
      </c>
      <c r="K37" s="59">
        <f t="shared" si="1"/>
        <v>134.26573426573427</v>
      </c>
      <c r="L37" s="67">
        <v>17.875</v>
      </c>
      <c r="M37" s="60">
        <f>AVERAGE(M29:M36)</f>
        <v>2292.2372120519735</v>
      </c>
      <c r="N37" s="59">
        <f t="shared" si="3"/>
        <v>128.23704682808244</v>
      </c>
      <c r="O37" s="61">
        <f t="shared" si="4"/>
        <v>0</v>
      </c>
      <c r="P37" s="62">
        <f t="shared" si="5"/>
        <v>-6.0286874376518256</v>
      </c>
      <c r="Q37" s="160">
        <f t="shared" si="6"/>
        <v>0.95509883835498899</v>
      </c>
      <c r="R37" s="566"/>
      <c r="S37" s="63"/>
      <c r="T37" s="63"/>
      <c r="U37" s="159"/>
      <c r="V37" s="167"/>
      <c r="W37" s="159"/>
      <c r="X37" s="159"/>
      <c r="Y37" s="559"/>
      <c r="Z37" s="559"/>
      <c r="AA37" s="61">
        <f t="shared" si="8"/>
        <v>-107.76278794802647</v>
      </c>
      <c r="AB37" s="160">
        <f t="shared" si="9"/>
        <v>0.95509883835498899</v>
      </c>
      <c r="AC37" s="566"/>
    </row>
    <row r="38" spans="1:29" ht="15.75" customHeight="1">
      <c r="A38" s="582" t="s">
        <v>88</v>
      </c>
      <c r="B38" s="57" t="s">
        <v>15</v>
      </c>
      <c r="C38" s="560" t="s">
        <v>44</v>
      </c>
      <c r="D38" s="560"/>
      <c r="E38" s="57">
        <v>19.02</v>
      </c>
      <c r="F38" s="168">
        <v>4500</v>
      </c>
      <c r="G38" s="159">
        <f t="shared" ref="G38:G44" si="27">E38*F38</f>
        <v>85590</v>
      </c>
      <c r="H38" s="172">
        <v>2</v>
      </c>
      <c r="I38" s="166">
        <v>15</v>
      </c>
      <c r="J38" s="58">
        <v>2400</v>
      </c>
      <c r="K38" s="59">
        <f t="shared" si="1"/>
        <v>160</v>
      </c>
      <c r="L38" s="166">
        <v>15</v>
      </c>
      <c r="M38" s="60">
        <f t="shared" ref="M38:M44" si="28">F38/V38*60</f>
        <v>2288.1355932203392</v>
      </c>
      <c r="N38" s="59">
        <f t="shared" si="3"/>
        <v>152.54237288135593</v>
      </c>
      <c r="O38" s="61">
        <f t="shared" si="4"/>
        <v>0</v>
      </c>
      <c r="P38" s="62">
        <f t="shared" si="5"/>
        <v>-7.4576271186440692</v>
      </c>
      <c r="Q38" s="160">
        <f t="shared" si="6"/>
        <v>0.95338983050847459</v>
      </c>
      <c r="R38" s="566">
        <f>Q45</f>
        <v>0.95416814643592129</v>
      </c>
      <c r="S38" s="63">
        <v>8.3333333333333329E-2</v>
      </c>
      <c r="T38" s="63">
        <v>0.16527777777777777</v>
      </c>
      <c r="U38" s="159"/>
      <c r="V38" s="167">
        <f t="shared" ref="V38:V44" si="29">(T38-S38)*24*60</f>
        <v>118</v>
      </c>
      <c r="W38" s="68">
        <f>T38</f>
        <v>0.16527777777777777</v>
      </c>
      <c r="X38" s="68">
        <f>S39</f>
        <v>0.18402777777777779</v>
      </c>
      <c r="Y38" s="559"/>
      <c r="Z38" s="559"/>
      <c r="AA38" s="61">
        <f t="shared" si="8"/>
        <v>-111.86440677966084</v>
      </c>
      <c r="AB38" s="160">
        <f t="shared" si="9"/>
        <v>0.9533898305084747</v>
      </c>
      <c r="AC38" s="566">
        <f>AB45</f>
        <v>0.95416814643592129</v>
      </c>
    </row>
    <row r="39" spans="1:29" ht="15.75" customHeight="1">
      <c r="A39" s="582" t="s">
        <v>88</v>
      </c>
      <c r="B39" s="57" t="s">
        <v>15</v>
      </c>
      <c r="C39" s="560" t="s">
        <v>27</v>
      </c>
      <c r="D39" s="560"/>
      <c r="E39" s="57">
        <v>26.2</v>
      </c>
      <c r="F39" s="168">
        <v>4500</v>
      </c>
      <c r="G39" s="159">
        <f t="shared" si="27"/>
        <v>117900</v>
      </c>
      <c r="H39" s="172">
        <v>2</v>
      </c>
      <c r="I39" s="166">
        <v>18</v>
      </c>
      <c r="J39" s="58">
        <v>2400</v>
      </c>
      <c r="K39" s="59">
        <f t="shared" si="1"/>
        <v>133.33333333333334</v>
      </c>
      <c r="L39" s="166">
        <v>18</v>
      </c>
      <c r="M39" s="60">
        <f t="shared" si="28"/>
        <v>2288.1355932203396</v>
      </c>
      <c r="N39" s="59">
        <f t="shared" si="3"/>
        <v>127.11864406779665</v>
      </c>
      <c r="O39" s="61">
        <f t="shared" si="4"/>
        <v>0</v>
      </c>
      <c r="P39" s="62">
        <f t="shared" si="5"/>
        <v>-6.2146892655366912</v>
      </c>
      <c r="Q39" s="160">
        <f t="shared" si="6"/>
        <v>0.95338983050847481</v>
      </c>
      <c r="R39" s="566"/>
      <c r="S39" s="63">
        <v>0.18402777777777779</v>
      </c>
      <c r="T39" s="63">
        <v>0.26597222222222222</v>
      </c>
      <c r="U39" s="159">
        <f t="shared" ref="U39:U44" si="30">(S39-T38)*24*60</f>
        <v>27.000000000000025</v>
      </c>
      <c r="V39" s="167">
        <f t="shared" si="29"/>
        <v>117.99999999999999</v>
      </c>
      <c r="W39" s="159"/>
      <c r="X39" s="159"/>
      <c r="Y39" s="559"/>
      <c r="Z39" s="559"/>
      <c r="AA39" s="61">
        <f t="shared" si="8"/>
        <v>-111.86440677966038</v>
      </c>
      <c r="AB39" s="160">
        <f t="shared" si="9"/>
        <v>0.95338983050847481</v>
      </c>
      <c r="AC39" s="566"/>
    </row>
    <row r="40" spans="1:29">
      <c r="A40" s="583" t="s">
        <v>88</v>
      </c>
      <c r="B40" s="57" t="s">
        <v>15</v>
      </c>
      <c r="C40" s="560" t="s">
        <v>25</v>
      </c>
      <c r="D40" s="560"/>
      <c r="E40" s="57">
        <v>26.18</v>
      </c>
      <c r="F40" s="168">
        <v>3186</v>
      </c>
      <c r="G40" s="159">
        <f t="shared" si="27"/>
        <v>83409.48</v>
      </c>
      <c r="H40" s="172" t="s">
        <v>5</v>
      </c>
      <c r="I40" s="166">
        <v>19</v>
      </c>
      <c r="J40" s="58">
        <v>2400</v>
      </c>
      <c r="K40" s="59">
        <f t="shared" si="1"/>
        <v>126.31578947368421</v>
      </c>
      <c r="L40" s="166">
        <v>19</v>
      </c>
      <c r="M40" s="60">
        <f t="shared" si="28"/>
        <v>2303.1325301204811</v>
      </c>
      <c r="N40" s="59">
        <f t="shared" si="3"/>
        <v>121.21750158528847</v>
      </c>
      <c r="O40" s="61">
        <f t="shared" si="4"/>
        <v>0</v>
      </c>
      <c r="P40" s="62">
        <f t="shared" si="5"/>
        <v>-5.0982878883957312</v>
      </c>
      <c r="Q40" s="160">
        <f t="shared" si="6"/>
        <v>0.95963855421686717</v>
      </c>
      <c r="R40" s="566"/>
      <c r="S40" s="63">
        <v>0.27083333333333331</v>
      </c>
      <c r="T40" s="63">
        <v>0.32847222222222222</v>
      </c>
      <c r="U40" s="159">
        <f t="shared" si="30"/>
        <v>6.9999999999999751</v>
      </c>
      <c r="V40" s="167">
        <f t="shared" si="29"/>
        <v>83.000000000000028</v>
      </c>
      <c r="W40" s="159"/>
      <c r="X40" s="159"/>
      <c r="Y40" s="559"/>
      <c r="Z40" s="559"/>
      <c r="AA40" s="61">
        <f t="shared" si="8"/>
        <v>-96.867469879518922</v>
      </c>
      <c r="AB40" s="160">
        <f t="shared" si="9"/>
        <v>0.95963855421686717</v>
      </c>
      <c r="AC40" s="566"/>
    </row>
    <row r="41" spans="1:29">
      <c r="A41" s="583" t="s">
        <v>88</v>
      </c>
      <c r="B41" s="57" t="s">
        <v>15</v>
      </c>
      <c r="C41" s="560" t="s">
        <v>28</v>
      </c>
      <c r="D41" s="560"/>
      <c r="E41" s="57">
        <v>26.39</v>
      </c>
      <c r="F41" s="168">
        <v>7638</v>
      </c>
      <c r="G41" s="159">
        <f t="shared" si="27"/>
        <v>201566.82</v>
      </c>
      <c r="H41" s="172" t="s">
        <v>5</v>
      </c>
      <c r="I41" s="166">
        <v>19</v>
      </c>
      <c r="J41" s="58">
        <v>2400</v>
      </c>
      <c r="K41" s="59">
        <f t="shared" si="1"/>
        <v>126.31578947368421</v>
      </c>
      <c r="L41" s="166">
        <v>19</v>
      </c>
      <c r="M41" s="60">
        <f t="shared" si="28"/>
        <v>2280</v>
      </c>
      <c r="N41" s="59">
        <f t="shared" si="3"/>
        <v>120</v>
      </c>
      <c r="O41" s="61">
        <f t="shared" si="4"/>
        <v>0</v>
      </c>
      <c r="P41" s="62">
        <f t="shared" si="5"/>
        <v>-6.3157894736842053</v>
      </c>
      <c r="Q41" s="160">
        <f t="shared" si="6"/>
        <v>0.95000000000000007</v>
      </c>
      <c r="R41" s="566"/>
      <c r="S41" s="63">
        <v>0.33194444444444443</v>
      </c>
      <c r="T41" s="63">
        <v>0.47152777777777777</v>
      </c>
      <c r="U41" s="159">
        <f t="shared" si="30"/>
        <v>4.9999999999999822</v>
      </c>
      <c r="V41" s="167">
        <f t="shared" si="29"/>
        <v>201</v>
      </c>
      <c r="W41" s="64"/>
      <c r="X41" s="64"/>
      <c r="Y41" s="559"/>
      <c r="Z41" s="559"/>
      <c r="AA41" s="61">
        <f t="shared" si="8"/>
        <v>-120</v>
      </c>
      <c r="AB41" s="160">
        <f t="shared" si="9"/>
        <v>0.95</v>
      </c>
      <c r="AC41" s="566"/>
    </row>
    <row r="42" spans="1:29">
      <c r="A42" s="583" t="s">
        <v>88</v>
      </c>
      <c r="B42" s="57" t="s">
        <v>15</v>
      </c>
      <c r="C42" s="560" t="s">
        <v>100</v>
      </c>
      <c r="D42" s="560"/>
      <c r="E42" s="57">
        <v>28.51</v>
      </c>
      <c r="F42" s="168">
        <v>2522</v>
      </c>
      <c r="G42" s="159">
        <f t="shared" si="27"/>
        <v>71902.22</v>
      </c>
      <c r="H42" s="172" t="s">
        <v>5</v>
      </c>
      <c r="I42" s="166">
        <v>16</v>
      </c>
      <c r="J42" s="58">
        <v>2400</v>
      </c>
      <c r="K42" s="59">
        <f t="shared" si="1"/>
        <v>150</v>
      </c>
      <c r="L42" s="166">
        <v>16</v>
      </c>
      <c r="M42" s="60">
        <f t="shared" si="28"/>
        <v>2292.7272727272698</v>
      </c>
      <c r="N42" s="59">
        <f t="shared" si="3"/>
        <v>143.29545454545436</v>
      </c>
      <c r="O42" s="61">
        <f t="shared" si="4"/>
        <v>0</v>
      </c>
      <c r="P42" s="62">
        <f t="shared" si="5"/>
        <v>-6.704545454545638</v>
      </c>
      <c r="Q42" s="160">
        <f t="shared" si="6"/>
        <v>0.9553030303030291</v>
      </c>
      <c r="R42" s="566"/>
      <c r="S42" s="63">
        <v>0.47569444444444442</v>
      </c>
      <c r="T42" s="63">
        <v>0.52152777777777781</v>
      </c>
      <c r="U42" s="159">
        <f t="shared" si="30"/>
        <v>5.9999999999999787</v>
      </c>
      <c r="V42" s="167">
        <f t="shared" si="29"/>
        <v>66.000000000000085</v>
      </c>
      <c r="W42" s="64">
        <f>T42</f>
        <v>0.52152777777777781</v>
      </c>
      <c r="X42" s="64">
        <f>S43</f>
        <v>0.56111111111111112</v>
      </c>
      <c r="Y42" s="559"/>
      <c r="Z42" s="559"/>
      <c r="AA42" s="61">
        <f t="shared" si="8"/>
        <v>-107.27272727273021</v>
      </c>
      <c r="AB42" s="160">
        <f t="shared" si="9"/>
        <v>0.9553030303030291</v>
      </c>
      <c r="AC42" s="566"/>
    </row>
    <row r="43" spans="1:29">
      <c r="A43" s="583" t="s">
        <v>88</v>
      </c>
      <c r="B43" s="57" t="s">
        <v>15</v>
      </c>
      <c r="C43" s="560" t="s">
        <v>44</v>
      </c>
      <c r="D43" s="560"/>
      <c r="E43" s="57">
        <v>19.02</v>
      </c>
      <c r="F43" s="168">
        <v>7133</v>
      </c>
      <c r="G43" s="159">
        <f t="shared" si="27"/>
        <v>135669.66</v>
      </c>
      <c r="H43" s="172" t="s">
        <v>5</v>
      </c>
      <c r="I43" s="166">
        <v>15</v>
      </c>
      <c r="J43" s="58">
        <v>2400</v>
      </c>
      <c r="K43" s="59">
        <f t="shared" si="1"/>
        <v>160</v>
      </c>
      <c r="L43" s="166">
        <v>15</v>
      </c>
      <c r="M43" s="60">
        <f t="shared" si="28"/>
        <v>2288.6631016042784</v>
      </c>
      <c r="N43" s="59">
        <f t="shared" si="3"/>
        <v>152.57754010695189</v>
      </c>
      <c r="O43" s="61">
        <f t="shared" si="4"/>
        <v>0</v>
      </c>
      <c r="P43" s="62">
        <f t="shared" si="5"/>
        <v>-7.4224598930481136</v>
      </c>
      <c r="Q43" s="160">
        <f t="shared" si="6"/>
        <v>0.95360962566844931</v>
      </c>
      <c r="R43" s="566"/>
      <c r="S43" s="63">
        <v>0.56111111111111112</v>
      </c>
      <c r="T43" s="63">
        <v>0.69097222222222221</v>
      </c>
      <c r="U43" s="159">
        <f t="shared" si="30"/>
        <v>56.999999999999957</v>
      </c>
      <c r="V43" s="167">
        <f t="shared" si="29"/>
        <v>186.99999999999997</v>
      </c>
      <c r="W43" s="64"/>
      <c r="X43" s="64"/>
      <c r="Y43" s="559"/>
      <c r="Z43" s="559"/>
      <c r="AA43" s="61">
        <f t="shared" si="8"/>
        <v>-111.33689839572162</v>
      </c>
      <c r="AB43" s="160">
        <f t="shared" si="9"/>
        <v>0.95360962566844931</v>
      </c>
      <c r="AC43" s="566"/>
    </row>
    <row r="44" spans="1:29">
      <c r="A44" s="583" t="s">
        <v>88</v>
      </c>
      <c r="B44" s="57" t="s">
        <v>15</v>
      </c>
      <c r="C44" s="560" t="s">
        <v>27</v>
      </c>
      <c r="D44" s="560"/>
      <c r="E44" s="57">
        <v>26.2</v>
      </c>
      <c r="F44" s="168">
        <v>3472</v>
      </c>
      <c r="G44" s="159">
        <f t="shared" si="27"/>
        <v>90966.399999999994</v>
      </c>
      <c r="H44" s="172" t="s">
        <v>5</v>
      </c>
      <c r="I44" s="166">
        <v>18</v>
      </c>
      <c r="J44" s="58">
        <v>2400</v>
      </c>
      <c r="K44" s="59">
        <f t="shared" si="1"/>
        <v>133.33333333333334</v>
      </c>
      <c r="L44" s="166">
        <v>18</v>
      </c>
      <c r="M44" s="60">
        <f t="shared" si="28"/>
        <v>2289.2307692307691</v>
      </c>
      <c r="N44" s="59">
        <f t="shared" si="3"/>
        <v>127.17948717948717</v>
      </c>
      <c r="O44" s="61">
        <f t="shared" si="4"/>
        <v>0</v>
      </c>
      <c r="P44" s="62">
        <f t="shared" si="5"/>
        <v>-6.1538461538461746</v>
      </c>
      <c r="Q44" s="160">
        <f t="shared" si="6"/>
        <v>0.95384615384615368</v>
      </c>
      <c r="R44" s="566"/>
      <c r="S44" s="63">
        <v>0.69444444444444442</v>
      </c>
      <c r="T44" s="63">
        <v>0.75763888888888886</v>
      </c>
      <c r="U44" s="159">
        <f t="shared" si="30"/>
        <v>4.9999999999999822</v>
      </c>
      <c r="V44" s="167">
        <f t="shared" si="29"/>
        <v>91</v>
      </c>
      <c r="W44" s="64"/>
      <c r="X44" s="64"/>
      <c r="Y44" s="569"/>
      <c r="Z44" s="570"/>
      <c r="AA44" s="61">
        <f t="shared" si="8"/>
        <v>-110.76923076923094</v>
      </c>
      <c r="AB44" s="160">
        <f t="shared" si="9"/>
        <v>0.95384615384615379</v>
      </c>
      <c r="AC44" s="566"/>
    </row>
    <row r="45" spans="1:29">
      <c r="A45" s="583" t="s">
        <v>88</v>
      </c>
      <c r="B45" s="66" t="s">
        <v>67</v>
      </c>
      <c r="C45" s="571"/>
      <c r="D45" s="571"/>
      <c r="E45" s="161"/>
      <c r="F45" s="66"/>
      <c r="G45" s="59"/>
      <c r="H45" s="168"/>
      <c r="I45" s="67">
        <v>17.142857142857142</v>
      </c>
      <c r="J45" s="58">
        <v>2400</v>
      </c>
      <c r="K45" s="59">
        <f t="shared" si="1"/>
        <v>140</v>
      </c>
      <c r="L45" s="67">
        <v>17.142857142857142</v>
      </c>
      <c r="M45" s="60">
        <f>AVERAGE(M38:M44)</f>
        <v>2290.0035514462111</v>
      </c>
      <c r="N45" s="59">
        <f t="shared" si="3"/>
        <v>133.58354050102898</v>
      </c>
      <c r="O45" s="61">
        <f t="shared" si="4"/>
        <v>0</v>
      </c>
      <c r="P45" s="62">
        <f t="shared" si="5"/>
        <v>-6.4164594989710224</v>
      </c>
      <c r="Q45" s="160">
        <f t="shared" si="6"/>
        <v>0.95416814643592129</v>
      </c>
      <c r="R45" s="566"/>
      <c r="S45" s="63"/>
      <c r="T45" s="63"/>
      <c r="U45" s="59"/>
      <c r="V45" s="167"/>
      <c r="W45" s="59"/>
      <c r="X45" s="59"/>
      <c r="Y45" s="559"/>
      <c r="Z45" s="559"/>
      <c r="AA45" s="61">
        <f t="shared" si="8"/>
        <v>-109.99644855378892</v>
      </c>
      <c r="AB45" s="160">
        <f t="shared" si="9"/>
        <v>0.95416814643592129</v>
      </c>
      <c r="AC45" s="566"/>
    </row>
    <row r="46" spans="1:29" ht="15.75" customHeight="1">
      <c r="A46" s="576" t="s">
        <v>89</v>
      </c>
      <c r="B46" s="57" t="s">
        <v>31</v>
      </c>
      <c r="C46" s="567" t="s">
        <v>32</v>
      </c>
      <c r="D46" s="568"/>
      <c r="E46" s="57">
        <v>21.13</v>
      </c>
      <c r="F46" s="168">
        <v>6381</v>
      </c>
      <c r="G46" s="159">
        <f t="shared" ref="G46:G53" si="31">E46*F46</f>
        <v>134830.53</v>
      </c>
      <c r="H46" s="172" t="s">
        <v>5</v>
      </c>
      <c r="I46" s="166">
        <v>10</v>
      </c>
      <c r="J46" s="58">
        <v>3000</v>
      </c>
      <c r="K46" s="59">
        <f t="shared" si="1"/>
        <v>300</v>
      </c>
      <c r="L46" s="166">
        <v>10</v>
      </c>
      <c r="M46" s="60">
        <f t="shared" ref="M46:M53" si="32">F46/V46*60</f>
        <v>2857.1641791044781</v>
      </c>
      <c r="N46" s="60">
        <f t="shared" si="3"/>
        <v>285.71641791044783</v>
      </c>
      <c r="O46" s="61">
        <f t="shared" si="4"/>
        <v>0</v>
      </c>
      <c r="P46" s="62">
        <f t="shared" si="5"/>
        <v>-14.283582089552169</v>
      </c>
      <c r="Q46" s="160">
        <f t="shared" si="6"/>
        <v>0.95238805970149276</v>
      </c>
      <c r="R46" s="579">
        <f>Q54</f>
        <v>0.95694500150522122</v>
      </c>
      <c r="S46" s="63">
        <v>8.3333333333333329E-2</v>
      </c>
      <c r="T46" s="63">
        <v>0.17638888888888887</v>
      </c>
      <c r="U46" s="68"/>
      <c r="V46" s="167">
        <f t="shared" ref="V46:V53" si="33">(T46-S46)*24*60</f>
        <v>133.99999999999997</v>
      </c>
      <c r="W46" s="64">
        <f>T46</f>
        <v>0.17638888888888887</v>
      </c>
      <c r="X46" s="64">
        <f>S47</f>
        <v>0.19652777777777777</v>
      </c>
      <c r="Y46" s="569"/>
      <c r="Z46" s="570"/>
      <c r="AA46" s="61">
        <f t="shared" si="8"/>
        <v>-142.83582089552192</v>
      </c>
      <c r="AB46" s="160">
        <f t="shared" si="9"/>
        <v>0.95238805970149265</v>
      </c>
      <c r="AC46" s="579">
        <f>AB54</f>
        <v>0.95694500150522133</v>
      </c>
    </row>
    <row r="47" spans="1:29" ht="15.75" customHeight="1">
      <c r="A47" s="577" t="s">
        <v>89</v>
      </c>
      <c r="B47" s="57" t="s">
        <v>31</v>
      </c>
      <c r="C47" s="567" t="s">
        <v>33</v>
      </c>
      <c r="D47" s="568"/>
      <c r="E47" s="57">
        <v>27.17</v>
      </c>
      <c r="F47" s="168">
        <v>3500</v>
      </c>
      <c r="G47" s="159">
        <f t="shared" si="31"/>
        <v>95095</v>
      </c>
      <c r="H47" s="172">
        <v>2</v>
      </c>
      <c r="I47" s="166">
        <v>10</v>
      </c>
      <c r="J47" s="58">
        <v>3000</v>
      </c>
      <c r="K47" s="59">
        <f t="shared" si="1"/>
        <v>300</v>
      </c>
      <c r="L47" s="166">
        <v>10</v>
      </c>
      <c r="M47" s="60">
        <f t="shared" si="32"/>
        <v>2876.7123287671238</v>
      </c>
      <c r="N47" s="60">
        <f t="shared" si="3"/>
        <v>287.67123287671239</v>
      </c>
      <c r="O47" s="61">
        <f t="shared" si="4"/>
        <v>0</v>
      </c>
      <c r="P47" s="62">
        <f t="shared" si="5"/>
        <v>-12.328767123287605</v>
      </c>
      <c r="Q47" s="160">
        <f t="shared" si="6"/>
        <v>0.95890410958904126</v>
      </c>
      <c r="R47" s="580"/>
      <c r="S47" s="63">
        <v>0.19652777777777777</v>
      </c>
      <c r="T47" s="63">
        <v>0.2472222222222222</v>
      </c>
      <c r="U47" s="159">
        <f t="shared" ref="U47:U53" si="34">(S47-T46)*24*60</f>
        <v>29.000000000000018</v>
      </c>
      <c r="V47" s="167">
        <f t="shared" si="33"/>
        <v>72.999999999999986</v>
      </c>
      <c r="W47" s="64"/>
      <c r="X47" s="64"/>
      <c r="Y47" s="569"/>
      <c r="Z47" s="570"/>
      <c r="AA47" s="61">
        <f t="shared" si="8"/>
        <v>-123.28767123287616</v>
      </c>
      <c r="AB47" s="160">
        <f t="shared" si="9"/>
        <v>0.95890410958904126</v>
      </c>
      <c r="AC47" s="580"/>
    </row>
    <row r="48" spans="1:29" ht="15.75" customHeight="1">
      <c r="A48" s="577" t="s">
        <v>591</v>
      </c>
      <c r="B48" s="57" t="s">
        <v>31</v>
      </c>
      <c r="C48" s="567" t="s">
        <v>34</v>
      </c>
      <c r="D48" s="568"/>
      <c r="E48" s="57">
        <v>35.119999999999997</v>
      </c>
      <c r="F48" s="168">
        <v>5080</v>
      </c>
      <c r="G48" s="159">
        <f t="shared" si="31"/>
        <v>178409.59999999998</v>
      </c>
      <c r="H48" s="172" t="s">
        <v>5</v>
      </c>
      <c r="I48" s="166">
        <v>10</v>
      </c>
      <c r="J48" s="58">
        <v>3000</v>
      </c>
      <c r="K48" s="59">
        <f t="shared" si="1"/>
        <v>300</v>
      </c>
      <c r="L48" s="166">
        <v>10</v>
      </c>
      <c r="M48" s="60">
        <f t="shared" si="32"/>
        <v>2875.4716981132069</v>
      </c>
      <c r="N48" s="60">
        <f t="shared" si="3"/>
        <v>287.54716981132071</v>
      </c>
      <c r="O48" s="61">
        <f t="shared" si="4"/>
        <v>0</v>
      </c>
      <c r="P48" s="62">
        <f t="shared" si="5"/>
        <v>-12.452830188679286</v>
      </c>
      <c r="Q48" s="160">
        <f t="shared" si="6"/>
        <v>0.95849056603773575</v>
      </c>
      <c r="R48" s="580"/>
      <c r="S48" s="63">
        <v>0.25138888888888888</v>
      </c>
      <c r="T48" s="63">
        <v>0.32500000000000001</v>
      </c>
      <c r="U48" s="159">
        <f t="shared" si="34"/>
        <v>6.0000000000000187</v>
      </c>
      <c r="V48" s="167">
        <f t="shared" si="33"/>
        <v>106.00000000000003</v>
      </c>
      <c r="W48" s="64"/>
      <c r="X48" s="64"/>
      <c r="Y48" s="569"/>
      <c r="Z48" s="570"/>
      <c r="AA48" s="61">
        <f t="shared" si="8"/>
        <v>-124.52830188679309</v>
      </c>
      <c r="AB48" s="160">
        <f t="shared" si="9"/>
        <v>0.95849056603773564</v>
      </c>
      <c r="AC48" s="580"/>
    </row>
    <row r="49" spans="1:29" ht="15.75" customHeight="1">
      <c r="A49" s="577" t="s">
        <v>89</v>
      </c>
      <c r="B49" s="57" t="s">
        <v>31</v>
      </c>
      <c r="C49" s="567" t="s">
        <v>35</v>
      </c>
      <c r="D49" s="568"/>
      <c r="E49" s="57">
        <v>35.869999999999997</v>
      </c>
      <c r="F49" s="168">
        <v>3171</v>
      </c>
      <c r="G49" s="159">
        <f t="shared" si="31"/>
        <v>113743.76999999999</v>
      </c>
      <c r="H49" s="172" t="s">
        <v>5</v>
      </c>
      <c r="I49" s="166">
        <v>9</v>
      </c>
      <c r="J49" s="58">
        <v>3000</v>
      </c>
      <c r="K49" s="59">
        <f t="shared" si="1"/>
        <v>333.33333333333331</v>
      </c>
      <c r="L49" s="166">
        <v>9</v>
      </c>
      <c r="M49" s="60">
        <f t="shared" si="32"/>
        <v>2882.727272727273</v>
      </c>
      <c r="N49" s="60">
        <f t="shared" si="3"/>
        <v>320.30303030303031</v>
      </c>
      <c r="O49" s="61">
        <f t="shared" si="4"/>
        <v>0</v>
      </c>
      <c r="P49" s="62">
        <f t="shared" si="5"/>
        <v>-13.030303030303003</v>
      </c>
      <c r="Q49" s="160">
        <f t="shared" si="6"/>
        <v>0.96090909090909093</v>
      </c>
      <c r="R49" s="580"/>
      <c r="S49" s="63">
        <v>0.32847222222222222</v>
      </c>
      <c r="T49" s="63">
        <v>0.37430555555555556</v>
      </c>
      <c r="U49" s="159">
        <f t="shared" si="34"/>
        <v>4.9999999999999822</v>
      </c>
      <c r="V49" s="167">
        <f t="shared" si="33"/>
        <v>66</v>
      </c>
      <c r="W49" s="64"/>
      <c r="X49" s="64"/>
      <c r="Y49" s="569"/>
      <c r="Z49" s="570"/>
      <c r="AA49" s="61">
        <f t="shared" si="8"/>
        <v>-117.27272727272702</v>
      </c>
      <c r="AB49" s="160">
        <f t="shared" si="9"/>
        <v>0.96090909090909105</v>
      </c>
      <c r="AC49" s="580"/>
    </row>
    <row r="50" spans="1:29" ht="15.75" customHeight="1">
      <c r="A50" s="577" t="s">
        <v>89</v>
      </c>
      <c r="B50" s="57" t="s">
        <v>31</v>
      </c>
      <c r="C50" s="567" t="s">
        <v>36</v>
      </c>
      <c r="D50" s="568"/>
      <c r="E50" s="57">
        <v>36.14</v>
      </c>
      <c r="F50" s="168">
        <v>1194</v>
      </c>
      <c r="G50" s="159">
        <f t="shared" si="31"/>
        <v>43151.16</v>
      </c>
      <c r="H50" s="172" t="s">
        <v>5</v>
      </c>
      <c r="I50" s="166">
        <v>9</v>
      </c>
      <c r="J50" s="58">
        <v>3000</v>
      </c>
      <c r="K50" s="59">
        <f t="shared" si="1"/>
        <v>333.33333333333331</v>
      </c>
      <c r="L50" s="166">
        <v>9</v>
      </c>
      <c r="M50" s="60">
        <f t="shared" si="32"/>
        <v>2865.6000000000008</v>
      </c>
      <c r="N50" s="60">
        <f t="shared" si="3"/>
        <v>318.40000000000009</v>
      </c>
      <c r="O50" s="61">
        <f t="shared" si="4"/>
        <v>0</v>
      </c>
      <c r="P50" s="62">
        <f t="shared" si="5"/>
        <v>-14.933333333333223</v>
      </c>
      <c r="Q50" s="160">
        <f t="shared" si="6"/>
        <v>0.95520000000000038</v>
      </c>
      <c r="R50" s="580"/>
      <c r="S50" s="63">
        <v>0.37916666666666665</v>
      </c>
      <c r="T50" s="63">
        <v>0.39652777777777776</v>
      </c>
      <c r="U50" s="159">
        <f t="shared" si="34"/>
        <v>6.9999999999999751</v>
      </c>
      <c r="V50" s="167">
        <f t="shared" si="33"/>
        <v>24.999999999999993</v>
      </c>
      <c r="W50" s="64"/>
      <c r="X50" s="64"/>
      <c r="Y50" s="569"/>
      <c r="Z50" s="570"/>
      <c r="AA50" s="61">
        <f t="shared" si="8"/>
        <v>-134.39999999999918</v>
      </c>
      <c r="AB50" s="160">
        <f t="shared" si="9"/>
        <v>0.95520000000000027</v>
      </c>
      <c r="AC50" s="580"/>
    </row>
    <row r="51" spans="1:29" ht="15.75" customHeight="1">
      <c r="A51" s="577" t="s">
        <v>89</v>
      </c>
      <c r="B51" s="57" t="s">
        <v>31</v>
      </c>
      <c r="C51" s="567" t="s">
        <v>63</v>
      </c>
      <c r="D51" s="568"/>
      <c r="E51" s="57">
        <v>34.36</v>
      </c>
      <c r="F51" s="168">
        <v>2403</v>
      </c>
      <c r="G51" s="159">
        <f t="shared" si="31"/>
        <v>82567.08</v>
      </c>
      <c r="H51" s="172" t="s">
        <v>5</v>
      </c>
      <c r="I51" s="166">
        <v>10</v>
      </c>
      <c r="J51" s="58">
        <v>3000</v>
      </c>
      <c r="K51" s="59">
        <f t="shared" si="1"/>
        <v>300</v>
      </c>
      <c r="L51" s="166">
        <v>10</v>
      </c>
      <c r="M51" s="60">
        <f t="shared" si="32"/>
        <v>2883.6000000000008</v>
      </c>
      <c r="N51" s="60">
        <f t="shared" si="3"/>
        <v>288.36000000000007</v>
      </c>
      <c r="O51" s="61">
        <f t="shared" si="4"/>
        <v>0</v>
      </c>
      <c r="P51" s="62">
        <f t="shared" si="5"/>
        <v>-11.63999999999993</v>
      </c>
      <c r="Q51" s="160">
        <f t="shared" si="6"/>
        <v>0.96120000000000028</v>
      </c>
      <c r="R51" s="580"/>
      <c r="S51" s="63">
        <v>0.40208333333333329</v>
      </c>
      <c r="T51" s="63">
        <v>0.4368055555555555</v>
      </c>
      <c r="U51" s="159">
        <f t="shared" si="34"/>
        <v>7.9999999999999716</v>
      </c>
      <c r="V51" s="167">
        <f t="shared" si="33"/>
        <v>49.999999999999986</v>
      </c>
      <c r="W51" s="64"/>
      <c r="X51" s="64"/>
      <c r="Y51" s="569"/>
      <c r="Z51" s="570"/>
      <c r="AA51" s="61">
        <f t="shared" si="8"/>
        <v>-116.39999999999918</v>
      </c>
      <c r="AB51" s="160">
        <f t="shared" si="9"/>
        <v>0.96120000000000028</v>
      </c>
      <c r="AC51" s="580"/>
    </row>
    <row r="52" spans="1:29" ht="15.75" customHeight="1">
      <c r="A52" s="577" t="s">
        <v>89</v>
      </c>
      <c r="B52" s="57" t="s">
        <v>31</v>
      </c>
      <c r="C52" s="567" t="s">
        <v>71</v>
      </c>
      <c r="D52" s="568"/>
      <c r="E52" s="57">
        <v>31</v>
      </c>
      <c r="F52" s="168">
        <v>3313</v>
      </c>
      <c r="G52" s="159">
        <f t="shared" si="31"/>
        <v>102703</v>
      </c>
      <c r="H52" s="172" t="s">
        <v>5</v>
      </c>
      <c r="I52" s="166">
        <v>13</v>
      </c>
      <c r="J52" s="58">
        <v>2000</v>
      </c>
      <c r="K52" s="59">
        <f t="shared" si="1"/>
        <v>153.84615384615384</v>
      </c>
      <c r="L52" s="166">
        <v>13</v>
      </c>
      <c r="M52" s="60">
        <f t="shared" si="32"/>
        <v>1911.3461538461534</v>
      </c>
      <c r="N52" s="60">
        <f t="shared" si="3"/>
        <v>147.02662721893486</v>
      </c>
      <c r="O52" s="61">
        <f t="shared" si="4"/>
        <v>0</v>
      </c>
      <c r="P52" s="62">
        <f t="shared" si="5"/>
        <v>-6.819526627218977</v>
      </c>
      <c r="Q52" s="160">
        <f t="shared" si="6"/>
        <v>0.95567307692307668</v>
      </c>
      <c r="R52" s="580"/>
      <c r="S52" s="63">
        <v>0.44236111111111104</v>
      </c>
      <c r="T52" s="63">
        <v>0.51458333333333328</v>
      </c>
      <c r="U52" s="159">
        <f t="shared" si="34"/>
        <v>7.9999999999999716</v>
      </c>
      <c r="V52" s="167">
        <f t="shared" si="33"/>
        <v>104.00000000000003</v>
      </c>
      <c r="W52" s="64">
        <f>T52</f>
        <v>0.51458333333333328</v>
      </c>
      <c r="X52" s="64">
        <f>S53</f>
        <v>0.55694444444444435</v>
      </c>
      <c r="Y52" s="569"/>
      <c r="Z52" s="570"/>
      <c r="AA52" s="61">
        <f t="shared" si="8"/>
        <v>-88.653846153846644</v>
      </c>
      <c r="AB52" s="160">
        <f t="shared" si="9"/>
        <v>0.95567307692307668</v>
      </c>
      <c r="AC52" s="580"/>
    </row>
    <row r="53" spans="1:29" ht="15.75" customHeight="1">
      <c r="A53" s="577" t="s">
        <v>89</v>
      </c>
      <c r="B53" s="57" t="s">
        <v>31</v>
      </c>
      <c r="C53" s="567" t="s">
        <v>33</v>
      </c>
      <c r="D53" s="568"/>
      <c r="E53" s="57">
        <v>27.17</v>
      </c>
      <c r="F53" s="168">
        <v>4619</v>
      </c>
      <c r="G53" s="159">
        <f t="shared" si="31"/>
        <v>125498.23000000001</v>
      </c>
      <c r="H53" s="172" t="s">
        <v>5</v>
      </c>
      <c r="I53" s="166">
        <v>10</v>
      </c>
      <c r="J53" s="58">
        <v>3000</v>
      </c>
      <c r="K53" s="59">
        <f t="shared" si="1"/>
        <v>300</v>
      </c>
      <c r="L53" s="166">
        <v>10</v>
      </c>
      <c r="M53" s="60">
        <f t="shared" si="32"/>
        <v>2857.1134020618565</v>
      </c>
      <c r="N53" s="60">
        <f t="shared" si="3"/>
        <v>285.71134020618564</v>
      </c>
      <c r="O53" s="61">
        <f t="shared" si="4"/>
        <v>0</v>
      </c>
      <c r="P53" s="62">
        <f t="shared" si="5"/>
        <v>-14.288659793814361</v>
      </c>
      <c r="Q53" s="160">
        <f t="shared" si="6"/>
        <v>0.95237113402061879</v>
      </c>
      <c r="R53" s="580"/>
      <c r="S53" s="63">
        <v>0.55694444444444435</v>
      </c>
      <c r="T53" s="63">
        <v>0.62430555555555545</v>
      </c>
      <c r="U53" s="159">
        <f t="shared" si="34"/>
        <v>60.999999999999943</v>
      </c>
      <c r="V53" s="167">
        <f t="shared" si="33"/>
        <v>96.999999999999972</v>
      </c>
      <c r="W53" s="64"/>
      <c r="X53" s="64"/>
      <c r="Y53" s="569"/>
      <c r="Z53" s="570"/>
      <c r="AA53" s="61">
        <f t="shared" si="8"/>
        <v>-142.8865979381435</v>
      </c>
      <c r="AB53" s="160">
        <f t="shared" si="9"/>
        <v>0.95237113402061879</v>
      </c>
      <c r="AC53" s="580"/>
    </row>
    <row r="54" spans="1:29" ht="15.75" customHeight="1">
      <c r="A54" s="578" t="s">
        <v>89</v>
      </c>
      <c r="B54" s="57" t="s">
        <v>67</v>
      </c>
      <c r="C54" s="561"/>
      <c r="D54" s="562"/>
      <c r="E54" s="158"/>
      <c r="F54" s="168"/>
      <c r="G54" s="159"/>
      <c r="H54" s="168"/>
      <c r="I54" s="67">
        <v>10.125</v>
      </c>
      <c r="J54" s="58">
        <v>2875</v>
      </c>
      <c r="K54" s="59">
        <f t="shared" si="1"/>
        <v>283.95061728395063</v>
      </c>
      <c r="L54" s="67">
        <v>10.125</v>
      </c>
      <c r="M54" s="60">
        <f>AVERAGE(M46:M53)</f>
        <v>2751.2168793275114</v>
      </c>
      <c r="N54" s="59">
        <f t="shared" si="3"/>
        <v>271.72512388419864</v>
      </c>
      <c r="O54" s="61">
        <f t="shared" si="4"/>
        <v>0</v>
      </c>
      <c r="P54" s="62">
        <f t="shared" si="5"/>
        <v>-12.225493399751997</v>
      </c>
      <c r="Q54" s="160">
        <f t="shared" si="6"/>
        <v>0.95694500150522122</v>
      </c>
      <c r="R54" s="581"/>
      <c r="S54" s="63"/>
      <c r="T54" s="63"/>
      <c r="U54" s="159"/>
      <c r="V54" s="167"/>
      <c r="W54" s="64"/>
      <c r="X54" s="64"/>
      <c r="Y54" s="569"/>
      <c r="Z54" s="570"/>
      <c r="AA54" s="61">
        <f t="shared" si="8"/>
        <v>-123.78312067248862</v>
      </c>
      <c r="AB54" s="160">
        <f t="shared" si="9"/>
        <v>0.95694500150522133</v>
      </c>
      <c r="AC54" s="581"/>
    </row>
    <row r="55" spans="1:29" ht="15.75" customHeight="1">
      <c r="A55" s="574" t="s">
        <v>117</v>
      </c>
      <c r="B55" s="57" t="s">
        <v>10</v>
      </c>
      <c r="C55" s="560" t="s">
        <v>37</v>
      </c>
      <c r="D55" s="560"/>
      <c r="E55" s="57">
        <v>46</v>
      </c>
      <c r="F55" s="69">
        <v>2366</v>
      </c>
      <c r="G55" s="159">
        <f t="shared" ref="G55:G60" si="35">E55*F55</f>
        <v>108836</v>
      </c>
      <c r="H55" s="172" t="s">
        <v>5</v>
      </c>
      <c r="I55" s="166">
        <v>17</v>
      </c>
      <c r="J55" s="58">
        <v>2000</v>
      </c>
      <c r="K55" s="59">
        <f t="shared" si="1"/>
        <v>117.64705882352941</v>
      </c>
      <c r="L55" s="166">
        <v>17</v>
      </c>
      <c r="M55" s="60">
        <f t="shared" ref="M55:M60" si="36">F55/V55*60</f>
        <v>1918.3783783783781</v>
      </c>
      <c r="N55" s="60">
        <f t="shared" si="3"/>
        <v>112.84578696343401</v>
      </c>
      <c r="O55" s="61">
        <f t="shared" si="4"/>
        <v>0</v>
      </c>
      <c r="P55" s="62">
        <f t="shared" si="5"/>
        <v>-4.8012718600953974</v>
      </c>
      <c r="Q55" s="160">
        <f t="shared" si="6"/>
        <v>0.95918918918918916</v>
      </c>
      <c r="R55" s="566">
        <f>Q61</f>
        <v>0.95719330652359458</v>
      </c>
      <c r="S55" s="63">
        <v>0.20833333333333334</v>
      </c>
      <c r="T55" s="63">
        <v>0.25972222222222224</v>
      </c>
      <c r="U55" s="68"/>
      <c r="V55" s="167">
        <f t="shared" ref="V55:V60" si="37">(T55-S55)*24*60</f>
        <v>74.000000000000014</v>
      </c>
      <c r="W55" s="68"/>
      <c r="X55" s="68"/>
      <c r="Y55" s="559"/>
      <c r="Z55" s="559"/>
      <c r="AA55" s="61">
        <f t="shared" si="8"/>
        <v>-81.621621621621898</v>
      </c>
      <c r="AB55" s="160">
        <f t="shared" si="9"/>
        <v>0.95918918918918905</v>
      </c>
      <c r="AC55" s="566">
        <f>AB61</f>
        <v>0.95719330652359458</v>
      </c>
    </row>
    <row r="56" spans="1:29" ht="15.75" customHeight="1">
      <c r="A56" s="574" t="s">
        <v>117</v>
      </c>
      <c r="B56" s="57" t="s">
        <v>10</v>
      </c>
      <c r="C56" s="560" t="s">
        <v>38</v>
      </c>
      <c r="D56" s="560"/>
      <c r="E56" s="57">
        <v>46</v>
      </c>
      <c r="F56" s="69">
        <v>2429</v>
      </c>
      <c r="G56" s="159">
        <f t="shared" si="35"/>
        <v>111734</v>
      </c>
      <c r="H56" s="172" t="s">
        <v>5</v>
      </c>
      <c r="I56" s="166">
        <v>17</v>
      </c>
      <c r="J56" s="58">
        <v>2000</v>
      </c>
      <c r="K56" s="59">
        <f t="shared" si="1"/>
        <v>117.64705882352941</v>
      </c>
      <c r="L56" s="166">
        <v>17</v>
      </c>
      <c r="M56" s="60">
        <f t="shared" si="36"/>
        <v>1917.6315789473692</v>
      </c>
      <c r="N56" s="60">
        <f t="shared" si="3"/>
        <v>112.80185758513937</v>
      </c>
      <c r="O56" s="61">
        <f t="shared" si="4"/>
        <v>0</v>
      </c>
      <c r="P56" s="62">
        <f t="shared" si="5"/>
        <v>-4.8452012383900325</v>
      </c>
      <c r="Q56" s="160">
        <f t="shared" si="6"/>
        <v>0.95881578947368473</v>
      </c>
      <c r="R56" s="566"/>
      <c r="S56" s="63">
        <v>0.2638888888888889</v>
      </c>
      <c r="T56" s="63">
        <v>0.31666666666666665</v>
      </c>
      <c r="U56" s="159">
        <f t="shared" ref="U56:U60" si="38">IF(S56=TIME(17,0,0),"",(S56-T55)*24*60)</f>
        <v>5.9999999999999787</v>
      </c>
      <c r="V56" s="167">
        <f t="shared" si="37"/>
        <v>75.999999999999972</v>
      </c>
      <c r="W56" s="64"/>
      <c r="X56" s="64"/>
      <c r="Y56" s="559"/>
      <c r="Z56" s="559"/>
      <c r="AA56" s="61">
        <f t="shared" si="8"/>
        <v>-82.368421052630765</v>
      </c>
      <c r="AB56" s="160">
        <f t="shared" si="9"/>
        <v>0.95881578947368462</v>
      </c>
      <c r="AC56" s="566"/>
    </row>
    <row r="57" spans="1:29" ht="15.75" customHeight="1">
      <c r="A57" s="574" t="s">
        <v>117</v>
      </c>
      <c r="B57" s="57" t="s">
        <v>6</v>
      </c>
      <c r="C57" s="567" t="s">
        <v>39</v>
      </c>
      <c r="D57" s="568"/>
      <c r="E57" s="57">
        <v>55.56</v>
      </c>
      <c r="F57" s="69">
        <v>2522</v>
      </c>
      <c r="G57" s="159">
        <f t="shared" si="35"/>
        <v>140122.32</v>
      </c>
      <c r="H57" s="172" t="s">
        <v>5</v>
      </c>
      <c r="I57" s="166">
        <v>17</v>
      </c>
      <c r="J57" s="58">
        <v>2000</v>
      </c>
      <c r="K57" s="59">
        <f t="shared" si="1"/>
        <v>117.64705882352941</v>
      </c>
      <c r="L57" s="166">
        <v>17</v>
      </c>
      <c r="M57" s="60">
        <f t="shared" si="36"/>
        <v>1915.4430379746825</v>
      </c>
      <c r="N57" s="60">
        <f t="shared" si="3"/>
        <v>112.67311988086368</v>
      </c>
      <c r="O57" s="61">
        <f t="shared" si="4"/>
        <v>0</v>
      </c>
      <c r="P57" s="62">
        <f t="shared" si="5"/>
        <v>-4.9739389426657254</v>
      </c>
      <c r="Q57" s="160">
        <f t="shared" si="6"/>
        <v>0.95772151898734137</v>
      </c>
      <c r="R57" s="566"/>
      <c r="S57" s="63">
        <v>0.70833333333333337</v>
      </c>
      <c r="T57" s="63">
        <v>0.76319444444444451</v>
      </c>
      <c r="U57" s="159" t="str">
        <f t="shared" si="38"/>
        <v/>
      </c>
      <c r="V57" s="167">
        <f t="shared" si="37"/>
        <v>79.000000000000043</v>
      </c>
      <c r="W57" s="64"/>
      <c r="X57" s="64"/>
      <c r="Y57" s="162"/>
      <c r="Z57" s="163"/>
      <c r="AA57" s="61">
        <f t="shared" si="8"/>
        <v>-84.556962025317489</v>
      </c>
      <c r="AB57" s="160">
        <f t="shared" si="9"/>
        <v>0.95772151898734126</v>
      </c>
      <c r="AC57" s="566"/>
    </row>
    <row r="58" spans="1:29" ht="15.75" customHeight="1">
      <c r="A58" s="574" t="s">
        <v>117</v>
      </c>
      <c r="B58" s="57" t="s">
        <v>6</v>
      </c>
      <c r="C58" s="164" t="s">
        <v>40</v>
      </c>
      <c r="D58" s="165"/>
      <c r="E58" s="57">
        <v>55.32</v>
      </c>
      <c r="F58" s="69">
        <v>1872</v>
      </c>
      <c r="G58" s="159">
        <f t="shared" si="35"/>
        <v>103559.03999999999</v>
      </c>
      <c r="H58" s="172" t="s">
        <v>5</v>
      </c>
      <c r="I58" s="166">
        <v>15</v>
      </c>
      <c r="J58" s="58">
        <v>2000</v>
      </c>
      <c r="K58" s="59">
        <f t="shared" si="1"/>
        <v>133.33333333333334</v>
      </c>
      <c r="L58" s="166">
        <v>15</v>
      </c>
      <c r="M58" s="60">
        <f t="shared" si="36"/>
        <v>1903.7288135593235</v>
      </c>
      <c r="N58" s="60">
        <f t="shared" si="3"/>
        <v>126.91525423728824</v>
      </c>
      <c r="O58" s="61">
        <f t="shared" si="4"/>
        <v>0</v>
      </c>
      <c r="P58" s="62">
        <f t="shared" si="5"/>
        <v>-6.4180790960451048</v>
      </c>
      <c r="Q58" s="160">
        <f t="shared" si="6"/>
        <v>0.95186440677966166</v>
      </c>
      <c r="R58" s="566"/>
      <c r="S58" s="63">
        <v>0.7680555555555556</v>
      </c>
      <c r="T58" s="63">
        <v>0.80902777777777779</v>
      </c>
      <c r="U58" s="159">
        <f t="shared" si="38"/>
        <v>6.9999999999999751</v>
      </c>
      <c r="V58" s="167">
        <f t="shared" si="37"/>
        <v>58.99999999999995</v>
      </c>
      <c r="W58" s="64"/>
      <c r="X58" s="64"/>
      <c r="Y58" s="162"/>
      <c r="Z58" s="163"/>
      <c r="AA58" s="61">
        <f t="shared" si="8"/>
        <v>-96.271186440676502</v>
      </c>
      <c r="AB58" s="160">
        <f t="shared" si="9"/>
        <v>0.95186440677966178</v>
      </c>
      <c r="AC58" s="566"/>
    </row>
    <row r="59" spans="1:29" ht="15.75" customHeight="1">
      <c r="A59" s="574" t="s">
        <v>117</v>
      </c>
      <c r="B59" s="57" t="s">
        <v>6</v>
      </c>
      <c r="C59" s="164" t="s">
        <v>99</v>
      </c>
      <c r="D59" s="165"/>
      <c r="E59" s="57">
        <v>53.68</v>
      </c>
      <c r="F59" s="69">
        <v>1500</v>
      </c>
      <c r="G59" s="159">
        <f t="shared" si="35"/>
        <v>80520</v>
      </c>
      <c r="H59" s="172">
        <v>2</v>
      </c>
      <c r="I59" s="166">
        <v>16</v>
      </c>
      <c r="J59" s="58">
        <v>1500</v>
      </c>
      <c r="K59" s="59">
        <f t="shared" si="1"/>
        <v>93.75</v>
      </c>
      <c r="L59" s="166">
        <v>16</v>
      </c>
      <c r="M59" s="60">
        <f t="shared" si="36"/>
        <v>1428.57142857143</v>
      </c>
      <c r="N59" s="60">
        <f t="shared" si="3"/>
        <v>89.285714285714377</v>
      </c>
      <c r="O59" s="61">
        <f t="shared" si="4"/>
        <v>0</v>
      </c>
      <c r="P59" s="62">
        <f t="shared" si="5"/>
        <v>-4.4642857142856229</v>
      </c>
      <c r="Q59" s="160">
        <f t="shared" si="6"/>
        <v>0.95238095238095333</v>
      </c>
      <c r="R59" s="566"/>
      <c r="S59" s="63">
        <v>0.8125</v>
      </c>
      <c r="T59" s="63">
        <v>0.85624999999999996</v>
      </c>
      <c r="U59" s="159">
        <f t="shared" si="38"/>
        <v>4.9999999999999822</v>
      </c>
      <c r="V59" s="167">
        <f t="shared" si="37"/>
        <v>62.999999999999936</v>
      </c>
      <c r="W59" s="64">
        <f>T59</f>
        <v>0.85624999999999996</v>
      </c>
      <c r="X59" s="64">
        <f>S60</f>
        <v>0.89513888888888882</v>
      </c>
      <c r="Y59" s="162"/>
      <c r="Z59" s="163"/>
      <c r="AA59" s="61">
        <f t="shared" si="8"/>
        <v>-71.428571428569967</v>
      </c>
      <c r="AB59" s="160">
        <f t="shared" si="9"/>
        <v>0.95238095238095333</v>
      </c>
      <c r="AC59" s="566"/>
    </row>
    <row r="60" spans="1:29" ht="15.75" customHeight="1">
      <c r="A60" s="574" t="s">
        <v>117</v>
      </c>
      <c r="B60" s="57" t="s">
        <v>6</v>
      </c>
      <c r="C60" s="567" t="s">
        <v>99</v>
      </c>
      <c r="D60" s="568"/>
      <c r="E60" s="57">
        <v>53.68</v>
      </c>
      <c r="F60" s="69">
        <v>1614</v>
      </c>
      <c r="G60" s="159">
        <f t="shared" si="35"/>
        <v>86639.52</v>
      </c>
      <c r="H60" s="172" t="s">
        <v>5</v>
      </c>
      <c r="I60" s="166">
        <v>16</v>
      </c>
      <c r="J60" s="58">
        <v>1500</v>
      </c>
      <c r="K60" s="59">
        <f t="shared" si="1"/>
        <v>93.75</v>
      </c>
      <c r="L60" s="166">
        <v>16</v>
      </c>
      <c r="M60" s="60">
        <f t="shared" si="36"/>
        <v>1445.3731343283564</v>
      </c>
      <c r="N60" s="60">
        <f t="shared" si="3"/>
        <v>90.335820895522275</v>
      </c>
      <c r="O60" s="61">
        <f t="shared" si="4"/>
        <v>0</v>
      </c>
      <c r="P60" s="62">
        <f t="shared" si="5"/>
        <v>-3.414179104477725</v>
      </c>
      <c r="Q60" s="160">
        <f t="shared" si="6"/>
        <v>0.96358208955223756</v>
      </c>
      <c r="R60" s="566"/>
      <c r="S60" s="63">
        <v>0.89513888888888882</v>
      </c>
      <c r="T60" s="63">
        <v>0.94166666666666665</v>
      </c>
      <c r="U60" s="159">
        <f t="shared" si="38"/>
        <v>55.999999999999957</v>
      </c>
      <c r="V60" s="167">
        <f t="shared" si="37"/>
        <v>67.000000000000085</v>
      </c>
      <c r="W60" s="64"/>
      <c r="X60" s="64"/>
      <c r="Y60" s="569"/>
      <c r="Z60" s="570"/>
      <c r="AA60" s="61">
        <f t="shared" si="8"/>
        <v>-54.6268656716436</v>
      </c>
      <c r="AB60" s="160">
        <f t="shared" si="9"/>
        <v>0.96358208955223756</v>
      </c>
      <c r="AC60" s="566"/>
    </row>
    <row r="61" spans="1:29">
      <c r="A61" s="575" t="s">
        <v>592</v>
      </c>
      <c r="B61" s="57" t="s">
        <v>67</v>
      </c>
      <c r="C61" s="571"/>
      <c r="D61" s="571"/>
      <c r="E61" s="161"/>
      <c r="F61" s="66"/>
      <c r="G61" s="59"/>
      <c r="H61" s="168"/>
      <c r="I61" s="67">
        <v>16.333333333333332</v>
      </c>
      <c r="J61" s="58">
        <v>1833.3333333333333</v>
      </c>
      <c r="K61" s="59">
        <f t="shared" si="1"/>
        <v>112.24489795918367</v>
      </c>
      <c r="L61" s="67">
        <v>16.333333333333332</v>
      </c>
      <c r="M61" s="60">
        <f>AVERAGE(M55:M60)</f>
        <v>1754.8543952932566</v>
      </c>
      <c r="N61" s="59">
        <f t="shared" si="3"/>
        <v>107.4400650179545</v>
      </c>
      <c r="O61" s="61">
        <f t="shared" si="4"/>
        <v>0</v>
      </c>
      <c r="P61" s="62">
        <f t="shared" si="5"/>
        <v>-4.8048329412291793</v>
      </c>
      <c r="Q61" s="160">
        <f t="shared" si="6"/>
        <v>0.95719330652359458</v>
      </c>
      <c r="R61" s="566"/>
      <c r="S61" s="70"/>
      <c r="T61" s="63"/>
      <c r="U61" s="59"/>
      <c r="V61" s="167"/>
      <c r="W61" s="59"/>
      <c r="X61" s="59"/>
      <c r="Y61" s="559"/>
      <c r="Z61" s="559"/>
      <c r="AA61" s="61">
        <f t="shared" si="8"/>
        <v>-78.478938040076628</v>
      </c>
      <c r="AB61" s="160">
        <f t="shared" si="9"/>
        <v>0.95719330652359458</v>
      </c>
      <c r="AC61" s="566"/>
    </row>
    <row r="62" spans="1:29" ht="15.75" customHeight="1">
      <c r="A62" s="572" t="s">
        <v>93</v>
      </c>
      <c r="B62" s="168" t="s">
        <v>10</v>
      </c>
      <c r="C62" s="560" t="s">
        <v>42</v>
      </c>
      <c r="D62" s="560"/>
      <c r="E62" s="57">
        <v>26.97</v>
      </c>
      <c r="F62" s="69">
        <v>3167</v>
      </c>
      <c r="G62" s="159">
        <f t="shared" ref="G62:G65" si="39">E62*F62</f>
        <v>85413.989999999991</v>
      </c>
      <c r="H62" s="172" t="s">
        <v>5</v>
      </c>
      <c r="I62" s="166">
        <v>8</v>
      </c>
      <c r="J62" s="58">
        <v>1500</v>
      </c>
      <c r="K62" s="59">
        <f t="shared" si="1"/>
        <v>187.5</v>
      </c>
      <c r="L62" s="166">
        <v>8</v>
      </c>
      <c r="M62" s="60">
        <f t="shared" ref="M62:M65" si="40">F62/V62*60</f>
        <v>1439.5454545454538</v>
      </c>
      <c r="N62" s="59">
        <f t="shared" si="3"/>
        <v>179.94318181818173</v>
      </c>
      <c r="O62" s="61">
        <f t="shared" si="4"/>
        <v>0</v>
      </c>
      <c r="P62" s="62">
        <f t="shared" si="5"/>
        <v>-7.5568181818182723</v>
      </c>
      <c r="Q62" s="160">
        <f t="shared" si="6"/>
        <v>0.95969696969696916</v>
      </c>
      <c r="R62" s="566">
        <f>Q66</f>
        <v>0.95974899209646547</v>
      </c>
      <c r="S62" s="63">
        <v>0.20833333333333334</v>
      </c>
      <c r="T62" s="63">
        <v>0.30000000000000004</v>
      </c>
      <c r="U62" s="159"/>
      <c r="V62" s="167">
        <f t="shared" ref="V62:V65" si="41">(T62-S62)*24*60</f>
        <v>132.00000000000006</v>
      </c>
      <c r="W62" s="68"/>
      <c r="X62" s="68"/>
      <c r="Y62" s="559"/>
      <c r="Z62" s="559"/>
      <c r="AA62" s="61">
        <f t="shared" si="8"/>
        <v>-60.454545454546178</v>
      </c>
      <c r="AB62" s="160">
        <f t="shared" si="9"/>
        <v>0.95969696969696916</v>
      </c>
      <c r="AC62" s="566">
        <f>AB66</f>
        <v>0.95974899209646558</v>
      </c>
    </row>
    <row r="63" spans="1:29" ht="15.75" customHeight="1">
      <c r="A63" s="572" t="s">
        <v>93</v>
      </c>
      <c r="B63" s="168" t="s">
        <v>31</v>
      </c>
      <c r="C63" s="560" t="s">
        <v>41</v>
      </c>
      <c r="D63" s="560"/>
      <c r="E63" s="57">
        <v>26.78</v>
      </c>
      <c r="F63" s="69">
        <v>2972</v>
      </c>
      <c r="G63" s="159">
        <f t="shared" si="39"/>
        <v>79590.16</v>
      </c>
      <c r="H63" s="172" t="s">
        <v>5</v>
      </c>
      <c r="I63" s="166">
        <v>10</v>
      </c>
      <c r="J63" s="58">
        <v>3000</v>
      </c>
      <c r="K63" s="59">
        <f t="shared" si="1"/>
        <v>300</v>
      </c>
      <c r="L63" s="166">
        <v>10</v>
      </c>
      <c r="M63" s="60">
        <f t="shared" si="40"/>
        <v>2876.1290322580635</v>
      </c>
      <c r="N63" s="59">
        <f t="shared" si="3"/>
        <v>287.61290322580635</v>
      </c>
      <c r="O63" s="61">
        <f t="shared" si="4"/>
        <v>0</v>
      </c>
      <c r="P63" s="62">
        <f t="shared" si="5"/>
        <v>-12.387096774193651</v>
      </c>
      <c r="Q63" s="160">
        <f t="shared" si="6"/>
        <v>0.95870967741935453</v>
      </c>
      <c r="R63" s="566"/>
      <c r="S63" s="63">
        <v>0.30555555555555558</v>
      </c>
      <c r="T63" s="63">
        <v>0.34861111111111115</v>
      </c>
      <c r="U63" s="159">
        <f t="shared" ref="U63:U65" si="42">(S63-T62)*24*60</f>
        <v>7.9999999999999716</v>
      </c>
      <c r="V63" s="167">
        <f t="shared" si="41"/>
        <v>62.000000000000021</v>
      </c>
      <c r="W63" s="159"/>
      <c r="X63" s="159"/>
      <c r="Y63" s="559"/>
      <c r="Z63" s="559"/>
      <c r="AA63" s="61">
        <f t="shared" si="8"/>
        <v>-123.87096774193651</v>
      </c>
      <c r="AB63" s="160">
        <f t="shared" si="9"/>
        <v>0.95870967741935453</v>
      </c>
      <c r="AC63" s="566"/>
    </row>
    <row r="64" spans="1:29" ht="15.75" customHeight="1">
      <c r="A64" s="572" t="s">
        <v>593</v>
      </c>
      <c r="B64" s="168" t="s">
        <v>31</v>
      </c>
      <c r="C64" s="560" t="s">
        <v>64</v>
      </c>
      <c r="D64" s="560"/>
      <c r="E64" s="57">
        <v>37.880000000000003</v>
      </c>
      <c r="F64" s="69">
        <v>3259</v>
      </c>
      <c r="G64" s="159">
        <f t="shared" si="39"/>
        <v>123450.92000000001</v>
      </c>
      <c r="H64" s="172" t="s">
        <v>5</v>
      </c>
      <c r="I64" s="166">
        <v>10</v>
      </c>
      <c r="J64" s="58">
        <v>3000</v>
      </c>
      <c r="K64" s="59">
        <f t="shared" si="1"/>
        <v>300</v>
      </c>
      <c r="L64" s="166">
        <v>10</v>
      </c>
      <c r="M64" s="60">
        <f t="shared" si="40"/>
        <v>2875.588235294118</v>
      </c>
      <c r="N64" s="59">
        <f t="shared" si="3"/>
        <v>287.55882352941182</v>
      </c>
      <c r="O64" s="61">
        <f t="shared" si="4"/>
        <v>0</v>
      </c>
      <c r="P64" s="62">
        <f t="shared" si="5"/>
        <v>-12.441176470588175</v>
      </c>
      <c r="Q64" s="160">
        <f t="shared" si="6"/>
        <v>0.95852941176470607</v>
      </c>
      <c r="R64" s="566"/>
      <c r="S64" s="63">
        <v>0.35416666666666669</v>
      </c>
      <c r="T64" s="63">
        <v>0.40138888888888891</v>
      </c>
      <c r="U64" s="159">
        <f t="shared" si="42"/>
        <v>7.9999999999999716</v>
      </c>
      <c r="V64" s="167">
        <f t="shared" si="41"/>
        <v>68</v>
      </c>
      <c r="W64" s="159"/>
      <c r="X64" s="159"/>
      <c r="Y64" s="559"/>
      <c r="Z64" s="559"/>
      <c r="AA64" s="61">
        <f t="shared" si="8"/>
        <v>-124.41176470588198</v>
      </c>
      <c r="AB64" s="160">
        <f t="shared" si="9"/>
        <v>0.95852941176470596</v>
      </c>
      <c r="AC64" s="566"/>
    </row>
    <row r="65" spans="1:29" ht="15.75" customHeight="1">
      <c r="A65" s="572" t="s">
        <v>93</v>
      </c>
      <c r="B65" s="168" t="s">
        <v>31</v>
      </c>
      <c r="C65" s="560" t="s">
        <v>72</v>
      </c>
      <c r="D65" s="560"/>
      <c r="E65" s="57">
        <v>40.51</v>
      </c>
      <c r="F65" s="69">
        <v>2838</v>
      </c>
      <c r="G65" s="159">
        <f t="shared" si="39"/>
        <v>114967.37999999999</v>
      </c>
      <c r="H65" s="172" t="s">
        <v>5</v>
      </c>
      <c r="I65" s="166">
        <v>8</v>
      </c>
      <c r="J65" s="58">
        <v>3000</v>
      </c>
      <c r="K65" s="59">
        <f t="shared" si="1"/>
        <v>375</v>
      </c>
      <c r="L65" s="166">
        <v>8</v>
      </c>
      <c r="M65" s="60">
        <f t="shared" si="40"/>
        <v>2886.1016949152527</v>
      </c>
      <c r="N65" s="59">
        <f t="shared" si="3"/>
        <v>360.76271186440658</v>
      </c>
      <c r="O65" s="61">
        <f t="shared" si="4"/>
        <v>0</v>
      </c>
      <c r="P65" s="62">
        <f t="shared" si="5"/>
        <v>-14.237288135593417</v>
      </c>
      <c r="Q65" s="160">
        <f t="shared" si="6"/>
        <v>0.96203389830508423</v>
      </c>
      <c r="R65" s="566"/>
      <c r="S65" s="63">
        <v>0.40555555555555556</v>
      </c>
      <c r="T65" s="63">
        <v>0.4465277777777778</v>
      </c>
      <c r="U65" s="159">
        <f t="shared" si="42"/>
        <v>5.9999999999999787</v>
      </c>
      <c r="V65" s="167">
        <f t="shared" si="41"/>
        <v>59.000000000000028</v>
      </c>
      <c r="W65" s="159"/>
      <c r="X65" s="159"/>
      <c r="Y65" s="559"/>
      <c r="Z65" s="559"/>
      <c r="AA65" s="61">
        <f t="shared" si="8"/>
        <v>-113.89830508474734</v>
      </c>
      <c r="AB65" s="160">
        <f t="shared" si="9"/>
        <v>0.96203389830508423</v>
      </c>
      <c r="AC65" s="566"/>
    </row>
    <row r="66" spans="1:29">
      <c r="A66" s="573" t="s">
        <v>93</v>
      </c>
      <c r="B66" s="57" t="s">
        <v>67</v>
      </c>
      <c r="C66" s="571"/>
      <c r="D66" s="571"/>
      <c r="E66" s="161"/>
      <c r="F66" s="66"/>
      <c r="G66" s="59"/>
      <c r="H66" s="168"/>
      <c r="I66" s="67">
        <v>9</v>
      </c>
      <c r="J66" s="58">
        <v>2625</v>
      </c>
      <c r="K66" s="59">
        <f t="shared" si="1"/>
        <v>291.66666666666669</v>
      </c>
      <c r="L66" s="67">
        <v>9</v>
      </c>
      <c r="M66" s="60">
        <f>AVERAGE(M62:M65)</f>
        <v>2519.3411042532221</v>
      </c>
      <c r="N66" s="59">
        <f t="shared" si="3"/>
        <v>279.9267893614691</v>
      </c>
      <c r="O66" s="61">
        <f t="shared" si="4"/>
        <v>0</v>
      </c>
      <c r="P66" s="62">
        <f t="shared" si="5"/>
        <v>-11.739877305197581</v>
      </c>
      <c r="Q66" s="160">
        <f t="shared" si="6"/>
        <v>0.95974899209646547</v>
      </c>
      <c r="R66" s="566"/>
      <c r="S66" s="63"/>
      <c r="T66" s="63"/>
      <c r="U66" s="59"/>
      <c r="V66" s="167"/>
      <c r="W66" s="59"/>
      <c r="X66" s="59"/>
      <c r="Y66" s="559"/>
      <c r="Z66" s="559"/>
      <c r="AA66" s="61">
        <f t="shared" si="8"/>
        <v>-105.65889574677794</v>
      </c>
      <c r="AB66" s="160">
        <f t="shared" si="9"/>
        <v>0.95974899209646558</v>
      </c>
      <c r="AC66" s="566"/>
    </row>
    <row r="67" spans="1:29" ht="15.75" customHeight="1">
      <c r="A67" s="563" t="s">
        <v>90</v>
      </c>
      <c r="B67" s="168" t="s">
        <v>15</v>
      </c>
      <c r="C67" s="560" t="s">
        <v>43</v>
      </c>
      <c r="D67" s="560"/>
      <c r="E67" s="57">
        <v>20.2</v>
      </c>
      <c r="F67" s="168">
        <v>2750</v>
      </c>
      <c r="G67" s="159">
        <f t="shared" ref="G67:G74" si="43">E67*F67</f>
        <v>55550</v>
      </c>
      <c r="H67" s="172" t="s">
        <v>5</v>
      </c>
      <c r="I67" s="166">
        <v>19</v>
      </c>
      <c r="J67" s="58">
        <v>2400</v>
      </c>
      <c r="K67" s="59">
        <f t="shared" si="1"/>
        <v>126.31578947368421</v>
      </c>
      <c r="L67" s="166">
        <v>19</v>
      </c>
      <c r="M67" s="60">
        <f t="shared" ref="M67:M74" si="44">F67/V67*60</f>
        <v>2291.6666666666661</v>
      </c>
      <c r="N67" s="59">
        <f t="shared" si="3"/>
        <v>120.61403508771927</v>
      </c>
      <c r="O67" s="61">
        <f t="shared" si="4"/>
        <v>0</v>
      </c>
      <c r="P67" s="62">
        <f t="shared" si="5"/>
        <v>-5.7017543859649322</v>
      </c>
      <c r="Q67" s="160">
        <f t="shared" si="6"/>
        <v>0.95486111111111094</v>
      </c>
      <c r="R67" s="566">
        <f>Q75</f>
        <v>0.95663149934646119</v>
      </c>
      <c r="S67" s="63">
        <v>8.3333333333333329E-2</v>
      </c>
      <c r="T67" s="63">
        <v>0.13333333333333333</v>
      </c>
      <c r="U67" s="68"/>
      <c r="V67" s="167">
        <f t="shared" ref="V67:V74" si="45">(T67-S67)*24*60</f>
        <v>72.000000000000014</v>
      </c>
      <c r="W67" s="64">
        <f>T67</f>
        <v>0.13333333333333333</v>
      </c>
      <c r="X67" s="64">
        <f>S68</f>
        <v>0.15347222222222223</v>
      </c>
      <c r="Y67" s="559"/>
      <c r="Z67" s="559"/>
      <c r="AA67" s="61">
        <f t="shared" si="8"/>
        <v>-108.33333333333394</v>
      </c>
      <c r="AB67" s="160">
        <f t="shared" si="9"/>
        <v>0.95486111111111083</v>
      </c>
      <c r="AC67" s="566">
        <f>AB75</f>
        <v>0.9566314993464613</v>
      </c>
    </row>
    <row r="68" spans="1:29" ht="15.75" customHeight="1">
      <c r="A68" s="564" t="s">
        <v>90</v>
      </c>
      <c r="B68" s="168" t="s">
        <v>15</v>
      </c>
      <c r="C68" s="560" t="s">
        <v>16</v>
      </c>
      <c r="D68" s="560"/>
      <c r="E68" s="57">
        <v>24.45</v>
      </c>
      <c r="F68" s="168">
        <v>3046</v>
      </c>
      <c r="G68" s="159">
        <f t="shared" si="43"/>
        <v>74474.7</v>
      </c>
      <c r="H68" s="172" t="s">
        <v>5</v>
      </c>
      <c r="I68" s="166">
        <v>20</v>
      </c>
      <c r="J68" s="58">
        <v>2400</v>
      </c>
      <c r="K68" s="59">
        <f t="shared" si="1"/>
        <v>120</v>
      </c>
      <c r="L68" s="166">
        <v>20</v>
      </c>
      <c r="M68" s="60">
        <f t="shared" si="44"/>
        <v>2313.4177215189875</v>
      </c>
      <c r="N68" s="59">
        <f t="shared" si="3"/>
        <v>115.67088607594937</v>
      </c>
      <c r="O68" s="61">
        <f t="shared" si="4"/>
        <v>0</v>
      </c>
      <c r="P68" s="62">
        <f t="shared" si="5"/>
        <v>-4.3291139240506311</v>
      </c>
      <c r="Q68" s="160">
        <f t="shared" si="6"/>
        <v>0.96392405063291142</v>
      </c>
      <c r="R68" s="566"/>
      <c r="S68" s="63">
        <v>0.15347222222222223</v>
      </c>
      <c r="T68" s="63">
        <v>0.20833333333333334</v>
      </c>
      <c r="U68" s="159">
        <f t="shared" ref="U68:U74" si="46">(S68-T67)*24*60</f>
        <v>29.000000000000018</v>
      </c>
      <c r="V68" s="167">
        <f t="shared" si="45"/>
        <v>79</v>
      </c>
      <c r="W68" s="64"/>
      <c r="X68" s="64"/>
      <c r="Y68" s="559"/>
      <c r="Z68" s="559"/>
      <c r="AA68" s="61">
        <f t="shared" si="8"/>
        <v>-86.582278481012509</v>
      </c>
      <c r="AB68" s="160">
        <f t="shared" si="9"/>
        <v>0.96392405063291142</v>
      </c>
      <c r="AC68" s="566"/>
    </row>
    <row r="69" spans="1:29" ht="15.75" customHeight="1">
      <c r="A69" s="564" t="s">
        <v>90</v>
      </c>
      <c r="B69" s="168" t="s">
        <v>15</v>
      </c>
      <c r="C69" s="560" t="s">
        <v>17</v>
      </c>
      <c r="D69" s="560"/>
      <c r="E69" s="57">
        <v>22.35</v>
      </c>
      <c r="F69" s="168">
        <v>2269</v>
      </c>
      <c r="G69" s="159">
        <f t="shared" si="43"/>
        <v>50712.15</v>
      </c>
      <c r="H69" s="172" t="s">
        <v>5</v>
      </c>
      <c r="I69" s="166">
        <v>16</v>
      </c>
      <c r="J69" s="58">
        <v>2400</v>
      </c>
      <c r="K69" s="59">
        <f t="shared" ref="K69:K75" si="47">J69/I69</f>
        <v>150</v>
      </c>
      <c r="L69" s="166">
        <v>16</v>
      </c>
      <c r="M69" s="60">
        <f t="shared" si="44"/>
        <v>2307.4576271186443</v>
      </c>
      <c r="N69" s="59">
        <f t="shared" ref="N69:N75" si="48">M69/L69</f>
        <v>144.21610169491527</v>
      </c>
      <c r="O69" s="61">
        <f t="shared" ref="O69:O75" si="49">L69-I69</f>
        <v>0</v>
      </c>
      <c r="P69" s="62">
        <f t="shared" ref="P69:P75" si="50">N69-K69</f>
        <v>-5.7838983050847332</v>
      </c>
      <c r="Q69" s="160">
        <f t="shared" ref="Q69:Q75" si="51">N69/K69</f>
        <v>0.96144067796610178</v>
      </c>
      <c r="R69" s="566"/>
      <c r="S69" s="63">
        <v>0.21180555555555555</v>
      </c>
      <c r="T69" s="63">
        <v>0.25277777777777777</v>
      </c>
      <c r="U69" s="159">
        <f t="shared" si="46"/>
        <v>4.9999999999999822</v>
      </c>
      <c r="V69" s="167">
        <f t="shared" si="45"/>
        <v>58.999999999999993</v>
      </c>
      <c r="W69" s="64"/>
      <c r="X69" s="64"/>
      <c r="Y69" s="559"/>
      <c r="Z69" s="559"/>
      <c r="AA69" s="61">
        <f t="shared" ref="AA69:AA75" si="52">M69-J69</f>
        <v>-92.542372881355732</v>
      </c>
      <c r="AB69" s="160">
        <f t="shared" ref="AB69:AB75" si="53">M69/J69</f>
        <v>0.96144067796610178</v>
      </c>
      <c r="AC69" s="566"/>
    </row>
    <row r="70" spans="1:29" ht="15.75" customHeight="1">
      <c r="A70" s="564" t="s">
        <v>90</v>
      </c>
      <c r="B70" s="168" t="s">
        <v>15</v>
      </c>
      <c r="C70" s="560" t="s">
        <v>30</v>
      </c>
      <c r="D70" s="560"/>
      <c r="E70" s="57">
        <v>24.25</v>
      </c>
      <c r="F70" s="168">
        <v>2745</v>
      </c>
      <c r="G70" s="159">
        <f t="shared" si="43"/>
        <v>66566.25</v>
      </c>
      <c r="H70" s="172" t="s">
        <v>5</v>
      </c>
      <c r="I70" s="166">
        <v>13</v>
      </c>
      <c r="J70" s="58">
        <v>2400</v>
      </c>
      <c r="K70" s="59">
        <f t="shared" si="47"/>
        <v>184.61538461538461</v>
      </c>
      <c r="L70" s="166">
        <v>13</v>
      </c>
      <c r="M70" s="60">
        <f t="shared" si="44"/>
        <v>2287.5000000000005</v>
      </c>
      <c r="N70" s="59">
        <f t="shared" si="48"/>
        <v>175.96153846153851</v>
      </c>
      <c r="O70" s="61">
        <f t="shared" si="49"/>
        <v>0</v>
      </c>
      <c r="P70" s="62">
        <f t="shared" si="50"/>
        <v>-8.6538461538461036</v>
      </c>
      <c r="Q70" s="160">
        <f t="shared" si="51"/>
        <v>0.95312500000000022</v>
      </c>
      <c r="R70" s="566"/>
      <c r="S70" s="63">
        <v>0.25624999999999998</v>
      </c>
      <c r="T70" s="63">
        <v>0.30624999999999997</v>
      </c>
      <c r="U70" s="159">
        <f t="shared" si="46"/>
        <v>4.9999999999999822</v>
      </c>
      <c r="V70" s="167">
        <f t="shared" si="45"/>
        <v>71.999999999999986</v>
      </c>
      <c r="W70" s="64"/>
      <c r="X70" s="64"/>
      <c r="Y70" s="559"/>
      <c r="Z70" s="559"/>
      <c r="AA70" s="61">
        <f t="shared" si="52"/>
        <v>-112.49999999999955</v>
      </c>
      <c r="AB70" s="160">
        <f t="shared" si="53"/>
        <v>0.95312500000000022</v>
      </c>
      <c r="AC70" s="566"/>
    </row>
    <row r="71" spans="1:29" ht="15.75" customHeight="1">
      <c r="A71" s="564" t="s">
        <v>90</v>
      </c>
      <c r="B71" s="168" t="s">
        <v>15</v>
      </c>
      <c r="C71" s="560" t="s">
        <v>24</v>
      </c>
      <c r="D71" s="560"/>
      <c r="E71" s="57">
        <v>20.52</v>
      </c>
      <c r="F71" s="168">
        <v>4016</v>
      </c>
      <c r="G71" s="159">
        <f t="shared" si="43"/>
        <v>82408.319999999992</v>
      </c>
      <c r="H71" s="172" t="s">
        <v>5</v>
      </c>
      <c r="I71" s="166">
        <v>18</v>
      </c>
      <c r="J71" s="58">
        <v>2400</v>
      </c>
      <c r="K71" s="59">
        <f t="shared" si="47"/>
        <v>133.33333333333334</v>
      </c>
      <c r="L71" s="166">
        <v>18</v>
      </c>
      <c r="M71" s="60">
        <f t="shared" si="44"/>
        <v>2294.8571428571422</v>
      </c>
      <c r="N71" s="59">
        <f t="shared" si="48"/>
        <v>127.49206349206345</v>
      </c>
      <c r="O71" s="61">
        <f t="shared" si="49"/>
        <v>0</v>
      </c>
      <c r="P71" s="62">
        <f t="shared" si="50"/>
        <v>-5.8412698412698916</v>
      </c>
      <c r="Q71" s="160">
        <f t="shared" si="51"/>
        <v>0.95619047619047581</v>
      </c>
      <c r="R71" s="566"/>
      <c r="S71" s="63">
        <v>0.3118055555555555</v>
      </c>
      <c r="T71" s="63">
        <v>0.38472222222222219</v>
      </c>
      <c r="U71" s="159">
        <f t="shared" si="46"/>
        <v>7.9999999999999716</v>
      </c>
      <c r="V71" s="167">
        <f t="shared" si="45"/>
        <v>105.00000000000003</v>
      </c>
      <c r="W71" s="64"/>
      <c r="X71" s="64"/>
      <c r="Y71" s="559"/>
      <c r="Z71" s="559"/>
      <c r="AA71" s="61">
        <f t="shared" si="52"/>
        <v>-105.14285714285779</v>
      </c>
      <c r="AB71" s="160">
        <f t="shared" si="53"/>
        <v>0.95619047619047592</v>
      </c>
      <c r="AC71" s="566"/>
    </row>
    <row r="72" spans="1:29" ht="15.75" customHeight="1">
      <c r="A72" s="564" t="s">
        <v>594</v>
      </c>
      <c r="B72" s="168" t="s">
        <v>15</v>
      </c>
      <c r="C72" s="560" t="s">
        <v>101</v>
      </c>
      <c r="D72" s="560"/>
      <c r="E72" s="57">
        <v>22.69</v>
      </c>
      <c r="F72" s="168">
        <v>3640</v>
      </c>
      <c r="G72" s="159">
        <f t="shared" si="43"/>
        <v>82591.600000000006</v>
      </c>
      <c r="H72" s="172" t="s">
        <v>5</v>
      </c>
      <c r="I72" s="166">
        <v>15</v>
      </c>
      <c r="J72" s="58">
        <v>2400</v>
      </c>
      <c r="K72" s="59">
        <f t="shared" si="47"/>
        <v>160</v>
      </c>
      <c r="L72" s="166">
        <v>15</v>
      </c>
      <c r="M72" s="60">
        <f t="shared" si="44"/>
        <v>2298.9473684210534</v>
      </c>
      <c r="N72" s="59">
        <f t="shared" si="48"/>
        <v>153.26315789473691</v>
      </c>
      <c r="O72" s="61">
        <f t="shared" si="49"/>
        <v>0</v>
      </c>
      <c r="P72" s="62">
        <f t="shared" si="50"/>
        <v>-6.7368421052630936</v>
      </c>
      <c r="Q72" s="160">
        <f t="shared" si="51"/>
        <v>0.95789473684210569</v>
      </c>
      <c r="R72" s="566"/>
      <c r="S72" s="63">
        <v>0.38888888888888884</v>
      </c>
      <c r="T72" s="63">
        <v>0.45486111111111105</v>
      </c>
      <c r="U72" s="159">
        <f t="shared" si="46"/>
        <v>5.9999999999999787</v>
      </c>
      <c r="V72" s="167">
        <f t="shared" si="45"/>
        <v>94.999999999999986</v>
      </c>
      <c r="W72" s="64"/>
      <c r="X72" s="64"/>
      <c r="Y72" s="559"/>
      <c r="Z72" s="559"/>
      <c r="AA72" s="61">
        <f t="shared" si="52"/>
        <v>-101.0526315789466</v>
      </c>
      <c r="AB72" s="160">
        <f t="shared" si="53"/>
        <v>0.95789473684210558</v>
      </c>
      <c r="AC72" s="566"/>
    </row>
    <row r="73" spans="1:29" ht="15.75" customHeight="1">
      <c r="A73" s="564" t="s">
        <v>594</v>
      </c>
      <c r="B73" s="168" t="s">
        <v>15</v>
      </c>
      <c r="C73" s="560" t="s">
        <v>29</v>
      </c>
      <c r="D73" s="560"/>
      <c r="E73" s="57">
        <v>24.43</v>
      </c>
      <c r="F73" s="168">
        <v>3800</v>
      </c>
      <c r="G73" s="159">
        <f t="shared" si="43"/>
        <v>92834</v>
      </c>
      <c r="H73" s="172">
        <v>2</v>
      </c>
      <c r="I73" s="166">
        <v>14</v>
      </c>
      <c r="J73" s="58">
        <v>2400</v>
      </c>
      <c r="K73" s="59">
        <f t="shared" si="47"/>
        <v>171.42857142857142</v>
      </c>
      <c r="L73" s="166">
        <v>14</v>
      </c>
      <c r="M73" s="60">
        <f t="shared" si="44"/>
        <v>2280.0000000000009</v>
      </c>
      <c r="N73" s="59">
        <f t="shared" si="48"/>
        <v>162.85714285714292</v>
      </c>
      <c r="O73" s="61">
        <f t="shared" si="49"/>
        <v>0</v>
      </c>
      <c r="P73" s="62">
        <f t="shared" si="50"/>
        <v>-8.5714285714284983</v>
      </c>
      <c r="Q73" s="160">
        <f t="shared" si="51"/>
        <v>0.9500000000000004</v>
      </c>
      <c r="R73" s="566"/>
      <c r="S73" s="63">
        <v>0.46041666666666659</v>
      </c>
      <c r="T73" s="63">
        <v>0.52986111111111101</v>
      </c>
      <c r="U73" s="159">
        <f t="shared" si="46"/>
        <v>7.9999999999999716</v>
      </c>
      <c r="V73" s="167">
        <f t="shared" si="45"/>
        <v>99.999999999999972</v>
      </c>
      <c r="W73" s="64">
        <f>T73</f>
        <v>0.52986111111111101</v>
      </c>
      <c r="X73" s="64">
        <f>S74</f>
        <v>0.57083333333333319</v>
      </c>
      <c r="Y73" s="569"/>
      <c r="Z73" s="570"/>
      <c r="AA73" s="61">
        <f t="shared" si="52"/>
        <v>-119.99999999999909</v>
      </c>
      <c r="AB73" s="160">
        <f t="shared" si="53"/>
        <v>0.9500000000000004</v>
      </c>
      <c r="AC73" s="566"/>
    </row>
    <row r="74" spans="1:29" ht="15.75" customHeight="1">
      <c r="A74" s="564" t="s">
        <v>90</v>
      </c>
      <c r="B74" s="168" t="s">
        <v>15</v>
      </c>
      <c r="C74" s="560" t="s">
        <v>29</v>
      </c>
      <c r="D74" s="560"/>
      <c r="E74" s="57">
        <v>24.43</v>
      </c>
      <c r="F74" s="168">
        <v>5275</v>
      </c>
      <c r="G74" s="159">
        <f t="shared" si="43"/>
        <v>128868.25</v>
      </c>
      <c r="H74" s="172" t="s">
        <v>5</v>
      </c>
      <c r="I74" s="166">
        <v>14</v>
      </c>
      <c r="J74" s="58">
        <v>2400</v>
      </c>
      <c r="K74" s="59">
        <f t="shared" si="47"/>
        <v>171.42857142857142</v>
      </c>
      <c r="L74" s="166">
        <v>14</v>
      </c>
      <c r="M74" s="60">
        <f t="shared" si="44"/>
        <v>2293.4782608695655</v>
      </c>
      <c r="N74" s="59">
        <f t="shared" si="48"/>
        <v>163.81987577639754</v>
      </c>
      <c r="O74" s="61">
        <f t="shared" si="49"/>
        <v>0</v>
      </c>
      <c r="P74" s="62">
        <f t="shared" si="50"/>
        <v>-7.6086956521738784</v>
      </c>
      <c r="Q74" s="160">
        <f t="shared" si="51"/>
        <v>0.9556159420289857</v>
      </c>
      <c r="R74" s="566"/>
      <c r="S74" s="63">
        <v>0.57083333333333319</v>
      </c>
      <c r="T74" s="63">
        <v>0.66666666666666652</v>
      </c>
      <c r="U74" s="159">
        <f t="shared" si="46"/>
        <v>58.99999999999995</v>
      </c>
      <c r="V74" s="167">
        <f t="shared" si="45"/>
        <v>138</v>
      </c>
      <c r="W74" s="64"/>
      <c r="X74" s="64"/>
      <c r="Y74" s="569"/>
      <c r="Z74" s="570"/>
      <c r="AA74" s="61">
        <f t="shared" si="52"/>
        <v>-106.52173913043453</v>
      </c>
      <c r="AB74" s="160">
        <f t="shared" si="53"/>
        <v>0.95561594202898559</v>
      </c>
      <c r="AC74" s="566"/>
    </row>
    <row r="75" spans="1:29" ht="16.5" customHeight="1">
      <c r="A75" s="565" t="s">
        <v>90</v>
      </c>
      <c r="B75" s="57" t="s">
        <v>67</v>
      </c>
      <c r="C75" s="561"/>
      <c r="D75" s="562"/>
      <c r="E75" s="161"/>
      <c r="F75" s="66"/>
      <c r="G75" s="59"/>
      <c r="H75" s="168"/>
      <c r="I75" s="67">
        <v>16.125</v>
      </c>
      <c r="J75" s="58">
        <v>2400</v>
      </c>
      <c r="K75" s="59">
        <f t="shared" si="47"/>
        <v>148.83720930232559</v>
      </c>
      <c r="L75" s="67">
        <v>16.125</v>
      </c>
      <c r="M75" s="60">
        <f>AVERAGE(M67:M74)</f>
        <v>2295.9155984315071</v>
      </c>
      <c r="N75" s="59">
        <f t="shared" si="48"/>
        <v>142.38236269342678</v>
      </c>
      <c r="O75" s="61">
        <f t="shared" si="49"/>
        <v>0</v>
      </c>
      <c r="P75" s="62">
        <f t="shared" si="50"/>
        <v>-6.454846608898805</v>
      </c>
      <c r="Q75" s="160">
        <f t="shared" si="51"/>
        <v>0.95663149934646119</v>
      </c>
      <c r="R75" s="566"/>
      <c r="S75" s="63"/>
      <c r="T75" s="63"/>
      <c r="U75" s="59"/>
      <c r="V75" s="167"/>
      <c r="W75" s="59"/>
      <c r="X75" s="59"/>
      <c r="Y75" s="559"/>
      <c r="Z75" s="559"/>
      <c r="AA75" s="61">
        <f t="shared" si="52"/>
        <v>-104.08440156849292</v>
      </c>
      <c r="AB75" s="160">
        <f t="shared" si="53"/>
        <v>0.9566314993464613</v>
      </c>
      <c r="AC75" s="566"/>
    </row>
    <row r="76" spans="1:29">
      <c r="D76" s="122"/>
      <c r="E76" s="122"/>
    </row>
  </sheetData>
  <mergeCells count="198">
    <mergeCell ref="I1:K2"/>
    <mergeCell ref="L1:N2"/>
    <mergeCell ref="O1:R2"/>
    <mergeCell ref="S1:X2"/>
    <mergeCell ref="Y1:Z2"/>
    <mergeCell ref="AA1:AC2"/>
    <mergeCell ref="J3:J4"/>
    <mergeCell ref="K3:K4"/>
    <mergeCell ref="L3:L4"/>
    <mergeCell ref="M3:M4"/>
    <mergeCell ref="P3:P4"/>
    <mergeCell ref="Q3:Q4"/>
    <mergeCell ref="R3:R4"/>
    <mergeCell ref="S3:T3"/>
    <mergeCell ref="A3:A4"/>
    <mergeCell ref="B3:B4"/>
    <mergeCell ref="C3:D4"/>
    <mergeCell ref="E3:E4"/>
    <mergeCell ref="F3:F4"/>
    <mergeCell ref="G3:G4"/>
    <mergeCell ref="AC3:AC4"/>
    <mergeCell ref="A5:A9"/>
    <mergeCell ref="C5:D5"/>
    <mergeCell ref="R5:R9"/>
    <mergeCell ref="Y5:Z5"/>
    <mergeCell ref="AC5:AC9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H3:H4"/>
    <mergeCell ref="I3:I4"/>
    <mergeCell ref="A13:A19"/>
    <mergeCell ref="C13:D13"/>
    <mergeCell ref="R13:R19"/>
    <mergeCell ref="Y13:Z13"/>
    <mergeCell ref="AC13:AC19"/>
    <mergeCell ref="C8:D8"/>
    <mergeCell ref="Y8:Z8"/>
    <mergeCell ref="C9:D9"/>
    <mergeCell ref="Y9:Z9"/>
    <mergeCell ref="A10:A12"/>
    <mergeCell ref="C10:D10"/>
    <mergeCell ref="R10:R12"/>
    <mergeCell ref="Y10:Z10"/>
    <mergeCell ref="C14:D14"/>
    <mergeCell ref="Y14:Z14"/>
    <mergeCell ref="C15:D15"/>
    <mergeCell ref="Y15:Z15"/>
    <mergeCell ref="C16:D16"/>
    <mergeCell ref="Y16:Z16"/>
    <mergeCell ref="AC10:AC12"/>
    <mergeCell ref="C11:D11"/>
    <mergeCell ref="Y11:Z11"/>
    <mergeCell ref="C12:D12"/>
    <mergeCell ref="Y12:Z12"/>
    <mergeCell ref="AC20:AC28"/>
    <mergeCell ref="C21:D21"/>
    <mergeCell ref="Y21:Z21"/>
    <mergeCell ref="C22:D22"/>
    <mergeCell ref="Y22:Z22"/>
    <mergeCell ref="C23:D23"/>
    <mergeCell ref="C17:D17"/>
    <mergeCell ref="Y17:Z17"/>
    <mergeCell ref="C18:D18"/>
    <mergeCell ref="Y18:Z18"/>
    <mergeCell ref="C19:D19"/>
    <mergeCell ref="Y19:Z19"/>
    <mergeCell ref="Y23:Z23"/>
    <mergeCell ref="C24:D24"/>
    <mergeCell ref="Y24:Z24"/>
    <mergeCell ref="C25:D25"/>
    <mergeCell ref="Y25:Z25"/>
    <mergeCell ref="C26:D26"/>
    <mergeCell ref="Y26:Z26"/>
    <mergeCell ref="A20:A28"/>
    <mergeCell ref="C20:D20"/>
    <mergeCell ref="R20:R28"/>
    <mergeCell ref="Y20:Z20"/>
    <mergeCell ref="C27:D27"/>
    <mergeCell ref="Y27:Z27"/>
    <mergeCell ref="C28:D28"/>
    <mergeCell ref="Y28:Z28"/>
    <mergeCell ref="A29:A37"/>
    <mergeCell ref="C29:D29"/>
    <mergeCell ref="R29:R37"/>
    <mergeCell ref="Y29:Z29"/>
    <mergeCell ref="Y34:Z34"/>
    <mergeCell ref="C35:D35"/>
    <mergeCell ref="AC29:AC37"/>
    <mergeCell ref="C30:D30"/>
    <mergeCell ref="Y30:Z30"/>
    <mergeCell ref="C31:D31"/>
    <mergeCell ref="Y31:Z31"/>
    <mergeCell ref="C32:D32"/>
    <mergeCell ref="Y32:Z32"/>
    <mergeCell ref="C33:D33"/>
    <mergeCell ref="Y33:Z33"/>
    <mergeCell ref="C34:D34"/>
    <mergeCell ref="Y35:Z35"/>
    <mergeCell ref="C36:D36"/>
    <mergeCell ref="Y36:Z36"/>
    <mergeCell ref="C37:D37"/>
    <mergeCell ref="Y37:Z37"/>
    <mergeCell ref="A38:A45"/>
    <mergeCell ref="C38:D38"/>
    <mergeCell ref="R38:R45"/>
    <mergeCell ref="Y38:Z38"/>
    <mergeCell ref="Y43:Z43"/>
    <mergeCell ref="AC38:AC45"/>
    <mergeCell ref="C39:D39"/>
    <mergeCell ref="Y39:Z39"/>
    <mergeCell ref="C40:D40"/>
    <mergeCell ref="Y40:Z40"/>
    <mergeCell ref="C41:D41"/>
    <mergeCell ref="Y41:Z41"/>
    <mergeCell ref="C42:D42"/>
    <mergeCell ref="Y42:Z42"/>
    <mergeCell ref="C43:D43"/>
    <mergeCell ref="C44:D44"/>
    <mergeCell ref="Y44:Z44"/>
    <mergeCell ref="C45:D45"/>
    <mergeCell ref="Y45:Z45"/>
    <mergeCell ref="A46:A54"/>
    <mergeCell ref="C46:D46"/>
    <mergeCell ref="R46:R54"/>
    <mergeCell ref="Y46:Z46"/>
    <mergeCell ref="Y51:Z51"/>
    <mergeCell ref="C52:D52"/>
    <mergeCell ref="AC46:AC54"/>
    <mergeCell ref="C47:D47"/>
    <mergeCell ref="Y47:Z47"/>
    <mergeCell ref="C48:D48"/>
    <mergeCell ref="Y48:Z48"/>
    <mergeCell ref="C49:D49"/>
    <mergeCell ref="Y49:Z49"/>
    <mergeCell ref="C50:D50"/>
    <mergeCell ref="Y50:Z50"/>
    <mergeCell ref="C51:D51"/>
    <mergeCell ref="Y52:Z52"/>
    <mergeCell ref="C53:D53"/>
    <mergeCell ref="Y53:Z53"/>
    <mergeCell ref="C54:D54"/>
    <mergeCell ref="Y54:Z54"/>
    <mergeCell ref="A55:A61"/>
    <mergeCell ref="C55:D55"/>
    <mergeCell ref="R55:R61"/>
    <mergeCell ref="Y55:Z55"/>
    <mergeCell ref="AC62:AC66"/>
    <mergeCell ref="C63:D63"/>
    <mergeCell ref="Y63:Z63"/>
    <mergeCell ref="C64:D64"/>
    <mergeCell ref="Y64:Z64"/>
    <mergeCell ref="C65:D65"/>
    <mergeCell ref="AC55:AC61"/>
    <mergeCell ref="C56:D56"/>
    <mergeCell ref="Y56:Z56"/>
    <mergeCell ref="C57:D57"/>
    <mergeCell ref="C60:D60"/>
    <mergeCell ref="Y60:Z60"/>
    <mergeCell ref="C61:D61"/>
    <mergeCell ref="Y61:Z61"/>
    <mergeCell ref="Y65:Z65"/>
    <mergeCell ref="C66:D66"/>
    <mergeCell ref="Y66:Z66"/>
    <mergeCell ref="A67:A75"/>
    <mergeCell ref="C67:D67"/>
    <mergeCell ref="R67:R75"/>
    <mergeCell ref="Y67:Z67"/>
    <mergeCell ref="Y72:Z72"/>
    <mergeCell ref="C73:D73"/>
    <mergeCell ref="Y73:Z73"/>
    <mergeCell ref="A62:A66"/>
    <mergeCell ref="C62:D62"/>
    <mergeCell ref="R62:R66"/>
    <mergeCell ref="Y62:Z62"/>
    <mergeCell ref="C74:D74"/>
    <mergeCell ref="Y74:Z74"/>
    <mergeCell ref="C75:D75"/>
    <mergeCell ref="Y75:Z75"/>
    <mergeCell ref="AC67:AC75"/>
    <mergeCell ref="C68:D68"/>
    <mergeCell ref="Y68:Z68"/>
    <mergeCell ref="C69:D69"/>
    <mergeCell ref="Y69:Z69"/>
    <mergeCell ref="C70:D70"/>
    <mergeCell ref="Y70:Z70"/>
    <mergeCell ref="C71:D71"/>
    <mergeCell ref="Y71:Z71"/>
    <mergeCell ref="C72:D72"/>
  </mergeCells>
  <phoneticPr fontId="3" type="noConversion"/>
  <conditionalFormatting sqref="O65:O72 O75 O5:O10 O12:O14 O54:O62 O19:O51">
    <cfRule type="cellIs" dxfId="525" priority="61" operator="greaterThan">
      <formula>0</formula>
    </cfRule>
  </conditionalFormatting>
  <conditionalFormatting sqref="P5:P8 P65 AA65 P67:P72 P29:P36 P62 P10 P12:P14 P20:P27 P55:P60 P38:P51 AA5:AA62 AA67:AA75">
    <cfRule type="cellIs" dxfId="524" priority="65" operator="lessThan">
      <formula>0</formula>
    </cfRule>
  </conditionalFormatting>
  <conditionalFormatting sqref="AB65 Q65:Q72 Q75 Q5:Q10 Q12:Q14 Q54:Q62 Q19:Q51 AB5:AB62 AB67:AB75">
    <cfRule type="cellIs" dxfId="523" priority="62" operator="greaterThan">
      <formula>1</formula>
    </cfRule>
    <cfRule type="cellIs" dxfId="522" priority="63" operator="lessThan">
      <formula>0.8</formula>
    </cfRule>
  </conditionalFormatting>
  <conditionalFormatting sqref="AC13:AC14 R13:R14 AC65 R65:R72 R19:R25 AC19:AC25 R75 AC5:AC10 R5:R10 R28:R51 AC28:AC51 AC54:AC62 R54:R62">
    <cfRule type="cellIs" dxfId="521" priority="67" operator="lessThan">
      <formula>0.8</formula>
    </cfRule>
  </conditionalFormatting>
  <conditionalFormatting sqref="AC46">
    <cfRule type="cellIs" dxfId="520" priority="69" operator="lessThan">
      <formula>0.8</formula>
    </cfRule>
  </conditionalFormatting>
  <conditionalFormatting sqref="AC20:AC25">
    <cfRule type="cellIs" dxfId="519" priority="66" operator="lessThan">
      <formula>0.8</formula>
    </cfRule>
  </conditionalFormatting>
  <conditionalFormatting sqref="AC29">
    <cfRule type="cellIs" dxfId="518" priority="68" operator="lessThan">
      <formula>0.8</formula>
    </cfRule>
  </conditionalFormatting>
  <conditionalFormatting sqref="AC38:AC44">
    <cfRule type="cellIs" dxfId="517" priority="64" operator="lessThan">
      <formula>0.8</formula>
    </cfRule>
  </conditionalFormatting>
  <conditionalFormatting sqref="AA66">
    <cfRule type="cellIs" dxfId="516" priority="60" operator="lessThan">
      <formula>0</formula>
    </cfRule>
  </conditionalFormatting>
  <conditionalFormatting sqref="AB66">
    <cfRule type="cellIs" dxfId="515" priority="58" operator="greaterThan">
      <formula>1</formula>
    </cfRule>
    <cfRule type="cellIs" dxfId="514" priority="59" operator="lessThan">
      <formula>0.8</formula>
    </cfRule>
  </conditionalFormatting>
  <conditionalFormatting sqref="O15:O16">
    <cfRule type="cellIs" dxfId="513" priority="53" operator="greaterThan">
      <formula>0</formula>
    </cfRule>
  </conditionalFormatting>
  <conditionalFormatting sqref="P15:P16">
    <cfRule type="cellIs" dxfId="512" priority="56" operator="lessThan">
      <formula>0</formula>
    </cfRule>
  </conditionalFormatting>
  <conditionalFormatting sqref="Q15:Q16">
    <cfRule type="cellIs" dxfId="511" priority="54" operator="greaterThan">
      <formula>1</formula>
    </cfRule>
    <cfRule type="cellIs" dxfId="510" priority="55" operator="lessThan">
      <formula>0.8</formula>
    </cfRule>
  </conditionalFormatting>
  <conditionalFormatting sqref="R15:R16 AC15:AC16">
    <cfRule type="cellIs" dxfId="509" priority="57" operator="lessThan">
      <formula>0.8</formula>
    </cfRule>
  </conditionalFormatting>
  <conditionalFormatting sqref="O11">
    <cfRule type="cellIs" dxfId="508" priority="49" operator="greaterThan">
      <formula>0</formula>
    </cfRule>
  </conditionalFormatting>
  <conditionalFormatting sqref="P11">
    <cfRule type="cellIs" dxfId="507" priority="52" operator="lessThan">
      <formula>0</formula>
    </cfRule>
  </conditionalFormatting>
  <conditionalFormatting sqref="Q11">
    <cfRule type="cellIs" dxfId="506" priority="50" operator="greaterThan">
      <formula>1</formula>
    </cfRule>
    <cfRule type="cellIs" dxfId="505" priority="51" operator="lessThan">
      <formula>0.8</formula>
    </cfRule>
  </conditionalFormatting>
  <conditionalFormatting sqref="AC27 R27">
    <cfRule type="cellIs" dxfId="504" priority="48" operator="lessThan">
      <formula>0.8</formula>
    </cfRule>
  </conditionalFormatting>
  <conditionalFormatting sqref="O64">
    <cfRule type="cellIs" dxfId="503" priority="43" operator="greaterThan">
      <formula>0</formula>
    </cfRule>
  </conditionalFormatting>
  <conditionalFormatting sqref="P64 AA64">
    <cfRule type="cellIs" dxfId="502" priority="46" operator="lessThan">
      <formula>0</formula>
    </cfRule>
  </conditionalFormatting>
  <conditionalFormatting sqref="Q64 AB64">
    <cfRule type="cellIs" dxfId="501" priority="44" operator="greaterThan">
      <formula>1</formula>
    </cfRule>
    <cfRule type="cellIs" dxfId="500" priority="45" operator="lessThan">
      <formula>0.8</formula>
    </cfRule>
  </conditionalFormatting>
  <conditionalFormatting sqref="R64 AC64">
    <cfRule type="cellIs" dxfId="499" priority="47" operator="lessThan">
      <formula>0.8</formula>
    </cfRule>
  </conditionalFormatting>
  <conditionalFormatting sqref="O73">
    <cfRule type="cellIs" dxfId="498" priority="38" operator="greaterThan">
      <formula>0</formula>
    </cfRule>
  </conditionalFormatting>
  <conditionalFormatting sqref="P73">
    <cfRule type="cellIs" dxfId="497" priority="41" operator="lessThan">
      <formula>0</formula>
    </cfRule>
  </conditionalFormatting>
  <conditionalFormatting sqref="Q73">
    <cfRule type="cellIs" dxfId="496" priority="39" operator="greaterThan">
      <formula>1</formula>
    </cfRule>
    <cfRule type="cellIs" dxfId="495" priority="40" operator="lessThan">
      <formula>0.8</formula>
    </cfRule>
  </conditionalFormatting>
  <conditionalFormatting sqref="R73">
    <cfRule type="cellIs" dxfId="494" priority="42" operator="lessThan">
      <formula>0.8</formula>
    </cfRule>
  </conditionalFormatting>
  <conditionalFormatting sqref="O17:O18">
    <cfRule type="cellIs" dxfId="493" priority="33" operator="greaterThan">
      <formula>0</formula>
    </cfRule>
  </conditionalFormatting>
  <conditionalFormatting sqref="P17:P18">
    <cfRule type="cellIs" dxfId="492" priority="36" operator="lessThan">
      <formula>0</formula>
    </cfRule>
  </conditionalFormatting>
  <conditionalFormatting sqref="Q17:Q18">
    <cfRule type="cellIs" dxfId="491" priority="34" operator="greaterThan">
      <formula>1</formula>
    </cfRule>
    <cfRule type="cellIs" dxfId="490" priority="35" operator="lessThan">
      <formula>0.8</formula>
    </cfRule>
  </conditionalFormatting>
  <conditionalFormatting sqref="R17:R18 AC17:AC18">
    <cfRule type="cellIs" dxfId="489" priority="37" operator="lessThan">
      <formula>0.8</formula>
    </cfRule>
  </conditionalFormatting>
  <conditionalFormatting sqref="O52">
    <cfRule type="cellIs" dxfId="488" priority="27" operator="greaterThan">
      <formula>0</formula>
    </cfRule>
  </conditionalFormatting>
  <conditionalFormatting sqref="P52">
    <cfRule type="cellIs" dxfId="487" priority="31" operator="lessThan">
      <formula>0</formula>
    </cfRule>
  </conditionalFormatting>
  <conditionalFormatting sqref="Q52">
    <cfRule type="cellIs" dxfId="486" priority="28" operator="greaterThan">
      <formula>1</formula>
    </cfRule>
    <cfRule type="cellIs" dxfId="485" priority="29" operator="lessThan">
      <formula>0.8</formula>
    </cfRule>
  </conditionalFormatting>
  <conditionalFormatting sqref="R52 AC52">
    <cfRule type="cellIs" dxfId="484" priority="32" operator="lessThan">
      <formula>0.8</formula>
    </cfRule>
  </conditionalFormatting>
  <conditionalFormatting sqref="AC52">
    <cfRule type="cellIs" dxfId="483" priority="30" operator="lessThan">
      <formula>0.8</formula>
    </cfRule>
  </conditionalFormatting>
  <conditionalFormatting sqref="O53">
    <cfRule type="cellIs" dxfId="482" priority="21" operator="greaterThan">
      <formula>0</formula>
    </cfRule>
  </conditionalFormatting>
  <conditionalFormatting sqref="P53">
    <cfRule type="cellIs" dxfId="481" priority="25" operator="lessThan">
      <formula>0</formula>
    </cfRule>
  </conditionalFormatting>
  <conditionalFormatting sqref="Q53">
    <cfRule type="cellIs" dxfId="480" priority="22" operator="greaterThan">
      <formula>1</formula>
    </cfRule>
    <cfRule type="cellIs" dxfId="479" priority="23" operator="lessThan">
      <formula>0.8</formula>
    </cfRule>
  </conditionalFormatting>
  <conditionalFormatting sqref="R53 AC53">
    <cfRule type="cellIs" dxfId="478" priority="26" operator="lessThan">
      <formula>0.8</formula>
    </cfRule>
  </conditionalFormatting>
  <conditionalFormatting sqref="AC53">
    <cfRule type="cellIs" dxfId="477" priority="24" operator="lessThan">
      <formula>0.8</formula>
    </cfRule>
  </conditionalFormatting>
  <conditionalFormatting sqref="R26 AC26">
    <cfRule type="cellIs" dxfId="476" priority="20" operator="lessThan">
      <formula>0.8</formula>
    </cfRule>
  </conditionalFormatting>
  <conditionalFormatting sqref="AC26">
    <cfRule type="cellIs" dxfId="475" priority="19" operator="lessThan">
      <formula>0.8</formula>
    </cfRule>
  </conditionalFormatting>
  <conditionalFormatting sqref="O63">
    <cfRule type="cellIs" dxfId="474" priority="14" operator="greaterThan">
      <formula>0</formula>
    </cfRule>
  </conditionalFormatting>
  <conditionalFormatting sqref="P63 AA63">
    <cfRule type="cellIs" dxfId="473" priority="17" operator="lessThan">
      <formula>0</formula>
    </cfRule>
  </conditionalFormatting>
  <conditionalFormatting sqref="Q63 AB63">
    <cfRule type="cellIs" dxfId="472" priority="15" operator="greaterThan">
      <formula>1</formula>
    </cfRule>
    <cfRule type="cellIs" dxfId="471" priority="16" operator="lessThan">
      <formula>0.8</formula>
    </cfRule>
  </conditionalFormatting>
  <conditionalFormatting sqref="R63 AC63">
    <cfRule type="cellIs" dxfId="470" priority="18" operator="lessThan">
      <formula>0.8</formula>
    </cfRule>
  </conditionalFormatting>
  <conditionalFormatting sqref="P9">
    <cfRule type="cellIs" dxfId="469" priority="13" operator="lessThan">
      <formula>0</formula>
    </cfRule>
  </conditionalFormatting>
  <conditionalFormatting sqref="P19">
    <cfRule type="cellIs" dxfId="468" priority="12" operator="lessThan">
      <formula>0</formula>
    </cfRule>
  </conditionalFormatting>
  <conditionalFormatting sqref="P28">
    <cfRule type="cellIs" dxfId="467" priority="11" operator="lessThan">
      <formula>0</formula>
    </cfRule>
  </conditionalFormatting>
  <conditionalFormatting sqref="P37">
    <cfRule type="cellIs" dxfId="466" priority="10" operator="lessThan">
      <formula>0</formula>
    </cfRule>
  </conditionalFormatting>
  <conditionalFormatting sqref="P54">
    <cfRule type="cellIs" dxfId="465" priority="9" operator="lessThan">
      <formula>0</formula>
    </cfRule>
  </conditionalFormatting>
  <conditionalFormatting sqref="P61">
    <cfRule type="cellIs" dxfId="464" priority="8" operator="lessThan">
      <formula>0</formula>
    </cfRule>
  </conditionalFormatting>
  <conditionalFormatting sqref="P66">
    <cfRule type="cellIs" dxfId="463" priority="7" operator="lessThan">
      <formula>0</formula>
    </cfRule>
  </conditionalFormatting>
  <conditionalFormatting sqref="P75">
    <cfRule type="cellIs" dxfId="462" priority="6" operator="lessThan">
      <formula>0</formula>
    </cfRule>
  </conditionalFormatting>
  <conditionalFormatting sqref="O74">
    <cfRule type="cellIs" dxfId="461" priority="1" operator="greaterThan">
      <formula>0</formula>
    </cfRule>
  </conditionalFormatting>
  <conditionalFormatting sqref="P74">
    <cfRule type="cellIs" dxfId="460" priority="4" operator="lessThan">
      <formula>0</formula>
    </cfRule>
  </conditionalFormatting>
  <conditionalFormatting sqref="Q74">
    <cfRule type="cellIs" dxfId="459" priority="2" operator="greaterThan">
      <formula>1</formula>
    </cfRule>
    <cfRule type="cellIs" dxfId="458" priority="3" operator="lessThan">
      <formula>0.8</formula>
    </cfRule>
  </conditionalFormatting>
  <conditionalFormatting sqref="R74">
    <cfRule type="cellIs" dxfId="457" priority="5" operator="lessThan">
      <formula>0.8</formula>
    </cfRule>
  </conditionalFormatting>
  <dataValidations count="1">
    <dataValidation type="list" allowBlank="1" showInputMessage="1" showErrorMessage="1" sqref="Z9 Y5:Z8 Y9:Y65 Z11:Z62 Y66:Z75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="85" zoomScaleNormal="85" workbookViewId="0">
      <selection activeCell="O7" sqref="O7"/>
    </sheetView>
  </sheetViews>
  <sheetFormatPr defaultColWidth="8.75" defaultRowHeight="15.75"/>
  <cols>
    <col min="1" max="1" width="8.75" style="2"/>
    <col min="2" max="2" width="17.875" style="2" customWidth="1"/>
    <col min="3" max="3" width="9.25" style="9" customWidth="1"/>
    <col min="4" max="13" width="12.625" style="2" customWidth="1"/>
    <col min="14" max="14" width="11" style="2" bestFit="1" customWidth="1"/>
    <col min="15" max="15" width="17.75" style="2" bestFit="1" customWidth="1"/>
    <col min="16" max="16" width="12.25" style="2" bestFit="1" customWidth="1"/>
    <col min="17" max="22" width="9.25" style="2" customWidth="1"/>
    <col min="23" max="23" width="10.75" style="2" customWidth="1"/>
    <col min="24" max="24" width="11" style="2" customWidth="1"/>
    <col min="25" max="16384" width="8.75" style="2"/>
  </cols>
  <sheetData>
    <row r="1" spans="2:17" ht="27.75" customHeight="1">
      <c r="B1" s="546" t="s">
        <v>451</v>
      </c>
      <c r="C1" s="546"/>
      <c r="D1" s="546"/>
      <c r="E1" s="546"/>
      <c r="F1" s="546"/>
      <c r="G1" s="546"/>
      <c r="H1" s="546"/>
      <c r="I1" s="546"/>
      <c r="J1" s="546"/>
      <c r="K1" s="1"/>
      <c r="L1" s="1"/>
      <c r="M1" s="1"/>
      <c r="N1" s="1"/>
      <c r="O1" s="1"/>
      <c r="P1" s="1"/>
    </row>
    <row r="2" spans="2:17" ht="27.75" customHeight="1">
      <c r="B2" s="547"/>
      <c r="C2" s="547"/>
      <c r="D2" s="547"/>
      <c r="E2" s="547"/>
      <c r="F2" s="547"/>
      <c r="G2" s="547"/>
      <c r="H2" s="547"/>
      <c r="I2" s="547"/>
      <c r="J2" s="547"/>
      <c r="K2" s="3"/>
      <c r="L2" s="3"/>
      <c r="M2" s="3"/>
      <c r="N2" s="1"/>
      <c r="O2" s="1"/>
      <c r="P2" s="1"/>
    </row>
    <row r="3" spans="2:17" ht="46.5" customHeight="1">
      <c r="B3" s="4" t="s">
        <v>452</v>
      </c>
      <c r="C3" s="548" t="str">
        <f>TEXT('1206 4度C'!A2,"yyyy.mm.ddaaaa")</f>
        <v>2025.12.06星期六</v>
      </c>
      <c r="D3" s="549"/>
      <c r="E3" s="4" t="s">
        <v>453</v>
      </c>
      <c r="F3" s="550">
        <f>'1206 4度C'!D1</f>
        <v>146760</v>
      </c>
      <c r="G3" s="551"/>
      <c r="H3" s="4" t="s">
        <v>454</v>
      </c>
      <c r="I3" s="552">
        <f>'1206 4度C'!F1</f>
        <v>5024604.6900000004</v>
      </c>
      <c r="J3" s="553"/>
      <c r="K3" s="5"/>
      <c r="L3" s="6"/>
      <c r="M3" s="7"/>
      <c r="N3" s="7"/>
    </row>
    <row r="4" spans="2:17" ht="28.5" customHeight="1">
      <c r="B4" s="554" t="s">
        <v>455</v>
      </c>
      <c r="C4" s="536" t="s">
        <v>456</v>
      </c>
      <c r="D4" s="537"/>
      <c r="E4" s="557" t="s">
        <v>457</v>
      </c>
      <c r="F4" s="558"/>
      <c r="G4" s="557" t="s">
        <v>458</v>
      </c>
      <c r="H4" s="558"/>
      <c r="I4" s="557" t="s">
        <v>459</v>
      </c>
      <c r="J4" s="558"/>
      <c r="L4" s="7"/>
      <c r="M4" s="7"/>
      <c r="N4" s="7"/>
    </row>
    <row r="5" spans="2:17" ht="28.5" customHeight="1">
      <c r="B5" s="555"/>
      <c r="C5" s="536" t="s">
        <v>460</v>
      </c>
      <c r="D5" s="537"/>
      <c r="E5" s="536" t="s">
        <v>461</v>
      </c>
      <c r="F5" s="537"/>
      <c r="G5" s="538" t="s">
        <v>462</v>
      </c>
      <c r="H5" s="539"/>
      <c r="I5" s="540" t="s">
        <v>463</v>
      </c>
      <c r="J5" s="541"/>
      <c r="K5" s="7"/>
      <c r="L5" s="7"/>
      <c r="M5" s="7"/>
      <c r="N5" s="7"/>
    </row>
    <row r="6" spans="2:17" ht="28.5" customHeight="1">
      <c r="B6" s="555"/>
      <c r="C6" s="536" t="s">
        <v>46</v>
      </c>
      <c r="D6" s="537"/>
      <c r="E6" s="542">
        <f>AVERAGE(D13:M13)</f>
        <v>154.2472361156205</v>
      </c>
      <c r="F6" s="543">
        <f>AVERAGE(D27:O27,D13:J13)</f>
        <v>160.44269175758728</v>
      </c>
      <c r="G6" s="544">
        <f>AVERAGE(D13:J13)</f>
        <v>160.44269175758728</v>
      </c>
      <c r="H6" s="545"/>
      <c r="I6" s="544">
        <f>AVERAGE(K13:M13)</f>
        <v>139.79117295103126</v>
      </c>
      <c r="J6" s="545"/>
      <c r="K6" s="7"/>
      <c r="L6" s="7"/>
      <c r="M6" s="7"/>
      <c r="N6" s="7"/>
    </row>
    <row r="7" spans="2:17" ht="28.5" customHeight="1">
      <c r="B7" s="555"/>
      <c r="C7" s="526" t="s">
        <v>47</v>
      </c>
      <c r="D7" s="527"/>
      <c r="E7" s="528">
        <f>AVERAGE(D14:M14)</f>
        <v>148.1675859625326</v>
      </c>
      <c r="F7" s="529">
        <f>AVERAGE(D28:O28,D14:J14)</f>
        <v>154.29988900109697</v>
      </c>
      <c r="G7" s="530">
        <f>AVERAGE(D14:J14)</f>
        <v>154.29988900109697</v>
      </c>
      <c r="H7" s="531"/>
      <c r="I7" s="530">
        <f>AVERAGE(K14:M14)</f>
        <v>133.85887887254901</v>
      </c>
      <c r="J7" s="531"/>
      <c r="K7" s="7"/>
      <c r="L7" s="7"/>
      <c r="M7" s="7"/>
      <c r="N7" s="7"/>
    </row>
    <row r="8" spans="2:17" ht="28.5" customHeight="1">
      <c r="B8" s="556"/>
      <c r="C8" s="526" t="s">
        <v>48</v>
      </c>
      <c r="D8" s="527"/>
      <c r="E8" s="532">
        <f>AVERAGE(D15:M15)</f>
        <v>0.96011973255647509</v>
      </c>
      <c r="F8" s="533">
        <f>AVERAGE(D15:J15,D29:O29)</f>
        <v>0.96124524811336176</v>
      </c>
      <c r="G8" s="534">
        <f>AVERAGE(D15:J15)</f>
        <v>0.96124524811336176</v>
      </c>
      <c r="H8" s="535"/>
      <c r="I8" s="534">
        <f>AVERAGE(K15:M15)</f>
        <v>0.95749352959040646</v>
      </c>
      <c r="J8" s="535"/>
      <c r="K8" s="8" t="s">
        <v>464</v>
      </c>
      <c r="L8" s="7"/>
      <c r="M8" s="7"/>
      <c r="N8" s="7"/>
    </row>
    <row r="9" spans="2:17" ht="28.5" customHeight="1" thickBot="1">
      <c r="H9" s="10"/>
      <c r="N9" s="7"/>
      <c r="O9" s="7"/>
      <c r="P9" s="7"/>
      <c r="Q9" s="7"/>
    </row>
    <row r="10" spans="2:17" ht="30" customHeight="1">
      <c r="B10" s="509" t="s">
        <v>465</v>
      </c>
      <c r="C10" s="510"/>
      <c r="D10" s="511" t="s">
        <v>466</v>
      </c>
      <c r="E10" s="512"/>
      <c r="F10" s="512"/>
      <c r="G10" s="512"/>
      <c r="H10" s="512"/>
      <c r="I10" s="512"/>
      <c r="J10" s="513"/>
      <c r="K10" s="514" t="s">
        <v>467</v>
      </c>
      <c r="L10" s="515"/>
      <c r="M10" s="516"/>
      <c r="P10" s="11"/>
      <c r="Q10" s="11"/>
    </row>
    <row r="11" spans="2:17" ht="17.25" customHeight="1">
      <c r="B11" s="517" t="s">
        <v>468</v>
      </c>
      <c r="C11" s="518"/>
      <c r="D11" s="12">
        <v>1</v>
      </c>
      <c r="E11" s="13">
        <v>2</v>
      </c>
      <c r="F11" s="13">
        <v>3</v>
      </c>
      <c r="G11" s="13">
        <v>4</v>
      </c>
      <c r="H11" s="13">
        <v>5</v>
      </c>
      <c r="I11" s="13">
        <v>6</v>
      </c>
      <c r="J11" s="14">
        <v>7</v>
      </c>
      <c r="K11" s="12">
        <v>1</v>
      </c>
      <c r="L11" s="13">
        <v>2</v>
      </c>
      <c r="M11" s="14">
        <v>3</v>
      </c>
      <c r="P11" s="11"/>
      <c r="Q11" s="11"/>
    </row>
    <row r="12" spans="2:17" ht="34.15" customHeight="1">
      <c r="B12" s="519"/>
      <c r="C12" s="520"/>
      <c r="D12" s="15" t="s">
        <v>49</v>
      </c>
      <c r="E12" s="16" t="s">
        <v>50</v>
      </c>
      <c r="F12" s="16" t="s">
        <v>51</v>
      </c>
      <c r="G12" s="16" t="s">
        <v>52</v>
      </c>
      <c r="H12" s="16" t="s">
        <v>53</v>
      </c>
      <c r="I12" s="16" t="s">
        <v>54</v>
      </c>
      <c r="J12" s="17" t="s">
        <v>55</v>
      </c>
      <c r="K12" s="15" t="s">
        <v>56</v>
      </c>
      <c r="L12" s="16" t="s">
        <v>57</v>
      </c>
      <c r="M12" s="17" t="s">
        <v>58</v>
      </c>
    </row>
    <row r="13" spans="2:17" ht="40.15" customHeight="1">
      <c r="B13" s="521" t="s">
        <v>469</v>
      </c>
      <c r="C13" s="18" t="s">
        <v>470</v>
      </c>
      <c r="D13" s="19">
        <f>SUMIFS('1206 4度C'!$K:$K,'1206 4度C'!$A:$A,"新豐6線",'1206 4度C'!$B:$B,"平均")</f>
        <v>133.33333333333334</v>
      </c>
      <c r="E13" s="20">
        <f>SUMIFS('1206 4度C'!$K:$K,'1206 4度C'!$A:$A,"新豐2線",'1206 4度C'!$B:$B,"平均")</f>
        <v>83.333333333333329</v>
      </c>
      <c r="F13" s="21">
        <f>SUMIFS('1206 4度C'!$K:$K,'1206 4度C'!$A:$A,"新豐5線",'1206 4度C'!$B:$B,"平均")</f>
        <v>98.901098901098905</v>
      </c>
      <c r="G13" s="21">
        <f>SUMIFS('1206 4度C'!$K:$K,'1206 4度C'!$A:$A,"新豐7線",'1206 4度C'!$B:$B,"平均")</f>
        <v>118.32061068702291</v>
      </c>
      <c r="H13" s="21">
        <f>SUMIFS('1206 4度C'!$K:$K,'1206 4度C'!$A:$A,"新豐3線",'1206 4度C'!$B:$B,"平均")</f>
        <v>281.69014084507046</v>
      </c>
      <c r="I13" s="21">
        <f>SUMIFS('1206 4度C'!$K:$K,'1206 4度C'!$A:$A,"新豐1線",'1206 4度C'!$B:$B,"平均")</f>
        <v>115.85365853658537</v>
      </c>
      <c r="J13" s="22">
        <f>SUMIFS('1206 4度C'!$K:$K,'1206 4度C'!$A:$A,"新豐10線",'1206 4度C'!$B:$B,"平均")</f>
        <v>291.66666666666669</v>
      </c>
      <c r="K13" s="23">
        <f>SUMIFS('1206 4度C'!$K:$K,'1206 4度C'!$A:$A,"新豐8線",'1206 4度C'!$B:$B,"平均")</f>
        <v>132.11009174311926</v>
      </c>
      <c r="L13" s="24">
        <f>SUMIFS('1206 4度C'!$K:$K,'1206 4度C'!$A:$A,"新豐9線",'1206 4度C'!$B:$B,"平均")</f>
        <v>141.1764705882353</v>
      </c>
      <c r="M13" s="22">
        <f>SUMIFS('1206 4度C'!$K:$K,'1206 4度C'!$A:$A,"新豐4線",'1206 4度C'!$B:$B,"平均")</f>
        <v>146.08695652173915</v>
      </c>
    </row>
    <row r="14" spans="2:17" ht="39.6" customHeight="1">
      <c r="B14" s="522"/>
      <c r="C14" s="25" t="s">
        <v>471</v>
      </c>
      <c r="D14" s="26">
        <f>SUMIFS('1206 4度C'!$N:$N,'1206 4度C'!$A:$A,"新豐6線",'1206 4度C'!$B:$B,"平均")</f>
        <v>127.77159732109904</v>
      </c>
      <c r="E14" s="27">
        <f>SUMIFS('1206 4度C'!$N:$N,'1206 4度C'!$A:$A,"新豐2線",'1206 4度C'!$B:$B,"平均")</f>
        <v>79.784559759528477</v>
      </c>
      <c r="F14" s="27">
        <f>SUMIFS('1206 4度C'!$N:$N,'1206 4度C'!$A:$A,"新豐5線",'1206 4度C'!$B:$B,"平均")</f>
        <v>95.129313686769109</v>
      </c>
      <c r="G14" s="27">
        <f>SUMIFS('1206 4度C'!$N:$N,'1206 4度C'!$A:$A,"新豐7線",'1206 4度C'!$B:$B,"平均")</f>
        <v>113.91910723502751</v>
      </c>
      <c r="H14" s="27">
        <f>SUMIFS('1206 4度C'!$N:$N,'1206 4度C'!$A:$A,"新豐3線",'1206 4度C'!$B:$B,"平均")</f>
        <v>270.98479680745231</v>
      </c>
      <c r="I14" s="27">
        <f>SUMIFS('1206 4度C'!$N:$N,'1206 4度C'!$A:$A,"新豐1線",'1206 4度C'!$B:$B,"平均")</f>
        <v>111.5907868287408</v>
      </c>
      <c r="J14" s="28">
        <f>SUMIFS('1206 4度C'!$N:$N,'1206 4度C'!$A:$A,"新豐10線",'1206 4度C'!$B:$B,"平均")</f>
        <v>280.91906136906147</v>
      </c>
      <c r="K14" s="29">
        <f>SUMIFS('1206 4度C'!$N:$N,'1206 4度C'!$A:$A,"新豐8線",'1206 4度C'!$B:$B,"平均")</f>
        <v>126.35971543746773</v>
      </c>
      <c r="L14" s="30">
        <f>SUMIFS('1206 4度C'!$N:$N,'1206 4度C'!$A:$A,"新豐9線",'1206 4度C'!$B:$B,"平均")</f>
        <v>134.74603562613621</v>
      </c>
      <c r="M14" s="28">
        <f>SUMIFS('1206 4度C'!$N:$N,'1206 4度C'!$A:$A,"新豐4線",'1206 4度C'!$B:$B,"平均")</f>
        <v>140.47088555404318</v>
      </c>
    </row>
    <row r="15" spans="2:17" ht="40.15" customHeight="1">
      <c r="B15" s="523"/>
      <c r="C15" s="31" t="s">
        <v>472</v>
      </c>
      <c r="D15" s="32">
        <f t="shared" ref="D15:M15" si="0">D14/D13</f>
        <v>0.95828697990824274</v>
      </c>
      <c r="E15" s="33">
        <f t="shared" si="0"/>
        <v>0.95741471711434178</v>
      </c>
      <c r="F15" s="33">
        <f t="shared" si="0"/>
        <v>0.9618630606106654</v>
      </c>
      <c r="G15" s="33">
        <f t="shared" si="0"/>
        <v>0.96280019663152283</v>
      </c>
      <c r="H15" s="33">
        <f t="shared" si="0"/>
        <v>0.96199602866645562</v>
      </c>
      <c r="I15" s="33">
        <f t="shared" si="0"/>
        <v>0.96320468631123635</v>
      </c>
      <c r="J15" s="34">
        <f t="shared" si="0"/>
        <v>0.96315106755106783</v>
      </c>
      <c r="K15" s="32">
        <f t="shared" si="0"/>
        <v>0.95647284601972105</v>
      </c>
      <c r="L15" s="33">
        <f t="shared" si="0"/>
        <v>0.95445108568513137</v>
      </c>
      <c r="M15" s="34">
        <f t="shared" si="0"/>
        <v>0.96155665706636684</v>
      </c>
    </row>
    <row r="16" spans="2:17" ht="17.25" customHeight="1">
      <c r="B16" s="524" t="s">
        <v>473</v>
      </c>
      <c r="C16" s="35" t="s">
        <v>474</v>
      </c>
      <c r="D16" s="49">
        <f>VLOOKUP("新豐6線",'1206 4度C'!$A:$T,19,0)</f>
        <v>0.70833333333333337</v>
      </c>
      <c r="E16" s="50">
        <f>VLOOKUP("新豐2線",'1206 4度C'!$A:$T,19,0)</f>
        <v>0.20833333333333334</v>
      </c>
      <c r="F16" s="50">
        <f>VLOOKUP("新豐5線",'1206 4度C'!$A:$T,19,0)</f>
        <v>0.125</v>
      </c>
      <c r="G16" s="50">
        <f>VLOOKUP("新豐7線",'1206 4度C'!$A:$T,19,0)</f>
        <v>0.20833333333333334</v>
      </c>
      <c r="H16" s="50">
        <f>VLOOKUP("新豐3線",'1206 4度C'!$A:$T,19,0)</f>
        <v>8.3333333333333329E-2</v>
      </c>
      <c r="I16" s="50">
        <f>VLOOKUP("新豐1線",'1206 4度C'!$A:$T,19,0)</f>
        <v>0.20833333333333334</v>
      </c>
      <c r="J16" s="51">
        <f>VLOOKUP("新豐10線",'1206 4度C'!$A:$T,19,0)</f>
        <v>0.20833333333333334</v>
      </c>
      <c r="K16" s="36">
        <f>VLOOKUP("新豐8線",'1206 4度C'!$A:$T,19,0)</f>
        <v>8.3333333333333329E-2</v>
      </c>
      <c r="L16" s="37">
        <f>VLOOKUP("新豐9線",'1206 4度C'!$A:$T,19,0)</f>
        <v>8.3333333333333329E-2</v>
      </c>
      <c r="M16" s="38">
        <f>VLOOKUP("新豐4線",'1206 4度C'!$A:$T,19,0)</f>
        <v>8.3333333333333329E-2</v>
      </c>
    </row>
    <row r="17" spans="2:13" ht="17.25" customHeight="1">
      <c r="B17" s="525"/>
      <c r="C17" s="35" t="s">
        <v>73</v>
      </c>
      <c r="D17" s="36">
        <f>LOOKUP(2,1/(('1206 4度C'!$A:$A="新豐6線")*('1206 4度C'!$T:$T&lt;&gt;"")),'1206 4度C'!$T:$T)</f>
        <v>0.8520833333333333</v>
      </c>
      <c r="E17" s="50">
        <f>LOOKUP(2,1/(('1206 4度C'!$A:$A="新豐2線")*('1206 4度C'!$T:$T&lt;&gt;"")),'1206 4度C'!$T:$T)</f>
        <v>0.46458333333333329</v>
      </c>
      <c r="F17" s="50">
        <f>LOOKUP(2,1/(('1206 4度C'!$A:$A="新豐5線")*('1206 4度C'!$T:$T&lt;&gt;"")),'1206 4度C'!$T:$T)</f>
        <v>0.85416666666666674</v>
      </c>
      <c r="G17" s="50">
        <f>LOOKUP(2,1/(('1206 4度C'!$A:$A="新豐7線")*('1206 4度C'!$T:$T&lt;&gt;"")),'1206 4度C'!$T:$T)</f>
        <v>0.8340277777777777</v>
      </c>
      <c r="H17" s="50">
        <f>LOOKUP(2,1/(('1206 4度C'!$A:$A="新豐3線")*('1206 4度C'!$T:$T&lt;&gt;"")),'1206 4度C'!$T:$T)</f>
        <v>0.47638888888888875</v>
      </c>
      <c r="I17" s="50">
        <f>LOOKUP(2,1/(('1206 4度C'!$A:$A="新豐1線")*('1206 4度C'!$T:$T&lt;&gt;"")),'1206 4度C'!$T:$T)</f>
        <v>0.88402777777777775</v>
      </c>
      <c r="J17" s="51">
        <f>LOOKUP(2,1/(('1206 4度C'!$A:$A="新豐10線")*('1206 4度C'!$T:$T&lt;&gt;"")),'1206 4度C'!$T:$T)</f>
        <v>0.40555555555555545</v>
      </c>
      <c r="K17" s="49">
        <f>LOOKUP(2,1/(('1206 4度C'!$A:$A="新豐8線")*('1206 4度C'!$T:$T&lt;&gt;"")),'1206 4度C'!$T:$T)</f>
        <v>0.58472222222222214</v>
      </c>
      <c r="L17" s="50">
        <f>LOOKUP(2,1/(('1206 4度C'!$A:$A="新豐9線")*('1206 4度C'!$T:$T&lt;&gt;"")),'1206 4度C'!$T:$T)</f>
        <v>0.57499999999999996</v>
      </c>
      <c r="M17" s="51">
        <f>LOOKUP(2,1/(('1206 4度C'!$A:$A="新豐4線")*('1206 4度C'!$T:$T&lt;&gt;"")),'1206 4度C'!$T:$T)</f>
        <v>0.47847222222222224</v>
      </c>
    </row>
    <row r="18" spans="2:13" ht="17.25" customHeight="1">
      <c r="B18" s="503" t="s">
        <v>475</v>
      </c>
      <c r="C18" s="504"/>
      <c r="D18" s="39">
        <f>SUMIFS('1206 4度C'!$I:$I,'1206 4度C'!$A:$A,"新豐6線",'1206 4度C'!$B:$B,"平均")</f>
        <v>15</v>
      </c>
      <c r="E18" s="40">
        <f>SUMIFS('1206 4度C'!$I:$I,'1206 4度C'!$A:$A,"新豐2線",'1206 4度C'!$B:$B,"平均")</f>
        <v>18</v>
      </c>
      <c r="F18" s="40">
        <f>SUMIFS('1206 4度C'!$I:$I,'1206 4度C'!$A:$A,"新豐5線",'1206 4度C'!$B:$B,"平均")</f>
        <v>18.2</v>
      </c>
      <c r="G18" s="40">
        <f>SUMIFS('1206 4度C'!$I:$I,'1206 4度C'!$A:$A,"新豐7線",'1206 4度C'!$B:$B,"平均")</f>
        <v>16.375</v>
      </c>
      <c r="H18" s="40">
        <f>SUMIFS('1206 4度C'!$I:$I,'1206 4度C'!$A:$A,"新豐3線",'1206 4度C'!$B:$B,"平均")</f>
        <v>10.142857142857142</v>
      </c>
      <c r="I18" s="40">
        <f>SUMIFS('1206 4度C'!$I:$I,'1206 4度C'!$A:$A,"新豐1線",'1206 4度C'!$B:$B,"平均")</f>
        <v>16.399999999999999</v>
      </c>
      <c r="J18" s="41">
        <f>SUMIFS('1206 4度C'!$I:$I,'1206 4度C'!$A:$A,"新豐10線",'1206 4度C'!$B:$B,"平均")</f>
        <v>9</v>
      </c>
      <c r="K18" s="39">
        <f>SUMIFS('1206 4度C'!$I:$I,'1206 4度C'!$A:$A,"新豐8線",'1206 4度C'!$B:$B,"平均")</f>
        <v>18.166666666666668</v>
      </c>
      <c r="L18" s="40">
        <f>SUMIFS('1206 4度C'!$I:$I,'1206 4度C'!$A:$A,"新豐9線",'1206 4度C'!$B:$B,"平均")</f>
        <v>17</v>
      </c>
      <c r="M18" s="41">
        <f>SUMIFS('1206 4度C'!$I:$I,'1206 4度C'!$A:$A,"新豐4線",'1206 4度C'!$B:$B,"平均")</f>
        <v>16.428571428571427</v>
      </c>
    </row>
    <row r="19" spans="2:13" ht="17.25" customHeight="1">
      <c r="B19" s="503" t="s">
        <v>476</v>
      </c>
      <c r="C19" s="504"/>
      <c r="D19" s="42" t="s">
        <v>59</v>
      </c>
      <c r="E19" s="43" t="s">
        <v>60</v>
      </c>
      <c r="F19" s="43" t="s">
        <v>62</v>
      </c>
      <c r="G19" s="43" t="s">
        <v>477</v>
      </c>
      <c r="H19" s="43" t="s">
        <v>61</v>
      </c>
      <c r="I19" s="43" t="s">
        <v>59</v>
      </c>
      <c r="J19" s="44" t="s">
        <v>61</v>
      </c>
      <c r="K19" s="42" t="s">
        <v>139</v>
      </c>
      <c r="L19" s="43" t="s">
        <v>478</v>
      </c>
      <c r="M19" s="44" t="s">
        <v>478</v>
      </c>
    </row>
    <row r="20" spans="2:13" ht="17.25" customHeight="1">
      <c r="B20" s="503" t="s">
        <v>479</v>
      </c>
      <c r="C20" s="504"/>
      <c r="D20" s="42"/>
      <c r="E20" s="43"/>
      <c r="F20" s="43" t="s">
        <v>480</v>
      </c>
      <c r="G20" s="43" t="s">
        <v>59</v>
      </c>
      <c r="H20" s="43"/>
      <c r="I20" s="43"/>
      <c r="J20" s="44"/>
      <c r="K20" s="42"/>
      <c r="L20" s="43"/>
      <c r="M20" s="44"/>
    </row>
    <row r="21" spans="2:13" ht="17.25" customHeight="1" thickBot="1">
      <c r="B21" s="505" t="s">
        <v>481</v>
      </c>
      <c r="C21" s="506"/>
      <c r="D21" s="45"/>
      <c r="E21" s="46" t="s">
        <v>482</v>
      </c>
      <c r="F21" s="507" t="s">
        <v>483</v>
      </c>
      <c r="G21" s="508"/>
      <c r="H21" s="46" t="s">
        <v>484</v>
      </c>
      <c r="I21" s="46" t="s">
        <v>485</v>
      </c>
      <c r="J21" s="47" t="s">
        <v>486</v>
      </c>
      <c r="K21" s="48"/>
      <c r="L21" s="46"/>
      <c r="M21" s="4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20:C20"/>
    <mergeCell ref="B21:C21"/>
    <mergeCell ref="F21:G21"/>
    <mergeCell ref="K10:M10"/>
    <mergeCell ref="B11:C12"/>
    <mergeCell ref="B13:B15"/>
    <mergeCell ref="B18:C18"/>
    <mergeCell ref="B19:C19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456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C68"/>
  <sheetViews>
    <sheetView zoomScale="80" zoomScaleNormal="80" workbookViewId="0">
      <pane ySplit="4" topLeftCell="A5" activePane="bottomLeft" state="frozen"/>
      <selection activeCell="O7" sqref="O7"/>
      <selection pane="bottomLeft" activeCell="B14" sqref="B14"/>
    </sheetView>
  </sheetViews>
  <sheetFormatPr defaultColWidth="8" defaultRowHeight="15.75"/>
  <cols>
    <col min="1" max="1" width="15.125" style="54" customWidth="1"/>
    <col min="2" max="2" width="19.375" style="54" customWidth="1"/>
    <col min="3" max="3" width="15.25" style="54" customWidth="1"/>
    <col min="4" max="4" width="17.5" style="54" customWidth="1"/>
    <col min="5" max="5" width="7.5" style="54" bestFit="1" customWidth="1"/>
    <col min="6" max="6" width="14.375" style="54" bestFit="1" customWidth="1"/>
    <col min="7" max="7" width="14.375" style="54" customWidth="1"/>
    <col min="8" max="8" width="8" style="73" customWidth="1"/>
    <col min="9" max="9" width="5.875" style="54" customWidth="1"/>
    <col min="10" max="10" width="10.625" style="54" customWidth="1"/>
    <col min="11" max="11" width="14.625" style="54" customWidth="1"/>
    <col min="12" max="12" width="7.25" style="54" bestFit="1" customWidth="1"/>
    <col min="13" max="13" width="8" style="54" customWidth="1"/>
    <col min="14" max="14" width="12" style="54" customWidth="1"/>
    <col min="15" max="15" width="6" style="54" customWidth="1"/>
    <col min="16" max="16" width="9.25" style="54" customWidth="1"/>
    <col min="17" max="17" width="11.5" style="54" customWidth="1"/>
    <col min="18" max="18" width="8.5" style="54" customWidth="1"/>
    <col min="19" max="19" width="10.125" style="73" bestFit="1" customWidth="1"/>
    <col min="20" max="20" width="7.625" style="73" bestFit="1" customWidth="1"/>
    <col min="21" max="21" width="10.25" style="54" bestFit="1" customWidth="1"/>
    <col min="22" max="22" width="8.75" style="71" customWidth="1"/>
    <col min="23" max="23" width="7.375" style="54" customWidth="1"/>
    <col min="24" max="24" width="6.875" style="54" bestFit="1" customWidth="1"/>
    <col min="25" max="25" width="12.75" style="54" customWidth="1"/>
    <col min="26" max="26" width="18.875" style="54" customWidth="1"/>
    <col min="27" max="27" width="13.125" style="54" bestFit="1" customWidth="1"/>
    <col min="28" max="28" width="10.375" style="54" customWidth="1"/>
    <col min="29" max="29" width="9.375" style="54" customWidth="1"/>
    <col min="30" max="30" width="8" style="54"/>
    <col min="31" max="31" width="24.625" style="54" bestFit="1" customWidth="1"/>
    <col min="32" max="16384" width="8" style="54"/>
  </cols>
  <sheetData>
    <row r="1" spans="1:29" ht="26.25" customHeight="1">
      <c r="A1" s="52" t="s">
        <v>487</v>
      </c>
      <c r="B1" s="52"/>
      <c r="C1" s="117" t="s">
        <v>488</v>
      </c>
      <c r="D1" s="118">
        <f>SUM(F5:F67)</f>
        <v>146760</v>
      </c>
      <c r="E1" s="150" t="s">
        <v>489</v>
      </c>
      <c r="F1" s="52">
        <f>SUM(G5:G67)</f>
        <v>5024604.6900000004</v>
      </c>
      <c r="G1" s="52" t="s">
        <v>490</v>
      </c>
      <c r="H1" s="170">
        <f>L8+L11+L48+L54+L17+L59+L33+L40+L26+L67</f>
        <v>154.71309523809524</v>
      </c>
      <c r="I1" s="607" t="s">
        <v>491</v>
      </c>
      <c r="J1" s="607"/>
      <c r="K1" s="607"/>
      <c r="L1" s="607" t="s">
        <v>492</v>
      </c>
      <c r="M1" s="607"/>
      <c r="N1" s="607"/>
      <c r="O1" s="607" t="s">
        <v>493</v>
      </c>
      <c r="P1" s="607"/>
      <c r="Q1" s="607"/>
      <c r="R1" s="607"/>
      <c r="S1" s="607" t="s">
        <v>494</v>
      </c>
      <c r="T1" s="607"/>
      <c r="U1" s="607"/>
      <c r="V1" s="607"/>
      <c r="W1" s="607"/>
      <c r="X1" s="607"/>
      <c r="Y1" s="607" t="s">
        <v>495</v>
      </c>
      <c r="Z1" s="607"/>
      <c r="AA1" s="607" t="s">
        <v>496</v>
      </c>
      <c r="AB1" s="608"/>
      <c r="AC1" s="608"/>
    </row>
    <row r="2" spans="1:29" ht="26.25" customHeight="1">
      <c r="A2" s="55">
        <v>45997</v>
      </c>
      <c r="B2" s="56" t="s">
        <v>497</v>
      </c>
      <c r="C2" s="117" t="s">
        <v>498</v>
      </c>
      <c r="D2" s="119">
        <f>AVERAGE(N8,N11,N48,N54,N17,N59,N26,N33,N40,N67)</f>
        <v>148.16758596253257</v>
      </c>
      <c r="E2" s="120" t="s">
        <v>0</v>
      </c>
      <c r="F2" s="121">
        <f>F1/D1</f>
        <v>34.23688123466885</v>
      </c>
      <c r="G2" s="52" t="s">
        <v>499</v>
      </c>
      <c r="H2" s="171">
        <f>COUNT(H5:H67)</f>
        <v>2</v>
      </c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8"/>
      <c r="AB2" s="608"/>
      <c r="AC2" s="608"/>
    </row>
    <row r="3" spans="1:29" ht="23.25" customHeight="1">
      <c r="A3" s="559" t="s">
        <v>500</v>
      </c>
      <c r="B3" s="559" t="s">
        <v>501</v>
      </c>
      <c r="C3" s="559" t="s">
        <v>502</v>
      </c>
      <c r="D3" s="559"/>
      <c r="E3" s="605" t="s">
        <v>503</v>
      </c>
      <c r="F3" s="559" t="s">
        <v>504</v>
      </c>
      <c r="G3" s="605" t="s">
        <v>505</v>
      </c>
      <c r="H3" s="611" t="s">
        <v>506</v>
      </c>
      <c r="I3" s="596" t="s">
        <v>507</v>
      </c>
      <c r="J3" s="601" t="s">
        <v>508</v>
      </c>
      <c r="K3" s="603" t="s">
        <v>498</v>
      </c>
      <c r="L3" s="596" t="s">
        <v>507</v>
      </c>
      <c r="M3" s="601" t="s">
        <v>508</v>
      </c>
      <c r="N3" s="603" t="s">
        <v>498</v>
      </c>
      <c r="O3" s="596" t="s">
        <v>507</v>
      </c>
      <c r="P3" s="603" t="s">
        <v>498</v>
      </c>
      <c r="Q3" s="602" t="s">
        <v>509</v>
      </c>
      <c r="R3" s="574" t="s">
        <v>510</v>
      </c>
      <c r="S3" s="604" t="s">
        <v>1</v>
      </c>
      <c r="T3" s="604"/>
      <c r="U3" s="598" t="s">
        <v>2</v>
      </c>
      <c r="V3" s="598" t="s">
        <v>511</v>
      </c>
      <c r="W3" s="559" t="s">
        <v>512</v>
      </c>
      <c r="X3" s="559"/>
      <c r="Y3" s="599" t="s">
        <v>513</v>
      </c>
      <c r="Z3" s="600"/>
      <c r="AA3" s="601" t="s">
        <v>514</v>
      </c>
      <c r="AB3" s="602" t="s">
        <v>515</v>
      </c>
      <c r="AC3" s="574" t="s">
        <v>516</v>
      </c>
    </row>
    <row r="4" spans="1:29">
      <c r="A4" s="559"/>
      <c r="B4" s="559"/>
      <c r="C4" s="559"/>
      <c r="D4" s="559"/>
      <c r="E4" s="606"/>
      <c r="F4" s="559"/>
      <c r="G4" s="606"/>
      <c r="H4" s="611"/>
      <c r="I4" s="596"/>
      <c r="J4" s="601"/>
      <c r="K4" s="603"/>
      <c r="L4" s="596"/>
      <c r="M4" s="601"/>
      <c r="N4" s="603"/>
      <c r="O4" s="596"/>
      <c r="P4" s="603"/>
      <c r="Q4" s="602"/>
      <c r="R4" s="574"/>
      <c r="S4" s="157" t="s">
        <v>3</v>
      </c>
      <c r="T4" s="157" t="s">
        <v>4</v>
      </c>
      <c r="U4" s="598"/>
      <c r="V4" s="598"/>
      <c r="W4" s="150" t="s">
        <v>517</v>
      </c>
      <c r="X4" s="150" t="s">
        <v>518</v>
      </c>
      <c r="Y4" s="600"/>
      <c r="Z4" s="600"/>
      <c r="AA4" s="601"/>
      <c r="AB4" s="602"/>
      <c r="AC4" s="574"/>
    </row>
    <row r="5" spans="1:29">
      <c r="A5" s="595" t="s">
        <v>519</v>
      </c>
      <c r="B5" s="57" t="s">
        <v>6</v>
      </c>
      <c r="C5" s="597" t="s">
        <v>9</v>
      </c>
      <c r="D5" s="597"/>
      <c r="E5" s="57">
        <v>50.67</v>
      </c>
      <c r="F5" s="157">
        <v>1565</v>
      </c>
      <c r="G5" s="150">
        <f t="shared" ref="G5:G7" si="0">E5*F5</f>
        <v>79298.55</v>
      </c>
      <c r="H5" s="72" t="s">
        <v>5</v>
      </c>
      <c r="I5" s="155">
        <v>17</v>
      </c>
      <c r="J5" s="58">
        <v>2000</v>
      </c>
      <c r="K5" s="59">
        <f t="shared" ref="K5:K67" si="1">J5/I5</f>
        <v>117.64705882352941</v>
      </c>
      <c r="L5" s="155">
        <v>17</v>
      </c>
      <c r="M5" s="60">
        <f t="shared" ref="M5:M7" si="2">F5/V5*60</f>
        <v>1916.3265306122455</v>
      </c>
      <c r="N5" s="59">
        <f t="shared" ref="N5:N67" si="3">M5/L5</f>
        <v>112.72509003601444</v>
      </c>
      <c r="O5" s="61">
        <f t="shared" ref="O5:O67" si="4">L5-I5</f>
        <v>0</v>
      </c>
      <c r="P5" s="62">
        <f t="shared" ref="P5:P67" si="5">N5-K5</f>
        <v>-4.9219687875149702</v>
      </c>
      <c r="Q5" s="151">
        <f t="shared" ref="Q5:Q67" si="6">N5/K5</f>
        <v>0.95816326530612272</v>
      </c>
      <c r="R5" s="566">
        <f>Q8</f>
        <v>0.95828697990824274</v>
      </c>
      <c r="S5" s="63">
        <v>0.70833333333333337</v>
      </c>
      <c r="T5" s="63">
        <v>0.74236111111111114</v>
      </c>
      <c r="U5" s="150"/>
      <c r="V5" s="156">
        <f t="shared" ref="V5:V7" si="7">(T5-S5)*24*60</f>
        <v>48.999999999999986</v>
      </c>
      <c r="W5" s="64"/>
      <c r="X5" s="65"/>
      <c r="Y5" s="559"/>
      <c r="Z5" s="559"/>
      <c r="AA5" s="61">
        <f t="shared" ref="AA5:AA67" si="8">M5-J5</f>
        <v>-83.673469387754494</v>
      </c>
      <c r="AB5" s="151">
        <f t="shared" ref="AB5:AB67" si="9">M5/J5</f>
        <v>0.95816326530612272</v>
      </c>
      <c r="AC5" s="566">
        <f>AB8</f>
        <v>0.95828697990824274</v>
      </c>
    </row>
    <row r="6" spans="1:29">
      <c r="A6" s="596" t="s">
        <v>520</v>
      </c>
      <c r="B6" s="57" t="s">
        <v>6</v>
      </c>
      <c r="C6" s="597" t="s">
        <v>8</v>
      </c>
      <c r="D6" s="597"/>
      <c r="E6" s="57">
        <v>50.49</v>
      </c>
      <c r="F6" s="157">
        <v>1912</v>
      </c>
      <c r="G6" s="150">
        <f t="shared" si="0"/>
        <v>96536.88</v>
      </c>
      <c r="H6" s="72" t="s">
        <v>5</v>
      </c>
      <c r="I6" s="155">
        <v>15</v>
      </c>
      <c r="J6" s="58">
        <v>2000</v>
      </c>
      <c r="K6" s="59">
        <f t="shared" si="1"/>
        <v>133.33333333333334</v>
      </c>
      <c r="L6" s="155">
        <v>15</v>
      </c>
      <c r="M6" s="60">
        <f t="shared" si="2"/>
        <v>1912.0000000000018</v>
      </c>
      <c r="N6" s="59">
        <f t="shared" si="3"/>
        <v>127.46666666666678</v>
      </c>
      <c r="O6" s="61">
        <f t="shared" si="4"/>
        <v>0</v>
      </c>
      <c r="P6" s="62">
        <f t="shared" si="5"/>
        <v>-5.8666666666665606</v>
      </c>
      <c r="Q6" s="151">
        <f t="shared" si="6"/>
        <v>0.95600000000000085</v>
      </c>
      <c r="R6" s="566"/>
      <c r="S6" s="63">
        <v>0.74583333333333335</v>
      </c>
      <c r="T6" s="63">
        <v>0.78749999999999998</v>
      </c>
      <c r="U6" s="150">
        <f t="shared" ref="U6:U7" si="10">IF(S6=TIME(17,0,0),"",(S6-T5)*24*60)</f>
        <v>4.9999999999999822</v>
      </c>
      <c r="V6" s="156">
        <f t="shared" si="7"/>
        <v>59.999999999999943</v>
      </c>
      <c r="W6" s="64"/>
      <c r="X6" s="64"/>
      <c r="Y6" s="559"/>
      <c r="Z6" s="559"/>
      <c r="AA6" s="61">
        <f t="shared" si="8"/>
        <v>-87.999999999998181</v>
      </c>
      <c r="AB6" s="151">
        <f t="shared" si="9"/>
        <v>0.95600000000000096</v>
      </c>
      <c r="AC6" s="566"/>
    </row>
    <row r="7" spans="1:29">
      <c r="A7" s="596" t="s">
        <v>521</v>
      </c>
      <c r="B7" s="57" t="s">
        <v>6</v>
      </c>
      <c r="C7" s="590" t="s">
        <v>94</v>
      </c>
      <c r="D7" s="591"/>
      <c r="E7" s="57">
        <v>57.3</v>
      </c>
      <c r="F7" s="157">
        <v>2754</v>
      </c>
      <c r="G7" s="150">
        <f t="shared" si="0"/>
        <v>157804.19999999998</v>
      </c>
      <c r="H7" s="72" t="s">
        <v>5</v>
      </c>
      <c r="I7" s="155">
        <v>13</v>
      </c>
      <c r="J7" s="58">
        <v>2000</v>
      </c>
      <c r="K7" s="59">
        <f t="shared" si="1"/>
        <v>153.84615384615384</v>
      </c>
      <c r="L7" s="155">
        <v>13</v>
      </c>
      <c r="M7" s="60">
        <f t="shared" si="2"/>
        <v>1921.395348837209</v>
      </c>
      <c r="N7" s="59">
        <f t="shared" si="3"/>
        <v>147.79964221824685</v>
      </c>
      <c r="O7" s="61">
        <f t="shared" si="4"/>
        <v>0</v>
      </c>
      <c r="P7" s="62">
        <f t="shared" si="5"/>
        <v>-6.0465116279069946</v>
      </c>
      <c r="Q7" s="151">
        <f t="shared" si="6"/>
        <v>0.96069767441860454</v>
      </c>
      <c r="R7" s="566"/>
      <c r="S7" s="63">
        <v>0.79236111111111107</v>
      </c>
      <c r="T7" s="63">
        <v>0.8520833333333333</v>
      </c>
      <c r="U7" s="150">
        <f t="shared" si="10"/>
        <v>6.9999999999999751</v>
      </c>
      <c r="V7" s="156">
        <f t="shared" si="7"/>
        <v>86.000000000000014</v>
      </c>
      <c r="W7" s="64"/>
      <c r="X7" s="64"/>
      <c r="Y7" s="569"/>
      <c r="Z7" s="570"/>
      <c r="AA7" s="61">
        <f t="shared" si="8"/>
        <v>-78.604651162791015</v>
      </c>
      <c r="AB7" s="151">
        <f t="shared" si="9"/>
        <v>0.96069767441860454</v>
      </c>
      <c r="AC7" s="566"/>
    </row>
    <row r="8" spans="1:29">
      <c r="A8" s="596" t="s">
        <v>522</v>
      </c>
      <c r="B8" s="57" t="s">
        <v>523</v>
      </c>
      <c r="C8" s="571"/>
      <c r="D8" s="571"/>
      <c r="E8" s="152"/>
      <c r="F8" s="66"/>
      <c r="G8" s="59"/>
      <c r="H8" s="157"/>
      <c r="I8" s="67">
        <v>15</v>
      </c>
      <c r="J8" s="58">
        <v>2000</v>
      </c>
      <c r="K8" s="59">
        <f t="shared" si="1"/>
        <v>133.33333333333334</v>
      </c>
      <c r="L8" s="67">
        <v>15</v>
      </c>
      <c r="M8" s="60">
        <f>AVERAGE(M5:M7)</f>
        <v>1916.5739598164855</v>
      </c>
      <c r="N8" s="59">
        <f t="shared" si="3"/>
        <v>127.77159732109904</v>
      </c>
      <c r="O8" s="61">
        <f t="shared" si="4"/>
        <v>0</v>
      </c>
      <c r="P8" s="62">
        <f t="shared" si="5"/>
        <v>-5.5617360122343058</v>
      </c>
      <c r="Q8" s="151">
        <f t="shared" si="6"/>
        <v>0.95828697990824274</v>
      </c>
      <c r="R8" s="566"/>
      <c r="S8" s="63"/>
      <c r="T8" s="63"/>
      <c r="U8" s="150"/>
      <c r="V8" s="156"/>
      <c r="W8" s="59"/>
      <c r="X8" s="59"/>
      <c r="Y8" s="559"/>
      <c r="Z8" s="559"/>
      <c r="AA8" s="61">
        <f t="shared" si="8"/>
        <v>-83.426040183514488</v>
      </c>
      <c r="AB8" s="151">
        <f t="shared" si="9"/>
        <v>0.95828697990824274</v>
      </c>
      <c r="AC8" s="566"/>
    </row>
    <row r="9" spans="1:29" ht="15.75" customHeight="1">
      <c r="A9" s="594" t="s">
        <v>524</v>
      </c>
      <c r="B9" s="57" t="s">
        <v>10</v>
      </c>
      <c r="C9" s="590" t="s">
        <v>11</v>
      </c>
      <c r="D9" s="591"/>
      <c r="E9" s="57">
        <v>39.799999999999997</v>
      </c>
      <c r="F9" s="157">
        <v>5277</v>
      </c>
      <c r="G9" s="150">
        <f t="shared" ref="G9:G10" si="11">E9*F9</f>
        <v>210024.59999999998</v>
      </c>
      <c r="H9" s="72" t="s">
        <v>5</v>
      </c>
      <c r="I9" s="155">
        <v>17</v>
      </c>
      <c r="J9" s="58">
        <v>1500</v>
      </c>
      <c r="K9" s="59">
        <f t="shared" si="1"/>
        <v>88.235294117647058</v>
      </c>
      <c r="L9" s="155">
        <v>17</v>
      </c>
      <c r="M9" s="60">
        <f t="shared" ref="M9:M10" si="12">F9/V9*60</f>
        <v>1432.6696832579187</v>
      </c>
      <c r="N9" s="59">
        <f t="shared" si="3"/>
        <v>84.274687250465803</v>
      </c>
      <c r="O9" s="61">
        <f t="shared" si="4"/>
        <v>0</v>
      </c>
      <c r="P9" s="62">
        <f t="shared" si="5"/>
        <v>-3.9606068671812551</v>
      </c>
      <c r="Q9" s="151">
        <f t="shared" si="6"/>
        <v>0.95511312217194577</v>
      </c>
      <c r="R9" s="566">
        <f>Q11</f>
        <v>0.95741471711434178</v>
      </c>
      <c r="S9" s="63">
        <v>0.20833333333333334</v>
      </c>
      <c r="T9" s="63">
        <v>0.36180555555555555</v>
      </c>
      <c r="U9" s="150"/>
      <c r="V9" s="156">
        <f t="shared" ref="V9:V10" si="13">(T9-S9)*24*60</f>
        <v>220.99999999999997</v>
      </c>
      <c r="W9" s="64"/>
      <c r="X9" s="64"/>
      <c r="Y9" s="559"/>
      <c r="Z9" s="559"/>
      <c r="AA9" s="61">
        <f t="shared" si="8"/>
        <v>-67.330316742081322</v>
      </c>
      <c r="AB9" s="151">
        <f t="shared" si="9"/>
        <v>0.95511312217194577</v>
      </c>
      <c r="AC9" s="566">
        <f>AB11</f>
        <v>0.95741471711434178</v>
      </c>
    </row>
    <row r="10" spans="1:29" ht="15.75" customHeight="1">
      <c r="A10" s="594" t="s">
        <v>525</v>
      </c>
      <c r="B10" s="57" t="s">
        <v>10</v>
      </c>
      <c r="C10" s="590" t="s">
        <v>14</v>
      </c>
      <c r="D10" s="591"/>
      <c r="E10" s="57">
        <v>39.619999999999997</v>
      </c>
      <c r="F10" s="157">
        <v>3383</v>
      </c>
      <c r="G10" s="150">
        <f t="shared" si="11"/>
        <v>134034.46</v>
      </c>
      <c r="H10" s="72" t="s">
        <v>5</v>
      </c>
      <c r="I10" s="155">
        <v>19</v>
      </c>
      <c r="J10" s="58">
        <v>1500</v>
      </c>
      <c r="K10" s="59">
        <f t="shared" si="1"/>
        <v>78.94736842105263</v>
      </c>
      <c r="L10" s="155">
        <v>19</v>
      </c>
      <c r="M10" s="60">
        <f t="shared" si="12"/>
        <v>1439.5744680851067</v>
      </c>
      <c r="N10" s="59">
        <f t="shared" si="3"/>
        <v>75.767077267637191</v>
      </c>
      <c r="O10" s="61">
        <f t="shared" si="4"/>
        <v>0</v>
      </c>
      <c r="P10" s="62">
        <f t="shared" si="5"/>
        <v>-3.180291153415439</v>
      </c>
      <c r="Q10" s="151">
        <f t="shared" si="6"/>
        <v>0.9597163120567378</v>
      </c>
      <c r="R10" s="566"/>
      <c r="S10" s="63">
        <v>0.36666666666666664</v>
      </c>
      <c r="T10" s="63">
        <v>0.46458333333333329</v>
      </c>
      <c r="U10" s="150">
        <f t="shared" ref="U10" si="14">IF(S10=TIME(17,0,0),"",(S10-T9)*24*60)</f>
        <v>6.9999999999999751</v>
      </c>
      <c r="V10" s="156">
        <f t="shared" si="13"/>
        <v>140.99999999999997</v>
      </c>
      <c r="W10" s="64"/>
      <c r="X10" s="64"/>
      <c r="Y10" s="559"/>
      <c r="Z10" s="559"/>
      <c r="AA10" s="61">
        <f t="shared" si="8"/>
        <v>-60.425531914893327</v>
      </c>
      <c r="AB10" s="151">
        <f t="shared" si="9"/>
        <v>0.9597163120567378</v>
      </c>
      <c r="AC10" s="566"/>
    </row>
    <row r="11" spans="1:29" ht="16.5" customHeight="1">
      <c r="A11" s="594" t="s">
        <v>524</v>
      </c>
      <c r="B11" s="57" t="s">
        <v>526</v>
      </c>
      <c r="C11" s="571"/>
      <c r="D11" s="571"/>
      <c r="E11" s="152"/>
      <c r="F11" s="58"/>
      <c r="G11" s="60"/>
      <c r="H11" s="157"/>
      <c r="I11" s="67">
        <v>18</v>
      </c>
      <c r="J11" s="58">
        <v>1500</v>
      </c>
      <c r="K11" s="59">
        <f t="shared" si="1"/>
        <v>83.333333333333329</v>
      </c>
      <c r="L11" s="67">
        <v>18</v>
      </c>
      <c r="M11" s="60">
        <f>AVERAGE(M9:M10)</f>
        <v>1436.1220756715127</v>
      </c>
      <c r="N11" s="59">
        <f t="shared" si="3"/>
        <v>79.784559759528477</v>
      </c>
      <c r="O11" s="61">
        <f t="shared" si="4"/>
        <v>0</v>
      </c>
      <c r="P11" s="62">
        <f t="shared" si="5"/>
        <v>-3.5487735738048514</v>
      </c>
      <c r="Q11" s="151">
        <f t="shared" si="6"/>
        <v>0.95741471711434178</v>
      </c>
      <c r="R11" s="566"/>
      <c r="S11" s="63"/>
      <c r="T11" s="63"/>
      <c r="U11" s="59"/>
      <c r="V11" s="156"/>
      <c r="W11" s="59"/>
      <c r="X11" s="59"/>
      <c r="Y11" s="559"/>
      <c r="Z11" s="559"/>
      <c r="AA11" s="61">
        <f t="shared" si="8"/>
        <v>-63.877924328487325</v>
      </c>
      <c r="AB11" s="151">
        <f t="shared" si="9"/>
        <v>0.95741471711434178</v>
      </c>
      <c r="AC11" s="566"/>
    </row>
    <row r="12" spans="1:29" ht="16.5" customHeight="1">
      <c r="A12" s="592" t="s">
        <v>527</v>
      </c>
      <c r="B12" s="157" t="s">
        <v>12</v>
      </c>
      <c r="C12" s="584" t="s">
        <v>13</v>
      </c>
      <c r="D12" s="584"/>
      <c r="E12" s="57">
        <v>41</v>
      </c>
      <c r="F12" s="157">
        <v>2134</v>
      </c>
      <c r="G12" s="150">
        <f t="shared" ref="G12:G16" si="15">E12*F12</f>
        <v>87494</v>
      </c>
      <c r="H12" s="72" t="s">
        <v>5</v>
      </c>
      <c r="I12" s="155">
        <v>26</v>
      </c>
      <c r="J12" s="58">
        <v>1500</v>
      </c>
      <c r="K12" s="59">
        <f t="shared" si="1"/>
        <v>57.692307692307693</v>
      </c>
      <c r="L12" s="155">
        <v>26</v>
      </c>
      <c r="M12" s="60">
        <f t="shared" ref="M12:M16" si="16">F12/V12*60</f>
        <v>1438.6516853932585</v>
      </c>
      <c r="N12" s="59">
        <f t="shared" si="3"/>
        <v>55.33275713050994</v>
      </c>
      <c r="O12" s="61">
        <f t="shared" si="4"/>
        <v>0</v>
      </c>
      <c r="P12" s="62">
        <f t="shared" si="5"/>
        <v>-2.3595505617977537</v>
      </c>
      <c r="Q12" s="151">
        <f t="shared" si="6"/>
        <v>0.95910112359550559</v>
      </c>
      <c r="R12" s="566">
        <f>Q17</f>
        <v>0.9618630606106654</v>
      </c>
      <c r="S12" s="63">
        <v>0.125</v>
      </c>
      <c r="T12" s="63">
        <v>0.18680555555555556</v>
      </c>
      <c r="U12" s="150"/>
      <c r="V12" s="156">
        <f t="shared" ref="V12:V16" si="17">(T12-S12)*24*60</f>
        <v>89</v>
      </c>
      <c r="W12" s="64">
        <f>T12</f>
        <v>0.18680555555555556</v>
      </c>
      <c r="X12" s="64">
        <f>S13</f>
        <v>0.20416666666666664</v>
      </c>
      <c r="Y12" s="559"/>
      <c r="Z12" s="559"/>
      <c r="AA12" s="61">
        <f t="shared" si="8"/>
        <v>-61.348314606741496</v>
      </c>
      <c r="AB12" s="151">
        <f t="shared" si="9"/>
        <v>0.9591011235955057</v>
      </c>
      <c r="AC12" s="566">
        <f>AB17</f>
        <v>0.9618630606106654</v>
      </c>
    </row>
    <row r="13" spans="1:29" ht="16.5" customHeight="1">
      <c r="A13" s="593" t="s">
        <v>528</v>
      </c>
      <c r="B13" s="157" t="s">
        <v>656</v>
      </c>
      <c r="C13" s="584" t="s">
        <v>236</v>
      </c>
      <c r="D13" s="584"/>
      <c r="E13" s="57">
        <v>72.400000000000006</v>
      </c>
      <c r="F13" s="157">
        <v>1453</v>
      </c>
      <c r="G13" s="150">
        <f t="shared" si="15"/>
        <v>105197.20000000001</v>
      </c>
      <c r="H13" s="72" t="s">
        <v>5</v>
      </c>
      <c r="I13" s="155">
        <v>18</v>
      </c>
      <c r="J13" s="58">
        <v>1500</v>
      </c>
      <c r="K13" s="59">
        <f t="shared" si="1"/>
        <v>83.333333333333329</v>
      </c>
      <c r="L13" s="155">
        <v>18</v>
      </c>
      <c r="M13" s="60">
        <f t="shared" si="16"/>
        <v>1429.1803278688526</v>
      </c>
      <c r="N13" s="59">
        <f t="shared" si="3"/>
        <v>79.398907103825138</v>
      </c>
      <c r="O13" s="61">
        <f t="shared" si="4"/>
        <v>0</v>
      </c>
      <c r="P13" s="62">
        <f t="shared" si="5"/>
        <v>-3.9344262295081904</v>
      </c>
      <c r="Q13" s="151">
        <f t="shared" si="6"/>
        <v>0.95278688524590172</v>
      </c>
      <c r="R13" s="566"/>
      <c r="S13" s="63">
        <v>0.20416666666666664</v>
      </c>
      <c r="T13" s="63">
        <v>0.24652777777777773</v>
      </c>
      <c r="U13" s="150">
        <f t="shared" ref="U13:U16" si="18">IF(S13=TIME(17,0,0),"",(S13-T12)*24*60)</f>
        <v>24.99999999999995</v>
      </c>
      <c r="V13" s="156">
        <f t="shared" si="17"/>
        <v>60.999999999999986</v>
      </c>
      <c r="W13" s="64"/>
      <c r="X13" s="64"/>
      <c r="Y13" s="559"/>
      <c r="Z13" s="559"/>
      <c r="AA13" s="61">
        <f t="shared" si="8"/>
        <v>-70.819672131147399</v>
      </c>
      <c r="AB13" s="151">
        <f t="shared" si="9"/>
        <v>0.95278688524590172</v>
      </c>
      <c r="AC13" s="566"/>
    </row>
    <row r="14" spans="1:29" ht="16.5" customHeight="1">
      <c r="A14" s="593" t="s">
        <v>529</v>
      </c>
      <c r="B14" s="157" t="s">
        <v>6</v>
      </c>
      <c r="C14" s="584" t="s">
        <v>95</v>
      </c>
      <c r="D14" s="584"/>
      <c r="E14" s="57">
        <v>50.98</v>
      </c>
      <c r="F14" s="157">
        <v>2783</v>
      </c>
      <c r="G14" s="150">
        <f t="shared" si="15"/>
        <v>141877.34</v>
      </c>
      <c r="H14" s="72" t="s">
        <v>5</v>
      </c>
      <c r="I14" s="155">
        <v>16</v>
      </c>
      <c r="J14" s="58">
        <v>2000</v>
      </c>
      <c r="K14" s="59">
        <f t="shared" si="1"/>
        <v>125</v>
      </c>
      <c r="L14" s="155">
        <v>16</v>
      </c>
      <c r="M14" s="60">
        <f t="shared" si="16"/>
        <v>1919.3103448275858</v>
      </c>
      <c r="N14" s="59">
        <f t="shared" si="3"/>
        <v>119.95689655172411</v>
      </c>
      <c r="O14" s="61">
        <f t="shared" si="4"/>
        <v>0</v>
      </c>
      <c r="P14" s="62">
        <f t="shared" si="5"/>
        <v>-5.0431034482758861</v>
      </c>
      <c r="Q14" s="151">
        <f t="shared" si="6"/>
        <v>0.95965517241379295</v>
      </c>
      <c r="R14" s="566"/>
      <c r="S14" s="63">
        <v>0.70833333333333337</v>
      </c>
      <c r="T14" s="63">
        <v>0.76875000000000004</v>
      </c>
      <c r="U14" s="150" t="str">
        <f t="shared" si="18"/>
        <v/>
      </c>
      <c r="V14" s="156">
        <f t="shared" si="17"/>
        <v>87.000000000000014</v>
      </c>
      <c r="W14" s="64"/>
      <c r="X14" s="64"/>
      <c r="Y14" s="559"/>
      <c r="Z14" s="559"/>
      <c r="AA14" s="61">
        <f t="shared" si="8"/>
        <v>-80.689655172414177</v>
      </c>
      <c r="AB14" s="151">
        <f t="shared" si="9"/>
        <v>0.95965517241379295</v>
      </c>
      <c r="AC14" s="566"/>
    </row>
    <row r="15" spans="1:29" ht="16.5" customHeight="1">
      <c r="A15" s="593" t="s">
        <v>528</v>
      </c>
      <c r="B15" s="157" t="s">
        <v>6</v>
      </c>
      <c r="C15" s="584" t="s">
        <v>18</v>
      </c>
      <c r="D15" s="584"/>
      <c r="E15" s="57">
        <v>50.92</v>
      </c>
      <c r="F15" s="157">
        <v>2774</v>
      </c>
      <c r="G15" s="150">
        <f t="shared" si="15"/>
        <v>141252.08000000002</v>
      </c>
      <c r="H15" s="72" t="s">
        <v>5</v>
      </c>
      <c r="I15" s="155">
        <v>15</v>
      </c>
      <c r="J15" s="58">
        <v>2000</v>
      </c>
      <c r="K15" s="59">
        <f t="shared" si="1"/>
        <v>133.33333333333334</v>
      </c>
      <c r="L15" s="155">
        <v>15</v>
      </c>
      <c r="M15" s="60">
        <f t="shared" si="16"/>
        <v>1913.1034482758619</v>
      </c>
      <c r="N15" s="59">
        <f t="shared" si="3"/>
        <v>127.54022988505746</v>
      </c>
      <c r="O15" s="61">
        <f t="shared" si="4"/>
        <v>0</v>
      </c>
      <c r="P15" s="62">
        <f t="shared" si="5"/>
        <v>-5.7931034482758861</v>
      </c>
      <c r="Q15" s="151">
        <f t="shared" si="6"/>
        <v>0.95655172413793088</v>
      </c>
      <c r="R15" s="566"/>
      <c r="S15" s="63">
        <v>0.77430555555555558</v>
      </c>
      <c r="T15" s="63">
        <v>0.83472222222222225</v>
      </c>
      <c r="U15" s="150">
        <f t="shared" si="18"/>
        <v>7.9999999999999716</v>
      </c>
      <c r="V15" s="156">
        <f t="shared" si="17"/>
        <v>87.000000000000014</v>
      </c>
      <c r="W15" s="64"/>
      <c r="X15" s="64"/>
      <c r="Y15" s="559"/>
      <c r="Z15" s="559"/>
      <c r="AA15" s="61">
        <f t="shared" si="8"/>
        <v>-86.896551724138135</v>
      </c>
      <c r="AB15" s="151">
        <f t="shared" si="9"/>
        <v>0.95655172413793088</v>
      </c>
      <c r="AC15" s="566"/>
    </row>
    <row r="16" spans="1:29" ht="16.5" customHeight="1">
      <c r="A16" s="593" t="s">
        <v>530</v>
      </c>
      <c r="B16" s="157" t="s">
        <v>6</v>
      </c>
      <c r="C16" s="584" t="s">
        <v>7</v>
      </c>
      <c r="D16" s="584"/>
      <c r="E16" s="57">
        <v>46.93</v>
      </c>
      <c r="F16" s="157">
        <v>750</v>
      </c>
      <c r="G16" s="150">
        <f t="shared" si="15"/>
        <v>35197.5</v>
      </c>
      <c r="H16" s="72" t="s">
        <v>5</v>
      </c>
      <c r="I16" s="155">
        <v>16</v>
      </c>
      <c r="J16" s="58">
        <v>2000</v>
      </c>
      <c r="K16" s="59">
        <f t="shared" si="1"/>
        <v>125</v>
      </c>
      <c r="L16" s="155">
        <v>16</v>
      </c>
      <c r="M16" s="60">
        <f t="shared" si="16"/>
        <v>1956.5217391304279</v>
      </c>
      <c r="N16" s="59">
        <f t="shared" si="3"/>
        <v>122.28260869565175</v>
      </c>
      <c r="O16" s="61">
        <f t="shared" si="4"/>
        <v>0</v>
      </c>
      <c r="P16" s="62">
        <f t="shared" si="5"/>
        <v>-2.7173913043482543</v>
      </c>
      <c r="Q16" s="151">
        <f t="shared" si="6"/>
        <v>0.97826086956521396</v>
      </c>
      <c r="R16" s="566"/>
      <c r="S16" s="63">
        <v>0.83819444444444446</v>
      </c>
      <c r="T16" s="63">
        <v>0.85416666666666674</v>
      </c>
      <c r="U16" s="150">
        <f t="shared" si="18"/>
        <v>4.9999999999999822</v>
      </c>
      <c r="V16" s="156">
        <f t="shared" si="17"/>
        <v>23.000000000000078</v>
      </c>
      <c r="W16" s="64"/>
      <c r="X16" s="64"/>
      <c r="Y16" s="559"/>
      <c r="Z16" s="559"/>
      <c r="AA16" s="61">
        <f t="shared" si="8"/>
        <v>-43.478260869572068</v>
      </c>
      <c r="AB16" s="151">
        <f t="shared" si="9"/>
        <v>0.97826086956521396</v>
      </c>
      <c r="AC16" s="566"/>
    </row>
    <row r="17" spans="1:29" ht="16.5" customHeight="1">
      <c r="A17" s="593" t="s">
        <v>531</v>
      </c>
      <c r="B17" s="57" t="s">
        <v>532</v>
      </c>
      <c r="C17" s="571"/>
      <c r="D17" s="571"/>
      <c r="E17" s="152"/>
      <c r="F17" s="66"/>
      <c r="G17" s="59"/>
      <c r="H17" s="157"/>
      <c r="I17" s="67">
        <v>18.2</v>
      </c>
      <c r="J17" s="58">
        <v>1800</v>
      </c>
      <c r="K17" s="59">
        <f t="shared" si="1"/>
        <v>98.901098901098905</v>
      </c>
      <c r="L17" s="67">
        <v>18.2</v>
      </c>
      <c r="M17" s="60">
        <f>AVERAGE(M12:M16)</f>
        <v>1731.3535090991977</v>
      </c>
      <c r="N17" s="59">
        <f t="shared" si="3"/>
        <v>95.129313686769109</v>
      </c>
      <c r="O17" s="61">
        <f t="shared" si="4"/>
        <v>0</v>
      </c>
      <c r="P17" s="62">
        <f t="shared" si="5"/>
        <v>-3.7717852143297961</v>
      </c>
      <c r="Q17" s="151">
        <f t="shared" si="6"/>
        <v>0.9618630606106654</v>
      </c>
      <c r="R17" s="566"/>
      <c r="S17" s="63"/>
      <c r="T17" s="63"/>
      <c r="U17" s="150"/>
      <c r="V17" s="156"/>
      <c r="W17" s="59"/>
      <c r="X17" s="59"/>
      <c r="Y17" s="559"/>
      <c r="Z17" s="559"/>
      <c r="AA17" s="61">
        <f t="shared" si="8"/>
        <v>-68.646490900802291</v>
      </c>
      <c r="AB17" s="151">
        <f t="shared" si="9"/>
        <v>0.9618630606106654</v>
      </c>
      <c r="AC17" s="566"/>
    </row>
    <row r="18" spans="1:29" ht="15.75" customHeight="1">
      <c r="A18" s="588" t="s">
        <v>533</v>
      </c>
      <c r="B18" s="57" t="s">
        <v>12</v>
      </c>
      <c r="C18" s="584" t="s">
        <v>19</v>
      </c>
      <c r="D18" s="584"/>
      <c r="E18" s="57">
        <v>43.14</v>
      </c>
      <c r="F18" s="157">
        <v>1024</v>
      </c>
      <c r="G18" s="150">
        <f t="shared" ref="G18:G25" si="19">E18*F18</f>
        <v>44175.360000000001</v>
      </c>
      <c r="H18" s="72" t="s">
        <v>5</v>
      </c>
      <c r="I18" s="155">
        <v>17</v>
      </c>
      <c r="J18" s="58">
        <v>2000</v>
      </c>
      <c r="K18" s="59">
        <f t="shared" si="1"/>
        <v>117.64705882352941</v>
      </c>
      <c r="L18" s="155">
        <v>17</v>
      </c>
      <c r="M18" s="60">
        <f t="shared" ref="M18:M25" si="20">F18/V18*60</f>
        <v>1919.9999999999995</v>
      </c>
      <c r="N18" s="59">
        <f t="shared" si="3"/>
        <v>112.9411764705882</v>
      </c>
      <c r="O18" s="61">
        <f t="shared" si="4"/>
        <v>0</v>
      </c>
      <c r="P18" s="62">
        <f t="shared" si="5"/>
        <v>-4.7058823529412024</v>
      </c>
      <c r="Q18" s="151">
        <f t="shared" si="6"/>
        <v>0.95999999999999974</v>
      </c>
      <c r="R18" s="566">
        <f>Q26</f>
        <v>0.96280019663152283</v>
      </c>
      <c r="S18" s="63">
        <v>0.20833333333333334</v>
      </c>
      <c r="T18" s="63">
        <v>0.23055555555555557</v>
      </c>
      <c r="U18" s="150"/>
      <c r="V18" s="156">
        <f t="shared" ref="V18:V25" si="21">(T18-S18)*24*60</f>
        <v>32.000000000000007</v>
      </c>
      <c r="W18" s="68"/>
      <c r="X18" s="68"/>
      <c r="Y18" s="559"/>
      <c r="Z18" s="559"/>
      <c r="AA18" s="61">
        <f t="shared" si="8"/>
        <v>-80.000000000000455</v>
      </c>
      <c r="AB18" s="151">
        <f t="shared" si="9"/>
        <v>0.95999999999999974</v>
      </c>
      <c r="AC18" s="566">
        <f>AB26</f>
        <v>0.96280019663152283</v>
      </c>
    </row>
    <row r="19" spans="1:29" ht="15.75" customHeight="1">
      <c r="A19" s="589" t="s">
        <v>86</v>
      </c>
      <c r="B19" s="57" t="s">
        <v>65</v>
      </c>
      <c r="C19" s="584" t="s">
        <v>97</v>
      </c>
      <c r="D19" s="584"/>
      <c r="E19" s="57">
        <v>49.9</v>
      </c>
      <c r="F19" s="157">
        <v>1448</v>
      </c>
      <c r="G19" s="150">
        <f t="shared" si="19"/>
        <v>72255.199999999997</v>
      </c>
      <c r="H19" s="72" t="s">
        <v>5</v>
      </c>
      <c r="I19" s="155">
        <v>17</v>
      </c>
      <c r="J19" s="58">
        <v>2000</v>
      </c>
      <c r="K19" s="59">
        <f t="shared" si="1"/>
        <v>117.64705882352941</v>
      </c>
      <c r="L19" s="155">
        <v>17</v>
      </c>
      <c r="M19" s="60">
        <f t="shared" si="20"/>
        <v>1930.6666666666649</v>
      </c>
      <c r="N19" s="59">
        <f t="shared" si="3"/>
        <v>113.56862745098029</v>
      </c>
      <c r="O19" s="61">
        <f t="shared" si="4"/>
        <v>0</v>
      </c>
      <c r="P19" s="62">
        <f t="shared" si="5"/>
        <v>-4.0784313725491188</v>
      </c>
      <c r="Q19" s="151">
        <f t="shared" si="6"/>
        <v>0.96533333333333249</v>
      </c>
      <c r="R19" s="566"/>
      <c r="S19" s="63">
        <v>0.23541666666666669</v>
      </c>
      <c r="T19" s="63">
        <v>0.26666666666666672</v>
      </c>
      <c r="U19" s="150">
        <f t="shared" ref="U19:U25" si="22">IF(S19=TIME(17,0,0),"",(S19-T18)*24*60)</f>
        <v>7.0000000000000151</v>
      </c>
      <c r="V19" s="156">
        <f t="shared" si="21"/>
        <v>45.000000000000043</v>
      </c>
      <c r="W19" s="64"/>
      <c r="X19" s="150"/>
      <c r="Y19" s="559"/>
      <c r="Z19" s="559"/>
      <c r="AA19" s="61">
        <f t="shared" si="8"/>
        <v>-69.333333333335077</v>
      </c>
      <c r="AB19" s="151">
        <f t="shared" si="9"/>
        <v>0.96533333333333249</v>
      </c>
      <c r="AC19" s="566"/>
    </row>
    <row r="20" spans="1:29" ht="15.75" customHeight="1">
      <c r="A20" s="589" t="s">
        <v>534</v>
      </c>
      <c r="B20" s="57" t="s">
        <v>6</v>
      </c>
      <c r="C20" s="584" t="s">
        <v>20</v>
      </c>
      <c r="D20" s="584"/>
      <c r="E20" s="57">
        <v>57.73</v>
      </c>
      <c r="F20" s="157">
        <v>2245</v>
      </c>
      <c r="G20" s="150">
        <f t="shared" si="19"/>
        <v>129603.84999999999</v>
      </c>
      <c r="H20" s="72" t="s">
        <v>5</v>
      </c>
      <c r="I20" s="155">
        <v>14</v>
      </c>
      <c r="J20" s="58">
        <v>2000</v>
      </c>
      <c r="K20" s="59">
        <f t="shared" si="1"/>
        <v>142.85714285714286</v>
      </c>
      <c r="L20" s="155">
        <v>14</v>
      </c>
      <c r="M20" s="60">
        <f t="shared" si="20"/>
        <v>1924.2857142857147</v>
      </c>
      <c r="N20" s="59">
        <f t="shared" si="3"/>
        <v>137.44897959183677</v>
      </c>
      <c r="O20" s="61">
        <f t="shared" si="4"/>
        <v>0</v>
      </c>
      <c r="P20" s="62">
        <f t="shared" si="5"/>
        <v>-5.4081632653060865</v>
      </c>
      <c r="Q20" s="151">
        <f t="shared" si="6"/>
        <v>0.96214285714285741</v>
      </c>
      <c r="R20" s="566"/>
      <c r="S20" s="63">
        <v>0.27222222222222225</v>
      </c>
      <c r="T20" s="63">
        <v>0.32083333333333336</v>
      </c>
      <c r="U20" s="150">
        <f t="shared" si="22"/>
        <v>7.9999999999999716</v>
      </c>
      <c r="V20" s="156">
        <f t="shared" si="21"/>
        <v>69.999999999999986</v>
      </c>
      <c r="W20" s="64"/>
      <c r="X20" s="150"/>
      <c r="Y20" s="559"/>
      <c r="Z20" s="559"/>
      <c r="AA20" s="61">
        <f t="shared" si="8"/>
        <v>-75.714285714285325</v>
      </c>
      <c r="AB20" s="151">
        <f t="shared" si="9"/>
        <v>0.9621428571428573</v>
      </c>
      <c r="AC20" s="566"/>
    </row>
    <row r="21" spans="1:29" ht="15.75" customHeight="1">
      <c r="A21" s="589" t="s">
        <v>534</v>
      </c>
      <c r="B21" s="57" t="s">
        <v>6</v>
      </c>
      <c r="C21" s="584" t="s">
        <v>21</v>
      </c>
      <c r="D21" s="584"/>
      <c r="E21" s="57">
        <v>53.68</v>
      </c>
      <c r="F21" s="157">
        <v>1392</v>
      </c>
      <c r="G21" s="150">
        <f t="shared" si="19"/>
        <v>74722.559999999998</v>
      </c>
      <c r="H21" s="72" t="s">
        <v>5</v>
      </c>
      <c r="I21" s="155">
        <v>16</v>
      </c>
      <c r="J21" s="58">
        <v>2000</v>
      </c>
      <c r="K21" s="59">
        <f t="shared" si="1"/>
        <v>125</v>
      </c>
      <c r="L21" s="155">
        <v>16</v>
      </c>
      <c r="M21" s="60">
        <f t="shared" si="20"/>
        <v>1942.3255813953485</v>
      </c>
      <c r="N21" s="59">
        <f t="shared" si="3"/>
        <v>121.39534883720928</v>
      </c>
      <c r="O21" s="61">
        <f t="shared" si="4"/>
        <v>0</v>
      </c>
      <c r="P21" s="62">
        <f t="shared" si="5"/>
        <v>-3.6046511627907165</v>
      </c>
      <c r="Q21" s="151">
        <f t="shared" si="6"/>
        <v>0.97116279069767431</v>
      </c>
      <c r="R21" s="566"/>
      <c r="S21" s="63">
        <v>0.32500000000000001</v>
      </c>
      <c r="T21" s="63">
        <v>0.35486111111111113</v>
      </c>
      <c r="U21" s="150">
        <f t="shared" si="22"/>
        <v>5.9999999999999787</v>
      </c>
      <c r="V21" s="156">
        <f t="shared" si="21"/>
        <v>43.000000000000007</v>
      </c>
      <c r="W21" s="64"/>
      <c r="X21" s="150"/>
      <c r="Y21" s="559"/>
      <c r="Z21" s="559"/>
      <c r="AA21" s="61">
        <f t="shared" si="8"/>
        <v>-57.674418604651464</v>
      </c>
      <c r="AB21" s="151">
        <f t="shared" si="9"/>
        <v>0.97116279069767431</v>
      </c>
      <c r="AC21" s="566"/>
    </row>
    <row r="22" spans="1:29" ht="15.75" customHeight="1">
      <c r="A22" s="589" t="s">
        <v>535</v>
      </c>
      <c r="B22" s="57" t="s">
        <v>6</v>
      </c>
      <c r="C22" s="584" t="s">
        <v>96</v>
      </c>
      <c r="D22" s="584"/>
      <c r="E22" s="57">
        <v>49.91</v>
      </c>
      <c r="F22" s="157">
        <v>1224</v>
      </c>
      <c r="G22" s="150">
        <f t="shared" si="19"/>
        <v>61089.84</v>
      </c>
      <c r="H22" s="72" t="s">
        <v>5</v>
      </c>
      <c r="I22" s="155">
        <v>17</v>
      </c>
      <c r="J22" s="58">
        <v>2000</v>
      </c>
      <c r="K22" s="59">
        <f t="shared" si="1"/>
        <v>117.64705882352941</v>
      </c>
      <c r="L22" s="155">
        <v>17</v>
      </c>
      <c r="M22" s="60">
        <f t="shared" si="20"/>
        <v>1932.631578947367</v>
      </c>
      <c r="N22" s="59">
        <f t="shared" si="3"/>
        <v>113.68421052631571</v>
      </c>
      <c r="O22" s="61">
        <f t="shared" si="4"/>
        <v>0</v>
      </c>
      <c r="P22" s="62">
        <f t="shared" si="5"/>
        <v>-3.9628482972136965</v>
      </c>
      <c r="Q22" s="151">
        <f t="shared" si="6"/>
        <v>0.96631578947368357</v>
      </c>
      <c r="R22" s="566"/>
      <c r="S22" s="63">
        <v>0.35972222222222222</v>
      </c>
      <c r="T22" s="63">
        <v>0.38611111111111113</v>
      </c>
      <c r="U22" s="150">
        <f t="shared" si="22"/>
        <v>6.9999999999999751</v>
      </c>
      <c r="V22" s="156">
        <f t="shared" si="21"/>
        <v>38.000000000000028</v>
      </c>
      <c r="W22" s="64"/>
      <c r="X22" s="150"/>
      <c r="Y22" s="559"/>
      <c r="Z22" s="559"/>
      <c r="AA22" s="61">
        <f t="shared" si="8"/>
        <v>-67.368421052633039</v>
      </c>
      <c r="AB22" s="151">
        <f t="shared" si="9"/>
        <v>0.96631578947368346</v>
      </c>
      <c r="AC22" s="566"/>
    </row>
    <row r="23" spans="1:29" ht="15.75" customHeight="1">
      <c r="A23" s="589" t="s">
        <v>86</v>
      </c>
      <c r="B23" s="57" t="s">
        <v>6</v>
      </c>
      <c r="C23" s="584" t="s">
        <v>22</v>
      </c>
      <c r="D23" s="584"/>
      <c r="E23" s="57">
        <v>54.09</v>
      </c>
      <c r="F23" s="157">
        <v>1788</v>
      </c>
      <c r="G23" s="150">
        <f t="shared" si="19"/>
        <v>96712.920000000013</v>
      </c>
      <c r="H23" s="72" t="s">
        <v>5</v>
      </c>
      <c r="I23" s="155">
        <v>19</v>
      </c>
      <c r="J23" s="58">
        <v>2000</v>
      </c>
      <c r="K23" s="59">
        <f t="shared" si="1"/>
        <v>105.26315789473684</v>
      </c>
      <c r="L23" s="155">
        <v>19</v>
      </c>
      <c r="M23" s="60">
        <f t="shared" si="20"/>
        <v>1915.7142857142871</v>
      </c>
      <c r="N23" s="59">
        <f t="shared" si="3"/>
        <v>100.827067669173</v>
      </c>
      <c r="O23" s="61">
        <f t="shared" si="4"/>
        <v>0</v>
      </c>
      <c r="P23" s="62">
        <f t="shared" si="5"/>
        <v>-4.4360902255638308</v>
      </c>
      <c r="Q23" s="151">
        <f t="shared" si="6"/>
        <v>0.95785714285714363</v>
      </c>
      <c r="R23" s="566"/>
      <c r="S23" s="63">
        <v>0.70833333333333337</v>
      </c>
      <c r="T23" s="63">
        <v>0.74722222222222223</v>
      </c>
      <c r="U23" s="150" t="str">
        <f t="shared" si="22"/>
        <v/>
      </c>
      <c r="V23" s="156">
        <f t="shared" si="21"/>
        <v>55.999999999999957</v>
      </c>
      <c r="W23" s="64"/>
      <c r="X23" s="68"/>
      <c r="Y23" s="559"/>
      <c r="Z23" s="559"/>
      <c r="AA23" s="61">
        <f t="shared" si="8"/>
        <v>-84.285714285712857</v>
      </c>
      <c r="AB23" s="151">
        <f t="shared" si="9"/>
        <v>0.95785714285714352</v>
      </c>
      <c r="AC23" s="566"/>
    </row>
    <row r="24" spans="1:29" ht="15.75" customHeight="1">
      <c r="A24" s="589" t="s">
        <v>536</v>
      </c>
      <c r="B24" s="57" t="s">
        <v>6</v>
      </c>
      <c r="C24" s="584" t="s">
        <v>69</v>
      </c>
      <c r="D24" s="584"/>
      <c r="E24" s="57">
        <v>57.73</v>
      </c>
      <c r="F24" s="157">
        <v>1346</v>
      </c>
      <c r="G24" s="150">
        <f t="shared" si="19"/>
        <v>77704.58</v>
      </c>
      <c r="H24" s="72" t="s">
        <v>5</v>
      </c>
      <c r="I24" s="155">
        <v>16</v>
      </c>
      <c r="J24" s="58">
        <v>1500</v>
      </c>
      <c r="K24" s="59">
        <f t="shared" si="1"/>
        <v>93.75</v>
      </c>
      <c r="L24" s="155">
        <v>16</v>
      </c>
      <c r="M24" s="60">
        <f t="shared" si="20"/>
        <v>1442.1428571428582</v>
      </c>
      <c r="N24" s="59">
        <f t="shared" si="3"/>
        <v>90.13392857142864</v>
      </c>
      <c r="O24" s="61">
        <f t="shared" si="4"/>
        <v>0</v>
      </c>
      <c r="P24" s="62">
        <f t="shared" si="5"/>
        <v>-3.6160714285713595</v>
      </c>
      <c r="Q24" s="151">
        <f t="shared" si="6"/>
        <v>0.96142857142857219</v>
      </c>
      <c r="R24" s="566"/>
      <c r="S24" s="63">
        <v>0.75208333333333333</v>
      </c>
      <c r="T24" s="63">
        <v>0.79097222222222219</v>
      </c>
      <c r="U24" s="150">
        <f t="shared" si="22"/>
        <v>6.9999999999999751</v>
      </c>
      <c r="V24" s="156">
        <f t="shared" si="21"/>
        <v>55.999999999999957</v>
      </c>
      <c r="W24" s="64"/>
      <c r="X24" s="68"/>
      <c r="Y24" s="569"/>
      <c r="Z24" s="570"/>
      <c r="AA24" s="61">
        <f t="shared" si="8"/>
        <v>-57.857142857141753</v>
      </c>
      <c r="AB24" s="151">
        <f t="shared" si="9"/>
        <v>0.96142857142857219</v>
      </c>
      <c r="AC24" s="566"/>
    </row>
    <row r="25" spans="1:29" ht="15.75" customHeight="1">
      <c r="A25" s="589" t="s">
        <v>533</v>
      </c>
      <c r="B25" s="57" t="s">
        <v>6</v>
      </c>
      <c r="C25" s="585" t="s">
        <v>68</v>
      </c>
      <c r="D25" s="586"/>
      <c r="E25" s="57">
        <v>50.67</v>
      </c>
      <c r="F25" s="157">
        <v>1756</v>
      </c>
      <c r="G25" s="150">
        <f t="shared" si="19"/>
        <v>88976.52</v>
      </c>
      <c r="H25" s="72" t="s">
        <v>5</v>
      </c>
      <c r="I25" s="155">
        <v>15</v>
      </c>
      <c r="J25" s="58">
        <v>2000</v>
      </c>
      <c r="K25" s="59">
        <f t="shared" si="1"/>
        <v>133.33333333333334</v>
      </c>
      <c r="L25" s="155">
        <v>15</v>
      </c>
      <c r="M25" s="60">
        <f t="shared" si="20"/>
        <v>1915.6363636363649</v>
      </c>
      <c r="N25" s="59">
        <f t="shared" si="3"/>
        <v>127.70909090909099</v>
      </c>
      <c r="O25" s="61">
        <f t="shared" si="4"/>
        <v>0</v>
      </c>
      <c r="P25" s="62">
        <f t="shared" si="5"/>
        <v>-5.6242424242423539</v>
      </c>
      <c r="Q25" s="151">
        <f t="shared" si="6"/>
        <v>0.95781818181818235</v>
      </c>
      <c r="R25" s="566"/>
      <c r="S25" s="63">
        <v>0.79583333333333328</v>
      </c>
      <c r="T25" s="63">
        <v>0.8340277777777777</v>
      </c>
      <c r="U25" s="150">
        <f t="shared" si="22"/>
        <v>6.9999999999999751</v>
      </c>
      <c r="V25" s="156">
        <f t="shared" si="21"/>
        <v>54.999999999999964</v>
      </c>
      <c r="W25" s="64"/>
      <c r="X25" s="64"/>
      <c r="Y25" s="569"/>
      <c r="Z25" s="570"/>
      <c r="AA25" s="61">
        <f t="shared" si="8"/>
        <v>-84.363636363635123</v>
      </c>
      <c r="AB25" s="151">
        <f t="shared" si="9"/>
        <v>0.95781818181818246</v>
      </c>
      <c r="AC25" s="566"/>
    </row>
    <row r="26" spans="1:29" ht="15.75" customHeight="1">
      <c r="A26" s="589" t="s">
        <v>533</v>
      </c>
      <c r="B26" s="57" t="s">
        <v>537</v>
      </c>
      <c r="C26" s="571"/>
      <c r="D26" s="571"/>
      <c r="E26" s="152"/>
      <c r="F26" s="157"/>
      <c r="G26" s="150"/>
      <c r="H26" s="157"/>
      <c r="I26" s="67">
        <v>16.375</v>
      </c>
      <c r="J26" s="58">
        <v>1937.5</v>
      </c>
      <c r="K26" s="59">
        <f t="shared" si="1"/>
        <v>118.32061068702291</v>
      </c>
      <c r="L26" s="67">
        <v>16.375</v>
      </c>
      <c r="M26" s="60">
        <f>AVERAGE(M18:M25)</f>
        <v>1865.4253809735756</v>
      </c>
      <c r="N26" s="59">
        <f t="shared" si="3"/>
        <v>113.91910723502751</v>
      </c>
      <c r="O26" s="61">
        <f t="shared" si="4"/>
        <v>0</v>
      </c>
      <c r="P26" s="62">
        <f t="shared" si="5"/>
        <v>-4.4015034519953957</v>
      </c>
      <c r="Q26" s="151">
        <f t="shared" si="6"/>
        <v>0.96280019663152283</v>
      </c>
      <c r="R26" s="566"/>
      <c r="S26" s="63"/>
      <c r="T26" s="63"/>
      <c r="U26" s="59"/>
      <c r="V26" s="156"/>
      <c r="W26" s="59"/>
      <c r="X26" s="59"/>
      <c r="Y26" s="559"/>
      <c r="Z26" s="559"/>
      <c r="AA26" s="61">
        <f t="shared" si="8"/>
        <v>-72.074619026424443</v>
      </c>
      <c r="AB26" s="151">
        <f t="shared" si="9"/>
        <v>0.96280019663152283</v>
      </c>
      <c r="AC26" s="566"/>
    </row>
    <row r="27" spans="1:29" ht="15.75" customHeight="1">
      <c r="A27" s="587" t="s">
        <v>538</v>
      </c>
      <c r="B27" s="57" t="s">
        <v>15</v>
      </c>
      <c r="C27" s="584" t="s">
        <v>26</v>
      </c>
      <c r="D27" s="584"/>
      <c r="E27" s="57">
        <v>31.29</v>
      </c>
      <c r="F27" s="157">
        <v>4800</v>
      </c>
      <c r="G27" s="150">
        <f t="shared" ref="G27:G32" si="23">E27*F27</f>
        <v>150192</v>
      </c>
      <c r="H27" s="72">
        <v>2</v>
      </c>
      <c r="I27" s="155">
        <v>18</v>
      </c>
      <c r="J27" s="58">
        <v>2400</v>
      </c>
      <c r="K27" s="59">
        <f t="shared" si="1"/>
        <v>133.33333333333334</v>
      </c>
      <c r="L27" s="155">
        <v>18</v>
      </c>
      <c r="M27" s="60">
        <f t="shared" ref="M27:M32" si="24">F27/V27*60</f>
        <v>2285.7142857142858</v>
      </c>
      <c r="N27" s="59">
        <f t="shared" si="3"/>
        <v>126.98412698412699</v>
      </c>
      <c r="O27" s="61">
        <f t="shared" si="4"/>
        <v>0</v>
      </c>
      <c r="P27" s="62">
        <f t="shared" si="5"/>
        <v>-6.3492063492063551</v>
      </c>
      <c r="Q27" s="151">
        <f t="shared" si="6"/>
        <v>0.95238095238095233</v>
      </c>
      <c r="R27" s="566">
        <f>Q33</f>
        <v>0.95647284601972105</v>
      </c>
      <c r="S27" s="63">
        <v>8.3333333333333329E-2</v>
      </c>
      <c r="T27" s="63">
        <v>0.17083333333333334</v>
      </c>
      <c r="U27" s="150"/>
      <c r="V27" s="156">
        <f t="shared" ref="V27:V32" si="25">(T27-S27)*24*60</f>
        <v>126</v>
      </c>
      <c r="W27" s="64">
        <f>T27</f>
        <v>0.17083333333333334</v>
      </c>
      <c r="X27" s="64">
        <f>S28</f>
        <v>0.19027777777777777</v>
      </c>
      <c r="Y27" s="559"/>
      <c r="Z27" s="559"/>
      <c r="AA27" s="61">
        <f t="shared" si="8"/>
        <v>-114.28571428571422</v>
      </c>
      <c r="AB27" s="151">
        <f t="shared" si="9"/>
        <v>0.95238095238095244</v>
      </c>
      <c r="AC27" s="566">
        <f>AB33</f>
        <v>0.95647284601972105</v>
      </c>
    </row>
    <row r="28" spans="1:29" ht="15.75" customHeight="1">
      <c r="A28" s="587" t="s">
        <v>87</v>
      </c>
      <c r="B28" s="57" t="s">
        <v>15</v>
      </c>
      <c r="C28" s="584" t="s">
        <v>23</v>
      </c>
      <c r="D28" s="584"/>
      <c r="E28" s="57">
        <v>26.2</v>
      </c>
      <c r="F28" s="157">
        <v>4291</v>
      </c>
      <c r="G28" s="150">
        <f t="shared" si="23"/>
        <v>112424.2</v>
      </c>
      <c r="H28" s="72" t="s">
        <v>5</v>
      </c>
      <c r="I28" s="155">
        <v>20</v>
      </c>
      <c r="J28" s="58">
        <v>2400</v>
      </c>
      <c r="K28" s="59">
        <f t="shared" si="1"/>
        <v>120</v>
      </c>
      <c r="L28" s="155">
        <v>20</v>
      </c>
      <c r="M28" s="60">
        <f t="shared" si="24"/>
        <v>2298.75</v>
      </c>
      <c r="N28" s="59">
        <f t="shared" si="3"/>
        <v>114.9375</v>
      </c>
      <c r="O28" s="61">
        <f t="shared" si="4"/>
        <v>0</v>
      </c>
      <c r="P28" s="62">
        <f t="shared" si="5"/>
        <v>-5.0625</v>
      </c>
      <c r="Q28" s="151">
        <f t="shared" si="6"/>
        <v>0.95781249999999996</v>
      </c>
      <c r="R28" s="566"/>
      <c r="S28" s="63">
        <v>0.19027777777777777</v>
      </c>
      <c r="T28" s="63">
        <v>0.26805555555555555</v>
      </c>
      <c r="U28" s="150">
        <f t="shared" ref="U28:U32" si="26">(S28-T27)*24*60</f>
        <v>27.999999999999979</v>
      </c>
      <c r="V28" s="156">
        <f t="shared" si="25"/>
        <v>112</v>
      </c>
      <c r="W28" s="64"/>
      <c r="X28" s="64"/>
      <c r="Y28" s="559"/>
      <c r="Z28" s="559"/>
      <c r="AA28" s="61">
        <f t="shared" si="8"/>
        <v>-101.25</v>
      </c>
      <c r="AB28" s="151">
        <f t="shared" si="9"/>
        <v>0.95781249999999996</v>
      </c>
      <c r="AC28" s="566"/>
    </row>
    <row r="29" spans="1:29" ht="15.75" customHeight="1">
      <c r="A29" s="587" t="s">
        <v>538</v>
      </c>
      <c r="B29" s="57" t="s">
        <v>15</v>
      </c>
      <c r="C29" s="584" t="s">
        <v>70</v>
      </c>
      <c r="D29" s="584"/>
      <c r="E29" s="57">
        <v>25.99</v>
      </c>
      <c r="F29" s="157">
        <v>4194</v>
      </c>
      <c r="G29" s="150">
        <f t="shared" si="23"/>
        <v>109002.06</v>
      </c>
      <c r="H29" s="72" t="s">
        <v>5</v>
      </c>
      <c r="I29" s="155">
        <v>14</v>
      </c>
      <c r="J29" s="58">
        <v>2400</v>
      </c>
      <c r="K29" s="59">
        <f t="shared" si="1"/>
        <v>171.42857142857142</v>
      </c>
      <c r="L29" s="155">
        <v>14</v>
      </c>
      <c r="M29" s="60">
        <f t="shared" si="24"/>
        <v>2287.6363636363635</v>
      </c>
      <c r="N29" s="59">
        <f t="shared" si="3"/>
        <v>163.40259740259739</v>
      </c>
      <c r="O29" s="61">
        <f t="shared" si="4"/>
        <v>0</v>
      </c>
      <c r="P29" s="62">
        <f t="shared" si="5"/>
        <v>-8.0259740259740227</v>
      </c>
      <c r="Q29" s="151">
        <f t="shared" si="6"/>
        <v>0.95318181818181824</v>
      </c>
      <c r="R29" s="566"/>
      <c r="S29" s="63">
        <v>0.27291666666666664</v>
      </c>
      <c r="T29" s="63">
        <v>0.34930555555555554</v>
      </c>
      <c r="U29" s="150">
        <f t="shared" si="26"/>
        <v>6.9999999999999751</v>
      </c>
      <c r="V29" s="156">
        <f t="shared" si="25"/>
        <v>110.00000000000001</v>
      </c>
      <c r="W29" s="64"/>
      <c r="X29" s="64"/>
      <c r="Y29" s="559"/>
      <c r="Z29" s="559"/>
      <c r="AA29" s="61">
        <f t="shared" si="8"/>
        <v>-112.36363636363649</v>
      </c>
      <c r="AB29" s="151">
        <f t="shared" si="9"/>
        <v>0.95318181818181813</v>
      </c>
      <c r="AC29" s="566"/>
    </row>
    <row r="30" spans="1:29" ht="15.75" customHeight="1">
      <c r="A30" s="587" t="s">
        <v>539</v>
      </c>
      <c r="B30" s="57" t="s">
        <v>15</v>
      </c>
      <c r="C30" s="584" t="s">
        <v>45</v>
      </c>
      <c r="D30" s="584"/>
      <c r="E30" s="57">
        <v>20.52</v>
      </c>
      <c r="F30" s="157">
        <v>3687</v>
      </c>
      <c r="G30" s="150">
        <f t="shared" si="23"/>
        <v>75657.240000000005</v>
      </c>
      <c r="H30" s="72" t="s">
        <v>5</v>
      </c>
      <c r="I30" s="155">
        <v>18</v>
      </c>
      <c r="J30" s="58">
        <v>2400</v>
      </c>
      <c r="K30" s="59">
        <f t="shared" si="1"/>
        <v>133.33333333333334</v>
      </c>
      <c r="L30" s="155">
        <v>18</v>
      </c>
      <c r="M30" s="60">
        <f t="shared" si="24"/>
        <v>2304.3750000000009</v>
      </c>
      <c r="N30" s="59">
        <f t="shared" si="3"/>
        <v>128.02083333333337</v>
      </c>
      <c r="O30" s="61">
        <f t="shared" si="4"/>
        <v>0</v>
      </c>
      <c r="P30" s="62">
        <f t="shared" si="5"/>
        <v>-5.3124999999999716</v>
      </c>
      <c r="Q30" s="151">
        <f t="shared" si="6"/>
        <v>0.96015625000000027</v>
      </c>
      <c r="R30" s="566"/>
      <c r="S30" s="63">
        <v>0.35277777777777775</v>
      </c>
      <c r="T30" s="63">
        <v>0.4194444444444444</v>
      </c>
      <c r="U30" s="150">
        <f t="shared" si="26"/>
        <v>4.9999999999999822</v>
      </c>
      <c r="V30" s="156">
        <f t="shared" si="25"/>
        <v>95.999999999999972</v>
      </c>
      <c r="W30" s="64"/>
      <c r="X30" s="64"/>
      <c r="Y30" s="559"/>
      <c r="Z30" s="559"/>
      <c r="AA30" s="61">
        <f t="shared" si="8"/>
        <v>-95.624999999999091</v>
      </c>
      <c r="AB30" s="151">
        <f t="shared" si="9"/>
        <v>0.96015625000000038</v>
      </c>
      <c r="AC30" s="566"/>
    </row>
    <row r="31" spans="1:29" ht="15.75" customHeight="1">
      <c r="A31" s="587" t="s">
        <v>540</v>
      </c>
      <c r="B31" s="57" t="s">
        <v>15</v>
      </c>
      <c r="C31" s="584" t="s">
        <v>98</v>
      </c>
      <c r="D31" s="584"/>
      <c r="E31" s="57">
        <v>25.98</v>
      </c>
      <c r="F31" s="157">
        <v>3839</v>
      </c>
      <c r="G31" s="150">
        <f t="shared" si="23"/>
        <v>99737.22</v>
      </c>
      <c r="H31" s="72" t="s">
        <v>5</v>
      </c>
      <c r="I31" s="155">
        <v>21</v>
      </c>
      <c r="J31" s="58">
        <v>2400</v>
      </c>
      <c r="K31" s="59">
        <f t="shared" si="1"/>
        <v>114.28571428571429</v>
      </c>
      <c r="L31" s="155">
        <v>21</v>
      </c>
      <c r="M31" s="60">
        <f t="shared" si="24"/>
        <v>2303.4000000000005</v>
      </c>
      <c r="N31" s="59">
        <f t="shared" si="3"/>
        <v>109.68571428571431</v>
      </c>
      <c r="O31" s="61">
        <f t="shared" si="4"/>
        <v>0</v>
      </c>
      <c r="P31" s="62">
        <f t="shared" si="5"/>
        <v>-4.5999999999999801</v>
      </c>
      <c r="Q31" s="151">
        <f t="shared" si="6"/>
        <v>0.95975000000000021</v>
      </c>
      <c r="R31" s="566"/>
      <c r="S31" s="63">
        <v>0.42430555555555549</v>
      </c>
      <c r="T31" s="63">
        <v>0.49374999999999991</v>
      </c>
      <c r="U31" s="150">
        <f t="shared" si="26"/>
        <v>6.9999999999999751</v>
      </c>
      <c r="V31" s="156">
        <f t="shared" si="25"/>
        <v>99.999999999999972</v>
      </c>
      <c r="W31" s="64">
        <f>T31</f>
        <v>0.49374999999999991</v>
      </c>
      <c r="X31" s="64">
        <f>S32</f>
        <v>0.5347222222222221</v>
      </c>
      <c r="Y31" s="559"/>
      <c r="Z31" s="559"/>
      <c r="AA31" s="61">
        <f t="shared" si="8"/>
        <v>-96.599999999999454</v>
      </c>
      <c r="AB31" s="151">
        <f t="shared" si="9"/>
        <v>0.95975000000000021</v>
      </c>
      <c r="AC31" s="566"/>
    </row>
    <row r="32" spans="1:29" ht="15.75" customHeight="1">
      <c r="A32" s="587" t="s">
        <v>541</v>
      </c>
      <c r="B32" s="57" t="s">
        <v>15</v>
      </c>
      <c r="C32" s="584" t="s">
        <v>26</v>
      </c>
      <c r="D32" s="584"/>
      <c r="E32" s="57">
        <v>31.29</v>
      </c>
      <c r="F32" s="157">
        <v>2752</v>
      </c>
      <c r="G32" s="150">
        <f t="shared" si="23"/>
        <v>86110.080000000002</v>
      </c>
      <c r="H32" s="72" t="s">
        <v>5</v>
      </c>
      <c r="I32" s="155">
        <v>18</v>
      </c>
      <c r="J32" s="58">
        <v>2400</v>
      </c>
      <c r="K32" s="59">
        <f t="shared" si="1"/>
        <v>133.33333333333334</v>
      </c>
      <c r="L32" s="155">
        <v>18</v>
      </c>
      <c r="M32" s="60">
        <f t="shared" si="24"/>
        <v>2293.3333333333317</v>
      </c>
      <c r="N32" s="59">
        <f t="shared" si="3"/>
        <v>127.40740740740732</v>
      </c>
      <c r="O32" s="61">
        <f t="shared" si="4"/>
        <v>0</v>
      </c>
      <c r="P32" s="62">
        <f t="shared" si="5"/>
        <v>-5.9259259259260233</v>
      </c>
      <c r="Q32" s="151">
        <f t="shared" si="6"/>
        <v>0.95555555555555483</v>
      </c>
      <c r="R32" s="566"/>
      <c r="S32" s="63">
        <v>0.5347222222222221</v>
      </c>
      <c r="T32" s="63">
        <v>0.58472222222222214</v>
      </c>
      <c r="U32" s="150">
        <f t="shared" si="26"/>
        <v>58.99999999999995</v>
      </c>
      <c r="V32" s="156">
        <f t="shared" si="25"/>
        <v>72.000000000000057</v>
      </c>
      <c r="W32" s="64"/>
      <c r="X32" s="64"/>
      <c r="Y32" s="559"/>
      <c r="Z32" s="559"/>
      <c r="AA32" s="61">
        <f t="shared" si="8"/>
        <v>-106.66666666666833</v>
      </c>
      <c r="AB32" s="151">
        <f t="shared" si="9"/>
        <v>0.95555555555555483</v>
      </c>
      <c r="AC32" s="566"/>
    </row>
    <row r="33" spans="1:29" ht="15.75" customHeight="1">
      <c r="A33" s="587" t="s">
        <v>542</v>
      </c>
      <c r="B33" s="57" t="s">
        <v>543</v>
      </c>
      <c r="C33" s="571"/>
      <c r="D33" s="571"/>
      <c r="E33" s="152"/>
      <c r="F33" s="157"/>
      <c r="G33" s="150"/>
      <c r="H33" s="157"/>
      <c r="I33" s="67">
        <v>18.166666666666668</v>
      </c>
      <c r="J33" s="58">
        <v>2400</v>
      </c>
      <c r="K33" s="59">
        <f t="shared" si="1"/>
        <v>132.11009174311926</v>
      </c>
      <c r="L33" s="67">
        <v>18.166666666666668</v>
      </c>
      <c r="M33" s="60">
        <f>AVERAGE(M27:M32)</f>
        <v>2295.5348304473305</v>
      </c>
      <c r="N33" s="59">
        <f t="shared" si="3"/>
        <v>126.35971543746773</v>
      </c>
      <c r="O33" s="61">
        <f t="shared" si="4"/>
        <v>0</v>
      </c>
      <c r="P33" s="62">
        <f t="shared" si="5"/>
        <v>-5.7503763056515282</v>
      </c>
      <c r="Q33" s="151">
        <f t="shared" si="6"/>
        <v>0.95647284601972105</v>
      </c>
      <c r="R33" s="566"/>
      <c r="S33" s="63"/>
      <c r="T33" s="63"/>
      <c r="U33" s="150"/>
      <c r="V33" s="156"/>
      <c r="W33" s="150"/>
      <c r="X33" s="150"/>
      <c r="Y33" s="559"/>
      <c r="Z33" s="559"/>
      <c r="AA33" s="61">
        <f t="shared" si="8"/>
        <v>-104.46516955266952</v>
      </c>
      <c r="AB33" s="151">
        <f t="shared" si="9"/>
        <v>0.95647284601972105</v>
      </c>
      <c r="AC33" s="566"/>
    </row>
    <row r="34" spans="1:29" ht="15.75" customHeight="1">
      <c r="A34" s="582" t="s">
        <v>88</v>
      </c>
      <c r="B34" s="57" t="s">
        <v>15</v>
      </c>
      <c r="C34" s="560" t="s">
        <v>44</v>
      </c>
      <c r="D34" s="560"/>
      <c r="E34" s="57">
        <v>19.02</v>
      </c>
      <c r="F34" s="157">
        <v>5000</v>
      </c>
      <c r="G34" s="150">
        <f t="shared" ref="G34:G39" si="27">E34*F34</f>
        <v>95100</v>
      </c>
      <c r="H34" s="72">
        <v>2</v>
      </c>
      <c r="I34" s="155">
        <v>15</v>
      </c>
      <c r="J34" s="58">
        <v>2400</v>
      </c>
      <c r="K34" s="59">
        <f t="shared" si="1"/>
        <v>160</v>
      </c>
      <c r="L34" s="155">
        <v>15</v>
      </c>
      <c r="M34" s="60">
        <f t="shared" ref="M34:M39" si="28">F34/V34*60</f>
        <v>2290.0763358778627</v>
      </c>
      <c r="N34" s="59">
        <f t="shared" si="3"/>
        <v>152.67175572519085</v>
      </c>
      <c r="O34" s="61">
        <f t="shared" si="4"/>
        <v>0</v>
      </c>
      <c r="P34" s="62">
        <f t="shared" si="5"/>
        <v>-7.3282442748091512</v>
      </c>
      <c r="Q34" s="151">
        <f t="shared" si="6"/>
        <v>0.95419847328244278</v>
      </c>
      <c r="R34" s="566">
        <f>Q40</f>
        <v>0.95445108568513137</v>
      </c>
      <c r="S34" s="63">
        <v>8.3333333333333329E-2</v>
      </c>
      <c r="T34" s="63">
        <v>0.17430555555555555</v>
      </c>
      <c r="U34" s="150"/>
      <c r="V34" s="156">
        <f t="shared" ref="V34:V39" si="29">(T34-S34)*24*60</f>
        <v>131</v>
      </c>
      <c r="W34" s="68">
        <f>T34</f>
        <v>0.17430555555555555</v>
      </c>
      <c r="X34" s="68">
        <f>S35</f>
        <v>0.19444444444444445</v>
      </c>
      <c r="Y34" s="559"/>
      <c r="Z34" s="559"/>
      <c r="AA34" s="61">
        <f t="shared" si="8"/>
        <v>-109.92366412213732</v>
      </c>
      <c r="AB34" s="151">
        <f t="shared" si="9"/>
        <v>0.95419847328244278</v>
      </c>
      <c r="AC34" s="566">
        <f>AB40</f>
        <v>0.95445108568513148</v>
      </c>
    </row>
    <row r="35" spans="1:29" ht="15.75" customHeight="1">
      <c r="A35" s="582" t="s">
        <v>544</v>
      </c>
      <c r="B35" s="57" t="s">
        <v>15</v>
      </c>
      <c r="C35" s="560" t="s">
        <v>27</v>
      </c>
      <c r="D35" s="560"/>
      <c r="E35" s="57">
        <v>26.2</v>
      </c>
      <c r="F35" s="157">
        <v>5595</v>
      </c>
      <c r="G35" s="150">
        <f t="shared" si="27"/>
        <v>146589</v>
      </c>
      <c r="H35" s="72" t="s">
        <v>5</v>
      </c>
      <c r="I35" s="155">
        <v>18</v>
      </c>
      <c r="J35" s="58">
        <v>2400</v>
      </c>
      <c r="K35" s="59">
        <f t="shared" si="1"/>
        <v>133.33333333333334</v>
      </c>
      <c r="L35" s="155">
        <v>18</v>
      </c>
      <c r="M35" s="60">
        <f t="shared" si="28"/>
        <v>2283.6734693877552</v>
      </c>
      <c r="N35" s="59">
        <f t="shared" si="3"/>
        <v>126.87074829931973</v>
      </c>
      <c r="O35" s="61">
        <f t="shared" si="4"/>
        <v>0</v>
      </c>
      <c r="P35" s="62">
        <f t="shared" si="5"/>
        <v>-6.4625850340136139</v>
      </c>
      <c r="Q35" s="151">
        <f t="shared" si="6"/>
        <v>0.95153061224489788</v>
      </c>
      <c r="R35" s="566"/>
      <c r="S35" s="63">
        <v>0.19444444444444445</v>
      </c>
      <c r="T35" s="63">
        <v>0.29652777777777778</v>
      </c>
      <c r="U35" s="150">
        <f t="shared" ref="U35:U39" si="30">(S35-T34)*24*60</f>
        <v>29.000000000000018</v>
      </c>
      <c r="V35" s="156">
        <f t="shared" si="29"/>
        <v>147</v>
      </c>
      <c r="W35" s="150"/>
      <c r="X35" s="150"/>
      <c r="Y35" s="559"/>
      <c r="Z35" s="559"/>
      <c r="AA35" s="61">
        <f t="shared" si="8"/>
        <v>-116.32653061224482</v>
      </c>
      <c r="AB35" s="151">
        <f t="shared" si="9"/>
        <v>0.95153061224489799</v>
      </c>
      <c r="AC35" s="566"/>
    </row>
    <row r="36" spans="1:29">
      <c r="A36" s="583" t="s">
        <v>544</v>
      </c>
      <c r="B36" s="57" t="s">
        <v>15</v>
      </c>
      <c r="C36" s="560" t="s">
        <v>25</v>
      </c>
      <c r="D36" s="560"/>
      <c r="E36" s="57">
        <v>26.18</v>
      </c>
      <c r="F36" s="157">
        <v>2181</v>
      </c>
      <c r="G36" s="150">
        <f t="shared" si="27"/>
        <v>57098.58</v>
      </c>
      <c r="H36" s="72" t="s">
        <v>5</v>
      </c>
      <c r="I36" s="155">
        <v>19</v>
      </c>
      <c r="J36" s="58">
        <v>2400</v>
      </c>
      <c r="K36" s="59">
        <f t="shared" si="1"/>
        <v>126.31578947368421</v>
      </c>
      <c r="L36" s="155">
        <v>19</v>
      </c>
      <c r="M36" s="60">
        <f t="shared" si="28"/>
        <v>2295.789473684209</v>
      </c>
      <c r="N36" s="59">
        <f t="shared" si="3"/>
        <v>120.83102493074784</v>
      </c>
      <c r="O36" s="61">
        <f t="shared" si="4"/>
        <v>0</v>
      </c>
      <c r="P36" s="62">
        <f t="shared" si="5"/>
        <v>-5.484764542936361</v>
      </c>
      <c r="Q36" s="151">
        <f t="shared" si="6"/>
        <v>0.95657894736842053</v>
      </c>
      <c r="R36" s="566"/>
      <c r="S36" s="63">
        <v>0.30208333333333331</v>
      </c>
      <c r="T36" s="63">
        <v>0.34166666666666667</v>
      </c>
      <c r="U36" s="150">
        <f t="shared" si="30"/>
        <v>7.9999999999999716</v>
      </c>
      <c r="V36" s="156">
        <f t="shared" si="29"/>
        <v>57.000000000000036</v>
      </c>
      <c r="W36" s="150"/>
      <c r="X36" s="150"/>
      <c r="Y36" s="559"/>
      <c r="Z36" s="559"/>
      <c r="AA36" s="61">
        <f t="shared" si="8"/>
        <v>-104.21052631579096</v>
      </c>
      <c r="AB36" s="151">
        <f t="shared" si="9"/>
        <v>0.95657894736842042</v>
      </c>
      <c r="AC36" s="566"/>
    </row>
    <row r="37" spans="1:29">
      <c r="A37" s="583" t="s">
        <v>545</v>
      </c>
      <c r="B37" s="57" t="s">
        <v>15</v>
      </c>
      <c r="C37" s="560" t="s">
        <v>28</v>
      </c>
      <c r="D37" s="560"/>
      <c r="E37" s="57">
        <v>26.39</v>
      </c>
      <c r="F37" s="157">
        <v>5308</v>
      </c>
      <c r="G37" s="150">
        <f t="shared" si="27"/>
        <v>140078.12</v>
      </c>
      <c r="H37" s="72" t="s">
        <v>5</v>
      </c>
      <c r="I37" s="155">
        <v>19</v>
      </c>
      <c r="J37" s="58">
        <v>2400</v>
      </c>
      <c r="K37" s="59">
        <f t="shared" si="1"/>
        <v>126.31578947368421</v>
      </c>
      <c r="L37" s="155">
        <v>19</v>
      </c>
      <c r="M37" s="60">
        <f t="shared" si="28"/>
        <v>2291.223021582734</v>
      </c>
      <c r="N37" s="59">
        <f t="shared" si="3"/>
        <v>120.59068534645968</v>
      </c>
      <c r="O37" s="61">
        <f t="shared" si="4"/>
        <v>0</v>
      </c>
      <c r="P37" s="62">
        <f t="shared" si="5"/>
        <v>-5.725104127224526</v>
      </c>
      <c r="Q37" s="151">
        <f t="shared" si="6"/>
        <v>0.95467625899280584</v>
      </c>
      <c r="R37" s="566"/>
      <c r="S37" s="63">
        <v>0.34583333333333333</v>
      </c>
      <c r="T37" s="63">
        <v>0.44236111111111109</v>
      </c>
      <c r="U37" s="150">
        <f t="shared" si="30"/>
        <v>5.9999999999999787</v>
      </c>
      <c r="V37" s="156">
        <f t="shared" si="29"/>
        <v>139</v>
      </c>
      <c r="W37" s="64"/>
      <c r="X37" s="64"/>
      <c r="Y37" s="559"/>
      <c r="Z37" s="559"/>
      <c r="AA37" s="61">
        <f t="shared" si="8"/>
        <v>-108.77697841726604</v>
      </c>
      <c r="AB37" s="151">
        <f t="shared" si="9"/>
        <v>0.95467625899280584</v>
      </c>
      <c r="AC37" s="566"/>
    </row>
    <row r="38" spans="1:29">
      <c r="A38" s="583" t="s">
        <v>545</v>
      </c>
      <c r="B38" s="57" t="s">
        <v>15</v>
      </c>
      <c r="C38" s="560" t="s">
        <v>100</v>
      </c>
      <c r="D38" s="560"/>
      <c r="E38" s="57">
        <v>28.51</v>
      </c>
      <c r="F38" s="157">
        <v>1720</v>
      </c>
      <c r="G38" s="150">
        <f t="shared" si="27"/>
        <v>49037.200000000004</v>
      </c>
      <c r="H38" s="72" t="s">
        <v>5</v>
      </c>
      <c r="I38" s="155">
        <v>16</v>
      </c>
      <c r="J38" s="58">
        <v>2400</v>
      </c>
      <c r="K38" s="59">
        <f t="shared" si="1"/>
        <v>150</v>
      </c>
      <c r="L38" s="155">
        <v>16</v>
      </c>
      <c r="M38" s="60">
        <f t="shared" si="28"/>
        <v>2293.3333333333335</v>
      </c>
      <c r="N38" s="59">
        <f t="shared" si="3"/>
        <v>143.33333333333334</v>
      </c>
      <c r="O38" s="61">
        <f t="shared" si="4"/>
        <v>0</v>
      </c>
      <c r="P38" s="62">
        <f t="shared" si="5"/>
        <v>-6.6666666666666572</v>
      </c>
      <c r="Q38" s="151">
        <f t="shared" si="6"/>
        <v>0.9555555555555556</v>
      </c>
      <c r="R38" s="566"/>
      <c r="S38" s="63">
        <v>0.4458333333333333</v>
      </c>
      <c r="T38" s="63">
        <v>0.4770833333333333</v>
      </c>
      <c r="U38" s="150">
        <f t="shared" si="30"/>
        <v>4.9999999999999822</v>
      </c>
      <c r="V38" s="156">
        <f t="shared" si="29"/>
        <v>45</v>
      </c>
      <c r="W38" s="68">
        <f>T38</f>
        <v>0.4770833333333333</v>
      </c>
      <c r="X38" s="68">
        <f>S39</f>
        <v>0.51666666666666661</v>
      </c>
      <c r="Y38" s="559"/>
      <c r="Z38" s="559"/>
      <c r="AA38" s="61">
        <f t="shared" si="8"/>
        <v>-106.66666666666652</v>
      </c>
      <c r="AB38" s="151">
        <f t="shared" si="9"/>
        <v>0.9555555555555556</v>
      </c>
      <c r="AC38" s="566"/>
    </row>
    <row r="39" spans="1:29">
      <c r="A39" s="583" t="s">
        <v>88</v>
      </c>
      <c r="B39" s="57" t="s">
        <v>15</v>
      </c>
      <c r="C39" s="560" t="s">
        <v>44</v>
      </c>
      <c r="D39" s="560"/>
      <c r="E39" s="57">
        <v>19.02</v>
      </c>
      <c r="F39" s="157">
        <v>3206</v>
      </c>
      <c r="G39" s="150">
        <f t="shared" si="27"/>
        <v>60978.119999999995</v>
      </c>
      <c r="H39" s="72" t="s">
        <v>5</v>
      </c>
      <c r="I39" s="155">
        <v>15</v>
      </c>
      <c r="J39" s="58">
        <v>2400</v>
      </c>
      <c r="K39" s="59">
        <f t="shared" si="1"/>
        <v>160</v>
      </c>
      <c r="L39" s="155">
        <v>15</v>
      </c>
      <c r="M39" s="60">
        <f t="shared" si="28"/>
        <v>2289.9999999999995</v>
      </c>
      <c r="N39" s="59">
        <f t="shared" si="3"/>
        <v>152.66666666666663</v>
      </c>
      <c r="O39" s="61">
        <f t="shared" si="4"/>
        <v>0</v>
      </c>
      <c r="P39" s="62">
        <f t="shared" si="5"/>
        <v>-7.3333333333333712</v>
      </c>
      <c r="Q39" s="151">
        <f t="shared" si="6"/>
        <v>0.95416666666666639</v>
      </c>
      <c r="R39" s="566"/>
      <c r="S39" s="63">
        <v>0.51666666666666661</v>
      </c>
      <c r="T39" s="63">
        <v>0.57499999999999996</v>
      </c>
      <c r="U39" s="150">
        <f t="shared" si="30"/>
        <v>56.999999999999957</v>
      </c>
      <c r="V39" s="156">
        <f t="shared" si="29"/>
        <v>84.000000000000028</v>
      </c>
      <c r="W39" s="64"/>
      <c r="X39" s="64"/>
      <c r="Y39" s="559"/>
      <c r="Z39" s="559"/>
      <c r="AA39" s="61">
        <f t="shared" si="8"/>
        <v>-110.00000000000045</v>
      </c>
      <c r="AB39" s="151">
        <f t="shared" si="9"/>
        <v>0.9541666666666665</v>
      </c>
      <c r="AC39" s="566"/>
    </row>
    <row r="40" spans="1:29">
      <c r="A40" s="583" t="s">
        <v>546</v>
      </c>
      <c r="B40" s="66" t="s">
        <v>537</v>
      </c>
      <c r="C40" s="571"/>
      <c r="D40" s="571"/>
      <c r="E40" s="152"/>
      <c r="F40" s="66"/>
      <c r="G40" s="59"/>
      <c r="H40" s="157"/>
      <c r="I40" s="67">
        <v>17</v>
      </c>
      <c r="J40" s="58">
        <v>2400</v>
      </c>
      <c r="K40" s="59">
        <f t="shared" si="1"/>
        <v>141.1764705882353</v>
      </c>
      <c r="L40" s="67">
        <v>17</v>
      </c>
      <c r="M40" s="60">
        <f>AVERAGE(M34:M39)</f>
        <v>2290.6826056443156</v>
      </c>
      <c r="N40" s="59">
        <f t="shared" si="3"/>
        <v>134.74603562613621</v>
      </c>
      <c r="O40" s="61">
        <f t="shared" si="4"/>
        <v>0</v>
      </c>
      <c r="P40" s="62">
        <f t="shared" si="5"/>
        <v>-6.430434962099099</v>
      </c>
      <c r="Q40" s="151">
        <f t="shared" si="6"/>
        <v>0.95445108568513137</v>
      </c>
      <c r="R40" s="566"/>
      <c r="S40" s="63"/>
      <c r="T40" s="63"/>
      <c r="U40" s="59"/>
      <c r="V40" s="156"/>
      <c r="W40" s="59"/>
      <c r="X40" s="59"/>
      <c r="Y40" s="559"/>
      <c r="Z40" s="559"/>
      <c r="AA40" s="61">
        <f t="shared" si="8"/>
        <v>-109.31739435568443</v>
      </c>
      <c r="AB40" s="151">
        <f t="shared" si="9"/>
        <v>0.95445108568513148</v>
      </c>
      <c r="AC40" s="566"/>
    </row>
    <row r="41" spans="1:29" ht="15.75" customHeight="1">
      <c r="A41" s="576" t="s">
        <v>89</v>
      </c>
      <c r="B41" s="57" t="s">
        <v>31</v>
      </c>
      <c r="C41" s="567" t="s">
        <v>32</v>
      </c>
      <c r="D41" s="568"/>
      <c r="E41" s="57">
        <v>21.13</v>
      </c>
      <c r="F41" s="157">
        <v>4733</v>
      </c>
      <c r="G41" s="150">
        <f t="shared" ref="G41:G47" si="31">E41*F41</f>
        <v>100008.29</v>
      </c>
      <c r="H41" s="72" t="s">
        <v>5</v>
      </c>
      <c r="I41" s="155">
        <v>10</v>
      </c>
      <c r="J41" s="58">
        <v>3000</v>
      </c>
      <c r="K41" s="59">
        <f t="shared" si="1"/>
        <v>300</v>
      </c>
      <c r="L41" s="155">
        <v>10</v>
      </c>
      <c r="M41" s="60">
        <f t="shared" ref="M41:M47" si="32">F41/V41*60</f>
        <v>2868.4848484848485</v>
      </c>
      <c r="N41" s="60">
        <f t="shared" si="3"/>
        <v>286.84848484848487</v>
      </c>
      <c r="O41" s="61">
        <f t="shared" si="4"/>
        <v>0</v>
      </c>
      <c r="P41" s="62">
        <f t="shared" si="5"/>
        <v>-13.151515151515127</v>
      </c>
      <c r="Q41" s="151">
        <f t="shared" si="6"/>
        <v>0.95616161616161621</v>
      </c>
      <c r="R41" s="579">
        <f>Q48</f>
        <v>0.96199602866645562</v>
      </c>
      <c r="S41" s="63">
        <v>8.3333333333333329E-2</v>
      </c>
      <c r="T41" s="63">
        <v>0.15208333333333332</v>
      </c>
      <c r="U41" s="68"/>
      <c r="V41" s="156">
        <f t="shared" ref="V41:V47" si="33">(T41-S41)*24*60</f>
        <v>99</v>
      </c>
      <c r="W41" s="64">
        <f>T41</f>
        <v>0.15208333333333332</v>
      </c>
      <c r="X41" s="64">
        <f>S42</f>
        <v>0.17013888888888887</v>
      </c>
      <c r="Y41" s="569"/>
      <c r="Z41" s="570"/>
      <c r="AA41" s="61">
        <f t="shared" si="8"/>
        <v>-131.5151515151515</v>
      </c>
      <c r="AB41" s="151">
        <f t="shared" si="9"/>
        <v>0.95616161616161621</v>
      </c>
      <c r="AC41" s="579">
        <f>AB48</f>
        <v>0.9619960286664555</v>
      </c>
    </row>
    <row r="42" spans="1:29" ht="15.75" customHeight="1">
      <c r="A42" s="577" t="s">
        <v>547</v>
      </c>
      <c r="B42" s="57" t="s">
        <v>31</v>
      </c>
      <c r="C42" s="567" t="s">
        <v>33</v>
      </c>
      <c r="D42" s="568"/>
      <c r="E42" s="57">
        <v>27.17</v>
      </c>
      <c r="F42" s="157">
        <v>6028</v>
      </c>
      <c r="G42" s="150">
        <f t="shared" si="31"/>
        <v>163780.76</v>
      </c>
      <c r="H42" s="72" t="s">
        <v>5</v>
      </c>
      <c r="I42" s="155">
        <v>10</v>
      </c>
      <c r="J42" s="58">
        <v>3000</v>
      </c>
      <c r="K42" s="59">
        <f t="shared" si="1"/>
        <v>300</v>
      </c>
      <c r="L42" s="155">
        <v>10</v>
      </c>
      <c r="M42" s="60">
        <f t="shared" si="32"/>
        <v>2870.4761904761908</v>
      </c>
      <c r="N42" s="60">
        <f t="shared" si="3"/>
        <v>287.04761904761909</v>
      </c>
      <c r="O42" s="61">
        <f t="shared" si="4"/>
        <v>0</v>
      </c>
      <c r="P42" s="62">
        <f t="shared" si="5"/>
        <v>-12.952380952380906</v>
      </c>
      <c r="Q42" s="151">
        <f t="shared" si="6"/>
        <v>0.95682539682539702</v>
      </c>
      <c r="R42" s="580"/>
      <c r="S42" s="63">
        <v>0.17013888888888887</v>
      </c>
      <c r="T42" s="63">
        <v>0.25763888888888886</v>
      </c>
      <c r="U42" s="150">
        <f t="shared" ref="U42:U47" si="34">(S42-T41)*24*60</f>
        <v>25.999999999999986</v>
      </c>
      <c r="V42" s="156">
        <f t="shared" si="33"/>
        <v>125.99999999999997</v>
      </c>
      <c r="W42" s="64"/>
      <c r="X42" s="64"/>
      <c r="Y42" s="569"/>
      <c r="Z42" s="570"/>
      <c r="AA42" s="61">
        <f t="shared" si="8"/>
        <v>-129.52380952380918</v>
      </c>
      <c r="AB42" s="151">
        <f t="shared" si="9"/>
        <v>0.95682539682539691</v>
      </c>
      <c r="AC42" s="580"/>
    </row>
    <row r="43" spans="1:29" ht="15.75" customHeight="1">
      <c r="A43" s="577" t="s">
        <v>547</v>
      </c>
      <c r="B43" s="57" t="s">
        <v>31</v>
      </c>
      <c r="C43" s="567" t="s">
        <v>34</v>
      </c>
      <c r="D43" s="568"/>
      <c r="E43" s="57">
        <v>35.119999999999997</v>
      </c>
      <c r="F43" s="157">
        <v>3932</v>
      </c>
      <c r="G43" s="150">
        <f t="shared" si="31"/>
        <v>138091.84</v>
      </c>
      <c r="H43" s="72" t="s">
        <v>5</v>
      </c>
      <c r="I43" s="155">
        <v>10</v>
      </c>
      <c r="J43" s="58">
        <v>3000</v>
      </c>
      <c r="K43" s="59">
        <f t="shared" si="1"/>
        <v>300</v>
      </c>
      <c r="L43" s="155">
        <v>10</v>
      </c>
      <c r="M43" s="60">
        <f t="shared" si="32"/>
        <v>2877.0731707317063</v>
      </c>
      <c r="N43" s="60">
        <f t="shared" si="3"/>
        <v>287.70731707317066</v>
      </c>
      <c r="O43" s="61">
        <f t="shared" si="4"/>
        <v>0</v>
      </c>
      <c r="P43" s="62">
        <f t="shared" si="5"/>
        <v>-12.292682926829343</v>
      </c>
      <c r="Q43" s="151">
        <f t="shared" si="6"/>
        <v>0.95902439024390218</v>
      </c>
      <c r="R43" s="580"/>
      <c r="S43" s="63">
        <v>0.26249999999999996</v>
      </c>
      <c r="T43" s="63">
        <v>0.31944444444444442</v>
      </c>
      <c r="U43" s="150">
        <f t="shared" si="34"/>
        <v>6.9999999999999751</v>
      </c>
      <c r="V43" s="156">
        <f t="shared" si="33"/>
        <v>82.000000000000028</v>
      </c>
      <c r="W43" s="64"/>
      <c r="X43" s="64"/>
      <c r="Y43" s="569"/>
      <c r="Z43" s="570"/>
      <c r="AA43" s="61">
        <f t="shared" si="8"/>
        <v>-122.92682926829366</v>
      </c>
      <c r="AB43" s="151">
        <f t="shared" si="9"/>
        <v>0.95902439024390207</v>
      </c>
      <c r="AC43" s="580"/>
    </row>
    <row r="44" spans="1:29" ht="15.75" customHeight="1">
      <c r="A44" s="577" t="s">
        <v>547</v>
      </c>
      <c r="B44" s="57" t="s">
        <v>31</v>
      </c>
      <c r="C44" s="567" t="s">
        <v>35</v>
      </c>
      <c r="D44" s="568"/>
      <c r="E44" s="57">
        <v>35.869999999999997</v>
      </c>
      <c r="F44" s="157">
        <v>2658</v>
      </c>
      <c r="G44" s="150">
        <f t="shared" si="31"/>
        <v>95342.459999999992</v>
      </c>
      <c r="H44" s="72" t="s">
        <v>5</v>
      </c>
      <c r="I44" s="155">
        <v>9</v>
      </c>
      <c r="J44" s="58">
        <v>3000</v>
      </c>
      <c r="K44" s="59">
        <f t="shared" si="1"/>
        <v>333.33333333333331</v>
      </c>
      <c r="L44" s="155">
        <v>9</v>
      </c>
      <c r="M44" s="60">
        <f t="shared" si="32"/>
        <v>2899.6363636363653</v>
      </c>
      <c r="N44" s="60">
        <f t="shared" si="3"/>
        <v>322.18181818181836</v>
      </c>
      <c r="O44" s="61">
        <f t="shared" si="4"/>
        <v>0</v>
      </c>
      <c r="P44" s="62">
        <f t="shared" si="5"/>
        <v>-11.151515151514957</v>
      </c>
      <c r="Q44" s="151">
        <f t="shared" si="6"/>
        <v>0.96654545454545515</v>
      </c>
      <c r="R44" s="580"/>
      <c r="S44" s="63">
        <v>0.32361111111111107</v>
      </c>
      <c r="T44" s="63">
        <v>0.36180555555555549</v>
      </c>
      <c r="U44" s="150">
        <f t="shared" si="34"/>
        <v>5.9999999999999787</v>
      </c>
      <c r="V44" s="156">
        <f t="shared" si="33"/>
        <v>54.999999999999964</v>
      </c>
      <c r="W44" s="64"/>
      <c r="X44" s="64"/>
      <c r="Y44" s="569"/>
      <c r="Z44" s="570"/>
      <c r="AA44" s="61">
        <f t="shared" si="8"/>
        <v>-100.36363636363467</v>
      </c>
      <c r="AB44" s="151">
        <f t="shared" si="9"/>
        <v>0.96654545454545515</v>
      </c>
      <c r="AC44" s="580"/>
    </row>
    <row r="45" spans="1:29" ht="15.75" customHeight="1">
      <c r="A45" s="577" t="s">
        <v>89</v>
      </c>
      <c r="B45" s="57" t="s">
        <v>31</v>
      </c>
      <c r="C45" s="567" t="s">
        <v>36</v>
      </c>
      <c r="D45" s="568"/>
      <c r="E45" s="57">
        <v>36.14</v>
      </c>
      <c r="F45" s="157">
        <v>1210</v>
      </c>
      <c r="G45" s="150">
        <f t="shared" si="31"/>
        <v>43729.4</v>
      </c>
      <c r="H45" s="72" t="s">
        <v>5</v>
      </c>
      <c r="I45" s="155">
        <v>9</v>
      </c>
      <c r="J45" s="58">
        <v>3000</v>
      </c>
      <c r="K45" s="59">
        <f t="shared" si="1"/>
        <v>333.33333333333331</v>
      </c>
      <c r="L45" s="155">
        <v>9</v>
      </c>
      <c r="M45" s="60">
        <f t="shared" si="32"/>
        <v>2904.0000000000009</v>
      </c>
      <c r="N45" s="60">
        <f t="shared" si="3"/>
        <v>322.66666666666674</v>
      </c>
      <c r="O45" s="61">
        <f t="shared" si="4"/>
        <v>0</v>
      </c>
      <c r="P45" s="62">
        <f t="shared" si="5"/>
        <v>-10.666666666666572</v>
      </c>
      <c r="Q45" s="151">
        <f t="shared" si="6"/>
        <v>0.9680000000000003</v>
      </c>
      <c r="R45" s="580"/>
      <c r="S45" s="63">
        <v>0.36736111111111103</v>
      </c>
      <c r="T45" s="63">
        <v>0.38472222222222213</v>
      </c>
      <c r="U45" s="150">
        <f t="shared" si="34"/>
        <v>7.9999999999999716</v>
      </c>
      <c r="V45" s="156">
        <f t="shared" si="33"/>
        <v>24.999999999999993</v>
      </c>
      <c r="W45" s="64"/>
      <c r="X45" s="64"/>
      <c r="Y45" s="569"/>
      <c r="Z45" s="570"/>
      <c r="AA45" s="61">
        <f t="shared" si="8"/>
        <v>-95.999999999999091</v>
      </c>
      <c r="AB45" s="151">
        <f t="shared" si="9"/>
        <v>0.9680000000000003</v>
      </c>
      <c r="AC45" s="580"/>
    </row>
    <row r="46" spans="1:29" ht="15.75" customHeight="1">
      <c r="A46" s="577" t="s">
        <v>547</v>
      </c>
      <c r="B46" s="57" t="s">
        <v>31</v>
      </c>
      <c r="C46" s="567" t="s">
        <v>63</v>
      </c>
      <c r="D46" s="568"/>
      <c r="E46" s="57">
        <v>34.36</v>
      </c>
      <c r="F46" s="157">
        <v>1928</v>
      </c>
      <c r="G46" s="150">
        <f t="shared" si="31"/>
        <v>66246.080000000002</v>
      </c>
      <c r="H46" s="72" t="s">
        <v>5</v>
      </c>
      <c r="I46" s="155">
        <v>10</v>
      </c>
      <c r="J46" s="58">
        <v>3000</v>
      </c>
      <c r="K46" s="59">
        <f t="shared" si="1"/>
        <v>300</v>
      </c>
      <c r="L46" s="155">
        <v>10</v>
      </c>
      <c r="M46" s="60">
        <f t="shared" si="32"/>
        <v>2891.9999999999991</v>
      </c>
      <c r="N46" s="60">
        <f t="shared" si="3"/>
        <v>289.19999999999993</v>
      </c>
      <c r="O46" s="61">
        <f t="shared" si="4"/>
        <v>0</v>
      </c>
      <c r="P46" s="62">
        <f t="shared" si="5"/>
        <v>-10.800000000000068</v>
      </c>
      <c r="Q46" s="151">
        <f t="shared" si="6"/>
        <v>0.96399999999999975</v>
      </c>
      <c r="R46" s="580"/>
      <c r="S46" s="63">
        <v>0.38958333333333323</v>
      </c>
      <c r="T46" s="63">
        <v>0.41736111111111102</v>
      </c>
      <c r="U46" s="150">
        <f t="shared" si="34"/>
        <v>6.9999999999999751</v>
      </c>
      <c r="V46" s="156">
        <f t="shared" si="33"/>
        <v>40.000000000000014</v>
      </c>
      <c r="W46" s="64"/>
      <c r="X46" s="64"/>
      <c r="Y46" s="569"/>
      <c r="Z46" s="570"/>
      <c r="AA46" s="61">
        <f t="shared" si="8"/>
        <v>-108.00000000000091</v>
      </c>
      <c r="AB46" s="151">
        <f t="shared" si="9"/>
        <v>0.96399999999999975</v>
      </c>
      <c r="AC46" s="580"/>
    </row>
    <row r="47" spans="1:29" ht="15.75" customHeight="1">
      <c r="A47" s="577" t="s">
        <v>89</v>
      </c>
      <c r="B47" s="57" t="s">
        <v>31</v>
      </c>
      <c r="C47" s="567" t="s">
        <v>71</v>
      </c>
      <c r="D47" s="568"/>
      <c r="E47" s="57">
        <v>31</v>
      </c>
      <c r="F47" s="157">
        <v>2571</v>
      </c>
      <c r="G47" s="150">
        <f t="shared" si="31"/>
        <v>79701</v>
      </c>
      <c r="H47" s="72" t="s">
        <v>5</v>
      </c>
      <c r="I47" s="155">
        <v>13</v>
      </c>
      <c r="J47" s="58">
        <v>2000</v>
      </c>
      <c r="K47" s="59">
        <f t="shared" si="1"/>
        <v>153.84615384615384</v>
      </c>
      <c r="L47" s="155">
        <v>13</v>
      </c>
      <c r="M47" s="60">
        <f t="shared" si="32"/>
        <v>1928.2500000000009</v>
      </c>
      <c r="N47" s="60">
        <f t="shared" si="3"/>
        <v>148.32692307692315</v>
      </c>
      <c r="O47" s="61">
        <f t="shared" si="4"/>
        <v>0</v>
      </c>
      <c r="P47" s="62">
        <f t="shared" si="5"/>
        <v>-5.5192307692306883</v>
      </c>
      <c r="Q47" s="151">
        <f t="shared" si="6"/>
        <v>0.96412500000000056</v>
      </c>
      <c r="R47" s="580"/>
      <c r="S47" s="63">
        <v>0.42083333333333323</v>
      </c>
      <c r="T47" s="63">
        <v>0.47638888888888875</v>
      </c>
      <c r="U47" s="150">
        <f t="shared" si="34"/>
        <v>4.9999999999999822</v>
      </c>
      <c r="V47" s="156">
        <f t="shared" si="33"/>
        <v>79.999999999999957</v>
      </c>
      <c r="W47" s="64"/>
      <c r="X47" s="64"/>
      <c r="Y47" s="569"/>
      <c r="Z47" s="570"/>
      <c r="AA47" s="61">
        <f t="shared" si="8"/>
        <v>-71.749999999999091</v>
      </c>
      <c r="AB47" s="151">
        <f t="shared" si="9"/>
        <v>0.96412500000000045</v>
      </c>
      <c r="AC47" s="580"/>
    </row>
    <row r="48" spans="1:29" ht="15.75" customHeight="1">
      <c r="A48" s="578" t="s">
        <v>547</v>
      </c>
      <c r="B48" s="57" t="s">
        <v>526</v>
      </c>
      <c r="C48" s="561"/>
      <c r="D48" s="562"/>
      <c r="E48" s="149"/>
      <c r="F48" s="157"/>
      <c r="G48" s="150"/>
      <c r="H48" s="157"/>
      <c r="I48" s="67">
        <v>10.142857142857142</v>
      </c>
      <c r="J48" s="58">
        <v>2857.1428571428573</v>
      </c>
      <c r="K48" s="59">
        <f t="shared" si="1"/>
        <v>281.69014084507046</v>
      </c>
      <c r="L48" s="67">
        <v>10.142857142857142</v>
      </c>
      <c r="M48" s="60">
        <f>AVERAGE(M41:M47)</f>
        <v>2748.5600819041588</v>
      </c>
      <c r="N48" s="59">
        <f t="shared" si="3"/>
        <v>270.98479680745231</v>
      </c>
      <c r="O48" s="61">
        <f t="shared" si="4"/>
        <v>0</v>
      </c>
      <c r="P48" s="62">
        <f t="shared" si="5"/>
        <v>-10.705344037618147</v>
      </c>
      <c r="Q48" s="151">
        <f t="shared" si="6"/>
        <v>0.96199602866645562</v>
      </c>
      <c r="R48" s="581"/>
      <c r="S48" s="63"/>
      <c r="T48" s="63"/>
      <c r="U48" s="150"/>
      <c r="V48" s="156"/>
      <c r="W48" s="64"/>
      <c r="X48" s="64"/>
      <c r="Y48" s="569"/>
      <c r="Z48" s="570"/>
      <c r="AA48" s="61">
        <f t="shared" si="8"/>
        <v>-108.58277523869856</v>
      </c>
      <c r="AB48" s="151">
        <f t="shared" si="9"/>
        <v>0.9619960286664555</v>
      </c>
      <c r="AC48" s="581"/>
    </row>
    <row r="49" spans="1:29" ht="15.75" customHeight="1">
      <c r="A49" s="574" t="s">
        <v>548</v>
      </c>
      <c r="B49" s="57" t="s">
        <v>10</v>
      </c>
      <c r="C49" s="560" t="s">
        <v>37</v>
      </c>
      <c r="D49" s="560"/>
      <c r="E49" s="57">
        <v>46</v>
      </c>
      <c r="F49" s="69">
        <v>1805</v>
      </c>
      <c r="G49" s="150">
        <f t="shared" ref="G49:G53" si="35">E49*F49</f>
        <v>83030</v>
      </c>
      <c r="H49" s="72" t="s">
        <v>5</v>
      </c>
      <c r="I49" s="155">
        <v>17</v>
      </c>
      <c r="J49" s="58">
        <v>2000</v>
      </c>
      <c r="K49" s="59">
        <f t="shared" si="1"/>
        <v>117.64705882352941</v>
      </c>
      <c r="L49" s="155">
        <v>17</v>
      </c>
      <c r="M49" s="60">
        <f t="shared" ref="M49:M53" si="36">F49/V49*60</f>
        <v>1933.9285714285713</v>
      </c>
      <c r="N49" s="60">
        <f t="shared" si="3"/>
        <v>113.76050420168066</v>
      </c>
      <c r="O49" s="61">
        <f t="shared" si="4"/>
        <v>0</v>
      </c>
      <c r="P49" s="62">
        <f t="shared" si="5"/>
        <v>-3.8865546218487452</v>
      </c>
      <c r="Q49" s="151">
        <f t="shared" si="6"/>
        <v>0.96696428571428561</v>
      </c>
      <c r="R49" s="566">
        <f>Q54</f>
        <v>0.96320468631123635</v>
      </c>
      <c r="S49" s="63">
        <v>0.20833333333333334</v>
      </c>
      <c r="T49" s="63">
        <v>0.24722222222222223</v>
      </c>
      <c r="U49" s="68"/>
      <c r="V49" s="156">
        <f t="shared" ref="V49:V53" si="37">(T49-S49)*24*60</f>
        <v>56</v>
      </c>
      <c r="W49" s="68"/>
      <c r="X49" s="68"/>
      <c r="Y49" s="559"/>
      <c r="Z49" s="559"/>
      <c r="AA49" s="61">
        <f t="shared" si="8"/>
        <v>-66.071428571428669</v>
      </c>
      <c r="AB49" s="151">
        <f t="shared" si="9"/>
        <v>0.96696428571428572</v>
      </c>
      <c r="AC49" s="566">
        <f>AB54</f>
        <v>0.96320468631123635</v>
      </c>
    </row>
    <row r="50" spans="1:29" ht="15.75" customHeight="1">
      <c r="A50" s="574" t="s">
        <v>549</v>
      </c>
      <c r="B50" s="57" t="s">
        <v>10</v>
      </c>
      <c r="C50" s="560" t="s">
        <v>38</v>
      </c>
      <c r="D50" s="560"/>
      <c r="E50" s="57">
        <v>46</v>
      </c>
      <c r="F50" s="69">
        <v>1934</v>
      </c>
      <c r="G50" s="150">
        <f t="shared" si="35"/>
        <v>88964</v>
      </c>
      <c r="H50" s="72" t="s">
        <v>5</v>
      </c>
      <c r="I50" s="155">
        <v>17</v>
      </c>
      <c r="J50" s="58">
        <v>2000</v>
      </c>
      <c r="K50" s="59">
        <f t="shared" si="1"/>
        <v>117.64705882352941</v>
      </c>
      <c r="L50" s="155">
        <v>17</v>
      </c>
      <c r="M50" s="60">
        <f t="shared" si="36"/>
        <v>1933.9999999999991</v>
      </c>
      <c r="N50" s="60">
        <f t="shared" si="3"/>
        <v>113.76470588235289</v>
      </c>
      <c r="O50" s="61">
        <f t="shared" si="4"/>
        <v>0</v>
      </c>
      <c r="P50" s="62">
        <f t="shared" si="5"/>
        <v>-3.8823529411765207</v>
      </c>
      <c r="Q50" s="151">
        <f t="shared" si="6"/>
        <v>0.96699999999999953</v>
      </c>
      <c r="R50" s="566"/>
      <c r="S50" s="63">
        <v>0.25277777777777777</v>
      </c>
      <c r="T50" s="63">
        <v>0.29444444444444445</v>
      </c>
      <c r="U50" s="150">
        <f t="shared" ref="U50:U53" si="38">IF(S50=TIME(17,0,0),"",(S50-T49)*24*60)</f>
        <v>7.9999999999999716</v>
      </c>
      <c r="V50" s="156">
        <f t="shared" si="37"/>
        <v>60.000000000000028</v>
      </c>
      <c r="W50" s="64"/>
      <c r="X50" s="64"/>
      <c r="Y50" s="559"/>
      <c r="Z50" s="559"/>
      <c r="AA50" s="61">
        <f t="shared" si="8"/>
        <v>-66.000000000000909</v>
      </c>
      <c r="AB50" s="151">
        <f t="shared" si="9"/>
        <v>0.96699999999999953</v>
      </c>
      <c r="AC50" s="566"/>
    </row>
    <row r="51" spans="1:29" ht="15.75" customHeight="1">
      <c r="A51" s="574" t="s">
        <v>117</v>
      </c>
      <c r="B51" s="57" t="s">
        <v>6</v>
      </c>
      <c r="C51" s="567" t="s">
        <v>39</v>
      </c>
      <c r="D51" s="568"/>
      <c r="E51" s="57">
        <v>55.56</v>
      </c>
      <c r="F51" s="69">
        <v>2174</v>
      </c>
      <c r="G51" s="150">
        <f t="shared" si="35"/>
        <v>120787.44</v>
      </c>
      <c r="H51" s="72" t="s">
        <v>5</v>
      </c>
      <c r="I51" s="155">
        <v>17</v>
      </c>
      <c r="J51" s="58">
        <v>2000</v>
      </c>
      <c r="K51" s="59">
        <f t="shared" si="1"/>
        <v>117.64705882352941</v>
      </c>
      <c r="L51" s="155">
        <v>17</v>
      </c>
      <c r="M51" s="60">
        <f t="shared" si="36"/>
        <v>1918.2352941176496</v>
      </c>
      <c r="N51" s="60">
        <f t="shared" si="3"/>
        <v>112.83737024221467</v>
      </c>
      <c r="O51" s="61">
        <f t="shared" si="4"/>
        <v>0</v>
      </c>
      <c r="P51" s="62">
        <f t="shared" si="5"/>
        <v>-4.809688581314731</v>
      </c>
      <c r="Q51" s="151">
        <f t="shared" si="6"/>
        <v>0.95911764705882474</v>
      </c>
      <c r="R51" s="566"/>
      <c r="S51" s="63">
        <v>0.70833333333333337</v>
      </c>
      <c r="T51" s="63">
        <v>0.75555555555555554</v>
      </c>
      <c r="U51" s="150" t="str">
        <f t="shared" si="38"/>
        <v/>
      </c>
      <c r="V51" s="156">
        <f t="shared" si="37"/>
        <v>67.999999999999915</v>
      </c>
      <c r="W51" s="64"/>
      <c r="X51" s="64"/>
      <c r="Y51" s="147"/>
      <c r="Z51" s="148"/>
      <c r="AA51" s="61">
        <f t="shared" si="8"/>
        <v>-81.764705882350427</v>
      </c>
      <c r="AB51" s="151">
        <f t="shared" si="9"/>
        <v>0.95911764705882474</v>
      </c>
      <c r="AC51" s="566"/>
    </row>
    <row r="52" spans="1:29" ht="15.75" customHeight="1">
      <c r="A52" s="574" t="s">
        <v>117</v>
      </c>
      <c r="B52" s="57" t="s">
        <v>6</v>
      </c>
      <c r="C52" s="153" t="s">
        <v>40</v>
      </c>
      <c r="D52" s="154"/>
      <c r="E52" s="57">
        <v>55.32</v>
      </c>
      <c r="F52" s="69">
        <v>1580</v>
      </c>
      <c r="G52" s="150">
        <f t="shared" si="35"/>
        <v>87405.6</v>
      </c>
      <c r="H52" s="72" t="s">
        <v>5</v>
      </c>
      <c r="I52" s="155">
        <v>15</v>
      </c>
      <c r="J52" s="58">
        <v>2000</v>
      </c>
      <c r="K52" s="59">
        <f t="shared" si="1"/>
        <v>133.33333333333334</v>
      </c>
      <c r="L52" s="155">
        <v>15</v>
      </c>
      <c r="M52" s="60">
        <f t="shared" si="36"/>
        <v>1934.6938775510209</v>
      </c>
      <c r="N52" s="60">
        <f t="shared" si="3"/>
        <v>128.97959183673473</v>
      </c>
      <c r="O52" s="61">
        <f t="shared" si="4"/>
        <v>0</v>
      </c>
      <c r="P52" s="62">
        <f t="shared" si="5"/>
        <v>-4.3537414965986159</v>
      </c>
      <c r="Q52" s="151">
        <f t="shared" si="6"/>
        <v>0.96734693877551037</v>
      </c>
      <c r="R52" s="566"/>
      <c r="S52" s="63">
        <v>0.76041666666666663</v>
      </c>
      <c r="T52" s="63">
        <v>0.7944444444444444</v>
      </c>
      <c r="U52" s="150">
        <f t="shared" si="38"/>
        <v>6.9999999999999751</v>
      </c>
      <c r="V52" s="156">
        <f t="shared" si="37"/>
        <v>48.999999999999986</v>
      </c>
      <c r="W52" s="64"/>
      <c r="X52" s="64"/>
      <c r="Y52" s="147"/>
      <c r="Z52" s="148"/>
      <c r="AA52" s="61">
        <f t="shared" si="8"/>
        <v>-65.306122448979067</v>
      </c>
      <c r="AB52" s="151">
        <f t="shared" si="9"/>
        <v>0.96734693877551048</v>
      </c>
      <c r="AC52" s="566"/>
    </row>
    <row r="53" spans="1:29" ht="15.75" customHeight="1">
      <c r="A53" s="574" t="s">
        <v>548</v>
      </c>
      <c r="B53" s="57" t="s">
        <v>6</v>
      </c>
      <c r="C53" s="153" t="s">
        <v>99</v>
      </c>
      <c r="D53" s="154"/>
      <c r="E53" s="57">
        <v>53.68</v>
      </c>
      <c r="F53" s="69">
        <v>2883</v>
      </c>
      <c r="G53" s="150">
        <f t="shared" si="35"/>
        <v>154759.44</v>
      </c>
      <c r="H53" s="72" t="s">
        <v>5</v>
      </c>
      <c r="I53" s="155">
        <v>16</v>
      </c>
      <c r="J53" s="58">
        <v>1500</v>
      </c>
      <c r="K53" s="59">
        <f t="shared" si="1"/>
        <v>93.75</v>
      </c>
      <c r="L53" s="155">
        <v>16</v>
      </c>
      <c r="M53" s="60">
        <f t="shared" si="36"/>
        <v>1429.5867768595035</v>
      </c>
      <c r="N53" s="60">
        <f t="shared" si="3"/>
        <v>89.34917355371897</v>
      </c>
      <c r="O53" s="61">
        <f t="shared" si="4"/>
        <v>0</v>
      </c>
      <c r="P53" s="62">
        <f t="shared" si="5"/>
        <v>-4.4008264462810303</v>
      </c>
      <c r="Q53" s="151">
        <f t="shared" si="6"/>
        <v>0.95305785123966902</v>
      </c>
      <c r="R53" s="566"/>
      <c r="S53" s="63">
        <v>0.79999999999999993</v>
      </c>
      <c r="T53" s="63">
        <v>0.88402777777777775</v>
      </c>
      <c r="U53" s="150">
        <f t="shared" si="38"/>
        <v>7.9999999999999716</v>
      </c>
      <c r="V53" s="156">
        <f t="shared" si="37"/>
        <v>121.00000000000006</v>
      </c>
      <c r="W53" s="64"/>
      <c r="X53" s="64"/>
      <c r="Y53" s="147"/>
      <c r="Z53" s="148"/>
      <c r="AA53" s="61">
        <f t="shared" si="8"/>
        <v>-70.413223140496484</v>
      </c>
      <c r="AB53" s="151">
        <f t="shared" si="9"/>
        <v>0.95305785123966902</v>
      </c>
      <c r="AC53" s="566"/>
    </row>
    <row r="54" spans="1:29">
      <c r="A54" s="575" t="s">
        <v>548</v>
      </c>
      <c r="B54" s="57" t="s">
        <v>537</v>
      </c>
      <c r="C54" s="571"/>
      <c r="D54" s="571"/>
      <c r="E54" s="152"/>
      <c r="F54" s="66"/>
      <c r="G54" s="59"/>
      <c r="H54" s="157"/>
      <c r="I54" s="67">
        <v>16.399999999999999</v>
      </c>
      <c r="J54" s="58">
        <v>1900</v>
      </c>
      <c r="K54" s="59">
        <f t="shared" si="1"/>
        <v>115.85365853658537</v>
      </c>
      <c r="L54" s="67">
        <v>16.399999999999999</v>
      </c>
      <c r="M54" s="60">
        <f>AVERAGE(M49:M53)</f>
        <v>1830.0889039913491</v>
      </c>
      <c r="N54" s="59">
        <f t="shared" si="3"/>
        <v>111.5907868287408</v>
      </c>
      <c r="O54" s="61">
        <f t="shared" si="4"/>
        <v>0</v>
      </c>
      <c r="P54" s="62">
        <f t="shared" si="5"/>
        <v>-4.2628717078445675</v>
      </c>
      <c r="Q54" s="151">
        <f t="shared" si="6"/>
        <v>0.96320468631123635</v>
      </c>
      <c r="R54" s="566"/>
      <c r="S54" s="70"/>
      <c r="T54" s="63"/>
      <c r="U54" s="59"/>
      <c r="V54" s="156"/>
      <c r="W54" s="59"/>
      <c r="X54" s="59"/>
      <c r="Y54" s="559"/>
      <c r="Z54" s="559"/>
      <c r="AA54" s="61">
        <f t="shared" si="8"/>
        <v>-69.911096008650929</v>
      </c>
      <c r="AB54" s="151">
        <f t="shared" si="9"/>
        <v>0.96320468631123635</v>
      </c>
      <c r="AC54" s="566"/>
    </row>
    <row r="55" spans="1:29" ht="15.75" customHeight="1">
      <c r="A55" s="572" t="s">
        <v>550</v>
      </c>
      <c r="B55" s="157" t="s">
        <v>10</v>
      </c>
      <c r="C55" s="560" t="s">
        <v>42</v>
      </c>
      <c r="D55" s="560"/>
      <c r="E55" s="57">
        <v>26.97</v>
      </c>
      <c r="F55" s="69">
        <v>2666</v>
      </c>
      <c r="G55" s="150">
        <f t="shared" ref="G55:G58" si="39">E55*F55</f>
        <v>71902.02</v>
      </c>
      <c r="H55" s="72" t="s">
        <v>5</v>
      </c>
      <c r="I55" s="155">
        <v>8</v>
      </c>
      <c r="J55" s="58">
        <v>1500</v>
      </c>
      <c r="K55" s="59">
        <f t="shared" si="1"/>
        <v>187.5</v>
      </c>
      <c r="L55" s="155">
        <v>8</v>
      </c>
      <c r="M55" s="60">
        <f t="shared" ref="M55:M58" si="40">F55/V55*60</f>
        <v>1441.0810810810815</v>
      </c>
      <c r="N55" s="59">
        <f t="shared" si="3"/>
        <v>180.13513513513519</v>
      </c>
      <c r="O55" s="61">
        <f t="shared" si="4"/>
        <v>0</v>
      </c>
      <c r="P55" s="62">
        <f t="shared" si="5"/>
        <v>-7.3648648648648134</v>
      </c>
      <c r="Q55" s="151">
        <f t="shared" si="6"/>
        <v>0.96072072072072101</v>
      </c>
      <c r="R55" s="566">
        <f>Q59</f>
        <v>0.96315106755106783</v>
      </c>
      <c r="S55" s="63">
        <v>0.20833333333333334</v>
      </c>
      <c r="T55" s="63">
        <v>0.28541666666666665</v>
      </c>
      <c r="U55" s="150"/>
      <c r="V55" s="156">
        <f t="shared" ref="V55:V58" si="41">(T55-S55)*24*60</f>
        <v>110.99999999999997</v>
      </c>
      <c r="W55" s="68"/>
      <c r="X55" s="68"/>
      <c r="Y55" s="559"/>
      <c r="Z55" s="559"/>
      <c r="AA55" s="61">
        <f t="shared" si="8"/>
        <v>-58.918918918918507</v>
      </c>
      <c r="AB55" s="151">
        <f t="shared" si="9"/>
        <v>0.96072072072072101</v>
      </c>
      <c r="AC55" s="566">
        <f>AB59</f>
        <v>0.96315106755106794</v>
      </c>
    </row>
    <row r="56" spans="1:29" ht="15.75" customHeight="1">
      <c r="A56" s="572" t="s">
        <v>551</v>
      </c>
      <c r="B56" s="157" t="s">
        <v>31</v>
      </c>
      <c r="C56" s="560" t="s">
        <v>41</v>
      </c>
      <c r="D56" s="560"/>
      <c r="E56" s="57">
        <v>26.78</v>
      </c>
      <c r="F56" s="69">
        <v>2424</v>
      </c>
      <c r="G56" s="150">
        <f t="shared" si="39"/>
        <v>64914.720000000001</v>
      </c>
      <c r="H56" s="72" t="s">
        <v>5</v>
      </c>
      <c r="I56" s="155">
        <v>10</v>
      </c>
      <c r="J56" s="58">
        <v>3000</v>
      </c>
      <c r="K56" s="59">
        <f t="shared" si="1"/>
        <v>300</v>
      </c>
      <c r="L56" s="155">
        <v>10</v>
      </c>
      <c r="M56" s="60">
        <f t="shared" si="40"/>
        <v>2908.8000000000006</v>
      </c>
      <c r="N56" s="59">
        <f t="shared" si="3"/>
        <v>290.88000000000005</v>
      </c>
      <c r="O56" s="61">
        <f t="shared" si="4"/>
        <v>0</v>
      </c>
      <c r="P56" s="62">
        <f t="shared" si="5"/>
        <v>-9.1199999999999477</v>
      </c>
      <c r="Q56" s="151">
        <f t="shared" si="6"/>
        <v>0.96960000000000013</v>
      </c>
      <c r="R56" s="566"/>
      <c r="S56" s="63">
        <v>0.2895833333333333</v>
      </c>
      <c r="T56" s="63">
        <v>0.32430555555555551</v>
      </c>
      <c r="U56" s="150">
        <f t="shared" ref="U56:U58" si="42">(S56-T55)*24*60</f>
        <v>5.9999999999999787</v>
      </c>
      <c r="V56" s="156">
        <f t="shared" si="41"/>
        <v>49.999999999999986</v>
      </c>
      <c r="W56" s="150"/>
      <c r="X56" s="150"/>
      <c r="Y56" s="559"/>
      <c r="Z56" s="559"/>
      <c r="AA56" s="61">
        <f t="shared" si="8"/>
        <v>-91.199999999999363</v>
      </c>
      <c r="AB56" s="151">
        <f t="shared" si="9"/>
        <v>0.96960000000000024</v>
      </c>
      <c r="AC56" s="566"/>
    </row>
    <row r="57" spans="1:29" ht="15.75" customHeight="1">
      <c r="A57" s="572" t="s">
        <v>552</v>
      </c>
      <c r="B57" s="157" t="s">
        <v>31</v>
      </c>
      <c r="C57" s="560" t="s">
        <v>64</v>
      </c>
      <c r="D57" s="560"/>
      <c r="E57" s="57">
        <v>37.880000000000003</v>
      </c>
      <c r="F57" s="69">
        <v>2598</v>
      </c>
      <c r="G57" s="150">
        <f t="shared" si="39"/>
        <v>98412.24</v>
      </c>
      <c r="H57" s="72" t="s">
        <v>5</v>
      </c>
      <c r="I57" s="155">
        <v>10</v>
      </c>
      <c r="J57" s="58">
        <v>3000</v>
      </c>
      <c r="K57" s="59">
        <f t="shared" si="1"/>
        <v>300</v>
      </c>
      <c r="L57" s="155">
        <v>10</v>
      </c>
      <c r="M57" s="60">
        <f t="shared" si="40"/>
        <v>2886.6666666666683</v>
      </c>
      <c r="N57" s="59">
        <f t="shared" si="3"/>
        <v>288.66666666666686</v>
      </c>
      <c r="O57" s="61">
        <f t="shared" si="4"/>
        <v>0</v>
      </c>
      <c r="P57" s="62">
        <f t="shared" si="5"/>
        <v>-11.333333333333144</v>
      </c>
      <c r="Q57" s="151">
        <f t="shared" si="6"/>
        <v>0.96222222222222287</v>
      </c>
      <c r="R57" s="566"/>
      <c r="S57" s="63">
        <v>0.32777777777777772</v>
      </c>
      <c r="T57" s="63">
        <v>0.3652777777777777</v>
      </c>
      <c r="U57" s="150">
        <f t="shared" si="42"/>
        <v>4.9999999999999822</v>
      </c>
      <c r="V57" s="156">
        <f t="shared" si="41"/>
        <v>53.999999999999972</v>
      </c>
      <c r="W57" s="150"/>
      <c r="X57" s="150"/>
      <c r="Y57" s="559"/>
      <c r="Z57" s="559"/>
      <c r="AA57" s="61">
        <f t="shared" si="8"/>
        <v>-113.33333333333167</v>
      </c>
      <c r="AB57" s="151">
        <f t="shared" si="9"/>
        <v>0.96222222222222276</v>
      </c>
      <c r="AC57" s="566"/>
    </row>
    <row r="58" spans="1:29" ht="15.75" customHeight="1">
      <c r="A58" s="572" t="s">
        <v>552</v>
      </c>
      <c r="B58" s="157" t="s">
        <v>31</v>
      </c>
      <c r="C58" s="560" t="s">
        <v>72</v>
      </c>
      <c r="D58" s="560"/>
      <c r="E58" s="57">
        <v>40.51</v>
      </c>
      <c r="F58" s="69">
        <v>2493</v>
      </c>
      <c r="G58" s="150">
        <f t="shared" si="39"/>
        <v>100991.43</v>
      </c>
      <c r="H58" s="72" t="s">
        <v>5</v>
      </c>
      <c r="I58" s="155">
        <v>8</v>
      </c>
      <c r="J58" s="58">
        <v>3000</v>
      </c>
      <c r="K58" s="59">
        <f t="shared" si="1"/>
        <v>375</v>
      </c>
      <c r="L58" s="155">
        <v>8</v>
      </c>
      <c r="M58" s="60">
        <f t="shared" si="40"/>
        <v>2876.5384615384633</v>
      </c>
      <c r="N58" s="59">
        <f t="shared" si="3"/>
        <v>359.56730769230791</v>
      </c>
      <c r="O58" s="61">
        <f t="shared" si="4"/>
        <v>0</v>
      </c>
      <c r="P58" s="62">
        <f t="shared" si="5"/>
        <v>-15.432692307692093</v>
      </c>
      <c r="Q58" s="151">
        <f t="shared" si="6"/>
        <v>0.95884615384615446</v>
      </c>
      <c r="R58" s="566"/>
      <c r="S58" s="63">
        <v>0.36944444444444435</v>
      </c>
      <c r="T58" s="63">
        <v>0.40555555555555545</v>
      </c>
      <c r="U58" s="150">
        <f t="shared" si="42"/>
        <v>5.9999999999999787</v>
      </c>
      <c r="V58" s="156">
        <f t="shared" si="41"/>
        <v>51.999999999999972</v>
      </c>
      <c r="W58" s="150"/>
      <c r="X58" s="150"/>
      <c r="Y58" s="559"/>
      <c r="Z58" s="559"/>
      <c r="AA58" s="61">
        <f t="shared" si="8"/>
        <v>-123.46153846153675</v>
      </c>
      <c r="AB58" s="151">
        <f t="shared" si="9"/>
        <v>0.95884615384615446</v>
      </c>
      <c r="AC58" s="566"/>
    </row>
    <row r="59" spans="1:29">
      <c r="A59" s="573" t="s">
        <v>552</v>
      </c>
      <c r="B59" s="57" t="s">
        <v>537</v>
      </c>
      <c r="C59" s="571"/>
      <c r="D59" s="571"/>
      <c r="E59" s="152"/>
      <c r="F59" s="66"/>
      <c r="G59" s="59"/>
      <c r="H59" s="157"/>
      <c r="I59" s="67">
        <v>9</v>
      </c>
      <c r="J59" s="58">
        <v>2625</v>
      </c>
      <c r="K59" s="59">
        <f t="shared" si="1"/>
        <v>291.66666666666669</v>
      </c>
      <c r="L59" s="67">
        <v>9</v>
      </c>
      <c r="M59" s="60">
        <f>AVERAGE(M55:M58)</f>
        <v>2528.2715523215534</v>
      </c>
      <c r="N59" s="59">
        <f t="shared" si="3"/>
        <v>280.91906136906147</v>
      </c>
      <c r="O59" s="61">
        <f t="shared" si="4"/>
        <v>0</v>
      </c>
      <c r="P59" s="62">
        <f t="shared" si="5"/>
        <v>-10.747605297605219</v>
      </c>
      <c r="Q59" s="151">
        <f t="shared" si="6"/>
        <v>0.96315106755106783</v>
      </c>
      <c r="R59" s="566"/>
      <c r="S59" s="63"/>
      <c r="T59" s="63"/>
      <c r="U59" s="59"/>
      <c r="V59" s="156"/>
      <c r="W59" s="59"/>
      <c r="X59" s="59"/>
      <c r="Y59" s="559"/>
      <c r="Z59" s="559"/>
      <c r="AA59" s="61">
        <f t="shared" si="8"/>
        <v>-96.728447678446628</v>
      </c>
      <c r="AB59" s="151">
        <f t="shared" si="9"/>
        <v>0.96315106755106794</v>
      </c>
      <c r="AC59" s="566"/>
    </row>
    <row r="60" spans="1:29" ht="15.75" customHeight="1">
      <c r="A60" s="563" t="s">
        <v>553</v>
      </c>
      <c r="B60" s="157" t="s">
        <v>15</v>
      </c>
      <c r="C60" s="560" t="s">
        <v>43</v>
      </c>
      <c r="D60" s="560"/>
      <c r="E60" s="57">
        <v>20.2</v>
      </c>
      <c r="F60" s="157">
        <v>1774</v>
      </c>
      <c r="G60" s="150">
        <f t="shared" ref="G60:G66" si="43">E60*F60</f>
        <v>35834.799999999996</v>
      </c>
      <c r="H60" s="72" t="s">
        <v>5</v>
      </c>
      <c r="I60" s="155">
        <v>19</v>
      </c>
      <c r="J60" s="58">
        <v>2400</v>
      </c>
      <c r="K60" s="59">
        <f t="shared" si="1"/>
        <v>126.31578947368421</v>
      </c>
      <c r="L60" s="155">
        <v>19</v>
      </c>
      <c r="M60" s="60">
        <f t="shared" ref="M60:M66" si="44">F60/V60*60</f>
        <v>2313.9130434782601</v>
      </c>
      <c r="N60" s="59">
        <f t="shared" si="3"/>
        <v>121.78489702517159</v>
      </c>
      <c r="O60" s="61">
        <f t="shared" si="4"/>
        <v>0</v>
      </c>
      <c r="P60" s="62">
        <f t="shared" si="5"/>
        <v>-4.530892448512617</v>
      </c>
      <c r="Q60" s="151">
        <f t="shared" si="6"/>
        <v>0.9641304347826084</v>
      </c>
      <c r="R60" s="566">
        <f>Q67</f>
        <v>0.96155665706636684</v>
      </c>
      <c r="S60" s="63">
        <v>8.3333333333333329E-2</v>
      </c>
      <c r="T60" s="63">
        <v>0.11527777777777778</v>
      </c>
      <c r="U60" s="68"/>
      <c r="V60" s="156">
        <f t="shared" ref="V60:V66" si="45">(T60-S60)*24*60</f>
        <v>46.000000000000014</v>
      </c>
      <c r="W60" s="64">
        <f>T60</f>
        <v>0.11527777777777778</v>
      </c>
      <c r="X60" s="64">
        <f>S61</f>
        <v>0.13472222222222224</v>
      </c>
      <c r="Y60" s="559"/>
      <c r="Z60" s="559"/>
      <c r="AA60" s="61">
        <f t="shared" si="8"/>
        <v>-86.086956521739921</v>
      </c>
      <c r="AB60" s="151">
        <f t="shared" si="9"/>
        <v>0.9641304347826084</v>
      </c>
      <c r="AC60" s="566">
        <f>AB67</f>
        <v>0.96155665706636684</v>
      </c>
    </row>
    <row r="61" spans="1:29" ht="15.75" customHeight="1">
      <c r="A61" s="564" t="s">
        <v>554</v>
      </c>
      <c r="B61" s="157" t="s">
        <v>15</v>
      </c>
      <c r="C61" s="560" t="s">
        <v>16</v>
      </c>
      <c r="D61" s="560"/>
      <c r="E61" s="57">
        <v>24.45</v>
      </c>
      <c r="F61" s="157">
        <v>2041</v>
      </c>
      <c r="G61" s="150">
        <f t="shared" si="43"/>
        <v>49902.45</v>
      </c>
      <c r="H61" s="72" t="s">
        <v>5</v>
      </c>
      <c r="I61" s="155">
        <v>20</v>
      </c>
      <c r="J61" s="58">
        <v>2400</v>
      </c>
      <c r="K61" s="59">
        <f t="shared" si="1"/>
        <v>120</v>
      </c>
      <c r="L61" s="155">
        <v>20</v>
      </c>
      <c r="M61" s="60">
        <f t="shared" si="44"/>
        <v>2310.5660377358486</v>
      </c>
      <c r="N61" s="59">
        <f t="shared" si="3"/>
        <v>115.52830188679243</v>
      </c>
      <c r="O61" s="61">
        <f t="shared" si="4"/>
        <v>0</v>
      </c>
      <c r="P61" s="62">
        <f t="shared" si="5"/>
        <v>-4.4716981132075659</v>
      </c>
      <c r="Q61" s="151">
        <f t="shared" si="6"/>
        <v>0.96273584905660359</v>
      </c>
      <c r="R61" s="566"/>
      <c r="S61" s="63">
        <v>0.13472222222222224</v>
      </c>
      <c r="T61" s="63">
        <v>0.17152777777777781</v>
      </c>
      <c r="U61" s="150">
        <f t="shared" ref="U61:U66" si="46">(S61-T60)*24*60</f>
        <v>28.000000000000021</v>
      </c>
      <c r="V61" s="156">
        <f t="shared" si="45"/>
        <v>53.000000000000014</v>
      </c>
      <c r="W61" s="64"/>
      <c r="X61" s="64"/>
      <c r="Y61" s="559"/>
      <c r="Z61" s="559"/>
      <c r="AA61" s="61">
        <f t="shared" si="8"/>
        <v>-89.433962264151432</v>
      </c>
      <c r="AB61" s="151">
        <f t="shared" si="9"/>
        <v>0.96273584905660359</v>
      </c>
      <c r="AC61" s="566"/>
    </row>
    <row r="62" spans="1:29" ht="15.75" customHeight="1">
      <c r="A62" s="564" t="s">
        <v>90</v>
      </c>
      <c r="B62" s="157" t="s">
        <v>15</v>
      </c>
      <c r="C62" s="560" t="s">
        <v>17</v>
      </c>
      <c r="D62" s="560"/>
      <c r="E62" s="57">
        <v>22.35</v>
      </c>
      <c r="F62" s="157">
        <v>1567</v>
      </c>
      <c r="G62" s="150">
        <f t="shared" si="43"/>
        <v>35022.450000000004</v>
      </c>
      <c r="H62" s="72" t="s">
        <v>5</v>
      </c>
      <c r="I62" s="155">
        <v>16</v>
      </c>
      <c r="J62" s="58">
        <v>2400</v>
      </c>
      <c r="K62" s="59">
        <f t="shared" si="1"/>
        <v>150</v>
      </c>
      <c r="L62" s="155">
        <v>16</v>
      </c>
      <c r="M62" s="60">
        <f t="shared" si="44"/>
        <v>2293.170731707316</v>
      </c>
      <c r="N62" s="59">
        <f t="shared" si="3"/>
        <v>143.32317073170725</v>
      </c>
      <c r="O62" s="61">
        <f t="shared" si="4"/>
        <v>0</v>
      </c>
      <c r="P62" s="62">
        <f t="shared" si="5"/>
        <v>-6.6768292682927495</v>
      </c>
      <c r="Q62" s="151">
        <f t="shared" si="6"/>
        <v>0.9554878048780483</v>
      </c>
      <c r="R62" s="566"/>
      <c r="S62" s="63">
        <v>0.17569444444444449</v>
      </c>
      <c r="T62" s="63">
        <v>0.20416666666666672</v>
      </c>
      <c r="U62" s="150">
        <f t="shared" si="46"/>
        <v>6.0000000000000187</v>
      </c>
      <c r="V62" s="156">
        <f t="shared" si="45"/>
        <v>41.000000000000014</v>
      </c>
      <c r="W62" s="64"/>
      <c r="X62" s="64"/>
      <c r="Y62" s="559"/>
      <c r="Z62" s="559"/>
      <c r="AA62" s="61">
        <f t="shared" si="8"/>
        <v>-106.82926829268399</v>
      </c>
      <c r="AB62" s="151">
        <f t="shared" si="9"/>
        <v>0.9554878048780483</v>
      </c>
      <c r="AC62" s="566"/>
    </row>
    <row r="63" spans="1:29" ht="15.75" customHeight="1">
      <c r="A63" s="564" t="s">
        <v>90</v>
      </c>
      <c r="B63" s="157" t="s">
        <v>15</v>
      </c>
      <c r="C63" s="560" t="s">
        <v>30</v>
      </c>
      <c r="D63" s="560"/>
      <c r="E63" s="57">
        <v>24.25</v>
      </c>
      <c r="F63" s="157">
        <v>2043</v>
      </c>
      <c r="G63" s="150">
        <f t="shared" si="43"/>
        <v>49542.75</v>
      </c>
      <c r="H63" s="72" t="s">
        <v>5</v>
      </c>
      <c r="I63" s="155">
        <v>13</v>
      </c>
      <c r="J63" s="58">
        <v>2400</v>
      </c>
      <c r="K63" s="59">
        <f t="shared" si="1"/>
        <v>184.61538461538461</v>
      </c>
      <c r="L63" s="155">
        <v>13</v>
      </c>
      <c r="M63" s="60">
        <f t="shared" si="44"/>
        <v>2312.8301886792447</v>
      </c>
      <c r="N63" s="59">
        <f t="shared" si="3"/>
        <v>177.91001451378804</v>
      </c>
      <c r="O63" s="61">
        <f t="shared" si="4"/>
        <v>0</v>
      </c>
      <c r="P63" s="62">
        <f t="shared" si="5"/>
        <v>-6.7053701015965714</v>
      </c>
      <c r="Q63" s="151">
        <f t="shared" si="6"/>
        <v>0.96367924528301863</v>
      </c>
      <c r="R63" s="566"/>
      <c r="S63" s="63">
        <v>0.20902777777777784</v>
      </c>
      <c r="T63" s="63">
        <v>0.2458333333333334</v>
      </c>
      <c r="U63" s="150">
        <f t="shared" si="46"/>
        <v>7.0000000000000151</v>
      </c>
      <c r="V63" s="156">
        <f t="shared" si="45"/>
        <v>53.000000000000014</v>
      </c>
      <c r="W63" s="64"/>
      <c r="X63" s="64"/>
      <c r="Y63" s="559"/>
      <c r="Z63" s="559"/>
      <c r="AA63" s="61">
        <f t="shared" si="8"/>
        <v>-87.169811320755343</v>
      </c>
      <c r="AB63" s="151">
        <f t="shared" si="9"/>
        <v>0.96367924528301863</v>
      </c>
      <c r="AC63" s="566"/>
    </row>
    <row r="64" spans="1:29" ht="15.75" customHeight="1">
      <c r="A64" s="564" t="s">
        <v>555</v>
      </c>
      <c r="B64" s="157" t="s">
        <v>15</v>
      </c>
      <c r="C64" s="560" t="s">
        <v>24</v>
      </c>
      <c r="D64" s="560"/>
      <c r="E64" s="57">
        <v>20.52</v>
      </c>
      <c r="F64" s="157">
        <v>2967</v>
      </c>
      <c r="G64" s="150">
        <f t="shared" si="43"/>
        <v>60882.84</v>
      </c>
      <c r="H64" s="72" t="s">
        <v>5</v>
      </c>
      <c r="I64" s="155">
        <v>18</v>
      </c>
      <c r="J64" s="58">
        <v>2400</v>
      </c>
      <c r="K64" s="59">
        <f t="shared" si="1"/>
        <v>133.33333333333334</v>
      </c>
      <c r="L64" s="155">
        <v>18</v>
      </c>
      <c r="M64" s="60">
        <f t="shared" si="44"/>
        <v>2311.948051948053</v>
      </c>
      <c r="N64" s="59">
        <f t="shared" si="3"/>
        <v>128.4415584415585</v>
      </c>
      <c r="O64" s="61">
        <f t="shared" si="4"/>
        <v>0</v>
      </c>
      <c r="P64" s="62">
        <f t="shared" si="5"/>
        <v>-4.891774891774844</v>
      </c>
      <c r="Q64" s="151">
        <f t="shared" si="6"/>
        <v>0.96331168831168867</v>
      </c>
      <c r="R64" s="566"/>
      <c r="S64" s="63">
        <v>0.25138888888888894</v>
      </c>
      <c r="T64" s="63">
        <v>0.30486111111111114</v>
      </c>
      <c r="U64" s="150">
        <f t="shared" si="46"/>
        <v>7.9999999999999716</v>
      </c>
      <c r="V64" s="156">
        <f t="shared" si="45"/>
        <v>76.999999999999972</v>
      </c>
      <c r="W64" s="64"/>
      <c r="X64" s="64"/>
      <c r="Y64" s="559"/>
      <c r="Z64" s="559"/>
      <c r="AA64" s="61">
        <f t="shared" si="8"/>
        <v>-88.051948051946965</v>
      </c>
      <c r="AB64" s="151">
        <f t="shared" si="9"/>
        <v>0.96331168831168879</v>
      </c>
      <c r="AC64" s="566"/>
    </row>
    <row r="65" spans="1:29" ht="15.75" customHeight="1">
      <c r="A65" s="564" t="s">
        <v>90</v>
      </c>
      <c r="B65" s="157" t="s">
        <v>15</v>
      </c>
      <c r="C65" s="560" t="s">
        <v>101</v>
      </c>
      <c r="D65" s="560"/>
      <c r="E65" s="57">
        <v>22.69</v>
      </c>
      <c r="F65" s="157">
        <v>2662</v>
      </c>
      <c r="G65" s="150">
        <f t="shared" si="43"/>
        <v>60400.780000000006</v>
      </c>
      <c r="H65" s="72" t="s">
        <v>5</v>
      </c>
      <c r="I65" s="155">
        <v>15</v>
      </c>
      <c r="J65" s="58">
        <v>2400</v>
      </c>
      <c r="K65" s="59">
        <f t="shared" si="1"/>
        <v>160</v>
      </c>
      <c r="L65" s="155">
        <v>15</v>
      </c>
      <c r="M65" s="60">
        <f t="shared" si="44"/>
        <v>2314.7826086956525</v>
      </c>
      <c r="N65" s="59">
        <f t="shared" si="3"/>
        <v>154.31884057971016</v>
      </c>
      <c r="O65" s="61">
        <f t="shared" si="4"/>
        <v>0</v>
      </c>
      <c r="P65" s="62">
        <f t="shared" si="5"/>
        <v>-5.6811594202898448</v>
      </c>
      <c r="Q65" s="151">
        <f t="shared" si="6"/>
        <v>0.96449275362318843</v>
      </c>
      <c r="R65" s="566"/>
      <c r="S65" s="63">
        <v>0.30902777777777779</v>
      </c>
      <c r="T65" s="63">
        <v>0.35694444444444445</v>
      </c>
      <c r="U65" s="150">
        <f t="shared" si="46"/>
        <v>5.9999999999999787</v>
      </c>
      <c r="V65" s="156">
        <f t="shared" si="45"/>
        <v>69</v>
      </c>
      <c r="W65" s="64"/>
      <c r="X65" s="64"/>
      <c r="Y65" s="559"/>
      <c r="Z65" s="559"/>
      <c r="AA65" s="61">
        <f t="shared" si="8"/>
        <v>-85.21739130434753</v>
      </c>
      <c r="AB65" s="151">
        <f t="shared" si="9"/>
        <v>0.96449275362318854</v>
      </c>
      <c r="AC65" s="566"/>
    </row>
    <row r="66" spans="1:29" ht="15.75" customHeight="1">
      <c r="A66" s="564" t="s">
        <v>90</v>
      </c>
      <c r="B66" s="157" t="s">
        <v>15</v>
      </c>
      <c r="C66" s="560" t="s">
        <v>29</v>
      </c>
      <c r="D66" s="560"/>
      <c r="E66" s="57">
        <v>24.43</v>
      </c>
      <c r="F66" s="157">
        <v>6508</v>
      </c>
      <c r="G66" s="150">
        <f t="shared" si="43"/>
        <v>158990.44</v>
      </c>
      <c r="H66" s="72" t="s">
        <v>5</v>
      </c>
      <c r="I66" s="155">
        <v>14</v>
      </c>
      <c r="J66" s="58">
        <v>2400</v>
      </c>
      <c r="K66" s="59">
        <f t="shared" si="1"/>
        <v>171.42857142857142</v>
      </c>
      <c r="L66" s="155">
        <v>14</v>
      </c>
      <c r="M66" s="60">
        <f t="shared" si="44"/>
        <v>2296.9411764705878</v>
      </c>
      <c r="N66" s="59">
        <f t="shared" si="3"/>
        <v>164.06722689075627</v>
      </c>
      <c r="O66" s="61">
        <f t="shared" si="4"/>
        <v>0</v>
      </c>
      <c r="P66" s="62">
        <f t="shared" si="5"/>
        <v>-7.3613445378151425</v>
      </c>
      <c r="Q66" s="151">
        <f t="shared" si="6"/>
        <v>0.95705882352941163</v>
      </c>
      <c r="R66" s="566"/>
      <c r="S66" s="63">
        <v>0.36041666666666666</v>
      </c>
      <c r="T66" s="63">
        <v>0.47847222222222224</v>
      </c>
      <c r="U66" s="150">
        <f t="shared" si="46"/>
        <v>4.9999999999999822</v>
      </c>
      <c r="V66" s="156">
        <f t="shared" si="45"/>
        <v>170.00000000000003</v>
      </c>
      <c r="W66" s="64"/>
      <c r="X66" s="64"/>
      <c r="Y66" s="569"/>
      <c r="Z66" s="570"/>
      <c r="AA66" s="61">
        <f t="shared" si="8"/>
        <v>-103.05882352941217</v>
      </c>
      <c r="AB66" s="151">
        <f t="shared" si="9"/>
        <v>0.95705882352941163</v>
      </c>
      <c r="AC66" s="566"/>
    </row>
    <row r="67" spans="1:29" ht="16.5" customHeight="1">
      <c r="A67" s="565" t="s">
        <v>90</v>
      </c>
      <c r="B67" s="57" t="s">
        <v>537</v>
      </c>
      <c r="C67" s="561"/>
      <c r="D67" s="562"/>
      <c r="E67" s="152"/>
      <c r="F67" s="66"/>
      <c r="G67" s="59"/>
      <c r="H67" s="157"/>
      <c r="I67" s="67">
        <v>16.428571428571427</v>
      </c>
      <c r="J67" s="58">
        <v>2400</v>
      </c>
      <c r="K67" s="59">
        <f t="shared" si="1"/>
        <v>146.08695652173915</v>
      </c>
      <c r="L67" s="67">
        <v>16.428571428571427</v>
      </c>
      <c r="M67" s="60">
        <f>AVERAGE(M60:M66)</f>
        <v>2307.7359769592804</v>
      </c>
      <c r="N67" s="59">
        <f t="shared" si="3"/>
        <v>140.47088555404318</v>
      </c>
      <c r="O67" s="61">
        <f t="shared" si="4"/>
        <v>0</v>
      </c>
      <c r="P67" s="62">
        <f t="shared" si="5"/>
        <v>-5.6160709676959755</v>
      </c>
      <c r="Q67" s="151">
        <f t="shared" si="6"/>
        <v>0.96155665706636684</v>
      </c>
      <c r="R67" s="566"/>
      <c r="S67" s="63"/>
      <c r="T67" s="63"/>
      <c r="U67" s="59"/>
      <c r="V67" s="156"/>
      <c r="W67" s="59"/>
      <c r="X67" s="59"/>
      <c r="Y67" s="559"/>
      <c r="Z67" s="559"/>
      <c r="AA67" s="61">
        <f t="shared" si="8"/>
        <v>-92.264023040719621</v>
      </c>
      <c r="AB67" s="151">
        <f t="shared" si="9"/>
        <v>0.96155665706636684</v>
      </c>
      <c r="AC67" s="566"/>
    </row>
    <row r="68" spans="1:29">
      <c r="D68" s="122"/>
      <c r="E68" s="122"/>
    </row>
  </sheetData>
  <mergeCells count="182">
    <mergeCell ref="AC60:AC67"/>
    <mergeCell ref="C61:D61"/>
    <mergeCell ref="Y61:Z61"/>
    <mergeCell ref="C62:D62"/>
    <mergeCell ref="Y62:Z62"/>
    <mergeCell ref="C63:D63"/>
    <mergeCell ref="Y63:Z63"/>
    <mergeCell ref="C64:D64"/>
    <mergeCell ref="Y64:Z64"/>
    <mergeCell ref="C65:D65"/>
    <mergeCell ref="A60:A67"/>
    <mergeCell ref="C60:D60"/>
    <mergeCell ref="R60:R67"/>
    <mergeCell ref="Y60:Z60"/>
    <mergeCell ref="Y65:Z65"/>
    <mergeCell ref="C66:D66"/>
    <mergeCell ref="Y66:Z66"/>
    <mergeCell ref="A55:A59"/>
    <mergeCell ref="C55:D55"/>
    <mergeCell ref="R55:R59"/>
    <mergeCell ref="Y55:Z55"/>
    <mergeCell ref="C67:D67"/>
    <mergeCell ref="Y67:Z67"/>
    <mergeCell ref="AC55:AC59"/>
    <mergeCell ref="C56:D56"/>
    <mergeCell ref="Y56:Z56"/>
    <mergeCell ref="C57:D57"/>
    <mergeCell ref="Y57:Z57"/>
    <mergeCell ref="C58:D58"/>
    <mergeCell ref="AC49:AC54"/>
    <mergeCell ref="C50:D50"/>
    <mergeCell ref="Y50:Z50"/>
    <mergeCell ref="C51:D51"/>
    <mergeCell ref="C54:D54"/>
    <mergeCell ref="Y54:Z54"/>
    <mergeCell ref="Y58:Z58"/>
    <mergeCell ref="C59:D59"/>
    <mergeCell ref="Y59:Z59"/>
    <mergeCell ref="Y48:Z48"/>
    <mergeCell ref="A49:A54"/>
    <mergeCell ref="C49:D49"/>
    <mergeCell ref="R49:R54"/>
    <mergeCell ref="Y49:Z49"/>
    <mergeCell ref="Y44:Z44"/>
    <mergeCell ref="C45:D45"/>
    <mergeCell ref="Y45:Z45"/>
    <mergeCell ref="C46:D46"/>
    <mergeCell ref="Y46:Z46"/>
    <mergeCell ref="C47:D47"/>
    <mergeCell ref="Y47:Z47"/>
    <mergeCell ref="A41:A48"/>
    <mergeCell ref="C41:D41"/>
    <mergeCell ref="R41:R48"/>
    <mergeCell ref="Y41:Z41"/>
    <mergeCell ref="A34:A40"/>
    <mergeCell ref="C34:D34"/>
    <mergeCell ref="R34:R40"/>
    <mergeCell ref="Y34:Z34"/>
    <mergeCell ref="Y39:Z39"/>
    <mergeCell ref="C40:D40"/>
    <mergeCell ref="Y40:Z40"/>
    <mergeCell ref="AC41:AC48"/>
    <mergeCell ref="C42:D42"/>
    <mergeCell ref="Y42:Z42"/>
    <mergeCell ref="C43:D43"/>
    <mergeCell ref="Y43:Z43"/>
    <mergeCell ref="C44:D44"/>
    <mergeCell ref="AC34:AC40"/>
    <mergeCell ref="C35:D35"/>
    <mergeCell ref="Y35:Z35"/>
    <mergeCell ref="C36:D36"/>
    <mergeCell ref="Y36:Z36"/>
    <mergeCell ref="C37:D37"/>
    <mergeCell ref="Y37:Z37"/>
    <mergeCell ref="C38:D38"/>
    <mergeCell ref="Y38:Z38"/>
    <mergeCell ref="C39:D39"/>
    <mergeCell ref="C48:D48"/>
    <mergeCell ref="A27:A33"/>
    <mergeCell ref="C27:D27"/>
    <mergeCell ref="R27:R33"/>
    <mergeCell ref="Y27:Z27"/>
    <mergeCell ref="Y32:Z32"/>
    <mergeCell ref="AC27:AC33"/>
    <mergeCell ref="C28:D28"/>
    <mergeCell ref="Y28:Z28"/>
    <mergeCell ref="C29:D29"/>
    <mergeCell ref="Y29:Z29"/>
    <mergeCell ref="C30:D30"/>
    <mergeCell ref="Y30:Z30"/>
    <mergeCell ref="C31:D31"/>
    <mergeCell ref="Y31:Z31"/>
    <mergeCell ref="C32:D32"/>
    <mergeCell ref="C33:D33"/>
    <mergeCell ref="Y33:Z33"/>
    <mergeCell ref="A18:A26"/>
    <mergeCell ref="C18:D18"/>
    <mergeCell ref="R18:R26"/>
    <mergeCell ref="Y18:Z18"/>
    <mergeCell ref="Y23:Z23"/>
    <mergeCell ref="C24:D24"/>
    <mergeCell ref="A12:A17"/>
    <mergeCell ref="AC18:AC26"/>
    <mergeCell ref="C19:D19"/>
    <mergeCell ref="Y19:Z19"/>
    <mergeCell ref="C20:D20"/>
    <mergeCell ref="Y20:Z20"/>
    <mergeCell ref="C21:D21"/>
    <mergeCell ref="Y21:Z21"/>
    <mergeCell ref="C22:D22"/>
    <mergeCell ref="Y22:Z22"/>
    <mergeCell ref="C23:D23"/>
    <mergeCell ref="Y24:Z24"/>
    <mergeCell ref="C25:D25"/>
    <mergeCell ref="Y25:Z25"/>
    <mergeCell ref="C26:D26"/>
    <mergeCell ref="Y26:Z26"/>
    <mergeCell ref="C13:D13"/>
    <mergeCell ref="Y13:Z13"/>
    <mergeCell ref="C14:D14"/>
    <mergeCell ref="Y14:Z14"/>
    <mergeCell ref="C15:D15"/>
    <mergeCell ref="Y15:Z15"/>
    <mergeCell ref="AC9:AC11"/>
    <mergeCell ref="C10:D10"/>
    <mergeCell ref="Y10:Z10"/>
    <mergeCell ref="C11:D11"/>
    <mergeCell ref="Y11:Z11"/>
    <mergeCell ref="C12:D12"/>
    <mergeCell ref="R12:R17"/>
    <mergeCell ref="Y12:Z12"/>
    <mergeCell ref="AC12:AC17"/>
    <mergeCell ref="C16:D16"/>
    <mergeCell ref="Y16:Z16"/>
    <mergeCell ref="C17:D17"/>
    <mergeCell ref="Y17:Z17"/>
    <mergeCell ref="C8:D8"/>
    <mergeCell ref="Y8:Z8"/>
    <mergeCell ref="A9:A11"/>
    <mergeCell ref="C9:D9"/>
    <mergeCell ref="R9:R11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</mergeCells>
  <phoneticPr fontId="3" type="noConversion"/>
  <conditionalFormatting sqref="O58:O65 O67 O5:O9 O11:O13 O48:O55 O17:O46">
    <cfRule type="cellIs" dxfId="455" priority="50" operator="greaterThan">
      <formula>0</formula>
    </cfRule>
  </conditionalFormatting>
  <conditionalFormatting sqref="P5:P7 P58 AA58 P60:P65 P27:P32 P55 P9 P11:P13 P18:P25 P49:P53 P34:P46 AA5:AA55 AA60:AA67">
    <cfRule type="cellIs" dxfId="454" priority="54" operator="lessThan">
      <formula>0</formula>
    </cfRule>
  </conditionalFormatting>
  <conditionalFormatting sqref="AB58 Q58:Q65 Q67 Q5:Q9 Q11:Q13 Q48:Q55 Q17:Q46 AB5:AB55 AB60:AB67">
    <cfRule type="cellIs" dxfId="453" priority="51" operator="greaterThan">
      <formula>1</formula>
    </cfRule>
    <cfRule type="cellIs" dxfId="452" priority="52" operator="lessThan">
      <formula>0.8</formula>
    </cfRule>
  </conditionalFormatting>
  <conditionalFormatting sqref="AC12:AC13 R12:R13 AC58 R58:R65 R17:R23 AC17:AC23 R67 AC5:AC9 R5:R9 R26:R46 AC26:AC46 AC48:AC55 R48:R55">
    <cfRule type="cellIs" dxfId="451" priority="56" operator="lessThan">
      <formula>0.8</formula>
    </cfRule>
  </conditionalFormatting>
  <conditionalFormatting sqref="AC41">
    <cfRule type="cellIs" dxfId="450" priority="58" operator="lessThan">
      <formula>0.8</formula>
    </cfRule>
  </conditionalFormatting>
  <conditionalFormatting sqref="AC18:AC23">
    <cfRule type="cellIs" dxfId="449" priority="55" operator="lessThan">
      <formula>0.8</formula>
    </cfRule>
  </conditionalFormatting>
  <conditionalFormatting sqref="AC27">
    <cfRule type="cellIs" dxfId="448" priority="57" operator="lessThan">
      <formula>0.8</formula>
    </cfRule>
  </conditionalFormatting>
  <conditionalFormatting sqref="AC34:AC39">
    <cfRule type="cellIs" dxfId="447" priority="53" operator="lessThan">
      <formula>0.8</formula>
    </cfRule>
  </conditionalFormatting>
  <conditionalFormatting sqref="AA59">
    <cfRule type="cellIs" dxfId="446" priority="49" operator="lessThan">
      <formula>0</formula>
    </cfRule>
  </conditionalFormatting>
  <conditionalFormatting sqref="AB59">
    <cfRule type="cellIs" dxfId="445" priority="47" operator="greaterThan">
      <formula>1</formula>
    </cfRule>
    <cfRule type="cellIs" dxfId="444" priority="48" operator="lessThan">
      <formula>0.8</formula>
    </cfRule>
  </conditionalFormatting>
  <conditionalFormatting sqref="O14:O15">
    <cfRule type="cellIs" dxfId="443" priority="42" operator="greaterThan">
      <formula>0</formula>
    </cfRule>
  </conditionalFormatting>
  <conditionalFormatting sqref="P14:P15">
    <cfRule type="cellIs" dxfId="442" priority="45" operator="lessThan">
      <formula>0</formula>
    </cfRule>
  </conditionalFormatting>
  <conditionalFormatting sqref="Q14:Q15">
    <cfRule type="cellIs" dxfId="441" priority="43" operator="greaterThan">
      <formula>1</formula>
    </cfRule>
    <cfRule type="cellIs" dxfId="440" priority="44" operator="lessThan">
      <formula>0.8</formula>
    </cfRule>
  </conditionalFormatting>
  <conditionalFormatting sqref="R14:R15 AC14:AC15">
    <cfRule type="cellIs" dxfId="439" priority="46" operator="lessThan">
      <formula>0.8</formula>
    </cfRule>
  </conditionalFormatting>
  <conditionalFormatting sqref="O10">
    <cfRule type="cellIs" dxfId="438" priority="38" operator="greaterThan">
      <formula>0</formula>
    </cfRule>
  </conditionalFormatting>
  <conditionalFormatting sqref="P10">
    <cfRule type="cellIs" dxfId="437" priority="41" operator="lessThan">
      <formula>0</formula>
    </cfRule>
  </conditionalFormatting>
  <conditionalFormatting sqref="Q10">
    <cfRule type="cellIs" dxfId="436" priority="39" operator="greaterThan">
      <formula>1</formula>
    </cfRule>
    <cfRule type="cellIs" dxfId="435" priority="40" operator="lessThan">
      <formula>0.8</formula>
    </cfRule>
  </conditionalFormatting>
  <conditionalFormatting sqref="AC25 R25">
    <cfRule type="cellIs" dxfId="434" priority="37" operator="lessThan">
      <formula>0.8</formula>
    </cfRule>
  </conditionalFormatting>
  <conditionalFormatting sqref="O57">
    <cfRule type="cellIs" dxfId="433" priority="32" operator="greaterThan">
      <formula>0</formula>
    </cfRule>
  </conditionalFormatting>
  <conditionalFormatting sqref="P57 AA57">
    <cfRule type="cellIs" dxfId="432" priority="35" operator="lessThan">
      <formula>0</formula>
    </cfRule>
  </conditionalFormatting>
  <conditionalFormatting sqref="Q57 AB57">
    <cfRule type="cellIs" dxfId="431" priority="33" operator="greaterThan">
      <formula>1</formula>
    </cfRule>
    <cfRule type="cellIs" dxfId="430" priority="34" operator="lessThan">
      <formula>0.8</formula>
    </cfRule>
  </conditionalFormatting>
  <conditionalFormatting sqref="R57 AC57">
    <cfRule type="cellIs" dxfId="429" priority="36" operator="lessThan">
      <formula>0.8</formula>
    </cfRule>
  </conditionalFormatting>
  <conditionalFormatting sqref="O66">
    <cfRule type="cellIs" dxfId="428" priority="27" operator="greaterThan">
      <formula>0</formula>
    </cfRule>
  </conditionalFormatting>
  <conditionalFormatting sqref="P66">
    <cfRule type="cellIs" dxfId="427" priority="30" operator="lessThan">
      <formula>0</formula>
    </cfRule>
  </conditionalFormatting>
  <conditionalFormatting sqref="Q66">
    <cfRule type="cellIs" dxfId="426" priority="28" operator="greaterThan">
      <formula>1</formula>
    </cfRule>
    <cfRule type="cellIs" dxfId="425" priority="29" operator="lessThan">
      <formula>0.8</formula>
    </cfRule>
  </conditionalFormatting>
  <conditionalFormatting sqref="R66">
    <cfRule type="cellIs" dxfId="424" priority="31" operator="lessThan">
      <formula>0.8</formula>
    </cfRule>
  </conditionalFormatting>
  <conditionalFormatting sqref="O16">
    <cfRule type="cellIs" dxfId="423" priority="22" operator="greaterThan">
      <formula>0</formula>
    </cfRule>
  </conditionalFormatting>
  <conditionalFormatting sqref="P16">
    <cfRule type="cellIs" dxfId="422" priority="25" operator="lessThan">
      <formula>0</formula>
    </cfRule>
  </conditionalFormatting>
  <conditionalFormatting sqref="Q16">
    <cfRule type="cellIs" dxfId="421" priority="23" operator="greaterThan">
      <formula>1</formula>
    </cfRule>
    <cfRule type="cellIs" dxfId="420" priority="24" operator="lessThan">
      <formula>0.8</formula>
    </cfRule>
  </conditionalFormatting>
  <conditionalFormatting sqref="R16 AC16">
    <cfRule type="cellIs" dxfId="419" priority="26" operator="lessThan">
      <formula>0.8</formula>
    </cfRule>
  </conditionalFormatting>
  <conditionalFormatting sqref="O47">
    <cfRule type="cellIs" dxfId="418" priority="16" operator="greaterThan">
      <formula>0</formula>
    </cfRule>
  </conditionalFormatting>
  <conditionalFormatting sqref="P47">
    <cfRule type="cellIs" dxfId="417" priority="20" operator="lessThan">
      <formula>0</formula>
    </cfRule>
  </conditionalFormatting>
  <conditionalFormatting sqref="Q47">
    <cfRule type="cellIs" dxfId="416" priority="17" operator="greaterThan">
      <formula>1</formula>
    </cfRule>
    <cfRule type="cellIs" dxfId="415" priority="18" operator="lessThan">
      <formula>0.8</formula>
    </cfRule>
  </conditionalFormatting>
  <conditionalFormatting sqref="R47 AC47">
    <cfRule type="cellIs" dxfId="414" priority="21" operator="lessThan">
      <formula>0.8</formula>
    </cfRule>
  </conditionalFormatting>
  <conditionalFormatting sqref="AC47">
    <cfRule type="cellIs" dxfId="413" priority="19" operator="lessThan">
      <formula>0.8</formula>
    </cfRule>
  </conditionalFormatting>
  <conditionalFormatting sqref="R24 AC24">
    <cfRule type="cellIs" dxfId="412" priority="15" operator="lessThan">
      <formula>0.8</formula>
    </cfRule>
  </conditionalFormatting>
  <conditionalFormatting sqref="AC24">
    <cfRule type="cellIs" dxfId="411" priority="14" operator="lessThan">
      <formula>0.8</formula>
    </cfRule>
  </conditionalFormatting>
  <conditionalFormatting sqref="O56">
    <cfRule type="cellIs" dxfId="410" priority="9" operator="greaterThan">
      <formula>0</formula>
    </cfRule>
  </conditionalFormatting>
  <conditionalFormatting sqref="P56 AA56">
    <cfRule type="cellIs" dxfId="409" priority="12" operator="lessThan">
      <formula>0</formula>
    </cfRule>
  </conditionalFormatting>
  <conditionalFormatting sqref="Q56 AB56">
    <cfRule type="cellIs" dxfId="408" priority="10" operator="greaterThan">
      <formula>1</formula>
    </cfRule>
    <cfRule type="cellIs" dxfId="407" priority="11" operator="lessThan">
      <formula>0.8</formula>
    </cfRule>
  </conditionalFormatting>
  <conditionalFormatting sqref="R56 AC56">
    <cfRule type="cellIs" dxfId="406" priority="13" operator="lessThan">
      <formula>0.8</formula>
    </cfRule>
  </conditionalFormatting>
  <conditionalFormatting sqref="P8">
    <cfRule type="cellIs" dxfId="405" priority="8" operator="lessThan">
      <formula>0</formula>
    </cfRule>
  </conditionalFormatting>
  <conditionalFormatting sqref="P17">
    <cfRule type="cellIs" dxfId="404" priority="7" operator="lessThan">
      <formula>0</formula>
    </cfRule>
  </conditionalFormatting>
  <conditionalFormatting sqref="P26">
    <cfRule type="cellIs" dxfId="403" priority="6" operator="lessThan">
      <formula>0</formula>
    </cfRule>
  </conditionalFormatting>
  <conditionalFormatting sqref="P33">
    <cfRule type="cellIs" dxfId="402" priority="5" operator="lessThan">
      <formula>0</formula>
    </cfRule>
  </conditionalFormatting>
  <conditionalFormatting sqref="P48">
    <cfRule type="cellIs" dxfId="401" priority="4" operator="lessThan">
      <formula>0</formula>
    </cfRule>
  </conditionalFormatting>
  <conditionalFormatting sqref="P54">
    <cfRule type="cellIs" dxfId="400" priority="3" operator="lessThan">
      <formula>0</formula>
    </cfRule>
  </conditionalFormatting>
  <conditionalFormatting sqref="P59">
    <cfRule type="cellIs" dxfId="399" priority="2" operator="lessThan">
      <formula>0</formula>
    </cfRule>
  </conditionalFormatting>
  <conditionalFormatting sqref="P67">
    <cfRule type="cellIs" dxfId="398" priority="1" operator="lessThan">
      <formula>0</formula>
    </cfRule>
  </conditionalFormatting>
  <dataValidations count="1">
    <dataValidation type="list" allowBlank="1" showInputMessage="1" showErrorMessage="1" sqref="Z8 Y5:Z7 Y8:Y58 Z10:Z55 Y59:Z67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="85" zoomScaleNormal="85" workbookViewId="0">
      <selection activeCell="B13" sqref="B13:B15"/>
    </sheetView>
  </sheetViews>
  <sheetFormatPr defaultColWidth="8.75" defaultRowHeight="15.75"/>
  <cols>
    <col min="1" max="1" width="8.75" style="2"/>
    <col min="2" max="2" width="17.875" style="2" customWidth="1"/>
    <col min="3" max="3" width="9.25" style="9" customWidth="1"/>
    <col min="4" max="13" width="12.625" style="2" customWidth="1"/>
    <col min="14" max="14" width="11" style="2" bestFit="1" customWidth="1"/>
    <col min="15" max="15" width="17.75" style="2" bestFit="1" customWidth="1"/>
    <col min="16" max="16" width="12.25" style="2" bestFit="1" customWidth="1"/>
    <col min="17" max="22" width="9.25" style="2" customWidth="1"/>
    <col min="23" max="23" width="10.75" style="2" customWidth="1"/>
    <col min="24" max="24" width="11" style="2" customWidth="1"/>
    <col min="25" max="16384" width="8.75" style="2"/>
  </cols>
  <sheetData>
    <row r="1" spans="2:17" ht="27.75" customHeight="1">
      <c r="B1" s="546" t="s">
        <v>372</v>
      </c>
      <c r="C1" s="546"/>
      <c r="D1" s="546"/>
      <c r="E1" s="546"/>
      <c r="F1" s="546"/>
      <c r="G1" s="546"/>
      <c r="H1" s="546"/>
      <c r="I1" s="546"/>
      <c r="J1" s="546"/>
      <c r="K1" s="1"/>
      <c r="L1" s="1"/>
      <c r="M1" s="1"/>
      <c r="N1" s="1"/>
      <c r="O1" s="1"/>
      <c r="P1" s="1"/>
    </row>
    <row r="2" spans="2:17" ht="27.75" customHeight="1">
      <c r="B2" s="547"/>
      <c r="C2" s="547"/>
      <c r="D2" s="547"/>
      <c r="E2" s="547"/>
      <c r="F2" s="547"/>
      <c r="G2" s="547"/>
      <c r="H2" s="547"/>
      <c r="I2" s="547"/>
      <c r="J2" s="547"/>
      <c r="K2" s="3"/>
      <c r="L2" s="3"/>
      <c r="M2" s="3"/>
      <c r="N2" s="1"/>
      <c r="O2" s="1"/>
      <c r="P2" s="1"/>
    </row>
    <row r="3" spans="2:17" ht="46.5" customHeight="1">
      <c r="B3" s="4" t="s">
        <v>373</v>
      </c>
      <c r="C3" s="548" t="str">
        <f>TEXT('1205 4度C'!A2,"yyyy.mm.ddaaaa")</f>
        <v>2025.12.05星期五</v>
      </c>
      <c r="D3" s="549"/>
      <c r="E3" s="4" t="s">
        <v>374</v>
      </c>
      <c r="F3" s="550">
        <f>'1205 4度C'!D1</f>
        <v>141162</v>
      </c>
      <c r="G3" s="551"/>
      <c r="H3" s="4" t="s">
        <v>375</v>
      </c>
      <c r="I3" s="552">
        <f>'1205 4度C'!F1</f>
        <v>4752710.1999999993</v>
      </c>
      <c r="J3" s="553"/>
      <c r="K3" s="5"/>
      <c r="L3" s="6"/>
      <c r="M3" s="7"/>
      <c r="N3" s="7"/>
    </row>
    <row r="4" spans="2:17" ht="28.5" customHeight="1">
      <c r="B4" s="554" t="s">
        <v>376</v>
      </c>
      <c r="C4" s="536" t="s">
        <v>377</v>
      </c>
      <c r="D4" s="537"/>
      <c r="E4" s="557" t="s">
        <v>378</v>
      </c>
      <c r="F4" s="558"/>
      <c r="G4" s="557" t="s">
        <v>379</v>
      </c>
      <c r="H4" s="558"/>
      <c r="I4" s="557" t="s">
        <v>380</v>
      </c>
      <c r="J4" s="558"/>
      <c r="L4" s="7"/>
      <c r="M4" s="7"/>
      <c r="N4" s="7"/>
    </row>
    <row r="5" spans="2:17" ht="28.5" customHeight="1">
      <c r="B5" s="555"/>
      <c r="C5" s="536" t="s">
        <v>381</v>
      </c>
      <c r="D5" s="537"/>
      <c r="E5" s="536" t="s">
        <v>382</v>
      </c>
      <c r="F5" s="537"/>
      <c r="G5" s="538" t="s">
        <v>383</v>
      </c>
      <c r="H5" s="539"/>
      <c r="I5" s="540" t="s">
        <v>384</v>
      </c>
      <c r="J5" s="541"/>
      <c r="K5" s="7"/>
      <c r="L5" s="7"/>
      <c r="M5" s="7"/>
      <c r="N5" s="7"/>
    </row>
    <row r="6" spans="2:17" ht="28.5" customHeight="1">
      <c r="B6" s="555"/>
      <c r="C6" s="536" t="s">
        <v>46</v>
      </c>
      <c r="D6" s="537"/>
      <c r="E6" s="542">
        <f>AVERAGE(D13:M13)</f>
        <v>154.2472361156205</v>
      </c>
      <c r="F6" s="543">
        <f>AVERAGE(D27:O27,D13:J13)</f>
        <v>160.44269175758728</v>
      </c>
      <c r="G6" s="544">
        <f>AVERAGE(D13:J13)</f>
        <v>160.44269175758728</v>
      </c>
      <c r="H6" s="545"/>
      <c r="I6" s="544">
        <f>AVERAGE(K13:M13)</f>
        <v>139.79117295103126</v>
      </c>
      <c r="J6" s="545"/>
      <c r="K6" s="7"/>
      <c r="L6" s="7"/>
      <c r="M6" s="7"/>
      <c r="N6" s="7"/>
    </row>
    <row r="7" spans="2:17" ht="28.5" customHeight="1">
      <c r="B7" s="555"/>
      <c r="C7" s="526" t="s">
        <v>47</v>
      </c>
      <c r="D7" s="527"/>
      <c r="E7" s="528">
        <f>AVERAGE(D14:M14)</f>
        <v>147.88366912881841</v>
      </c>
      <c r="F7" s="529">
        <f>AVERAGE(D28:O28,D14:J14)</f>
        <v>153.96363941447888</v>
      </c>
      <c r="G7" s="530">
        <f>AVERAGE(D14:J14)</f>
        <v>153.96363941447888</v>
      </c>
      <c r="H7" s="531"/>
      <c r="I7" s="530">
        <f>AVERAGE(K14:M14)</f>
        <v>133.69707179561058</v>
      </c>
      <c r="J7" s="531"/>
      <c r="K7" s="7"/>
      <c r="L7" s="7"/>
      <c r="M7" s="7"/>
      <c r="N7" s="7"/>
    </row>
    <row r="8" spans="2:17" ht="28.5" customHeight="1">
      <c r="B8" s="556"/>
      <c r="C8" s="526" t="s">
        <v>48</v>
      </c>
      <c r="D8" s="527"/>
      <c r="E8" s="532">
        <f>AVERAGE(D15:M15)</f>
        <v>0.95812129212250741</v>
      </c>
      <c r="F8" s="533">
        <f>AVERAGE(D15:J15,D29:O29)</f>
        <v>0.95888011079011071</v>
      </c>
      <c r="G8" s="534">
        <f>AVERAGE(D15:J15)</f>
        <v>0.95888011079011071</v>
      </c>
      <c r="H8" s="535"/>
      <c r="I8" s="534">
        <f>AVERAGE(K15:M15)</f>
        <v>0.95635071523143322</v>
      </c>
      <c r="J8" s="535"/>
      <c r="K8" s="8" t="s">
        <v>385</v>
      </c>
      <c r="L8" s="7"/>
      <c r="M8" s="7"/>
      <c r="N8" s="7"/>
    </row>
    <row r="9" spans="2:17" ht="28.5" customHeight="1" thickBot="1">
      <c r="H9" s="10"/>
      <c r="N9" s="7"/>
      <c r="O9" s="7"/>
      <c r="P9" s="7"/>
      <c r="Q9" s="7"/>
    </row>
    <row r="10" spans="2:17" ht="30" customHeight="1">
      <c r="B10" s="509" t="s">
        <v>386</v>
      </c>
      <c r="C10" s="510"/>
      <c r="D10" s="511" t="s">
        <v>387</v>
      </c>
      <c r="E10" s="512"/>
      <c r="F10" s="512"/>
      <c r="G10" s="512"/>
      <c r="H10" s="512"/>
      <c r="I10" s="512"/>
      <c r="J10" s="513"/>
      <c r="K10" s="514" t="s">
        <v>388</v>
      </c>
      <c r="L10" s="515"/>
      <c r="M10" s="516"/>
      <c r="P10" s="11"/>
      <c r="Q10" s="11"/>
    </row>
    <row r="11" spans="2:17" ht="17.25" customHeight="1">
      <c r="B11" s="517" t="s">
        <v>389</v>
      </c>
      <c r="C11" s="518"/>
      <c r="D11" s="12">
        <v>1</v>
      </c>
      <c r="E11" s="13">
        <v>2</v>
      </c>
      <c r="F11" s="13">
        <v>3</v>
      </c>
      <c r="G11" s="13">
        <v>4</v>
      </c>
      <c r="H11" s="13">
        <v>5</v>
      </c>
      <c r="I11" s="13">
        <v>6</v>
      </c>
      <c r="J11" s="14">
        <v>7</v>
      </c>
      <c r="K11" s="12">
        <v>1</v>
      </c>
      <c r="L11" s="13">
        <v>2</v>
      </c>
      <c r="M11" s="14">
        <v>3</v>
      </c>
      <c r="P11" s="11"/>
      <c r="Q11" s="11"/>
    </row>
    <row r="12" spans="2:17" ht="34.15" customHeight="1">
      <c r="B12" s="519"/>
      <c r="C12" s="520"/>
      <c r="D12" s="15" t="s">
        <v>49</v>
      </c>
      <c r="E12" s="16" t="s">
        <v>50</v>
      </c>
      <c r="F12" s="16" t="s">
        <v>51</v>
      </c>
      <c r="G12" s="16" t="s">
        <v>52</v>
      </c>
      <c r="H12" s="16" t="s">
        <v>53</v>
      </c>
      <c r="I12" s="16" t="s">
        <v>54</v>
      </c>
      <c r="J12" s="17" t="s">
        <v>55</v>
      </c>
      <c r="K12" s="15" t="s">
        <v>56</v>
      </c>
      <c r="L12" s="16" t="s">
        <v>57</v>
      </c>
      <c r="M12" s="17" t="s">
        <v>58</v>
      </c>
    </row>
    <row r="13" spans="2:17" ht="40.15" customHeight="1">
      <c r="B13" s="521" t="s">
        <v>390</v>
      </c>
      <c r="C13" s="18" t="s">
        <v>391</v>
      </c>
      <c r="D13" s="19">
        <f>SUMIFS('1205 4度C'!$K:$K,'1205 4度C'!$A:$A,"新豐6線",'1205 4度C'!$B:$B,"平均")</f>
        <v>133.33333333333334</v>
      </c>
      <c r="E13" s="20">
        <f>SUMIFS('1205 4度C'!$K:$K,'1205 4度C'!$A:$A,"新豐2線",'1205 4度C'!$B:$B,"平均")</f>
        <v>83.333333333333329</v>
      </c>
      <c r="F13" s="21">
        <f>SUMIFS('1205 4度C'!$K:$K,'1205 4度C'!$A:$A,"新豐5線",'1205 4度C'!$B:$B,"平均")</f>
        <v>98.901098901098905</v>
      </c>
      <c r="G13" s="21">
        <f>SUMIFS('1205 4度C'!$K:$K,'1205 4度C'!$A:$A,"新豐7線",'1205 4度C'!$B:$B,"平均")</f>
        <v>118.32061068702291</v>
      </c>
      <c r="H13" s="21">
        <f>SUMIFS('1205 4度C'!$K:$K,'1205 4度C'!$A:$A,"新豐3線",'1205 4度C'!$B:$B,"平均")</f>
        <v>281.69014084507046</v>
      </c>
      <c r="I13" s="21">
        <f>SUMIFS('1205 4度C'!$K:$K,'1205 4度C'!$A:$A,"新豐1線",'1205 4度C'!$B:$B,"平均")</f>
        <v>115.85365853658537</v>
      </c>
      <c r="J13" s="22">
        <f>SUMIFS('1205 4度C'!$K:$K,'1205 4度C'!$A:$A,"新豐10線",'1205 4度C'!$B:$B,"平均")</f>
        <v>291.66666666666669</v>
      </c>
      <c r="K13" s="23">
        <f>SUMIFS('1205 4度C'!$K:$K,'1205 4度C'!$A:$A,"新豐8線",'1205 4度C'!$B:$B,"平均")</f>
        <v>132.11009174311926</v>
      </c>
      <c r="L13" s="24">
        <f>SUMIFS('1205 4度C'!$K:$K,'1205 4度C'!$A:$A,"新豐9線",'1205 4度C'!$B:$B,"平均")</f>
        <v>141.1764705882353</v>
      </c>
      <c r="M13" s="22">
        <f>SUMIFS('1205 4度C'!$K:$K,'1205 4度C'!$A:$A,"新豐4線",'1205 4度C'!$B:$B,"平均")</f>
        <v>146.08695652173915</v>
      </c>
    </row>
    <row r="14" spans="2:17" ht="39.6" customHeight="1">
      <c r="B14" s="522"/>
      <c r="C14" s="25" t="s">
        <v>392</v>
      </c>
      <c r="D14" s="26">
        <f>SUMIFS('1205 4度C'!$N:$N,'1205 4度C'!$A:$A,"新豐6線",'1205 4度C'!$B:$B,"平均")</f>
        <v>127.72554210384719</v>
      </c>
      <c r="E14" s="27">
        <f>SUMIFS('1205 4度C'!$N:$N,'1205 4度C'!$A:$A,"新豐2線",'1205 4度C'!$B:$B,"平均")</f>
        <v>79.386928279649112</v>
      </c>
      <c r="F14" s="27">
        <f>SUMIFS('1205 4度C'!$N:$N,'1205 4度C'!$A:$A,"新豐5線",'1205 4度C'!$B:$B,"平均")</f>
        <v>95.183680018821704</v>
      </c>
      <c r="G14" s="27">
        <f>SUMIFS('1205 4度C'!$N:$N,'1205 4度C'!$A:$A,"新豐7線",'1205 4度C'!$B:$B,"平均")</f>
        <v>113.61970511121454</v>
      </c>
      <c r="H14" s="27">
        <f>SUMIFS('1205 4度C'!$N:$N,'1205 4度C'!$A:$A,"新豐3線",'1205 4度C'!$B:$B,"平均")</f>
        <v>270.6821625192328</v>
      </c>
      <c r="I14" s="27">
        <f>SUMIFS('1205 4度C'!$N:$N,'1205 4度C'!$A:$A,"新豐1線",'1205 4度C'!$B:$B,"平均")</f>
        <v>110.87719219099895</v>
      </c>
      <c r="J14" s="28">
        <f>SUMIFS('1205 4度C'!$N:$N,'1205 4度C'!$A:$A,"新豐10線",'1205 4度C'!$B:$B,"平均")</f>
        <v>280.27026567758787</v>
      </c>
      <c r="K14" s="29">
        <f>SUMIFS('1205 4度C'!$N:$N,'1205 4度C'!$A:$A,"新豐8線",'1205 4度C'!$B:$B,"平均")</f>
        <v>126.22445694773246</v>
      </c>
      <c r="L14" s="30">
        <f>SUMIFS('1205 4度C'!$N:$N,'1205 4度C'!$A:$A,"新豐9線",'1205 4度C'!$B:$B,"平均")</f>
        <v>134.71384632862643</v>
      </c>
      <c r="M14" s="28">
        <f>SUMIFS('1205 4度C'!$N:$N,'1205 4度C'!$A:$A,"新豐4線",'1205 4度C'!$B:$B,"平均")</f>
        <v>140.15291211047287</v>
      </c>
    </row>
    <row r="15" spans="2:17" ht="40.15" customHeight="1">
      <c r="B15" s="523"/>
      <c r="C15" s="31" t="s">
        <v>393</v>
      </c>
      <c r="D15" s="32">
        <f t="shared" ref="D15:M15" si="0">D14/D13</f>
        <v>0.95794156577885381</v>
      </c>
      <c r="E15" s="33">
        <f t="shared" si="0"/>
        <v>0.95264313935578937</v>
      </c>
      <c r="F15" s="33">
        <f t="shared" si="0"/>
        <v>0.96241276463475278</v>
      </c>
      <c r="G15" s="33">
        <f t="shared" si="0"/>
        <v>0.96026976577865186</v>
      </c>
      <c r="H15" s="33">
        <f t="shared" si="0"/>
        <v>0.96092167694327635</v>
      </c>
      <c r="I15" s="33">
        <f t="shared" si="0"/>
        <v>0.95704523785914886</v>
      </c>
      <c r="J15" s="34">
        <f t="shared" si="0"/>
        <v>0.96092662518030125</v>
      </c>
      <c r="K15" s="32">
        <f t="shared" si="0"/>
        <v>0.95544901439603047</v>
      </c>
      <c r="L15" s="33">
        <f t="shared" si="0"/>
        <v>0.95422307816110385</v>
      </c>
      <c r="M15" s="34">
        <f t="shared" si="0"/>
        <v>0.95938005313716535</v>
      </c>
    </row>
    <row r="16" spans="2:17" ht="17.25" customHeight="1">
      <c r="B16" s="524" t="s">
        <v>394</v>
      </c>
      <c r="C16" s="35" t="s">
        <v>395</v>
      </c>
      <c r="D16" s="49">
        <f>VLOOKUP("新豐6線",'1205 4度C'!$A:$T,19,0)</f>
        <v>0.70833333333333337</v>
      </c>
      <c r="E16" s="50">
        <f>VLOOKUP("新豐2線",'1205 4度C'!$A:$T,19,0)</f>
        <v>0.20833333333333334</v>
      </c>
      <c r="F16" s="50">
        <f>VLOOKUP("新豐5線",'1205 4度C'!$A:$T,19,0)</f>
        <v>0.125</v>
      </c>
      <c r="G16" s="50">
        <f>VLOOKUP("新豐7線",'1205 4度C'!$A:$T,19,0)</f>
        <v>0.20833333333333334</v>
      </c>
      <c r="H16" s="50">
        <f>VLOOKUP("新豐3線",'1205 4度C'!$A:$T,19,0)</f>
        <v>8.3333333333333329E-2</v>
      </c>
      <c r="I16" s="50">
        <f>VLOOKUP("新豐1線",'1205 4度C'!$A:$T,19,0)</f>
        <v>0.20833333333333334</v>
      </c>
      <c r="J16" s="51">
        <f>VLOOKUP("新豐10線",'1205 4度C'!$A:$T,19,0)</f>
        <v>0.20833333333333334</v>
      </c>
      <c r="K16" s="36">
        <f>VLOOKUP("新豐8線",'1205 4度C'!$A:$T,19,0)</f>
        <v>8.3333333333333329E-2</v>
      </c>
      <c r="L16" s="37">
        <f>VLOOKUP("新豐9線",'1205 4度C'!$A:$T,19,0)</f>
        <v>8.3333333333333329E-2</v>
      </c>
      <c r="M16" s="38">
        <f>VLOOKUP("新豐4線",'1205 4度C'!$A:$T,19,0)</f>
        <v>8.3333333333333329E-2</v>
      </c>
    </row>
    <row r="17" spans="2:13" ht="17.25" customHeight="1">
      <c r="B17" s="525"/>
      <c r="C17" s="35" t="s">
        <v>396</v>
      </c>
      <c r="D17" s="36">
        <f>LOOKUP(2,1/(('1205 4度C'!$A:$A="新豐6線")*('1205 4度C'!$T:$T&lt;&gt;"")),'1205 4度C'!$T:$T)</f>
        <v>0.84027777777777779</v>
      </c>
      <c r="E17" s="50">
        <f>LOOKUP(2,1/(('1205 4度C'!$A:$A="新豐2線")*('1205 4度C'!$T:$T&lt;&gt;"")),'1205 4度C'!$T:$T)</f>
        <v>0.46041666666666664</v>
      </c>
      <c r="F17" s="50">
        <f>LOOKUP(2,1/(('1205 4度C'!$A:$A="新豐5線")*('1205 4度C'!$T:$T&lt;&gt;"")),'1205 4度C'!$T:$T)</f>
        <v>0.83194444444444449</v>
      </c>
      <c r="G17" s="50">
        <f>LOOKUP(2,1/(('1205 4度C'!$A:$A="新豐7線")*('1205 4度C'!$T:$T&lt;&gt;"")),'1205 4度C'!$T:$T)</f>
        <v>0.82708333333333328</v>
      </c>
      <c r="H17" s="50">
        <f>LOOKUP(2,1/(('1205 4度C'!$A:$A="新豐3線")*('1205 4度C'!$T:$T&lt;&gt;"")),'1205 4度C'!$T:$T)</f>
        <v>0.45069444444444429</v>
      </c>
      <c r="I17" s="50">
        <f>LOOKUP(2,1/(('1205 4度C'!$A:$A="新豐1線")*('1205 4度C'!$T:$T&lt;&gt;"")),'1205 4度C'!$T:$T)</f>
        <v>0.85833333333333328</v>
      </c>
      <c r="J17" s="51">
        <f>LOOKUP(2,1/(('1205 4度C'!$A:$A="新豐10線")*('1205 4度C'!$T:$T&lt;&gt;"")),'1205 4度C'!$T:$T)</f>
        <v>0.39444444444444438</v>
      </c>
      <c r="K17" s="49">
        <f>LOOKUP(2,1/(('1205 4度C'!$A:$A="新豐8線")*('1205 4度C'!$T:$T&lt;&gt;"")),'1205 4度C'!$T:$T)</f>
        <v>0.58194444444444438</v>
      </c>
      <c r="L17" s="50">
        <f>LOOKUP(2,1/(('1205 4度C'!$A:$A="新豐9線")*('1205 4度C'!$T:$T&lt;&gt;"")),'1205 4度C'!$T:$T)</f>
        <v>0.58194444444444438</v>
      </c>
      <c r="M17" s="51">
        <f>LOOKUP(2,1/(('1205 4度C'!$A:$A="新豐4線")*('1205 4度C'!$T:$T&lt;&gt;"")),'1205 4度C'!$T:$T)</f>
        <v>0.49583333333333324</v>
      </c>
    </row>
    <row r="18" spans="2:13" ht="17.25" customHeight="1">
      <c r="B18" s="503" t="s">
        <v>397</v>
      </c>
      <c r="C18" s="504"/>
      <c r="D18" s="39">
        <f>SUMIFS('1205 4度C'!$I:$I,'1205 4度C'!$A:$A,"新豐6線",'1205 4度C'!$B:$B,"平均")</f>
        <v>15</v>
      </c>
      <c r="E18" s="40">
        <f>SUMIFS('1205 4度C'!$I:$I,'1205 4度C'!$A:$A,"新豐2線",'1205 4度C'!$B:$B,"平均")</f>
        <v>18</v>
      </c>
      <c r="F18" s="40">
        <f>SUMIFS('1205 4度C'!$I:$I,'1205 4度C'!$A:$A,"新豐5線",'1205 4度C'!$B:$B,"平均")</f>
        <v>18.2</v>
      </c>
      <c r="G18" s="40">
        <f>SUMIFS('1205 4度C'!$I:$I,'1205 4度C'!$A:$A,"新豐7線",'1205 4度C'!$B:$B,"平均")</f>
        <v>16.375</v>
      </c>
      <c r="H18" s="40">
        <f>SUMIFS('1205 4度C'!$I:$I,'1205 4度C'!$A:$A,"新豐3線",'1205 4度C'!$B:$B,"平均")</f>
        <v>10.142857142857142</v>
      </c>
      <c r="I18" s="40">
        <f>SUMIFS('1205 4度C'!$I:$I,'1205 4度C'!$A:$A,"新豐1線",'1205 4度C'!$B:$B,"平均")</f>
        <v>16.399999999999999</v>
      </c>
      <c r="J18" s="41">
        <f>SUMIFS('1205 4度C'!$I:$I,'1205 4度C'!$A:$A,"新豐10線",'1205 4度C'!$B:$B,"平均")</f>
        <v>9</v>
      </c>
      <c r="K18" s="39">
        <f>SUMIFS('1205 4度C'!$I:$I,'1205 4度C'!$A:$A,"新豐8線",'1205 4度C'!$B:$B,"平均")</f>
        <v>18.166666666666668</v>
      </c>
      <c r="L18" s="40">
        <f>SUMIFS('1205 4度C'!$I:$I,'1205 4度C'!$A:$A,"新豐9線",'1205 4度C'!$B:$B,"平均")</f>
        <v>17</v>
      </c>
      <c r="M18" s="41">
        <f>SUMIFS('1205 4度C'!$I:$I,'1205 4度C'!$A:$A,"新豐4線",'1205 4度C'!$B:$B,"平均")</f>
        <v>16.428571428571427</v>
      </c>
    </row>
    <row r="19" spans="2:13" ht="17.25" customHeight="1">
      <c r="B19" s="503" t="s">
        <v>398</v>
      </c>
      <c r="C19" s="504"/>
      <c r="D19" s="42" t="s">
        <v>59</v>
      </c>
      <c r="E19" s="43" t="s">
        <v>60</v>
      </c>
      <c r="F19" s="43" t="s">
        <v>399</v>
      </c>
      <c r="G19" s="43" t="s">
        <v>399</v>
      </c>
      <c r="H19" s="43" t="s">
        <v>61</v>
      </c>
      <c r="I19" s="43" t="s">
        <v>59</v>
      </c>
      <c r="J19" s="44" t="s">
        <v>61</v>
      </c>
      <c r="K19" s="42" t="s">
        <v>400</v>
      </c>
      <c r="L19" s="43" t="s">
        <v>400</v>
      </c>
      <c r="M19" s="44" t="s">
        <v>400</v>
      </c>
    </row>
    <row r="20" spans="2:13" ht="17.25" customHeight="1">
      <c r="B20" s="503" t="s">
        <v>401</v>
      </c>
      <c r="C20" s="504"/>
      <c r="D20" s="42"/>
      <c r="E20" s="43"/>
      <c r="F20" s="43" t="s">
        <v>402</v>
      </c>
      <c r="G20" s="43" t="s">
        <v>59</v>
      </c>
      <c r="H20" s="43"/>
      <c r="I20" s="43"/>
      <c r="J20" s="44"/>
      <c r="K20" s="42"/>
      <c r="L20" s="43"/>
      <c r="M20" s="44"/>
    </row>
    <row r="21" spans="2:13" ht="17.25" customHeight="1" thickBot="1">
      <c r="B21" s="505" t="s">
        <v>403</v>
      </c>
      <c r="C21" s="506"/>
      <c r="D21" s="45"/>
      <c r="E21" s="46" t="s">
        <v>404</v>
      </c>
      <c r="F21" s="507" t="s">
        <v>405</v>
      </c>
      <c r="G21" s="508"/>
      <c r="H21" s="46" t="s">
        <v>406</v>
      </c>
      <c r="I21" s="46" t="s">
        <v>407</v>
      </c>
      <c r="J21" s="47" t="s">
        <v>406</v>
      </c>
      <c r="K21" s="48"/>
      <c r="L21" s="46"/>
      <c r="M21" s="4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20:C20"/>
    <mergeCell ref="B21:C21"/>
    <mergeCell ref="F21:G21"/>
    <mergeCell ref="K10:M10"/>
    <mergeCell ref="B11:C12"/>
    <mergeCell ref="B13:B15"/>
    <mergeCell ref="B18:C18"/>
    <mergeCell ref="B19:C19"/>
  </mergeCells>
  <phoneticPr fontId="3" type="noConversion"/>
  <conditionalFormatting sqref="D15:M15">
    <cfRule type="cellIs" dxfId="397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C68"/>
  <sheetViews>
    <sheetView zoomScale="80" zoomScaleNormal="80" workbookViewId="0">
      <pane ySplit="4" topLeftCell="A5" activePane="bottomLeft" state="frozen"/>
      <selection activeCell="B6" sqref="B6"/>
      <selection pane="bottomLeft" activeCell="B14" sqref="B14"/>
    </sheetView>
  </sheetViews>
  <sheetFormatPr defaultColWidth="8" defaultRowHeight="15.75"/>
  <cols>
    <col min="1" max="1" width="15.125" style="54" customWidth="1"/>
    <col min="2" max="2" width="19.375" style="54" customWidth="1"/>
    <col min="3" max="3" width="15.25" style="54" customWidth="1"/>
    <col min="4" max="4" width="17.5" style="54" customWidth="1"/>
    <col min="5" max="5" width="7.5" style="54" bestFit="1" customWidth="1"/>
    <col min="6" max="6" width="14.375" style="54" bestFit="1" customWidth="1"/>
    <col min="7" max="7" width="14.375" style="54" customWidth="1"/>
    <col min="8" max="8" width="8" style="54" customWidth="1"/>
    <col min="9" max="9" width="5.875" style="54" customWidth="1"/>
    <col min="10" max="10" width="10.625" style="54" customWidth="1"/>
    <col min="11" max="11" width="14.625" style="54" customWidth="1"/>
    <col min="12" max="12" width="7.25" style="54" bestFit="1" customWidth="1"/>
    <col min="13" max="13" width="8" style="54" customWidth="1"/>
    <col min="14" max="14" width="12" style="54" customWidth="1"/>
    <col min="15" max="15" width="6" style="54" customWidth="1"/>
    <col min="16" max="16" width="9.25" style="54" customWidth="1"/>
    <col min="17" max="17" width="11.5" style="54" customWidth="1"/>
    <col min="18" max="18" width="8.5" style="54" customWidth="1"/>
    <col min="19" max="19" width="10.125" style="73" bestFit="1" customWidth="1"/>
    <col min="20" max="20" width="7.625" style="73" bestFit="1" customWidth="1"/>
    <col min="21" max="21" width="10.25" style="54" bestFit="1" customWidth="1"/>
    <col min="22" max="22" width="8.75" style="71" customWidth="1"/>
    <col min="23" max="23" width="7.375" style="54" customWidth="1"/>
    <col min="24" max="24" width="6.875" style="54" bestFit="1" customWidth="1"/>
    <col min="25" max="25" width="12.75" style="54" customWidth="1"/>
    <col min="26" max="26" width="18.875" style="54" customWidth="1"/>
    <col min="27" max="27" width="13.125" style="54" bestFit="1" customWidth="1"/>
    <col min="28" max="28" width="10.375" style="54" customWidth="1"/>
    <col min="29" max="29" width="9.375" style="54" customWidth="1"/>
    <col min="30" max="30" width="8" style="54"/>
    <col min="31" max="31" width="24.625" style="54" bestFit="1" customWidth="1"/>
    <col min="32" max="16384" width="8" style="54"/>
  </cols>
  <sheetData>
    <row r="1" spans="1:29" ht="26.25" customHeight="1">
      <c r="A1" s="52" t="s">
        <v>408</v>
      </c>
      <c r="B1" s="52"/>
      <c r="C1" s="117" t="s">
        <v>409</v>
      </c>
      <c r="D1" s="118">
        <f>SUM(F5:F67)</f>
        <v>141162</v>
      </c>
      <c r="E1" s="138" t="s">
        <v>410</v>
      </c>
      <c r="F1" s="52">
        <f>SUM(G5:G67)</f>
        <v>4752710.1999999993</v>
      </c>
      <c r="G1" s="52" t="s">
        <v>411</v>
      </c>
      <c r="H1" s="53">
        <f>L8+L11+L48+L54+L17+L59+L33+L40+L26+L67</f>
        <v>154.71309523809524</v>
      </c>
      <c r="I1" s="607" t="s">
        <v>412</v>
      </c>
      <c r="J1" s="607"/>
      <c r="K1" s="607"/>
      <c r="L1" s="607" t="s">
        <v>413</v>
      </c>
      <c r="M1" s="607"/>
      <c r="N1" s="607"/>
      <c r="O1" s="607" t="s">
        <v>414</v>
      </c>
      <c r="P1" s="607"/>
      <c r="Q1" s="607"/>
      <c r="R1" s="607"/>
      <c r="S1" s="607" t="s">
        <v>415</v>
      </c>
      <c r="T1" s="607"/>
      <c r="U1" s="607"/>
      <c r="V1" s="607"/>
      <c r="W1" s="607"/>
      <c r="X1" s="607"/>
      <c r="Y1" s="607" t="s">
        <v>416</v>
      </c>
      <c r="Z1" s="607"/>
      <c r="AA1" s="607" t="s">
        <v>417</v>
      </c>
      <c r="AB1" s="608"/>
      <c r="AC1" s="608"/>
    </row>
    <row r="2" spans="1:29" ht="26.25" customHeight="1">
      <c r="A2" s="55">
        <v>45996</v>
      </c>
      <c r="B2" s="56" t="s">
        <v>418</v>
      </c>
      <c r="C2" s="117" t="s">
        <v>66</v>
      </c>
      <c r="D2" s="119">
        <f>AVERAGE(N8,N11,N48,N54,N17,N59,N26,N33,N40,N67)</f>
        <v>147.88366912881841</v>
      </c>
      <c r="E2" s="120" t="s">
        <v>0</v>
      </c>
      <c r="F2" s="121">
        <f>F1/D1</f>
        <v>33.668481602697604</v>
      </c>
      <c r="G2" s="52" t="s">
        <v>419</v>
      </c>
      <c r="H2" s="145">
        <f>COUNT(H5:H67)</f>
        <v>2</v>
      </c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8"/>
      <c r="AB2" s="608"/>
      <c r="AC2" s="608"/>
    </row>
    <row r="3" spans="1:29" ht="23.25" customHeight="1">
      <c r="A3" s="559" t="s">
        <v>420</v>
      </c>
      <c r="B3" s="559" t="s">
        <v>421</v>
      </c>
      <c r="C3" s="559" t="s">
        <v>422</v>
      </c>
      <c r="D3" s="559"/>
      <c r="E3" s="605" t="s">
        <v>423</v>
      </c>
      <c r="F3" s="559" t="s">
        <v>79</v>
      </c>
      <c r="G3" s="605" t="s">
        <v>424</v>
      </c>
      <c r="H3" s="598" t="s">
        <v>425</v>
      </c>
      <c r="I3" s="596" t="s">
        <v>426</v>
      </c>
      <c r="J3" s="601" t="s">
        <v>427</v>
      </c>
      <c r="K3" s="603" t="s">
        <v>390</v>
      </c>
      <c r="L3" s="596" t="s">
        <v>82</v>
      </c>
      <c r="M3" s="601" t="s">
        <v>428</v>
      </c>
      <c r="N3" s="603" t="s">
        <v>66</v>
      </c>
      <c r="O3" s="596" t="s">
        <v>426</v>
      </c>
      <c r="P3" s="603" t="s">
        <v>429</v>
      </c>
      <c r="Q3" s="602" t="s">
        <v>84</v>
      </c>
      <c r="R3" s="574" t="s">
        <v>430</v>
      </c>
      <c r="S3" s="604" t="s">
        <v>1</v>
      </c>
      <c r="T3" s="604"/>
      <c r="U3" s="598" t="s">
        <v>2</v>
      </c>
      <c r="V3" s="598" t="s">
        <v>431</v>
      </c>
      <c r="W3" s="559" t="s">
        <v>432</v>
      </c>
      <c r="X3" s="559"/>
      <c r="Y3" s="599" t="s">
        <v>433</v>
      </c>
      <c r="Z3" s="600"/>
      <c r="AA3" s="601" t="s">
        <v>434</v>
      </c>
      <c r="AB3" s="602" t="s">
        <v>435</v>
      </c>
      <c r="AC3" s="574" t="s">
        <v>436</v>
      </c>
    </row>
    <row r="4" spans="1:29">
      <c r="A4" s="559"/>
      <c r="B4" s="559"/>
      <c r="C4" s="559"/>
      <c r="D4" s="559"/>
      <c r="E4" s="606"/>
      <c r="F4" s="559"/>
      <c r="G4" s="606"/>
      <c r="H4" s="598"/>
      <c r="I4" s="596"/>
      <c r="J4" s="601"/>
      <c r="K4" s="603"/>
      <c r="L4" s="596"/>
      <c r="M4" s="601"/>
      <c r="N4" s="603"/>
      <c r="O4" s="596"/>
      <c r="P4" s="603"/>
      <c r="Q4" s="602"/>
      <c r="R4" s="574"/>
      <c r="S4" s="146" t="s">
        <v>3</v>
      </c>
      <c r="T4" s="146" t="s">
        <v>4</v>
      </c>
      <c r="U4" s="598"/>
      <c r="V4" s="598"/>
      <c r="W4" s="138" t="s">
        <v>437</v>
      </c>
      <c r="X4" s="138" t="s">
        <v>438</v>
      </c>
      <c r="Y4" s="600"/>
      <c r="Z4" s="600"/>
      <c r="AA4" s="601"/>
      <c r="AB4" s="602"/>
      <c r="AC4" s="574"/>
    </row>
    <row r="5" spans="1:29">
      <c r="A5" s="595" t="s">
        <v>439</v>
      </c>
      <c r="B5" s="57" t="s">
        <v>6</v>
      </c>
      <c r="C5" s="597" t="s">
        <v>9</v>
      </c>
      <c r="D5" s="597"/>
      <c r="E5" s="57">
        <v>50.67</v>
      </c>
      <c r="F5" s="146">
        <v>1350</v>
      </c>
      <c r="G5" s="138">
        <f t="shared" ref="G5:G7" si="0">E5*F5</f>
        <v>68404.5</v>
      </c>
      <c r="H5" s="72" t="s">
        <v>5</v>
      </c>
      <c r="I5" s="143">
        <v>17</v>
      </c>
      <c r="J5" s="58">
        <v>2000</v>
      </c>
      <c r="K5" s="59">
        <f t="shared" ref="K5:K67" si="1">J5/I5</f>
        <v>117.64705882352941</v>
      </c>
      <c r="L5" s="143">
        <v>17</v>
      </c>
      <c r="M5" s="60">
        <f t="shared" ref="M5:M7" si="2">F5/V5*60</f>
        <v>1928.571428571428</v>
      </c>
      <c r="N5" s="59">
        <f t="shared" ref="N5:N67" si="3">M5/L5</f>
        <v>113.44537815126047</v>
      </c>
      <c r="O5" s="61">
        <f t="shared" ref="O5:O67" si="4">L5-I5</f>
        <v>0</v>
      </c>
      <c r="P5" s="62">
        <f t="shared" ref="P5:P67" si="5">N5-K5</f>
        <v>-4.2016806722689353</v>
      </c>
      <c r="Q5" s="139">
        <f t="shared" ref="Q5:Q67" si="6">N5/K5</f>
        <v>0.96428571428571408</v>
      </c>
      <c r="R5" s="566">
        <f>Q8</f>
        <v>0.95794156577885381</v>
      </c>
      <c r="S5" s="63">
        <v>0.70833333333333337</v>
      </c>
      <c r="T5" s="63">
        <v>0.73750000000000004</v>
      </c>
      <c r="U5" s="138"/>
      <c r="V5" s="144">
        <f t="shared" ref="V5:V7" si="7">(T5-S5)*24*60</f>
        <v>42.000000000000014</v>
      </c>
      <c r="W5" s="64"/>
      <c r="X5" s="65"/>
      <c r="Y5" s="559"/>
      <c r="Z5" s="559"/>
      <c r="AA5" s="61">
        <f t="shared" ref="AA5:AA67" si="8">M5-J5</f>
        <v>-71.428571428572013</v>
      </c>
      <c r="AB5" s="139">
        <f t="shared" ref="AB5:AB67" si="9">M5/J5</f>
        <v>0.96428571428571397</v>
      </c>
      <c r="AC5" s="566">
        <f>AB8</f>
        <v>0.95794156577885392</v>
      </c>
    </row>
    <row r="6" spans="1:29">
      <c r="A6" s="596" t="s">
        <v>440</v>
      </c>
      <c r="B6" s="57" t="s">
        <v>6</v>
      </c>
      <c r="C6" s="597" t="s">
        <v>8</v>
      </c>
      <c r="D6" s="597"/>
      <c r="E6" s="57">
        <v>50.49</v>
      </c>
      <c r="F6" s="146">
        <v>1869</v>
      </c>
      <c r="G6" s="138">
        <f t="shared" si="0"/>
        <v>94365.81</v>
      </c>
      <c r="H6" s="72" t="s">
        <v>5</v>
      </c>
      <c r="I6" s="143">
        <v>15</v>
      </c>
      <c r="J6" s="58">
        <v>2000</v>
      </c>
      <c r="K6" s="59">
        <f t="shared" si="1"/>
        <v>133.33333333333334</v>
      </c>
      <c r="L6" s="143">
        <v>15</v>
      </c>
      <c r="M6" s="60">
        <f t="shared" si="2"/>
        <v>1900.6779661016965</v>
      </c>
      <c r="N6" s="59">
        <f t="shared" si="3"/>
        <v>126.71186440677977</v>
      </c>
      <c r="O6" s="61">
        <f t="shared" si="4"/>
        <v>0</v>
      </c>
      <c r="P6" s="62">
        <f t="shared" si="5"/>
        <v>-6.6214689265535753</v>
      </c>
      <c r="Q6" s="139">
        <f t="shared" si="6"/>
        <v>0.95033898305084819</v>
      </c>
      <c r="R6" s="566"/>
      <c r="S6" s="63">
        <v>0.74305555555555558</v>
      </c>
      <c r="T6" s="63">
        <v>0.78402777777777777</v>
      </c>
      <c r="U6" s="138">
        <f t="shared" ref="U6:U7" si="10">IF(S6=TIME(17,0,0),"",(S6-T5)*24*60)</f>
        <v>7.9999999999999716</v>
      </c>
      <c r="V6" s="144">
        <f t="shared" si="7"/>
        <v>58.99999999999995</v>
      </c>
      <c r="W6" s="64"/>
      <c r="X6" s="64"/>
      <c r="Y6" s="559"/>
      <c r="Z6" s="559"/>
      <c r="AA6" s="61">
        <f t="shared" si="8"/>
        <v>-99.322033898303516</v>
      </c>
      <c r="AB6" s="139">
        <f t="shared" si="9"/>
        <v>0.9503389830508483</v>
      </c>
      <c r="AC6" s="566"/>
    </row>
    <row r="7" spans="1:29">
      <c r="A7" s="596" t="s">
        <v>440</v>
      </c>
      <c r="B7" s="57" t="s">
        <v>6</v>
      </c>
      <c r="C7" s="590" t="s">
        <v>94</v>
      </c>
      <c r="D7" s="591"/>
      <c r="E7" s="57">
        <v>57.3</v>
      </c>
      <c r="F7" s="146">
        <v>2398</v>
      </c>
      <c r="G7" s="138">
        <f t="shared" si="0"/>
        <v>137405.4</v>
      </c>
      <c r="H7" s="72" t="s">
        <v>5</v>
      </c>
      <c r="I7" s="143">
        <v>13</v>
      </c>
      <c r="J7" s="58">
        <v>2000</v>
      </c>
      <c r="K7" s="59">
        <f t="shared" si="1"/>
        <v>153.84615384615384</v>
      </c>
      <c r="L7" s="143">
        <v>13</v>
      </c>
      <c r="M7" s="60">
        <f t="shared" si="2"/>
        <v>1918.3999999999985</v>
      </c>
      <c r="N7" s="59">
        <f t="shared" si="3"/>
        <v>147.56923076923064</v>
      </c>
      <c r="O7" s="61">
        <f t="shared" si="4"/>
        <v>0</v>
      </c>
      <c r="P7" s="62">
        <f t="shared" si="5"/>
        <v>-6.2769230769231967</v>
      </c>
      <c r="Q7" s="139">
        <f t="shared" si="6"/>
        <v>0.95919999999999916</v>
      </c>
      <c r="R7" s="566"/>
      <c r="S7" s="63">
        <v>0.78819444444444442</v>
      </c>
      <c r="T7" s="63">
        <v>0.84027777777777779</v>
      </c>
      <c r="U7" s="138">
        <f t="shared" si="10"/>
        <v>5.9999999999999787</v>
      </c>
      <c r="V7" s="144">
        <f t="shared" si="7"/>
        <v>75.000000000000057</v>
      </c>
      <c r="W7" s="64"/>
      <c r="X7" s="64"/>
      <c r="Y7" s="569"/>
      <c r="Z7" s="570"/>
      <c r="AA7" s="61">
        <f t="shared" si="8"/>
        <v>-81.600000000001501</v>
      </c>
      <c r="AB7" s="139">
        <f t="shared" si="9"/>
        <v>0.95919999999999928</v>
      </c>
      <c r="AC7" s="566"/>
    </row>
    <row r="8" spans="1:29">
      <c r="A8" s="596" t="s">
        <v>440</v>
      </c>
      <c r="B8" s="57" t="s">
        <v>441</v>
      </c>
      <c r="C8" s="571"/>
      <c r="D8" s="571"/>
      <c r="E8" s="140"/>
      <c r="F8" s="66"/>
      <c r="G8" s="59"/>
      <c r="H8" s="146"/>
      <c r="I8" s="67">
        <v>15</v>
      </c>
      <c r="J8" s="58">
        <v>2000</v>
      </c>
      <c r="K8" s="59">
        <f t="shared" si="1"/>
        <v>133.33333333333334</v>
      </c>
      <c r="L8" s="67">
        <v>15</v>
      </c>
      <c r="M8" s="60">
        <f>AVERAGE(M5:M7)</f>
        <v>1915.8831315577079</v>
      </c>
      <c r="N8" s="59">
        <f t="shared" si="3"/>
        <v>127.72554210384719</v>
      </c>
      <c r="O8" s="61">
        <f t="shared" si="4"/>
        <v>0</v>
      </c>
      <c r="P8" s="62">
        <f t="shared" si="5"/>
        <v>-5.6077912294861534</v>
      </c>
      <c r="Q8" s="139">
        <f t="shared" si="6"/>
        <v>0.95794156577885381</v>
      </c>
      <c r="R8" s="566"/>
      <c r="S8" s="63"/>
      <c r="T8" s="63"/>
      <c r="U8" s="138"/>
      <c r="V8" s="144"/>
      <c r="W8" s="59"/>
      <c r="X8" s="59"/>
      <c r="Y8" s="559"/>
      <c r="Z8" s="559"/>
      <c r="AA8" s="61">
        <f t="shared" si="8"/>
        <v>-84.116868442292116</v>
      </c>
      <c r="AB8" s="139">
        <f t="shared" si="9"/>
        <v>0.95794156577885392</v>
      </c>
      <c r="AC8" s="566"/>
    </row>
    <row r="9" spans="1:29" ht="15.75" customHeight="1">
      <c r="A9" s="594" t="s">
        <v>442</v>
      </c>
      <c r="B9" s="57" t="s">
        <v>10</v>
      </c>
      <c r="C9" s="590" t="s">
        <v>11</v>
      </c>
      <c r="D9" s="591"/>
      <c r="E9" s="57">
        <v>39.799999999999997</v>
      </c>
      <c r="F9" s="146">
        <v>5190</v>
      </c>
      <c r="G9" s="138">
        <f t="shared" ref="G9:G10" si="11">E9*F9</f>
        <v>206561.99999999997</v>
      </c>
      <c r="H9" s="72" t="s">
        <v>5</v>
      </c>
      <c r="I9" s="143">
        <v>17</v>
      </c>
      <c r="J9" s="58">
        <v>1500</v>
      </c>
      <c r="K9" s="59">
        <f t="shared" si="1"/>
        <v>88.235294117647058</v>
      </c>
      <c r="L9" s="143">
        <v>17</v>
      </c>
      <c r="M9" s="60">
        <f t="shared" ref="M9:M10" si="12">F9/V9*60</f>
        <v>1428.4403669724772</v>
      </c>
      <c r="N9" s="59">
        <f t="shared" si="3"/>
        <v>84.02590393955748</v>
      </c>
      <c r="O9" s="61">
        <f t="shared" si="4"/>
        <v>0</v>
      </c>
      <c r="P9" s="62">
        <f t="shared" si="5"/>
        <v>-4.2093901780895777</v>
      </c>
      <c r="Q9" s="139">
        <f t="shared" si="6"/>
        <v>0.95229357798165148</v>
      </c>
      <c r="R9" s="566">
        <f>Q11</f>
        <v>0.95264313935578937</v>
      </c>
      <c r="S9" s="63">
        <v>0.20833333333333334</v>
      </c>
      <c r="T9" s="63">
        <v>0.35972222222222222</v>
      </c>
      <c r="U9" s="138"/>
      <c r="V9" s="144">
        <f t="shared" ref="V9:V10" si="13">(T9-S9)*24*60</f>
        <v>217.99999999999997</v>
      </c>
      <c r="W9" s="64"/>
      <c r="X9" s="64"/>
      <c r="Y9" s="559"/>
      <c r="Z9" s="559"/>
      <c r="AA9" s="61">
        <f t="shared" si="8"/>
        <v>-71.55963302752275</v>
      </c>
      <c r="AB9" s="139">
        <f t="shared" si="9"/>
        <v>0.95229357798165148</v>
      </c>
      <c r="AC9" s="566">
        <f>AB11</f>
        <v>0.95264313935578926</v>
      </c>
    </row>
    <row r="10" spans="1:29" ht="15.75" customHeight="1">
      <c r="A10" s="594" t="s">
        <v>442</v>
      </c>
      <c r="B10" s="57" t="s">
        <v>10</v>
      </c>
      <c r="C10" s="590" t="s">
        <v>14</v>
      </c>
      <c r="D10" s="591"/>
      <c r="E10" s="57">
        <v>39.619999999999997</v>
      </c>
      <c r="F10" s="146">
        <v>3264</v>
      </c>
      <c r="G10" s="138">
        <f t="shared" si="11"/>
        <v>129319.67999999999</v>
      </c>
      <c r="H10" s="72" t="s">
        <v>5</v>
      </c>
      <c r="I10" s="143">
        <v>19</v>
      </c>
      <c r="J10" s="58">
        <v>1500</v>
      </c>
      <c r="K10" s="59">
        <f t="shared" si="1"/>
        <v>78.94736842105263</v>
      </c>
      <c r="L10" s="143">
        <v>19</v>
      </c>
      <c r="M10" s="60">
        <f t="shared" si="12"/>
        <v>1429.4890510948906</v>
      </c>
      <c r="N10" s="59">
        <f t="shared" si="3"/>
        <v>75.236265847099503</v>
      </c>
      <c r="O10" s="61">
        <f t="shared" si="4"/>
        <v>0</v>
      </c>
      <c r="P10" s="62">
        <f t="shared" si="5"/>
        <v>-3.7111025739531271</v>
      </c>
      <c r="Q10" s="139">
        <f t="shared" si="6"/>
        <v>0.95299270072992703</v>
      </c>
      <c r="R10" s="566"/>
      <c r="S10" s="63">
        <v>0.36527777777777776</v>
      </c>
      <c r="T10" s="63">
        <v>0.46041666666666664</v>
      </c>
      <c r="U10" s="138">
        <f t="shared" ref="U10" si="14">IF(S10=TIME(17,0,0),"",(S10-T9)*24*60)</f>
        <v>7.9999999999999716</v>
      </c>
      <c r="V10" s="144">
        <f t="shared" si="13"/>
        <v>137</v>
      </c>
      <c r="W10" s="64"/>
      <c r="X10" s="64"/>
      <c r="Y10" s="559"/>
      <c r="Z10" s="559"/>
      <c r="AA10" s="61">
        <f t="shared" si="8"/>
        <v>-70.510948905109444</v>
      </c>
      <c r="AB10" s="139">
        <f t="shared" si="9"/>
        <v>0.95299270072992703</v>
      </c>
      <c r="AC10" s="566"/>
    </row>
    <row r="11" spans="1:29" ht="16.5" customHeight="1">
      <c r="A11" s="594" t="s">
        <v>442</v>
      </c>
      <c r="B11" s="57" t="s">
        <v>441</v>
      </c>
      <c r="C11" s="571"/>
      <c r="D11" s="571"/>
      <c r="E11" s="140"/>
      <c r="F11" s="58"/>
      <c r="G11" s="60"/>
      <c r="H11" s="146"/>
      <c r="I11" s="67">
        <v>18</v>
      </c>
      <c r="J11" s="58">
        <v>1500</v>
      </c>
      <c r="K11" s="59">
        <f t="shared" si="1"/>
        <v>83.333333333333329</v>
      </c>
      <c r="L11" s="67">
        <v>18</v>
      </c>
      <c r="M11" s="60">
        <f>AVERAGE(M9:M10)</f>
        <v>1428.9647090336839</v>
      </c>
      <c r="N11" s="59">
        <f t="shared" si="3"/>
        <v>79.386928279649112</v>
      </c>
      <c r="O11" s="61">
        <f t="shared" si="4"/>
        <v>0</v>
      </c>
      <c r="P11" s="62">
        <f t="shared" si="5"/>
        <v>-3.9464050536842166</v>
      </c>
      <c r="Q11" s="139">
        <f t="shared" si="6"/>
        <v>0.95264313935578937</v>
      </c>
      <c r="R11" s="566"/>
      <c r="S11" s="63"/>
      <c r="T11" s="63"/>
      <c r="U11" s="59"/>
      <c r="V11" s="144"/>
      <c r="W11" s="59"/>
      <c r="X11" s="59"/>
      <c r="Y11" s="559"/>
      <c r="Z11" s="559"/>
      <c r="AA11" s="61">
        <f t="shared" si="8"/>
        <v>-71.035290966316097</v>
      </c>
      <c r="AB11" s="139">
        <f t="shared" si="9"/>
        <v>0.95264313935578926</v>
      </c>
      <c r="AC11" s="566"/>
    </row>
    <row r="12" spans="1:29" ht="16.5" customHeight="1">
      <c r="A12" s="592" t="s">
        <v>443</v>
      </c>
      <c r="B12" s="146" t="s">
        <v>12</v>
      </c>
      <c r="C12" s="584" t="s">
        <v>13</v>
      </c>
      <c r="D12" s="584"/>
      <c r="E12" s="57">
        <v>41</v>
      </c>
      <c r="F12" s="146">
        <v>1968</v>
      </c>
      <c r="G12" s="138">
        <f t="shared" ref="G12:G16" si="15">E12*F12</f>
        <v>80688</v>
      </c>
      <c r="H12" s="72" t="s">
        <v>5</v>
      </c>
      <c r="I12" s="143">
        <v>26</v>
      </c>
      <c r="J12" s="58">
        <v>1500</v>
      </c>
      <c r="K12" s="59">
        <f t="shared" si="1"/>
        <v>57.692307692307693</v>
      </c>
      <c r="L12" s="143">
        <v>26</v>
      </c>
      <c r="M12" s="60">
        <f t="shared" ref="M12:M16" si="16">F12/V12*60</f>
        <v>1440.0000000000002</v>
      </c>
      <c r="N12" s="59">
        <f t="shared" si="3"/>
        <v>55.384615384615394</v>
      </c>
      <c r="O12" s="61">
        <f t="shared" si="4"/>
        <v>0</v>
      </c>
      <c r="P12" s="62">
        <f t="shared" si="5"/>
        <v>-2.3076923076922995</v>
      </c>
      <c r="Q12" s="139">
        <f t="shared" si="6"/>
        <v>0.96000000000000019</v>
      </c>
      <c r="R12" s="566">
        <f>Q17</f>
        <v>0.96241276463475278</v>
      </c>
      <c r="S12" s="63">
        <v>0.125</v>
      </c>
      <c r="T12" s="63">
        <v>0.18194444444444444</v>
      </c>
      <c r="U12" s="138"/>
      <c r="V12" s="144">
        <f t="shared" ref="V12:V16" si="17">(T12-S12)*24*60</f>
        <v>81.999999999999986</v>
      </c>
      <c r="W12" s="64">
        <f>T12</f>
        <v>0.18194444444444444</v>
      </c>
      <c r="X12" s="64">
        <f>S13</f>
        <v>0.19999999999999998</v>
      </c>
      <c r="Y12" s="559"/>
      <c r="Z12" s="559"/>
      <c r="AA12" s="61">
        <f t="shared" si="8"/>
        <v>-59.999999999999773</v>
      </c>
      <c r="AB12" s="139">
        <f t="shared" si="9"/>
        <v>0.96000000000000019</v>
      </c>
      <c r="AC12" s="566">
        <f>AB17</f>
        <v>0.96241276463475278</v>
      </c>
    </row>
    <row r="13" spans="1:29" ht="16.5" customHeight="1">
      <c r="A13" s="593" t="s">
        <v>443</v>
      </c>
      <c r="B13" s="146" t="s">
        <v>656</v>
      </c>
      <c r="C13" s="584" t="s">
        <v>236</v>
      </c>
      <c r="D13" s="584"/>
      <c r="E13" s="57">
        <v>72.400000000000006</v>
      </c>
      <c r="F13" s="146">
        <v>1250</v>
      </c>
      <c r="G13" s="138">
        <f t="shared" si="15"/>
        <v>90500</v>
      </c>
      <c r="H13" s="72" t="s">
        <v>5</v>
      </c>
      <c r="I13" s="143">
        <v>18</v>
      </c>
      <c r="J13" s="58">
        <v>1500</v>
      </c>
      <c r="K13" s="59">
        <f t="shared" si="1"/>
        <v>83.333333333333329</v>
      </c>
      <c r="L13" s="143">
        <v>18</v>
      </c>
      <c r="M13" s="60">
        <f t="shared" si="16"/>
        <v>1442.3076923076919</v>
      </c>
      <c r="N13" s="59">
        <f t="shared" si="3"/>
        <v>80.12820512820511</v>
      </c>
      <c r="O13" s="61">
        <f t="shared" si="4"/>
        <v>0</v>
      </c>
      <c r="P13" s="62">
        <f t="shared" si="5"/>
        <v>-3.2051282051282186</v>
      </c>
      <c r="Q13" s="139">
        <f t="shared" si="6"/>
        <v>0.96153846153846134</v>
      </c>
      <c r="R13" s="566"/>
      <c r="S13" s="63">
        <v>0.19999999999999998</v>
      </c>
      <c r="T13" s="63">
        <v>0.2361111111111111</v>
      </c>
      <c r="U13" s="138">
        <f t="shared" ref="U13:U16" si="18">IF(S13=TIME(17,0,0),"",(S13-T12)*24*60)</f>
        <v>25.999999999999986</v>
      </c>
      <c r="V13" s="144">
        <f t="shared" si="17"/>
        <v>52.000000000000014</v>
      </c>
      <c r="W13" s="64"/>
      <c r="X13" s="64"/>
      <c r="Y13" s="559"/>
      <c r="Z13" s="559"/>
      <c r="AA13" s="61">
        <f t="shared" si="8"/>
        <v>-57.692307692308077</v>
      </c>
      <c r="AB13" s="139">
        <f t="shared" si="9"/>
        <v>0.96153846153846123</v>
      </c>
      <c r="AC13" s="566"/>
    </row>
    <row r="14" spans="1:29" ht="16.5" customHeight="1">
      <c r="A14" s="593" t="s">
        <v>443</v>
      </c>
      <c r="B14" s="146" t="s">
        <v>6</v>
      </c>
      <c r="C14" s="584" t="s">
        <v>95</v>
      </c>
      <c r="D14" s="584"/>
      <c r="E14" s="57">
        <v>50.98</v>
      </c>
      <c r="F14" s="146">
        <v>2266</v>
      </c>
      <c r="G14" s="138">
        <f t="shared" si="15"/>
        <v>115520.68</v>
      </c>
      <c r="H14" s="72" t="s">
        <v>5</v>
      </c>
      <c r="I14" s="143">
        <v>16</v>
      </c>
      <c r="J14" s="58">
        <v>2000</v>
      </c>
      <c r="K14" s="59">
        <f t="shared" si="1"/>
        <v>125</v>
      </c>
      <c r="L14" s="143">
        <v>16</v>
      </c>
      <c r="M14" s="60">
        <f t="shared" si="16"/>
        <v>1914.9295774647869</v>
      </c>
      <c r="N14" s="59">
        <f t="shared" si="3"/>
        <v>119.68309859154918</v>
      </c>
      <c r="O14" s="61">
        <f t="shared" si="4"/>
        <v>0</v>
      </c>
      <c r="P14" s="62">
        <f t="shared" si="5"/>
        <v>-5.3169014084508177</v>
      </c>
      <c r="Q14" s="139">
        <f t="shared" si="6"/>
        <v>0.95746478873239349</v>
      </c>
      <c r="R14" s="566"/>
      <c r="S14" s="63">
        <v>0.70833333333333337</v>
      </c>
      <c r="T14" s="63">
        <v>0.75763888888888897</v>
      </c>
      <c r="U14" s="138" t="str">
        <f t="shared" si="18"/>
        <v/>
      </c>
      <c r="V14" s="144">
        <f t="shared" si="17"/>
        <v>71.000000000000071</v>
      </c>
      <c r="W14" s="64"/>
      <c r="X14" s="64"/>
      <c r="Y14" s="559"/>
      <c r="Z14" s="559"/>
      <c r="AA14" s="61">
        <f t="shared" si="8"/>
        <v>-85.070422535213083</v>
      </c>
      <c r="AB14" s="139">
        <f t="shared" si="9"/>
        <v>0.95746478873239349</v>
      </c>
      <c r="AC14" s="566"/>
    </row>
    <row r="15" spans="1:29" ht="16.5" customHeight="1">
      <c r="A15" s="593" t="s">
        <v>443</v>
      </c>
      <c r="B15" s="146" t="s">
        <v>6</v>
      </c>
      <c r="C15" s="584" t="s">
        <v>18</v>
      </c>
      <c r="D15" s="584"/>
      <c r="E15" s="57">
        <v>50.92</v>
      </c>
      <c r="F15" s="146">
        <v>2149</v>
      </c>
      <c r="G15" s="138">
        <f t="shared" si="15"/>
        <v>109427.08</v>
      </c>
      <c r="H15" s="72" t="s">
        <v>5</v>
      </c>
      <c r="I15" s="143">
        <v>15</v>
      </c>
      <c r="J15" s="58">
        <v>2000</v>
      </c>
      <c r="K15" s="59">
        <f t="shared" si="1"/>
        <v>133.33333333333334</v>
      </c>
      <c r="L15" s="143">
        <v>15</v>
      </c>
      <c r="M15" s="60">
        <f t="shared" si="16"/>
        <v>1924.4776119403009</v>
      </c>
      <c r="N15" s="59">
        <f t="shared" si="3"/>
        <v>128.29850746268673</v>
      </c>
      <c r="O15" s="61">
        <f t="shared" si="4"/>
        <v>0</v>
      </c>
      <c r="P15" s="62">
        <f t="shared" si="5"/>
        <v>-5.034825870646614</v>
      </c>
      <c r="Q15" s="139">
        <f t="shared" si="6"/>
        <v>0.96223880597015043</v>
      </c>
      <c r="R15" s="566"/>
      <c r="S15" s="63">
        <v>0.76180555555555562</v>
      </c>
      <c r="T15" s="63">
        <v>0.80833333333333335</v>
      </c>
      <c r="U15" s="138">
        <f t="shared" si="18"/>
        <v>5.9999999999999787</v>
      </c>
      <c r="V15" s="144">
        <f t="shared" si="17"/>
        <v>66.999999999999915</v>
      </c>
      <c r="W15" s="64"/>
      <c r="X15" s="64"/>
      <c r="Y15" s="559"/>
      <c r="Z15" s="559"/>
      <c r="AA15" s="61">
        <f t="shared" si="8"/>
        <v>-75.522388059699097</v>
      </c>
      <c r="AB15" s="139">
        <f t="shared" si="9"/>
        <v>0.96223880597015043</v>
      </c>
      <c r="AC15" s="566"/>
    </row>
    <row r="16" spans="1:29" ht="16.5" customHeight="1">
      <c r="A16" s="593" t="s">
        <v>443</v>
      </c>
      <c r="B16" s="146" t="s">
        <v>6</v>
      </c>
      <c r="C16" s="584" t="s">
        <v>7</v>
      </c>
      <c r="D16" s="584"/>
      <c r="E16" s="57">
        <v>46.93</v>
      </c>
      <c r="F16" s="146">
        <v>873</v>
      </c>
      <c r="G16" s="138">
        <f t="shared" si="15"/>
        <v>40969.89</v>
      </c>
      <c r="H16" s="72" t="s">
        <v>5</v>
      </c>
      <c r="I16" s="143">
        <v>16</v>
      </c>
      <c r="J16" s="58">
        <v>2000</v>
      </c>
      <c r="K16" s="59">
        <f t="shared" si="1"/>
        <v>125</v>
      </c>
      <c r="L16" s="143">
        <v>16</v>
      </c>
      <c r="M16" s="60">
        <f t="shared" si="16"/>
        <v>1939.9999999999955</v>
      </c>
      <c r="N16" s="59">
        <f t="shared" si="3"/>
        <v>121.24999999999972</v>
      </c>
      <c r="O16" s="61">
        <f t="shared" si="4"/>
        <v>0</v>
      </c>
      <c r="P16" s="62">
        <f t="shared" si="5"/>
        <v>-3.7500000000002842</v>
      </c>
      <c r="Q16" s="139">
        <f t="shared" si="6"/>
        <v>0.96999999999999775</v>
      </c>
      <c r="R16" s="566"/>
      <c r="S16" s="63">
        <v>0.81319444444444444</v>
      </c>
      <c r="T16" s="63">
        <v>0.83194444444444449</v>
      </c>
      <c r="U16" s="138">
        <f t="shared" si="18"/>
        <v>6.9999999999999751</v>
      </c>
      <c r="V16" s="144">
        <f t="shared" si="17"/>
        <v>27.000000000000064</v>
      </c>
      <c r="W16" s="64"/>
      <c r="X16" s="64"/>
      <c r="Y16" s="559"/>
      <c r="Z16" s="559"/>
      <c r="AA16" s="61">
        <f t="shared" si="8"/>
        <v>-60.000000000004547</v>
      </c>
      <c r="AB16" s="139">
        <f t="shared" si="9"/>
        <v>0.96999999999999775</v>
      </c>
      <c r="AC16" s="566"/>
    </row>
    <row r="17" spans="1:29" ht="16.5" customHeight="1">
      <c r="A17" s="593" t="s">
        <v>443</v>
      </c>
      <c r="B17" s="57" t="s">
        <v>441</v>
      </c>
      <c r="C17" s="571"/>
      <c r="D17" s="571"/>
      <c r="E17" s="140"/>
      <c r="F17" s="66"/>
      <c r="G17" s="59"/>
      <c r="H17" s="146"/>
      <c r="I17" s="67">
        <v>18.2</v>
      </c>
      <c r="J17" s="58">
        <v>1800</v>
      </c>
      <c r="K17" s="59">
        <f t="shared" si="1"/>
        <v>98.901098901098905</v>
      </c>
      <c r="L17" s="67">
        <v>18.2</v>
      </c>
      <c r="M17" s="60">
        <f>AVERAGE(M12:M16)</f>
        <v>1732.3429763425549</v>
      </c>
      <c r="N17" s="59">
        <f t="shared" si="3"/>
        <v>95.183680018821704</v>
      </c>
      <c r="O17" s="61">
        <f t="shared" si="4"/>
        <v>0</v>
      </c>
      <c r="P17" s="62">
        <f t="shared" si="5"/>
        <v>-3.717418882277201</v>
      </c>
      <c r="Q17" s="139">
        <f t="shared" si="6"/>
        <v>0.96241276463475278</v>
      </c>
      <c r="R17" s="566"/>
      <c r="S17" s="63"/>
      <c r="T17" s="63"/>
      <c r="U17" s="138"/>
      <c r="V17" s="144"/>
      <c r="W17" s="59"/>
      <c r="X17" s="59"/>
      <c r="Y17" s="559"/>
      <c r="Z17" s="559"/>
      <c r="AA17" s="61">
        <f t="shared" si="8"/>
        <v>-67.657023657445052</v>
      </c>
      <c r="AB17" s="139">
        <f t="shared" si="9"/>
        <v>0.96241276463475278</v>
      </c>
      <c r="AC17" s="566"/>
    </row>
    <row r="18" spans="1:29" ht="15.75" customHeight="1">
      <c r="A18" s="588" t="s">
        <v>444</v>
      </c>
      <c r="B18" s="57" t="s">
        <v>12</v>
      </c>
      <c r="C18" s="584" t="s">
        <v>19</v>
      </c>
      <c r="D18" s="584"/>
      <c r="E18" s="57">
        <v>43.14</v>
      </c>
      <c r="F18" s="146">
        <v>896</v>
      </c>
      <c r="G18" s="138">
        <f t="shared" ref="G18:G25" si="19">E18*F18</f>
        <v>38653.440000000002</v>
      </c>
      <c r="H18" s="72" t="s">
        <v>5</v>
      </c>
      <c r="I18" s="143">
        <v>17</v>
      </c>
      <c r="J18" s="58">
        <v>2000</v>
      </c>
      <c r="K18" s="59">
        <f t="shared" si="1"/>
        <v>117.64705882352941</v>
      </c>
      <c r="L18" s="143">
        <v>17</v>
      </c>
      <c r="M18" s="60">
        <f t="shared" ref="M18:M25" si="20">F18/V18*60</f>
        <v>1919.9999999999984</v>
      </c>
      <c r="N18" s="59">
        <f t="shared" si="3"/>
        <v>112.94117647058815</v>
      </c>
      <c r="O18" s="61">
        <f t="shared" si="4"/>
        <v>0</v>
      </c>
      <c r="P18" s="62">
        <f t="shared" si="5"/>
        <v>-4.7058823529412592</v>
      </c>
      <c r="Q18" s="139">
        <f t="shared" si="6"/>
        <v>0.9599999999999993</v>
      </c>
      <c r="R18" s="566">
        <f>Q26</f>
        <v>0.96026976577865186</v>
      </c>
      <c r="S18" s="63">
        <v>0.20833333333333334</v>
      </c>
      <c r="T18" s="63">
        <v>0.2277777777777778</v>
      </c>
      <c r="U18" s="138"/>
      <c r="V18" s="144">
        <f t="shared" ref="V18:V25" si="21">(T18-S18)*24*60</f>
        <v>28.000000000000021</v>
      </c>
      <c r="W18" s="68"/>
      <c r="X18" s="68"/>
      <c r="Y18" s="559"/>
      <c r="Z18" s="559"/>
      <c r="AA18" s="61">
        <f t="shared" si="8"/>
        <v>-80.000000000001592</v>
      </c>
      <c r="AB18" s="139">
        <f t="shared" si="9"/>
        <v>0.95999999999999919</v>
      </c>
      <c r="AC18" s="566">
        <f>AB26</f>
        <v>0.96026976577865197</v>
      </c>
    </row>
    <row r="19" spans="1:29" ht="15.75" customHeight="1">
      <c r="A19" s="589" t="s">
        <v>444</v>
      </c>
      <c r="B19" s="57" t="s">
        <v>65</v>
      </c>
      <c r="C19" s="584" t="s">
        <v>97</v>
      </c>
      <c r="D19" s="584"/>
      <c r="E19" s="57">
        <v>49.9</v>
      </c>
      <c r="F19" s="146">
        <v>1343</v>
      </c>
      <c r="G19" s="138">
        <f t="shared" si="19"/>
        <v>67015.7</v>
      </c>
      <c r="H19" s="72" t="s">
        <v>5</v>
      </c>
      <c r="I19" s="143">
        <v>17</v>
      </c>
      <c r="J19" s="58">
        <v>2000</v>
      </c>
      <c r="K19" s="59">
        <f t="shared" si="1"/>
        <v>117.64705882352941</v>
      </c>
      <c r="L19" s="143">
        <v>17</v>
      </c>
      <c r="M19" s="60">
        <f t="shared" si="20"/>
        <v>1918.57142857143</v>
      </c>
      <c r="N19" s="59">
        <f t="shared" si="3"/>
        <v>112.85714285714295</v>
      </c>
      <c r="O19" s="61">
        <f t="shared" si="4"/>
        <v>0</v>
      </c>
      <c r="P19" s="62">
        <f t="shared" si="5"/>
        <v>-4.7899159663864594</v>
      </c>
      <c r="Q19" s="139">
        <f t="shared" si="6"/>
        <v>0.95928571428571507</v>
      </c>
      <c r="R19" s="566"/>
      <c r="S19" s="63">
        <v>0.23263888888888892</v>
      </c>
      <c r="T19" s="63">
        <v>0.26180555555555557</v>
      </c>
      <c r="U19" s="138">
        <f t="shared" ref="U19:U25" si="22">IF(S19=TIME(17,0,0),"",(S19-T18)*24*60)</f>
        <v>7.0000000000000151</v>
      </c>
      <c r="V19" s="144">
        <f t="shared" si="21"/>
        <v>41.999999999999972</v>
      </c>
      <c r="W19" s="64"/>
      <c r="X19" s="138"/>
      <c r="Y19" s="559"/>
      <c r="Z19" s="559"/>
      <c r="AA19" s="61">
        <f t="shared" si="8"/>
        <v>-81.428571428569967</v>
      </c>
      <c r="AB19" s="139">
        <f t="shared" si="9"/>
        <v>0.95928571428571496</v>
      </c>
      <c r="AC19" s="566"/>
    </row>
    <row r="20" spans="1:29" ht="15.75" customHeight="1">
      <c r="A20" s="589" t="s">
        <v>444</v>
      </c>
      <c r="B20" s="57" t="s">
        <v>6</v>
      </c>
      <c r="C20" s="584" t="s">
        <v>20</v>
      </c>
      <c r="D20" s="584"/>
      <c r="E20" s="57">
        <v>57.73</v>
      </c>
      <c r="F20" s="146">
        <v>2164</v>
      </c>
      <c r="G20" s="138">
        <f t="shared" si="19"/>
        <v>124927.71999999999</v>
      </c>
      <c r="H20" s="72" t="s">
        <v>5</v>
      </c>
      <c r="I20" s="143">
        <v>14</v>
      </c>
      <c r="J20" s="58">
        <v>2000</v>
      </c>
      <c r="K20" s="59">
        <f t="shared" si="1"/>
        <v>142.85714285714286</v>
      </c>
      <c r="L20" s="143">
        <v>14</v>
      </c>
      <c r="M20" s="60">
        <f t="shared" si="20"/>
        <v>1909.4117647058824</v>
      </c>
      <c r="N20" s="59">
        <f t="shared" si="3"/>
        <v>136.38655462184875</v>
      </c>
      <c r="O20" s="61">
        <f t="shared" si="4"/>
        <v>0</v>
      </c>
      <c r="P20" s="62">
        <f t="shared" si="5"/>
        <v>-6.470588235294116</v>
      </c>
      <c r="Q20" s="139">
        <f t="shared" si="6"/>
        <v>0.95470588235294118</v>
      </c>
      <c r="R20" s="566"/>
      <c r="S20" s="63">
        <v>0.26597222222222222</v>
      </c>
      <c r="T20" s="63">
        <v>0.31319444444444444</v>
      </c>
      <c r="U20" s="138">
        <f t="shared" si="22"/>
        <v>5.9999999999999787</v>
      </c>
      <c r="V20" s="144">
        <f t="shared" si="21"/>
        <v>68</v>
      </c>
      <c r="W20" s="64"/>
      <c r="X20" s="138"/>
      <c r="Y20" s="559"/>
      <c r="Z20" s="559"/>
      <c r="AA20" s="61">
        <f t="shared" si="8"/>
        <v>-90.588235294117567</v>
      </c>
      <c r="AB20" s="139">
        <f t="shared" si="9"/>
        <v>0.95470588235294118</v>
      </c>
      <c r="AC20" s="566"/>
    </row>
    <row r="21" spans="1:29" ht="15.75" customHeight="1">
      <c r="A21" s="589" t="s">
        <v>444</v>
      </c>
      <c r="B21" s="57" t="s">
        <v>6</v>
      </c>
      <c r="C21" s="584" t="s">
        <v>21</v>
      </c>
      <c r="D21" s="584"/>
      <c r="E21" s="57">
        <v>53.68</v>
      </c>
      <c r="F21" s="146">
        <v>1261</v>
      </c>
      <c r="G21" s="138">
        <f t="shared" si="19"/>
        <v>67690.48</v>
      </c>
      <c r="H21" s="72" t="s">
        <v>5</v>
      </c>
      <c r="I21" s="143">
        <v>16</v>
      </c>
      <c r="J21" s="58">
        <v>2000</v>
      </c>
      <c r="K21" s="59">
        <f t="shared" si="1"/>
        <v>125</v>
      </c>
      <c r="L21" s="143">
        <v>16</v>
      </c>
      <c r="M21" s="60">
        <f t="shared" si="20"/>
        <v>1939.9999999999989</v>
      </c>
      <c r="N21" s="59">
        <f t="shared" si="3"/>
        <v>121.24999999999993</v>
      </c>
      <c r="O21" s="61">
        <f t="shared" si="4"/>
        <v>0</v>
      </c>
      <c r="P21" s="62">
        <f t="shared" si="5"/>
        <v>-3.7500000000000711</v>
      </c>
      <c r="Q21" s="139">
        <f t="shared" si="6"/>
        <v>0.96999999999999942</v>
      </c>
      <c r="R21" s="566"/>
      <c r="S21" s="63">
        <v>0.31805555555555554</v>
      </c>
      <c r="T21" s="63">
        <v>0.34513888888888888</v>
      </c>
      <c r="U21" s="138">
        <f t="shared" si="22"/>
        <v>6.9999999999999751</v>
      </c>
      <c r="V21" s="144">
        <f t="shared" si="21"/>
        <v>39.000000000000021</v>
      </c>
      <c r="W21" s="64"/>
      <c r="X21" s="138"/>
      <c r="Y21" s="559"/>
      <c r="Z21" s="559"/>
      <c r="AA21" s="61">
        <f t="shared" si="8"/>
        <v>-60.000000000001137</v>
      </c>
      <c r="AB21" s="139">
        <f t="shared" si="9"/>
        <v>0.96999999999999942</v>
      </c>
      <c r="AC21" s="566"/>
    </row>
    <row r="22" spans="1:29" ht="15.75" customHeight="1">
      <c r="A22" s="589" t="s">
        <v>444</v>
      </c>
      <c r="B22" s="57" t="s">
        <v>6</v>
      </c>
      <c r="C22" s="584" t="s">
        <v>96</v>
      </c>
      <c r="D22" s="584"/>
      <c r="E22" s="57">
        <v>49.91</v>
      </c>
      <c r="F22" s="146">
        <v>1116</v>
      </c>
      <c r="G22" s="138">
        <f t="shared" si="19"/>
        <v>55699.56</v>
      </c>
      <c r="H22" s="72" t="s">
        <v>5</v>
      </c>
      <c r="I22" s="143">
        <v>17</v>
      </c>
      <c r="J22" s="58">
        <v>2000</v>
      </c>
      <c r="K22" s="59">
        <f t="shared" si="1"/>
        <v>117.64705882352941</v>
      </c>
      <c r="L22" s="143">
        <v>17</v>
      </c>
      <c r="M22" s="60">
        <f t="shared" si="20"/>
        <v>1913.1428571428553</v>
      </c>
      <c r="N22" s="59">
        <f t="shared" si="3"/>
        <v>112.5378151260503</v>
      </c>
      <c r="O22" s="61">
        <f t="shared" si="4"/>
        <v>0</v>
      </c>
      <c r="P22" s="62">
        <f t="shared" si="5"/>
        <v>-5.1092436974791013</v>
      </c>
      <c r="Q22" s="139">
        <f t="shared" si="6"/>
        <v>0.95657142857142763</v>
      </c>
      <c r="R22" s="566"/>
      <c r="S22" s="63">
        <v>0.34930555555555554</v>
      </c>
      <c r="T22" s="63">
        <v>0.37361111111111112</v>
      </c>
      <c r="U22" s="138">
        <f t="shared" si="22"/>
        <v>5.9999999999999787</v>
      </c>
      <c r="V22" s="144">
        <f t="shared" si="21"/>
        <v>35.000000000000036</v>
      </c>
      <c r="W22" s="64"/>
      <c r="X22" s="138"/>
      <c r="Y22" s="559"/>
      <c r="Z22" s="559"/>
      <c r="AA22" s="61">
        <f t="shared" si="8"/>
        <v>-86.857142857144709</v>
      </c>
      <c r="AB22" s="139">
        <f t="shared" si="9"/>
        <v>0.95657142857142763</v>
      </c>
      <c r="AC22" s="566"/>
    </row>
    <row r="23" spans="1:29" ht="15.75" customHeight="1">
      <c r="A23" s="589" t="s">
        <v>444</v>
      </c>
      <c r="B23" s="57" t="s">
        <v>6</v>
      </c>
      <c r="C23" s="584" t="s">
        <v>22</v>
      </c>
      <c r="D23" s="584"/>
      <c r="E23" s="57">
        <v>54.09</v>
      </c>
      <c r="F23" s="146">
        <v>1523</v>
      </c>
      <c r="G23" s="138">
        <f t="shared" si="19"/>
        <v>82379.070000000007</v>
      </c>
      <c r="H23" s="72" t="s">
        <v>5</v>
      </c>
      <c r="I23" s="143">
        <v>19</v>
      </c>
      <c r="J23" s="58">
        <v>2000</v>
      </c>
      <c r="K23" s="59">
        <f t="shared" si="1"/>
        <v>105.26315789473684</v>
      </c>
      <c r="L23" s="143">
        <v>19</v>
      </c>
      <c r="M23" s="60">
        <f t="shared" si="20"/>
        <v>1944.2553191489362</v>
      </c>
      <c r="N23" s="59">
        <f t="shared" si="3"/>
        <v>102.32922732362822</v>
      </c>
      <c r="O23" s="61">
        <f t="shared" si="4"/>
        <v>0</v>
      </c>
      <c r="P23" s="62">
        <f t="shared" si="5"/>
        <v>-2.9339305711086183</v>
      </c>
      <c r="Q23" s="139">
        <f t="shared" si="6"/>
        <v>0.97212765957446812</v>
      </c>
      <c r="R23" s="566"/>
      <c r="S23" s="63">
        <v>0.70833333333333337</v>
      </c>
      <c r="T23" s="63">
        <v>0.74097222222222225</v>
      </c>
      <c r="U23" s="138" t="str">
        <f t="shared" si="22"/>
        <v/>
      </c>
      <c r="V23" s="144">
        <f t="shared" si="21"/>
        <v>46.999999999999993</v>
      </c>
      <c r="W23" s="64"/>
      <c r="X23" s="68"/>
      <c r="Y23" s="559"/>
      <c r="Z23" s="559"/>
      <c r="AA23" s="61">
        <f t="shared" si="8"/>
        <v>-55.744680851063777</v>
      </c>
      <c r="AB23" s="139">
        <f t="shared" si="9"/>
        <v>0.97212765957446812</v>
      </c>
      <c r="AC23" s="566"/>
    </row>
    <row r="24" spans="1:29" ht="15.75" customHeight="1">
      <c r="A24" s="589" t="s">
        <v>444</v>
      </c>
      <c r="B24" s="57" t="s">
        <v>6</v>
      </c>
      <c r="C24" s="584" t="s">
        <v>69</v>
      </c>
      <c r="D24" s="584"/>
      <c r="E24" s="57">
        <v>57.73</v>
      </c>
      <c r="F24" s="146">
        <v>1432</v>
      </c>
      <c r="G24" s="138">
        <f t="shared" si="19"/>
        <v>82669.36</v>
      </c>
      <c r="H24" s="72" t="s">
        <v>5</v>
      </c>
      <c r="I24" s="143">
        <v>16</v>
      </c>
      <c r="J24" s="58">
        <v>1500</v>
      </c>
      <c r="K24" s="59">
        <f t="shared" si="1"/>
        <v>93.75</v>
      </c>
      <c r="L24" s="143">
        <v>16</v>
      </c>
      <c r="M24" s="60">
        <f t="shared" si="20"/>
        <v>1432.0000000000014</v>
      </c>
      <c r="N24" s="59">
        <f t="shared" si="3"/>
        <v>89.500000000000085</v>
      </c>
      <c r="O24" s="61">
        <f t="shared" si="4"/>
        <v>0</v>
      </c>
      <c r="P24" s="62">
        <f t="shared" si="5"/>
        <v>-4.2499999999999147</v>
      </c>
      <c r="Q24" s="139">
        <f t="shared" si="6"/>
        <v>0.95466666666666755</v>
      </c>
      <c r="R24" s="566"/>
      <c r="S24" s="63">
        <v>0.74652777777777779</v>
      </c>
      <c r="T24" s="63">
        <v>0.78819444444444442</v>
      </c>
      <c r="U24" s="138">
        <f t="shared" si="22"/>
        <v>7.9999999999999716</v>
      </c>
      <c r="V24" s="144">
        <f t="shared" si="21"/>
        <v>59.999999999999943</v>
      </c>
      <c r="W24" s="64"/>
      <c r="X24" s="68"/>
      <c r="Y24" s="569"/>
      <c r="Z24" s="570"/>
      <c r="AA24" s="61">
        <f t="shared" si="8"/>
        <v>-67.999999999998636</v>
      </c>
      <c r="AB24" s="139">
        <f t="shared" si="9"/>
        <v>0.95466666666666755</v>
      </c>
      <c r="AC24" s="566"/>
    </row>
    <row r="25" spans="1:29" ht="15.75" customHeight="1">
      <c r="A25" s="589" t="s">
        <v>444</v>
      </c>
      <c r="B25" s="57" t="s">
        <v>6</v>
      </c>
      <c r="C25" s="585" t="s">
        <v>68</v>
      </c>
      <c r="D25" s="586"/>
      <c r="E25" s="57">
        <v>50.67</v>
      </c>
      <c r="F25" s="146">
        <v>1589</v>
      </c>
      <c r="G25" s="138">
        <f t="shared" si="19"/>
        <v>80514.63</v>
      </c>
      <c r="H25" s="72" t="s">
        <v>5</v>
      </c>
      <c r="I25" s="143">
        <v>15</v>
      </c>
      <c r="J25" s="58">
        <v>2000</v>
      </c>
      <c r="K25" s="59">
        <f t="shared" si="1"/>
        <v>133.33333333333334</v>
      </c>
      <c r="L25" s="143">
        <v>15</v>
      </c>
      <c r="M25" s="60">
        <f t="shared" si="20"/>
        <v>1906.8000000000004</v>
      </c>
      <c r="N25" s="59">
        <f t="shared" si="3"/>
        <v>127.12000000000003</v>
      </c>
      <c r="O25" s="61">
        <f t="shared" si="4"/>
        <v>0</v>
      </c>
      <c r="P25" s="62">
        <f t="shared" si="5"/>
        <v>-6.2133333333333098</v>
      </c>
      <c r="Q25" s="139">
        <f t="shared" si="6"/>
        <v>0.95340000000000014</v>
      </c>
      <c r="R25" s="566"/>
      <c r="S25" s="63">
        <v>0.79236111111111107</v>
      </c>
      <c r="T25" s="63">
        <v>0.82708333333333328</v>
      </c>
      <c r="U25" s="138">
        <f t="shared" si="22"/>
        <v>5.9999999999999787</v>
      </c>
      <c r="V25" s="144">
        <f t="shared" si="21"/>
        <v>49.999999999999986</v>
      </c>
      <c r="W25" s="64"/>
      <c r="X25" s="64"/>
      <c r="Y25" s="569"/>
      <c r="Z25" s="570"/>
      <c r="AA25" s="61">
        <f t="shared" si="8"/>
        <v>-93.199999999999591</v>
      </c>
      <c r="AB25" s="139">
        <f t="shared" si="9"/>
        <v>0.95340000000000025</v>
      </c>
      <c r="AC25" s="566"/>
    </row>
    <row r="26" spans="1:29" ht="15.75" customHeight="1">
      <c r="A26" s="589" t="s">
        <v>444</v>
      </c>
      <c r="B26" s="57" t="s">
        <v>441</v>
      </c>
      <c r="C26" s="571"/>
      <c r="D26" s="571"/>
      <c r="E26" s="140"/>
      <c r="F26" s="146"/>
      <c r="G26" s="138"/>
      <c r="H26" s="146"/>
      <c r="I26" s="67">
        <v>16.375</v>
      </c>
      <c r="J26" s="58">
        <v>1937.5</v>
      </c>
      <c r="K26" s="59">
        <f t="shared" si="1"/>
        <v>118.32061068702291</v>
      </c>
      <c r="L26" s="67">
        <v>16.375</v>
      </c>
      <c r="M26" s="60">
        <f>AVERAGE(M18:M25)</f>
        <v>1860.5226711961382</v>
      </c>
      <c r="N26" s="59">
        <f t="shared" si="3"/>
        <v>113.61970511121454</v>
      </c>
      <c r="O26" s="61">
        <f t="shared" si="4"/>
        <v>0</v>
      </c>
      <c r="P26" s="62">
        <f t="shared" si="5"/>
        <v>-4.7009055758083633</v>
      </c>
      <c r="Q26" s="139">
        <f t="shared" si="6"/>
        <v>0.96026976577865186</v>
      </c>
      <c r="R26" s="566"/>
      <c r="S26" s="63"/>
      <c r="T26" s="63"/>
      <c r="U26" s="59"/>
      <c r="V26" s="144"/>
      <c r="W26" s="59"/>
      <c r="X26" s="59"/>
      <c r="Y26" s="559"/>
      <c r="Z26" s="559"/>
      <c r="AA26" s="61">
        <f t="shared" si="8"/>
        <v>-76.977328803861838</v>
      </c>
      <c r="AB26" s="139">
        <f t="shared" si="9"/>
        <v>0.96026976577865197</v>
      </c>
      <c r="AC26" s="566"/>
    </row>
    <row r="27" spans="1:29" ht="15.75" customHeight="1">
      <c r="A27" s="587" t="s">
        <v>445</v>
      </c>
      <c r="B27" s="57" t="s">
        <v>15</v>
      </c>
      <c r="C27" s="584" t="s">
        <v>26</v>
      </c>
      <c r="D27" s="584"/>
      <c r="E27" s="57">
        <v>31.29</v>
      </c>
      <c r="F27" s="146">
        <v>4800</v>
      </c>
      <c r="G27" s="138">
        <f t="shared" ref="G27:G32" si="23">E27*F27</f>
        <v>150192</v>
      </c>
      <c r="H27" s="72">
        <v>2</v>
      </c>
      <c r="I27" s="143">
        <v>18</v>
      </c>
      <c r="J27" s="58">
        <v>2400</v>
      </c>
      <c r="K27" s="59">
        <f t="shared" si="1"/>
        <v>133.33333333333334</v>
      </c>
      <c r="L27" s="143">
        <v>18</v>
      </c>
      <c r="M27" s="60">
        <f t="shared" ref="M27:M32" si="24">F27/V27*60</f>
        <v>2285.7142857142858</v>
      </c>
      <c r="N27" s="59">
        <f t="shared" si="3"/>
        <v>126.98412698412699</v>
      </c>
      <c r="O27" s="61">
        <f t="shared" si="4"/>
        <v>0</v>
      </c>
      <c r="P27" s="62">
        <f t="shared" si="5"/>
        <v>-6.3492063492063551</v>
      </c>
      <c r="Q27" s="139">
        <f t="shared" si="6"/>
        <v>0.95238095238095233</v>
      </c>
      <c r="R27" s="566">
        <f>Q33</f>
        <v>0.95544901439603047</v>
      </c>
      <c r="S27" s="63">
        <v>8.3333333333333329E-2</v>
      </c>
      <c r="T27" s="63">
        <v>0.17083333333333334</v>
      </c>
      <c r="U27" s="138"/>
      <c r="V27" s="144">
        <f t="shared" ref="V27:V32" si="25">(T27-S27)*24*60</f>
        <v>126</v>
      </c>
      <c r="W27" s="64">
        <f>T27</f>
        <v>0.17083333333333334</v>
      </c>
      <c r="X27" s="64">
        <f>S28</f>
        <v>0.18819444444444441</v>
      </c>
      <c r="Y27" s="559"/>
      <c r="Z27" s="559"/>
      <c r="AA27" s="61">
        <f t="shared" si="8"/>
        <v>-114.28571428571422</v>
      </c>
      <c r="AB27" s="139">
        <f t="shared" si="9"/>
        <v>0.95238095238095244</v>
      </c>
      <c r="AC27" s="566">
        <f>AB33</f>
        <v>0.95544901439603047</v>
      </c>
    </row>
    <row r="28" spans="1:29" ht="15.75" customHeight="1">
      <c r="A28" s="587" t="s">
        <v>445</v>
      </c>
      <c r="B28" s="57" t="s">
        <v>15</v>
      </c>
      <c r="C28" s="584" t="s">
        <v>23</v>
      </c>
      <c r="D28" s="584"/>
      <c r="E28" s="57">
        <v>26.2</v>
      </c>
      <c r="F28" s="146">
        <v>4268</v>
      </c>
      <c r="G28" s="138">
        <f t="shared" si="23"/>
        <v>111821.59999999999</v>
      </c>
      <c r="H28" s="72" t="s">
        <v>5</v>
      </c>
      <c r="I28" s="143">
        <v>20</v>
      </c>
      <c r="J28" s="58">
        <v>2400</v>
      </c>
      <c r="K28" s="59">
        <f t="shared" si="1"/>
        <v>120</v>
      </c>
      <c r="L28" s="143">
        <v>20</v>
      </c>
      <c r="M28" s="60">
        <f t="shared" si="24"/>
        <v>2286.428571428572</v>
      </c>
      <c r="N28" s="59">
        <f t="shared" si="3"/>
        <v>114.3214285714286</v>
      </c>
      <c r="O28" s="61">
        <f t="shared" si="4"/>
        <v>0</v>
      </c>
      <c r="P28" s="62">
        <f t="shared" si="5"/>
        <v>-5.6785714285714022</v>
      </c>
      <c r="Q28" s="139">
        <f t="shared" si="6"/>
        <v>0.9526785714285716</v>
      </c>
      <c r="R28" s="566"/>
      <c r="S28" s="63">
        <v>0.18819444444444441</v>
      </c>
      <c r="T28" s="63">
        <v>0.26597222222222217</v>
      </c>
      <c r="U28" s="138">
        <f t="shared" ref="U28:U32" si="26">(S28-T27)*24*60</f>
        <v>24.99999999999995</v>
      </c>
      <c r="V28" s="144">
        <f t="shared" si="25"/>
        <v>111.99999999999996</v>
      </c>
      <c r="W28" s="64"/>
      <c r="X28" s="64"/>
      <c r="Y28" s="559"/>
      <c r="Z28" s="559"/>
      <c r="AA28" s="61">
        <f t="shared" si="8"/>
        <v>-113.57142857142799</v>
      </c>
      <c r="AB28" s="139">
        <f t="shared" si="9"/>
        <v>0.95267857142857171</v>
      </c>
      <c r="AC28" s="566"/>
    </row>
    <row r="29" spans="1:29" ht="15.75" customHeight="1">
      <c r="A29" s="587" t="s">
        <v>445</v>
      </c>
      <c r="B29" s="57" t="s">
        <v>15</v>
      </c>
      <c r="C29" s="584" t="s">
        <v>70</v>
      </c>
      <c r="D29" s="584"/>
      <c r="E29" s="57">
        <v>25.99</v>
      </c>
      <c r="F29" s="146">
        <v>4233</v>
      </c>
      <c r="G29" s="138">
        <f t="shared" si="23"/>
        <v>110015.67</v>
      </c>
      <c r="H29" s="72" t="s">
        <v>5</v>
      </c>
      <c r="I29" s="143">
        <v>14</v>
      </c>
      <c r="J29" s="58">
        <v>2400</v>
      </c>
      <c r="K29" s="59">
        <f t="shared" si="1"/>
        <v>171.42857142857142</v>
      </c>
      <c r="L29" s="143">
        <v>14</v>
      </c>
      <c r="M29" s="60">
        <f t="shared" si="24"/>
        <v>2288.1081081081084</v>
      </c>
      <c r="N29" s="59">
        <f t="shared" si="3"/>
        <v>163.43629343629345</v>
      </c>
      <c r="O29" s="61">
        <f t="shared" si="4"/>
        <v>0</v>
      </c>
      <c r="P29" s="62">
        <f t="shared" si="5"/>
        <v>-7.9922779922779625</v>
      </c>
      <c r="Q29" s="139">
        <f t="shared" si="6"/>
        <v>0.95337837837837858</v>
      </c>
      <c r="R29" s="566"/>
      <c r="S29" s="63">
        <v>0.2715277777777777</v>
      </c>
      <c r="T29" s="63">
        <v>0.34861111111111104</v>
      </c>
      <c r="U29" s="138">
        <f t="shared" si="26"/>
        <v>7.9999999999999716</v>
      </c>
      <c r="V29" s="144">
        <f t="shared" si="25"/>
        <v>111</v>
      </c>
      <c r="W29" s="64"/>
      <c r="X29" s="64"/>
      <c r="Y29" s="559"/>
      <c r="Z29" s="559"/>
      <c r="AA29" s="61">
        <f t="shared" si="8"/>
        <v>-111.89189189189165</v>
      </c>
      <c r="AB29" s="139">
        <f t="shared" si="9"/>
        <v>0.95337837837837847</v>
      </c>
      <c r="AC29" s="566"/>
    </row>
    <row r="30" spans="1:29" ht="15.75" customHeight="1">
      <c r="A30" s="587" t="s">
        <v>445</v>
      </c>
      <c r="B30" s="57" t="s">
        <v>15</v>
      </c>
      <c r="C30" s="584" t="s">
        <v>45</v>
      </c>
      <c r="D30" s="584"/>
      <c r="E30" s="57">
        <v>20.52</v>
      </c>
      <c r="F30" s="146">
        <v>3677</v>
      </c>
      <c r="G30" s="138">
        <f t="shared" si="23"/>
        <v>75452.039999999994</v>
      </c>
      <c r="H30" s="72" t="s">
        <v>5</v>
      </c>
      <c r="I30" s="143">
        <v>18</v>
      </c>
      <c r="J30" s="58">
        <v>2400</v>
      </c>
      <c r="K30" s="59">
        <f t="shared" si="1"/>
        <v>133.33333333333334</v>
      </c>
      <c r="L30" s="143">
        <v>18</v>
      </c>
      <c r="M30" s="60">
        <f t="shared" si="24"/>
        <v>2298.1250000000005</v>
      </c>
      <c r="N30" s="59">
        <f t="shared" si="3"/>
        <v>127.67361111111114</v>
      </c>
      <c r="O30" s="61">
        <f t="shared" si="4"/>
        <v>0</v>
      </c>
      <c r="P30" s="62">
        <f t="shared" si="5"/>
        <v>-5.6597222222222001</v>
      </c>
      <c r="Q30" s="139">
        <f t="shared" si="6"/>
        <v>0.95755208333333353</v>
      </c>
      <c r="R30" s="566"/>
      <c r="S30" s="63">
        <v>0.35277777777777769</v>
      </c>
      <c r="T30" s="63">
        <v>0.41944444444444434</v>
      </c>
      <c r="U30" s="138">
        <f t="shared" si="26"/>
        <v>5.9999999999999787</v>
      </c>
      <c r="V30" s="144">
        <f t="shared" si="25"/>
        <v>95.999999999999972</v>
      </c>
      <c r="W30" s="64"/>
      <c r="X30" s="64"/>
      <c r="Y30" s="559"/>
      <c r="Z30" s="559"/>
      <c r="AA30" s="61">
        <f t="shared" si="8"/>
        <v>-101.87499999999955</v>
      </c>
      <c r="AB30" s="139">
        <f t="shared" si="9"/>
        <v>0.95755208333333353</v>
      </c>
      <c r="AC30" s="566"/>
    </row>
    <row r="31" spans="1:29" ht="15.75" customHeight="1">
      <c r="A31" s="587" t="s">
        <v>445</v>
      </c>
      <c r="B31" s="57" t="s">
        <v>15</v>
      </c>
      <c r="C31" s="584" t="s">
        <v>98</v>
      </c>
      <c r="D31" s="584"/>
      <c r="E31" s="57">
        <v>25.98</v>
      </c>
      <c r="F31" s="146">
        <v>3949</v>
      </c>
      <c r="G31" s="138">
        <f t="shared" si="23"/>
        <v>102595.02</v>
      </c>
      <c r="H31" s="72" t="s">
        <v>5</v>
      </c>
      <c r="I31" s="143">
        <v>21</v>
      </c>
      <c r="J31" s="58">
        <v>2400</v>
      </c>
      <c r="K31" s="59">
        <f t="shared" si="1"/>
        <v>114.28571428571429</v>
      </c>
      <c r="L31" s="143">
        <v>21</v>
      </c>
      <c r="M31" s="60">
        <f t="shared" si="24"/>
        <v>2300.3883495145624</v>
      </c>
      <c r="N31" s="59">
        <f t="shared" si="3"/>
        <v>109.54230235783631</v>
      </c>
      <c r="O31" s="61">
        <f t="shared" si="4"/>
        <v>0</v>
      </c>
      <c r="P31" s="62">
        <f t="shared" si="5"/>
        <v>-4.743411927877986</v>
      </c>
      <c r="Q31" s="139">
        <f t="shared" si="6"/>
        <v>0.95849514563106764</v>
      </c>
      <c r="R31" s="566"/>
      <c r="S31" s="63">
        <v>0.42499999999999988</v>
      </c>
      <c r="T31" s="63">
        <v>0.49652777777777768</v>
      </c>
      <c r="U31" s="138">
        <f t="shared" si="26"/>
        <v>7.9999999999999716</v>
      </c>
      <c r="V31" s="144">
        <f t="shared" si="25"/>
        <v>103.00000000000003</v>
      </c>
      <c r="W31" s="64">
        <f>T31</f>
        <v>0.49652777777777768</v>
      </c>
      <c r="X31" s="64">
        <f>S32</f>
        <v>0.53541666666666654</v>
      </c>
      <c r="Y31" s="559"/>
      <c r="Z31" s="559"/>
      <c r="AA31" s="61">
        <f t="shared" si="8"/>
        <v>-99.611650485437622</v>
      </c>
      <c r="AB31" s="139">
        <f t="shared" si="9"/>
        <v>0.95849514563106764</v>
      </c>
      <c r="AC31" s="566"/>
    </row>
    <row r="32" spans="1:29" ht="15.75" customHeight="1">
      <c r="A32" s="587" t="s">
        <v>445</v>
      </c>
      <c r="B32" s="57" t="s">
        <v>15</v>
      </c>
      <c r="C32" s="584" t="s">
        <v>26</v>
      </c>
      <c r="D32" s="584"/>
      <c r="E32" s="57">
        <v>31.29</v>
      </c>
      <c r="F32" s="146">
        <v>2568</v>
      </c>
      <c r="G32" s="138">
        <f t="shared" si="23"/>
        <v>80352.72</v>
      </c>
      <c r="H32" s="72" t="s">
        <v>5</v>
      </c>
      <c r="I32" s="143">
        <v>18</v>
      </c>
      <c r="J32" s="58">
        <v>2400</v>
      </c>
      <c r="K32" s="59">
        <f t="shared" si="1"/>
        <v>133.33333333333334</v>
      </c>
      <c r="L32" s="143">
        <v>18</v>
      </c>
      <c r="M32" s="60">
        <f t="shared" si="24"/>
        <v>2299.7014925373105</v>
      </c>
      <c r="N32" s="59">
        <f t="shared" si="3"/>
        <v>127.76119402985059</v>
      </c>
      <c r="O32" s="61">
        <f t="shared" si="4"/>
        <v>0</v>
      </c>
      <c r="P32" s="62">
        <f t="shared" si="5"/>
        <v>-5.5721393034827571</v>
      </c>
      <c r="Q32" s="139">
        <f t="shared" si="6"/>
        <v>0.95820895522387928</v>
      </c>
      <c r="R32" s="566"/>
      <c r="S32" s="63">
        <v>0.53541666666666654</v>
      </c>
      <c r="T32" s="63">
        <v>0.58194444444444438</v>
      </c>
      <c r="U32" s="138">
        <f t="shared" si="26"/>
        <v>55.999999999999957</v>
      </c>
      <c r="V32" s="144">
        <f t="shared" si="25"/>
        <v>67.000000000000085</v>
      </c>
      <c r="W32" s="64"/>
      <c r="X32" s="64"/>
      <c r="Y32" s="559"/>
      <c r="Z32" s="559"/>
      <c r="AA32" s="61">
        <f t="shared" si="8"/>
        <v>-100.29850746268949</v>
      </c>
      <c r="AB32" s="139">
        <f t="shared" si="9"/>
        <v>0.95820895522387939</v>
      </c>
      <c r="AC32" s="566"/>
    </row>
    <row r="33" spans="1:29" ht="15.75" customHeight="1">
      <c r="A33" s="587" t="s">
        <v>445</v>
      </c>
      <c r="B33" s="57" t="s">
        <v>441</v>
      </c>
      <c r="C33" s="571"/>
      <c r="D33" s="571"/>
      <c r="E33" s="140"/>
      <c r="F33" s="146"/>
      <c r="G33" s="138"/>
      <c r="H33" s="146"/>
      <c r="I33" s="67">
        <v>18.166666666666668</v>
      </c>
      <c r="J33" s="58">
        <v>2400</v>
      </c>
      <c r="K33" s="59">
        <f t="shared" si="1"/>
        <v>132.11009174311926</v>
      </c>
      <c r="L33" s="67">
        <v>18.166666666666668</v>
      </c>
      <c r="M33" s="60">
        <f>AVERAGE(M27:M32)</f>
        <v>2293.0776345504732</v>
      </c>
      <c r="N33" s="59">
        <f t="shared" si="3"/>
        <v>126.22445694773246</v>
      </c>
      <c r="O33" s="61">
        <f t="shared" si="4"/>
        <v>0</v>
      </c>
      <c r="P33" s="62">
        <f t="shared" si="5"/>
        <v>-5.8856347953867925</v>
      </c>
      <c r="Q33" s="139">
        <f t="shared" si="6"/>
        <v>0.95544901439603047</v>
      </c>
      <c r="R33" s="566"/>
      <c r="S33" s="63"/>
      <c r="T33" s="63"/>
      <c r="U33" s="138"/>
      <c r="V33" s="144"/>
      <c r="W33" s="138"/>
      <c r="X33" s="138"/>
      <c r="Y33" s="559"/>
      <c r="Z33" s="559"/>
      <c r="AA33" s="61">
        <f t="shared" si="8"/>
        <v>-106.92236544952675</v>
      </c>
      <c r="AB33" s="139">
        <f t="shared" si="9"/>
        <v>0.95544901439603047</v>
      </c>
      <c r="AC33" s="566"/>
    </row>
    <row r="34" spans="1:29" ht="15.75" customHeight="1">
      <c r="A34" s="582" t="s">
        <v>446</v>
      </c>
      <c r="B34" s="57" t="s">
        <v>15</v>
      </c>
      <c r="C34" s="560" t="s">
        <v>44</v>
      </c>
      <c r="D34" s="560"/>
      <c r="E34" s="57">
        <v>19.02</v>
      </c>
      <c r="F34" s="146">
        <v>5000</v>
      </c>
      <c r="G34" s="138">
        <f t="shared" ref="G34:G39" si="27">E34*F34</f>
        <v>95100</v>
      </c>
      <c r="H34" s="72">
        <v>2</v>
      </c>
      <c r="I34" s="143">
        <v>15</v>
      </c>
      <c r="J34" s="58">
        <v>2400</v>
      </c>
      <c r="K34" s="59">
        <f t="shared" si="1"/>
        <v>160</v>
      </c>
      <c r="L34" s="143">
        <v>15</v>
      </c>
      <c r="M34" s="60">
        <f t="shared" ref="M34:M39" si="28">F34/V34*60</f>
        <v>2290.0763358778627</v>
      </c>
      <c r="N34" s="59">
        <f t="shared" si="3"/>
        <v>152.67175572519085</v>
      </c>
      <c r="O34" s="61">
        <f t="shared" si="4"/>
        <v>0</v>
      </c>
      <c r="P34" s="62">
        <f t="shared" si="5"/>
        <v>-7.3282442748091512</v>
      </c>
      <c r="Q34" s="139">
        <f t="shared" si="6"/>
        <v>0.95419847328244278</v>
      </c>
      <c r="R34" s="566">
        <f>Q40</f>
        <v>0.95422307816110385</v>
      </c>
      <c r="S34" s="63">
        <v>8.3333333333333329E-2</v>
      </c>
      <c r="T34" s="63">
        <v>0.17430555555555555</v>
      </c>
      <c r="U34" s="138"/>
      <c r="V34" s="144">
        <f t="shared" ref="V34:V39" si="29">(T34-S34)*24*60</f>
        <v>131</v>
      </c>
      <c r="W34" s="68">
        <f>T34</f>
        <v>0.17430555555555555</v>
      </c>
      <c r="X34" s="68">
        <f>S35</f>
        <v>0.19305555555555554</v>
      </c>
      <c r="Y34" s="559"/>
      <c r="Z34" s="559"/>
      <c r="AA34" s="61">
        <f t="shared" si="8"/>
        <v>-109.92366412213732</v>
      </c>
      <c r="AB34" s="139">
        <f t="shared" si="9"/>
        <v>0.95419847328244278</v>
      </c>
      <c r="AC34" s="566">
        <f>AB40</f>
        <v>0.95422307816110385</v>
      </c>
    </row>
    <row r="35" spans="1:29" ht="15.75" customHeight="1">
      <c r="A35" s="582" t="s">
        <v>446</v>
      </c>
      <c r="B35" s="57" t="s">
        <v>15</v>
      </c>
      <c r="C35" s="560" t="s">
        <v>27</v>
      </c>
      <c r="D35" s="560"/>
      <c r="E35" s="57">
        <v>26.2</v>
      </c>
      <c r="F35" s="146">
        <v>5517</v>
      </c>
      <c r="G35" s="138">
        <f t="shared" si="27"/>
        <v>144545.4</v>
      </c>
      <c r="H35" s="72" t="s">
        <v>5</v>
      </c>
      <c r="I35" s="143">
        <v>18</v>
      </c>
      <c r="J35" s="58">
        <v>2400</v>
      </c>
      <c r="K35" s="59">
        <f t="shared" si="1"/>
        <v>133.33333333333334</v>
      </c>
      <c r="L35" s="143">
        <v>18</v>
      </c>
      <c r="M35" s="60">
        <f t="shared" si="28"/>
        <v>2298.7500000000005</v>
      </c>
      <c r="N35" s="59">
        <f t="shared" si="3"/>
        <v>127.70833333333336</v>
      </c>
      <c r="O35" s="61">
        <f t="shared" si="4"/>
        <v>0</v>
      </c>
      <c r="P35" s="62">
        <f t="shared" si="5"/>
        <v>-5.6249999999999858</v>
      </c>
      <c r="Q35" s="139">
        <f t="shared" si="6"/>
        <v>0.95781250000000007</v>
      </c>
      <c r="R35" s="566"/>
      <c r="S35" s="63">
        <v>0.19305555555555554</v>
      </c>
      <c r="T35" s="63">
        <v>0.29305555555555551</v>
      </c>
      <c r="U35" s="138">
        <f t="shared" ref="U35:U39" si="30">(S35-T34)*24*60</f>
        <v>26.999999999999986</v>
      </c>
      <c r="V35" s="144">
        <f t="shared" si="29"/>
        <v>143.99999999999997</v>
      </c>
      <c r="W35" s="138"/>
      <c r="X35" s="138"/>
      <c r="Y35" s="559"/>
      <c r="Z35" s="559"/>
      <c r="AA35" s="61">
        <f t="shared" si="8"/>
        <v>-101.24999999999955</v>
      </c>
      <c r="AB35" s="139">
        <f t="shared" si="9"/>
        <v>0.95781250000000018</v>
      </c>
      <c r="AC35" s="566"/>
    </row>
    <row r="36" spans="1:29">
      <c r="A36" s="583" t="s">
        <v>446</v>
      </c>
      <c r="B36" s="57" t="s">
        <v>15</v>
      </c>
      <c r="C36" s="560" t="s">
        <v>25</v>
      </c>
      <c r="D36" s="560"/>
      <c r="E36" s="57">
        <v>26.18</v>
      </c>
      <c r="F36" s="146">
        <v>2361</v>
      </c>
      <c r="G36" s="138">
        <f t="shared" si="27"/>
        <v>61810.979999999996</v>
      </c>
      <c r="H36" s="72" t="s">
        <v>5</v>
      </c>
      <c r="I36" s="143">
        <v>19</v>
      </c>
      <c r="J36" s="58">
        <v>2400</v>
      </c>
      <c r="K36" s="59">
        <f t="shared" si="1"/>
        <v>126.31578947368421</v>
      </c>
      <c r="L36" s="143">
        <v>19</v>
      </c>
      <c r="M36" s="60">
        <f t="shared" si="28"/>
        <v>2284.8387096774186</v>
      </c>
      <c r="N36" s="59">
        <f t="shared" si="3"/>
        <v>120.25466893039045</v>
      </c>
      <c r="O36" s="61">
        <f t="shared" si="4"/>
        <v>0</v>
      </c>
      <c r="P36" s="62">
        <f t="shared" si="5"/>
        <v>-6.0611205432937538</v>
      </c>
      <c r="Q36" s="139">
        <f t="shared" si="6"/>
        <v>0.95201612903225774</v>
      </c>
      <c r="R36" s="566"/>
      <c r="S36" s="63">
        <v>0.29861111111111105</v>
      </c>
      <c r="T36" s="63">
        <v>0.34166666666666662</v>
      </c>
      <c r="U36" s="138">
        <f t="shared" si="30"/>
        <v>7.9999999999999716</v>
      </c>
      <c r="V36" s="144">
        <f t="shared" si="29"/>
        <v>62.000000000000021</v>
      </c>
      <c r="W36" s="138"/>
      <c r="X36" s="138"/>
      <c r="Y36" s="559"/>
      <c r="Z36" s="559"/>
      <c r="AA36" s="61">
        <f t="shared" si="8"/>
        <v>-115.16129032258141</v>
      </c>
      <c r="AB36" s="139">
        <f t="shared" si="9"/>
        <v>0.95201612903225774</v>
      </c>
      <c r="AC36" s="566"/>
    </row>
    <row r="37" spans="1:29">
      <c r="A37" s="583" t="s">
        <v>446</v>
      </c>
      <c r="B37" s="57" t="s">
        <v>15</v>
      </c>
      <c r="C37" s="560" t="s">
        <v>28</v>
      </c>
      <c r="D37" s="560"/>
      <c r="E37" s="57">
        <v>26.39</v>
      </c>
      <c r="F37" s="146">
        <v>5194</v>
      </c>
      <c r="G37" s="138">
        <f t="shared" si="27"/>
        <v>137069.66</v>
      </c>
      <c r="H37" s="72" t="s">
        <v>5</v>
      </c>
      <c r="I37" s="143">
        <v>19</v>
      </c>
      <c r="J37" s="58">
        <v>2400</v>
      </c>
      <c r="K37" s="59">
        <f t="shared" si="1"/>
        <v>126.31578947368421</v>
      </c>
      <c r="L37" s="143">
        <v>19</v>
      </c>
      <c r="M37" s="60">
        <f t="shared" si="28"/>
        <v>2291.4705882352937</v>
      </c>
      <c r="N37" s="59">
        <f t="shared" si="3"/>
        <v>120.60371517027862</v>
      </c>
      <c r="O37" s="61">
        <f t="shared" si="4"/>
        <v>0</v>
      </c>
      <c r="P37" s="62">
        <f t="shared" si="5"/>
        <v>-5.7120743034055863</v>
      </c>
      <c r="Q37" s="139">
        <f t="shared" si="6"/>
        <v>0.95477941176470582</v>
      </c>
      <c r="R37" s="566"/>
      <c r="S37" s="63">
        <v>0.34652777777777771</v>
      </c>
      <c r="T37" s="63">
        <v>0.44097222222222215</v>
      </c>
      <c r="U37" s="138">
        <f t="shared" si="30"/>
        <v>6.9999999999999751</v>
      </c>
      <c r="V37" s="144">
        <f t="shared" si="29"/>
        <v>136</v>
      </c>
      <c r="W37" s="64"/>
      <c r="X37" s="64"/>
      <c r="Y37" s="559"/>
      <c r="Z37" s="559"/>
      <c r="AA37" s="61">
        <f t="shared" si="8"/>
        <v>-108.52941176470631</v>
      </c>
      <c r="AB37" s="139">
        <f t="shared" si="9"/>
        <v>0.95477941176470571</v>
      </c>
      <c r="AC37" s="566"/>
    </row>
    <row r="38" spans="1:29">
      <c r="A38" s="583" t="s">
        <v>446</v>
      </c>
      <c r="B38" s="57" t="s">
        <v>15</v>
      </c>
      <c r="C38" s="560" t="s">
        <v>100</v>
      </c>
      <c r="D38" s="560"/>
      <c r="E38" s="57">
        <v>28.51</v>
      </c>
      <c r="F38" s="146">
        <v>2403</v>
      </c>
      <c r="G38" s="138">
        <f t="shared" si="27"/>
        <v>68509.53</v>
      </c>
      <c r="H38" s="72" t="s">
        <v>5</v>
      </c>
      <c r="I38" s="143">
        <v>16</v>
      </c>
      <c r="J38" s="58">
        <v>2400</v>
      </c>
      <c r="K38" s="59">
        <f t="shared" si="1"/>
        <v>150</v>
      </c>
      <c r="L38" s="143">
        <v>16</v>
      </c>
      <c r="M38" s="60">
        <f t="shared" si="28"/>
        <v>2288.571428571428</v>
      </c>
      <c r="N38" s="59">
        <f t="shared" si="3"/>
        <v>143.03571428571425</v>
      </c>
      <c r="O38" s="61">
        <f t="shared" si="4"/>
        <v>0</v>
      </c>
      <c r="P38" s="62">
        <f t="shared" si="5"/>
        <v>-6.9642857142857508</v>
      </c>
      <c r="Q38" s="139">
        <f t="shared" si="6"/>
        <v>0.95357142857142829</v>
      </c>
      <c r="R38" s="566"/>
      <c r="S38" s="63">
        <v>0.44652777777777769</v>
      </c>
      <c r="T38" s="63">
        <v>0.4902777777777777</v>
      </c>
      <c r="U38" s="138">
        <f t="shared" si="30"/>
        <v>7.9999999999999716</v>
      </c>
      <c r="V38" s="144">
        <f t="shared" si="29"/>
        <v>63.000000000000014</v>
      </c>
      <c r="W38" s="68">
        <f>T38</f>
        <v>0.4902777777777777</v>
      </c>
      <c r="X38" s="68">
        <f>S39</f>
        <v>0.52916666666666656</v>
      </c>
      <c r="Y38" s="559"/>
      <c r="Z38" s="559"/>
      <c r="AA38" s="61">
        <f t="shared" si="8"/>
        <v>-111.42857142857201</v>
      </c>
      <c r="AB38" s="139">
        <f t="shared" si="9"/>
        <v>0.95357142857142829</v>
      </c>
      <c r="AC38" s="566"/>
    </row>
    <row r="39" spans="1:29">
      <c r="A39" s="583" t="s">
        <v>446</v>
      </c>
      <c r="B39" s="57" t="s">
        <v>15</v>
      </c>
      <c r="C39" s="560" t="s">
        <v>44</v>
      </c>
      <c r="D39" s="560"/>
      <c r="E39" s="57">
        <v>19.02</v>
      </c>
      <c r="F39" s="146">
        <v>2897</v>
      </c>
      <c r="G39" s="138">
        <f t="shared" si="27"/>
        <v>55100.94</v>
      </c>
      <c r="H39" s="72" t="s">
        <v>5</v>
      </c>
      <c r="I39" s="143">
        <v>15</v>
      </c>
      <c r="J39" s="58">
        <v>2400</v>
      </c>
      <c r="K39" s="59">
        <f t="shared" si="1"/>
        <v>160</v>
      </c>
      <c r="L39" s="143">
        <v>15</v>
      </c>
      <c r="M39" s="60">
        <f t="shared" si="28"/>
        <v>2287.1052631578932</v>
      </c>
      <c r="N39" s="59">
        <f t="shared" si="3"/>
        <v>152.47368421052622</v>
      </c>
      <c r="O39" s="61">
        <f t="shared" si="4"/>
        <v>0</v>
      </c>
      <c r="P39" s="62">
        <f t="shared" si="5"/>
        <v>-7.5263157894737844</v>
      </c>
      <c r="Q39" s="139">
        <f t="shared" si="6"/>
        <v>0.95296052631578887</v>
      </c>
      <c r="R39" s="566"/>
      <c r="S39" s="63">
        <v>0.52916666666666656</v>
      </c>
      <c r="T39" s="63">
        <v>0.58194444444444438</v>
      </c>
      <c r="U39" s="138">
        <f t="shared" si="30"/>
        <v>55.999999999999957</v>
      </c>
      <c r="V39" s="144">
        <f t="shared" si="29"/>
        <v>76.000000000000057</v>
      </c>
      <c r="W39" s="64"/>
      <c r="X39" s="64"/>
      <c r="Y39" s="559"/>
      <c r="Z39" s="559"/>
      <c r="AA39" s="61">
        <f t="shared" si="8"/>
        <v>-112.89473684210679</v>
      </c>
      <c r="AB39" s="139">
        <f t="shared" si="9"/>
        <v>0.95296052631578887</v>
      </c>
      <c r="AC39" s="566"/>
    </row>
    <row r="40" spans="1:29">
      <c r="A40" s="583" t="s">
        <v>446</v>
      </c>
      <c r="B40" s="66" t="s">
        <v>441</v>
      </c>
      <c r="C40" s="571"/>
      <c r="D40" s="571"/>
      <c r="E40" s="140"/>
      <c r="F40" s="66"/>
      <c r="G40" s="59"/>
      <c r="H40" s="146"/>
      <c r="I40" s="67">
        <v>17</v>
      </c>
      <c r="J40" s="58">
        <v>2400</v>
      </c>
      <c r="K40" s="59">
        <f t="shared" si="1"/>
        <v>141.1764705882353</v>
      </c>
      <c r="L40" s="67">
        <v>17</v>
      </c>
      <c r="M40" s="60">
        <f>AVERAGE(M34:M39)</f>
        <v>2290.1353875866494</v>
      </c>
      <c r="N40" s="59">
        <f t="shared" si="3"/>
        <v>134.71384632862643</v>
      </c>
      <c r="O40" s="61">
        <f t="shared" si="4"/>
        <v>0</v>
      </c>
      <c r="P40" s="62">
        <f t="shared" si="5"/>
        <v>-6.462624259608873</v>
      </c>
      <c r="Q40" s="139">
        <f t="shared" si="6"/>
        <v>0.95422307816110385</v>
      </c>
      <c r="R40" s="566"/>
      <c r="S40" s="63"/>
      <c r="T40" s="63"/>
      <c r="U40" s="59"/>
      <c r="V40" s="144"/>
      <c r="W40" s="59"/>
      <c r="X40" s="59"/>
      <c r="Y40" s="559"/>
      <c r="Z40" s="559"/>
      <c r="AA40" s="61">
        <f t="shared" si="8"/>
        <v>-109.86461241335064</v>
      </c>
      <c r="AB40" s="139">
        <f t="shared" si="9"/>
        <v>0.95422307816110385</v>
      </c>
      <c r="AC40" s="566"/>
    </row>
    <row r="41" spans="1:29" ht="15.75" customHeight="1">
      <c r="A41" s="576" t="s">
        <v>447</v>
      </c>
      <c r="B41" s="57" t="s">
        <v>31</v>
      </c>
      <c r="C41" s="567" t="s">
        <v>32</v>
      </c>
      <c r="D41" s="568"/>
      <c r="E41" s="57">
        <v>21.13</v>
      </c>
      <c r="F41" s="146">
        <v>4478</v>
      </c>
      <c r="G41" s="138">
        <f t="shared" ref="G41:G47" si="31">E41*F41</f>
        <v>94620.14</v>
      </c>
      <c r="H41" s="72" t="s">
        <v>5</v>
      </c>
      <c r="I41" s="143">
        <v>10</v>
      </c>
      <c r="J41" s="58">
        <v>3000</v>
      </c>
      <c r="K41" s="59">
        <f t="shared" si="1"/>
        <v>300</v>
      </c>
      <c r="L41" s="143">
        <v>10</v>
      </c>
      <c r="M41" s="60">
        <f t="shared" ref="M41:M47" si="32">F41/V41*60</f>
        <v>2858.2978723404249</v>
      </c>
      <c r="N41" s="60">
        <f t="shared" si="3"/>
        <v>285.8297872340425</v>
      </c>
      <c r="O41" s="61">
        <f t="shared" si="4"/>
        <v>0</v>
      </c>
      <c r="P41" s="62">
        <f t="shared" si="5"/>
        <v>-14.170212765957501</v>
      </c>
      <c r="Q41" s="139">
        <f t="shared" si="6"/>
        <v>0.95276595744680836</v>
      </c>
      <c r="R41" s="579">
        <f>Q48</f>
        <v>0.96092167694327635</v>
      </c>
      <c r="S41" s="63">
        <v>8.3333333333333329E-2</v>
      </c>
      <c r="T41" s="63">
        <v>0.14861111111111111</v>
      </c>
      <c r="U41" s="68"/>
      <c r="V41" s="144">
        <f t="shared" ref="V41:V47" si="33">(T41-S41)*24*60</f>
        <v>94.000000000000014</v>
      </c>
      <c r="W41" s="64">
        <f>T41</f>
        <v>0.14861111111111111</v>
      </c>
      <c r="X41" s="64">
        <f>S42</f>
        <v>0.16597222222222219</v>
      </c>
      <c r="Y41" s="569"/>
      <c r="Z41" s="570"/>
      <c r="AA41" s="61">
        <f t="shared" si="8"/>
        <v>-141.70212765957513</v>
      </c>
      <c r="AB41" s="139">
        <f t="shared" si="9"/>
        <v>0.95276595744680825</v>
      </c>
      <c r="AC41" s="579">
        <f>AB48</f>
        <v>0.96092167694327624</v>
      </c>
    </row>
    <row r="42" spans="1:29" ht="15.75" customHeight="1">
      <c r="A42" s="577" t="s">
        <v>447</v>
      </c>
      <c r="B42" s="57" t="s">
        <v>31</v>
      </c>
      <c r="C42" s="567" t="s">
        <v>33</v>
      </c>
      <c r="D42" s="568"/>
      <c r="E42" s="57">
        <v>27.17</v>
      </c>
      <c r="F42" s="146">
        <v>5694</v>
      </c>
      <c r="G42" s="138">
        <f t="shared" si="31"/>
        <v>154705.98000000001</v>
      </c>
      <c r="H42" s="72" t="s">
        <v>5</v>
      </c>
      <c r="I42" s="143">
        <v>10</v>
      </c>
      <c r="J42" s="58">
        <v>3000</v>
      </c>
      <c r="K42" s="59">
        <f t="shared" si="1"/>
        <v>300</v>
      </c>
      <c r="L42" s="143">
        <v>10</v>
      </c>
      <c r="M42" s="60">
        <f t="shared" si="32"/>
        <v>2870.9243697479001</v>
      </c>
      <c r="N42" s="60">
        <f t="shared" si="3"/>
        <v>287.09243697479002</v>
      </c>
      <c r="O42" s="61">
        <f t="shared" si="4"/>
        <v>0</v>
      </c>
      <c r="P42" s="62">
        <f t="shared" si="5"/>
        <v>-12.907563025209981</v>
      </c>
      <c r="Q42" s="139">
        <f t="shared" si="6"/>
        <v>0.95697478991596674</v>
      </c>
      <c r="R42" s="580"/>
      <c r="S42" s="63">
        <v>0.16597222222222219</v>
      </c>
      <c r="T42" s="63">
        <v>0.24861111111111106</v>
      </c>
      <c r="U42" s="138">
        <f t="shared" ref="U42:U47" si="34">(S42-T41)*24*60</f>
        <v>24.99999999999995</v>
      </c>
      <c r="V42" s="144">
        <f t="shared" si="33"/>
        <v>118.99999999999997</v>
      </c>
      <c r="W42" s="64"/>
      <c r="X42" s="64"/>
      <c r="Y42" s="569"/>
      <c r="Z42" s="570"/>
      <c r="AA42" s="61">
        <f t="shared" si="8"/>
        <v>-129.07563025209993</v>
      </c>
      <c r="AB42" s="139">
        <f t="shared" si="9"/>
        <v>0.95697478991596674</v>
      </c>
      <c r="AC42" s="580"/>
    </row>
    <row r="43" spans="1:29" ht="15.75" customHeight="1">
      <c r="A43" s="577" t="s">
        <v>447</v>
      </c>
      <c r="B43" s="57" t="s">
        <v>31</v>
      </c>
      <c r="C43" s="567" t="s">
        <v>34</v>
      </c>
      <c r="D43" s="568"/>
      <c r="E43" s="57">
        <v>35.119999999999997</v>
      </c>
      <c r="F43" s="146">
        <v>3643</v>
      </c>
      <c r="G43" s="138">
        <f t="shared" si="31"/>
        <v>127942.15999999999</v>
      </c>
      <c r="H43" s="72" t="s">
        <v>5</v>
      </c>
      <c r="I43" s="143">
        <v>10</v>
      </c>
      <c r="J43" s="58">
        <v>3000</v>
      </c>
      <c r="K43" s="59">
        <f t="shared" si="1"/>
        <v>300</v>
      </c>
      <c r="L43" s="143">
        <v>10</v>
      </c>
      <c r="M43" s="60">
        <f t="shared" si="32"/>
        <v>2876.0526315789484</v>
      </c>
      <c r="N43" s="60">
        <f t="shared" si="3"/>
        <v>287.60526315789485</v>
      </c>
      <c r="O43" s="61">
        <f t="shared" si="4"/>
        <v>0</v>
      </c>
      <c r="P43" s="62">
        <f t="shared" si="5"/>
        <v>-12.394736842105146</v>
      </c>
      <c r="Q43" s="139">
        <f t="shared" si="6"/>
        <v>0.95868421052631614</v>
      </c>
      <c r="R43" s="580"/>
      <c r="S43" s="63">
        <v>0.25208333333333327</v>
      </c>
      <c r="T43" s="63">
        <v>0.30486111111111103</v>
      </c>
      <c r="U43" s="138">
        <f t="shared" si="34"/>
        <v>4.9999999999999822</v>
      </c>
      <c r="V43" s="144">
        <f t="shared" si="33"/>
        <v>75.999999999999972</v>
      </c>
      <c r="W43" s="64"/>
      <c r="X43" s="64"/>
      <c r="Y43" s="569"/>
      <c r="Z43" s="570"/>
      <c r="AA43" s="61">
        <f t="shared" si="8"/>
        <v>-123.94736842105158</v>
      </c>
      <c r="AB43" s="139">
        <f t="shared" si="9"/>
        <v>0.95868421052631614</v>
      </c>
      <c r="AC43" s="580"/>
    </row>
    <row r="44" spans="1:29" ht="15.75" customHeight="1">
      <c r="A44" s="577" t="s">
        <v>447</v>
      </c>
      <c r="B44" s="57" t="s">
        <v>31</v>
      </c>
      <c r="C44" s="567" t="s">
        <v>35</v>
      </c>
      <c r="D44" s="568"/>
      <c r="E44" s="57">
        <v>35.869999999999997</v>
      </c>
      <c r="F44" s="146">
        <v>2340</v>
      </c>
      <c r="G44" s="138">
        <f t="shared" si="31"/>
        <v>83935.799999999988</v>
      </c>
      <c r="H44" s="72" t="s">
        <v>5</v>
      </c>
      <c r="I44" s="143">
        <v>9</v>
      </c>
      <c r="J44" s="58">
        <v>3000</v>
      </c>
      <c r="K44" s="59">
        <f t="shared" si="1"/>
        <v>333.33333333333331</v>
      </c>
      <c r="L44" s="143">
        <v>9</v>
      </c>
      <c r="M44" s="60">
        <f t="shared" si="32"/>
        <v>2865.3061224489802</v>
      </c>
      <c r="N44" s="60">
        <f t="shared" si="3"/>
        <v>318.3673469387756</v>
      </c>
      <c r="O44" s="61">
        <f t="shared" si="4"/>
        <v>0</v>
      </c>
      <c r="P44" s="62">
        <f t="shared" si="5"/>
        <v>-14.965986394557717</v>
      </c>
      <c r="Q44" s="139">
        <f t="shared" si="6"/>
        <v>0.95510204081632688</v>
      </c>
      <c r="R44" s="580"/>
      <c r="S44" s="63">
        <v>0.30833333333333324</v>
      </c>
      <c r="T44" s="63">
        <v>0.34236111111111101</v>
      </c>
      <c r="U44" s="138">
        <f t="shared" si="34"/>
        <v>4.9999999999999822</v>
      </c>
      <c r="V44" s="144">
        <f t="shared" si="33"/>
        <v>48.999999999999986</v>
      </c>
      <c r="W44" s="64"/>
      <c r="X44" s="64"/>
      <c r="Y44" s="569"/>
      <c r="Z44" s="570"/>
      <c r="AA44" s="61">
        <f t="shared" si="8"/>
        <v>-134.6938775510198</v>
      </c>
      <c r="AB44" s="139">
        <f t="shared" si="9"/>
        <v>0.95510204081632677</v>
      </c>
      <c r="AC44" s="580"/>
    </row>
    <row r="45" spans="1:29" ht="15.75" customHeight="1">
      <c r="A45" s="577" t="s">
        <v>447</v>
      </c>
      <c r="B45" s="57" t="s">
        <v>31</v>
      </c>
      <c r="C45" s="567" t="s">
        <v>36</v>
      </c>
      <c r="D45" s="568"/>
      <c r="E45" s="57">
        <v>36.14</v>
      </c>
      <c r="F45" s="146">
        <v>943</v>
      </c>
      <c r="G45" s="138">
        <f t="shared" si="31"/>
        <v>34080.020000000004</v>
      </c>
      <c r="H45" s="72" t="s">
        <v>5</v>
      </c>
      <c r="I45" s="143">
        <v>9</v>
      </c>
      <c r="J45" s="58">
        <v>3000</v>
      </c>
      <c r="K45" s="59">
        <f t="shared" si="1"/>
        <v>333.33333333333331</v>
      </c>
      <c r="L45" s="143">
        <v>9</v>
      </c>
      <c r="M45" s="60">
        <f t="shared" si="32"/>
        <v>2977.8947368421032</v>
      </c>
      <c r="N45" s="60">
        <f t="shared" si="3"/>
        <v>330.87719298245588</v>
      </c>
      <c r="O45" s="61">
        <f t="shared" si="4"/>
        <v>0</v>
      </c>
      <c r="P45" s="62">
        <f t="shared" si="5"/>
        <v>-2.4561403508774333</v>
      </c>
      <c r="Q45" s="139">
        <f t="shared" si="6"/>
        <v>0.99263157894736775</v>
      </c>
      <c r="R45" s="580"/>
      <c r="S45" s="63">
        <v>0.3472222222222221</v>
      </c>
      <c r="T45" s="63">
        <v>0.36041666666666655</v>
      </c>
      <c r="U45" s="138">
        <f t="shared" si="34"/>
        <v>6.9999999999999751</v>
      </c>
      <c r="V45" s="144">
        <f t="shared" si="33"/>
        <v>19.000000000000014</v>
      </c>
      <c r="W45" s="64"/>
      <c r="X45" s="64"/>
      <c r="Y45" s="569"/>
      <c r="Z45" s="570"/>
      <c r="AA45" s="61">
        <f t="shared" si="8"/>
        <v>-22.105263157896843</v>
      </c>
      <c r="AB45" s="139">
        <f t="shared" si="9"/>
        <v>0.99263157894736775</v>
      </c>
      <c r="AC45" s="580"/>
    </row>
    <row r="46" spans="1:29" ht="15.75" customHeight="1">
      <c r="A46" s="577" t="s">
        <v>447</v>
      </c>
      <c r="B46" s="57" t="s">
        <v>31</v>
      </c>
      <c r="C46" s="567" t="s">
        <v>63</v>
      </c>
      <c r="D46" s="568"/>
      <c r="E46" s="57">
        <v>34.36</v>
      </c>
      <c r="F46" s="146">
        <v>1720</v>
      </c>
      <c r="G46" s="138">
        <f t="shared" si="31"/>
        <v>59099.199999999997</v>
      </c>
      <c r="H46" s="72" t="s">
        <v>5</v>
      </c>
      <c r="I46" s="143">
        <v>10</v>
      </c>
      <c r="J46" s="58">
        <v>3000</v>
      </c>
      <c r="K46" s="59">
        <f t="shared" si="1"/>
        <v>300</v>
      </c>
      <c r="L46" s="143">
        <v>10</v>
      </c>
      <c r="M46" s="60">
        <f t="shared" si="32"/>
        <v>2866.6666666666647</v>
      </c>
      <c r="N46" s="60">
        <f t="shared" si="3"/>
        <v>286.66666666666646</v>
      </c>
      <c r="O46" s="61">
        <f t="shared" si="4"/>
        <v>0</v>
      </c>
      <c r="P46" s="62">
        <f t="shared" si="5"/>
        <v>-13.333333333333542</v>
      </c>
      <c r="Q46" s="139">
        <f t="shared" si="6"/>
        <v>0.95555555555555483</v>
      </c>
      <c r="R46" s="580"/>
      <c r="S46" s="63">
        <v>0.36527777777777765</v>
      </c>
      <c r="T46" s="63">
        <v>0.39027777777777767</v>
      </c>
      <c r="U46" s="138">
        <f t="shared" si="34"/>
        <v>6.9999999999999751</v>
      </c>
      <c r="V46" s="144">
        <f t="shared" si="33"/>
        <v>36.000000000000028</v>
      </c>
      <c r="W46" s="64"/>
      <c r="X46" s="64"/>
      <c r="Y46" s="569"/>
      <c r="Z46" s="570"/>
      <c r="AA46" s="61">
        <f t="shared" si="8"/>
        <v>-133.3333333333353</v>
      </c>
      <c r="AB46" s="139">
        <f t="shared" si="9"/>
        <v>0.95555555555555494</v>
      </c>
      <c r="AC46" s="580"/>
    </row>
    <row r="47" spans="1:29" ht="15.75" customHeight="1">
      <c r="A47" s="577" t="s">
        <v>447</v>
      </c>
      <c r="B47" s="57" t="s">
        <v>31</v>
      </c>
      <c r="C47" s="567" t="s">
        <v>71</v>
      </c>
      <c r="D47" s="568"/>
      <c r="E47" s="57">
        <v>31</v>
      </c>
      <c r="F47" s="146">
        <v>2506</v>
      </c>
      <c r="G47" s="138">
        <f t="shared" si="31"/>
        <v>77686</v>
      </c>
      <c r="H47" s="72" t="s">
        <v>5</v>
      </c>
      <c r="I47" s="143">
        <v>13</v>
      </c>
      <c r="J47" s="58">
        <v>2000</v>
      </c>
      <c r="K47" s="59">
        <f t="shared" si="1"/>
        <v>153.84615384615384</v>
      </c>
      <c r="L47" s="143">
        <v>13</v>
      </c>
      <c r="M47" s="60">
        <f t="shared" si="32"/>
        <v>1903.2911392405074</v>
      </c>
      <c r="N47" s="60">
        <f t="shared" si="3"/>
        <v>146.40701071080827</v>
      </c>
      <c r="O47" s="61">
        <f t="shared" si="4"/>
        <v>0</v>
      </c>
      <c r="P47" s="62">
        <f t="shared" si="5"/>
        <v>-7.4391431353455744</v>
      </c>
      <c r="Q47" s="139">
        <f t="shared" si="6"/>
        <v>0.95164556962025382</v>
      </c>
      <c r="R47" s="580"/>
      <c r="S47" s="63">
        <v>0.3958333333333332</v>
      </c>
      <c r="T47" s="63">
        <v>0.45069444444444429</v>
      </c>
      <c r="U47" s="138">
        <f t="shared" si="34"/>
        <v>7.9999999999999716</v>
      </c>
      <c r="V47" s="144">
        <f t="shared" si="33"/>
        <v>78.999999999999957</v>
      </c>
      <c r="W47" s="64"/>
      <c r="X47" s="64"/>
      <c r="Y47" s="569"/>
      <c r="Z47" s="570"/>
      <c r="AA47" s="61">
        <f t="shared" si="8"/>
        <v>-96.708860759492609</v>
      </c>
      <c r="AB47" s="139">
        <f t="shared" si="9"/>
        <v>0.95164556962025371</v>
      </c>
      <c r="AC47" s="580"/>
    </row>
    <row r="48" spans="1:29" ht="15.75" customHeight="1">
      <c r="A48" s="578" t="s">
        <v>447</v>
      </c>
      <c r="B48" s="57" t="s">
        <v>441</v>
      </c>
      <c r="C48" s="561"/>
      <c r="D48" s="562"/>
      <c r="E48" s="137"/>
      <c r="F48" s="146"/>
      <c r="G48" s="138"/>
      <c r="H48" s="146"/>
      <c r="I48" s="67">
        <v>10.142857142857142</v>
      </c>
      <c r="J48" s="58">
        <v>2857.1428571428573</v>
      </c>
      <c r="K48" s="59">
        <f t="shared" si="1"/>
        <v>281.69014084507046</v>
      </c>
      <c r="L48" s="67">
        <v>10.142857142857142</v>
      </c>
      <c r="M48" s="60">
        <f>AVERAGE(M41:M47)</f>
        <v>2745.4905055522181</v>
      </c>
      <c r="N48" s="59">
        <f t="shared" si="3"/>
        <v>270.6821625192328</v>
      </c>
      <c r="O48" s="61">
        <f t="shared" si="4"/>
        <v>0</v>
      </c>
      <c r="P48" s="62">
        <f t="shared" si="5"/>
        <v>-11.007978325837655</v>
      </c>
      <c r="Q48" s="139">
        <f t="shared" si="6"/>
        <v>0.96092167694327635</v>
      </c>
      <c r="R48" s="581"/>
      <c r="S48" s="63"/>
      <c r="T48" s="63"/>
      <c r="U48" s="138"/>
      <c r="V48" s="144"/>
      <c r="W48" s="64"/>
      <c r="X48" s="64"/>
      <c r="Y48" s="569"/>
      <c r="Z48" s="570"/>
      <c r="AA48" s="61">
        <f t="shared" si="8"/>
        <v>-111.65235159063923</v>
      </c>
      <c r="AB48" s="139">
        <f t="shared" si="9"/>
        <v>0.96092167694327624</v>
      </c>
      <c r="AC48" s="581"/>
    </row>
    <row r="49" spans="1:29" ht="15.75" customHeight="1">
      <c r="A49" s="574" t="s">
        <v>448</v>
      </c>
      <c r="B49" s="57" t="s">
        <v>10</v>
      </c>
      <c r="C49" s="560" t="s">
        <v>37</v>
      </c>
      <c r="D49" s="560"/>
      <c r="E49" s="57">
        <v>46</v>
      </c>
      <c r="F49" s="69">
        <v>1655</v>
      </c>
      <c r="G49" s="138">
        <f t="shared" ref="G49:G53" si="35">E49*F49</f>
        <v>76130</v>
      </c>
      <c r="H49" s="72" t="s">
        <v>5</v>
      </c>
      <c r="I49" s="143">
        <v>17</v>
      </c>
      <c r="J49" s="58">
        <v>2000</v>
      </c>
      <c r="K49" s="59">
        <f t="shared" si="1"/>
        <v>117.64705882352941</v>
      </c>
      <c r="L49" s="143">
        <v>17</v>
      </c>
      <c r="M49" s="60">
        <f t="shared" ref="M49:M53" si="36">F49/V49*60</f>
        <v>1909.6153846153841</v>
      </c>
      <c r="N49" s="60">
        <f t="shared" si="3"/>
        <v>112.33031674208142</v>
      </c>
      <c r="O49" s="61">
        <f t="shared" si="4"/>
        <v>0</v>
      </c>
      <c r="P49" s="62">
        <f t="shared" si="5"/>
        <v>-5.316742081447984</v>
      </c>
      <c r="Q49" s="139">
        <f t="shared" si="6"/>
        <v>0.95480769230769214</v>
      </c>
      <c r="R49" s="566">
        <f>Q54</f>
        <v>0.95704523785914886</v>
      </c>
      <c r="S49" s="63">
        <v>0.20833333333333334</v>
      </c>
      <c r="T49" s="63">
        <v>0.24444444444444446</v>
      </c>
      <c r="U49" s="68"/>
      <c r="V49" s="144">
        <f t="shared" ref="V49:V53" si="37">(T49-S49)*24*60</f>
        <v>52.000000000000014</v>
      </c>
      <c r="W49" s="68"/>
      <c r="X49" s="68"/>
      <c r="Y49" s="559"/>
      <c r="Z49" s="559"/>
      <c r="AA49" s="61">
        <f t="shared" si="8"/>
        <v>-90.384615384615927</v>
      </c>
      <c r="AB49" s="139">
        <f t="shared" si="9"/>
        <v>0.95480769230769202</v>
      </c>
      <c r="AC49" s="566">
        <f>AB54</f>
        <v>0.95704523785914886</v>
      </c>
    </row>
    <row r="50" spans="1:29" ht="15.75" customHeight="1">
      <c r="A50" s="574" t="s">
        <v>448</v>
      </c>
      <c r="B50" s="57" t="s">
        <v>10</v>
      </c>
      <c r="C50" s="560" t="s">
        <v>38</v>
      </c>
      <c r="D50" s="560"/>
      <c r="E50" s="57">
        <v>46</v>
      </c>
      <c r="F50" s="69">
        <v>1811</v>
      </c>
      <c r="G50" s="138">
        <f t="shared" si="35"/>
        <v>83306</v>
      </c>
      <c r="H50" s="72" t="s">
        <v>5</v>
      </c>
      <c r="I50" s="143">
        <v>17</v>
      </c>
      <c r="J50" s="58">
        <v>2000</v>
      </c>
      <c r="K50" s="59">
        <f t="shared" si="1"/>
        <v>117.64705882352941</v>
      </c>
      <c r="L50" s="143">
        <v>17</v>
      </c>
      <c r="M50" s="60">
        <f t="shared" si="36"/>
        <v>1906.3157894736858</v>
      </c>
      <c r="N50" s="60">
        <f t="shared" si="3"/>
        <v>112.13622291021682</v>
      </c>
      <c r="O50" s="61">
        <f t="shared" si="4"/>
        <v>0</v>
      </c>
      <c r="P50" s="62">
        <f t="shared" si="5"/>
        <v>-5.5108359133125902</v>
      </c>
      <c r="Q50" s="139">
        <f t="shared" si="6"/>
        <v>0.95315789473684298</v>
      </c>
      <c r="R50" s="566"/>
      <c r="S50" s="63">
        <v>0.25</v>
      </c>
      <c r="T50" s="63">
        <v>0.2895833333333333</v>
      </c>
      <c r="U50" s="138">
        <f t="shared" ref="U50:U53" si="38">IF(S50=TIME(17,0,0),"",(S50-T49)*24*60)</f>
        <v>7.9999999999999716</v>
      </c>
      <c r="V50" s="144">
        <f t="shared" si="37"/>
        <v>56.999999999999957</v>
      </c>
      <c r="W50" s="64"/>
      <c r="X50" s="64"/>
      <c r="Y50" s="559"/>
      <c r="Z50" s="559"/>
      <c r="AA50" s="61">
        <f t="shared" si="8"/>
        <v>-93.684210526314246</v>
      </c>
      <c r="AB50" s="139">
        <f t="shared" si="9"/>
        <v>0.95315789473684287</v>
      </c>
      <c r="AC50" s="566"/>
    </row>
    <row r="51" spans="1:29" ht="15.75" customHeight="1">
      <c r="A51" s="574" t="s">
        <v>448</v>
      </c>
      <c r="B51" s="57" t="s">
        <v>6</v>
      </c>
      <c r="C51" s="567" t="s">
        <v>39</v>
      </c>
      <c r="D51" s="568"/>
      <c r="E51" s="57">
        <v>55.56</v>
      </c>
      <c r="F51" s="69">
        <v>1913</v>
      </c>
      <c r="G51" s="138">
        <f t="shared" si="35"/>
        <v>106286.28</v>
      </c>
      <c r="H51" s="72" t="s">
        <v>5</v>
      </c>
      <c r="I51" s="143">
        <v>17</v>
      </c>
      <c r="J51" s="58">
        <v>2000</v>
      </c>
      <c r="K51" s="59">
        <f t="shared" si="1"/>
        <v>117.64705882352941</v>
      </c>
      <c r="L51" s="143">
        <v>17</v>
      </c>
      <c r="M51" s="60">
        <f t="shared" si="36"/>
        <v>1913.0000000000018</v>
      </c>
      <c r="N51" s="60">
        <f t="shared" si="3"/>
        <v>112.52941176470598</v>
      </c>
      <c r="O51" s="61">
        <f t="shared" si="4"/>
        <v>0</v>
      </c>
      <c r="P51" s="62">
        <f t="shared" si="5"/>
        <v>-5.1176470588234224</v>
      </c>
      <c r="Q51" s="139">
        <f t="shared" si="6"/>
        <v>0.95650000000000091</v>
      </c>
      <c r="R51" s="566"/>
      <c r="S51" s="63">
        <v>0.70833333333333337</v>
      </c>
      <c r="T51" s="63">
        <v>0.75</v>
      </c>
      <c r="U51" s="138" t="str">
        <f t="shared" si="38"/>
        <v/>
      </c>
      <c r="V51" s="144">
        <f t="shared" si="37"/>
        <v>59.999999999999943</v>
      </c>
      <c r="W51" s="64"/>
      <c r="X51" s="64"/>
      <c r="Y51" s="135"/>
      <c r="Z51" s="136"/>
      <c r="AA51" s="61">
        <f t="shared" si="8"/>
        <v>-86.999999999998181</v>
      </c>
      <c r="AB51" s="139">
        <f t="shared" si="9"/>
        <v>0.95650000000000091</v>
      </c>
      <c r="AC51" s="566"/>
    </row>
    <row r="52" spans="1:29" ht="15.75" customHeight="1">
      <c r="A52" s="574" t="s">
        <v>448</v>
      </c>
      <c r="B52" s="57" t="s">
        <v>6</v>
      </c>
      <c r="C52" s="141" t="s">
        <v>40</v>
      </c>
      <c r="D52" s="142"/>
      <c r="E52" s="57">
        <v>55.32</v>
      </c>
      <c r="F52" s="69">
        <v>1354</v>
      </c>
      <c r="G52" s="138">
        <f t="shared" si="35"/>
        <v>74903.28</v>
      </c>
      <c r="H52" s="72" t="s">
        <v>5</v>
      </c>
      <c r="I52" s="143">
        <v>15</v>
      </c>
      <c r="J52" s="58">
        <v>2000</v>
      </c>
      <c r="K52" s="59">
        <f t="shared" si="1"/>
        <v>133.33333333333334</v>
      </c>
      <c r="L52" s="143">
        <v>15</v>
      </c>
      <c r="M52" s="60">
        <f t="shared" si="36"/>
        <v>1934.2857142857135</v>
      </c>
      <c r="N52" s="60">
        <f t="shared" si="3"/>
        <v>128.95238095238091</v>
      </c>
      <c r="O52" s="61">
        <f t="shared" si="4"/>
        <v>0</v>
      </c>
      <c r="P52" s="62">
        <f t="shared" si="5"/>
        <v>-4.3809523809524364</v>
      </c>
      <c r="Q52" s="139">
        <f t="shared" si="6"/>
        <v>0.96714285714285675</v>
      </c>
      <c r="R52" s="566"/>
      <c r="S52" s="63">
        <v>0.75347222222222221</v>
      </c>
      <c r="T52" s="63">
        <v>0.78263888888888888</v>
      </c>
      <c r="U52" s="138">
        <f t="shared" si="38"/>
        <v>4.9999999999999822</v>
      </c>
      <c r="V52" s="144">
        <f t="shared" si="37"/>
        <v>42.000000000000014</v>
      </c>
      <c r="W52" s="64"/>
      <c r="X52" s="64"/>
      <c r="Y52" s="135"/>
      <c r="Z52" s="136"/>
      <c r="AA52" s="61">
        <f t="shared" si="8"/>
        <v>-65.714285714286461</v>
      </c>
      <c r="AB52" s="139">
        <f t="shared" si="9"/>
        <v>0.96714285714285675</v>
      </c>
      <c r="AC52" s="566"/>
    </row>
    <row r="53" spans="1:29" ht="15.75" customHeight="1">
      <c r="A53" s="574" t="s">
        <v>448</v>
      </c>
      <c r="B53" s="57" t="s">
        <v>6</v>
      </c>
      <c r="C53" s="141" t="s">
        <v>99</v>
      </c>
      <c r="D53" s="142"/>
      <c r="E53" s="57">
        <v>53.68</v>
      </c>
      <c r="F53" s="69">
        <v>2405</v>
      </c>
      <c r="G53" s="138">
        <f t="shared" si="35"/>
        <v>129100.4</v>
      </c>
      <c r="H53" s="72" t="s">
        <v>5</v>
      </c>
      <c r="I53" s="143">
        <v>16</v>
      </c>
      <c r="J53" s="58">
        <v>1500</v>
      </c>
      <c r="K53" s="59">
        <f t="shared" si="1"/>
        <v>93.75</v>
      </c>
      <c r="L53" s="143">
        <v>16</v>
      </c>
      <c r="M53" s="60">
        <f t="shared" si="36"/>
        <v>1428.7128712871292</v>
      </c>
      <c r="N53" s="60">
        <f t="shared" si="3"/>
        <v>89.294554455445578</v>
      </c>
      <c r="O53" s="61">
        <f t="shared" si="4"/>
        <v>0</v>
      </c>
      <c r="P53" s="62">
        <f t="shared" si="5"/>
        <v>-4.4554455445544221</v>
      </c>
      <c r="Q53" s="139">
        <f t="shared" si="6"/>
        <v>0.95247524752475288</v>
      </c>
      <c r="R53" s="566"/>
      <c r="S53" s="63">
        <v>0.78819444444444442</v>
      </c>
      <c r="T53" s="63">
        <v>0.85833333333333328</v>
      </c>
      <c r="U53" s="138">
        <f t="shared" si="38"/>
        <v>7.9999999999999716</v>
      </c>
      <c r="V53" s="144">
        <f t="shared" si="37"/>
        <v>100.99999999999996</v>
      </c>
      <c r="W53" s="64"/>
      <c r="X53" s="64"/>
      <c r="Y53" s="135"/>
      <c r="Z53" s="136"/>
      <c r="AA53" s="61">
        <f t="shared" si="8"/>
        <v>-71.287128712870754</v>
      </c>
      <c r="AB53" s="139">
        <f t="shared" si="9"/>
        <v>0.95247524752475288</v>
      </c>
      <c r="AC53" s="566"/>
    </row>
    <row r="54" spans="1:29">
      <c r="A54" s="575" t="s">
        <v>448</v>
      </c>
      <c r="B54" s="57" t="s">
        <v>441</v>
      </c>
      <c r="C54" s="571"/>
      <c r="D54" s="571"/>
      <c r="E54" s="140"/>
      <c r="F54" s="66"/>
      <c r="G54" s="59"/>
      <c r="H54" s="146"/>
      <c r="I54" s="67">
        <v>16.399999999999999</v>
      </c>
      <c r="J54" s="58">
        <v>1900</v>
      </c>
      <c r="K54" s="59">
        <f t="shared" si="1"/>
        <v>115.85365853658537</v>
      </c>
      <c r="L54" s="67">
        <v>16.399999999999999</v>
      </c>
      <c r="M54" s="60">
        <f>AVERAGE(M49:M53)</f>
        <v>1818.3859519323828</v>
      </c>
      <c r="N54" s="59">
        <f t="shared" si="3"/>
        <v>110.87719219099895</v>
      </c>
      <c r="O54" s="61">
        <f t="shared" si="4"/>
        <v>0</v>
      </c>
      <c r="P54" s="62">
        <f t="shared" si="5"/>
        <v>-4.9764663455864167</v>
      </c>
      <c r="Q54" s="139">
        <f t="shared" si="6"/>
        <v>0.95704523785914886</v>
      </c>
      <c r="R54" s="566"/>
      <c r="S54" s="70"/>
      <c r="T54" s="63"/>
      <c r="U54" s="59"/>
      <c r="V54" s="144"/>
      <c r="W54" s="59"/>
      <c r="X54" s="59"/>
      <c r="Y54" s="559"/>
      <c r="Z54" s="559"/>
      <c r="AA54" s="61">
        <f t="shared" si="8"/>
        <v>-81.614048067617205</v>
      </c>
      <c r="AB54" s="139">
        <f t="shared" si="9"/>
        <v>0.95704523785914886</v>
      </c>
      <c r="AC54" s="566"/>
    </row>
    <row r="55" spans="1:29" ht="15.75" customHeight="1">
      <c r="A55" s="572" t="s">
        <v>449</v>
      </c>
      <c r="B55" s="146" t="s">
        <v>10</v>
      </c>
      <c r="C55" s="560" t="s">
        <v>42</v>
      </c>
      <c r="D55" s="560"/>
      <c r="E55" s="57">
        <v>26.97</v>
      </c>
      <c r="F55" s="69">
        <v>2456</v>
      </c>
      <c r="G55" s="138">
        <f t="shared" ref="G55:G58" si="39">E55*F55</f>
        <v>66238.319999999992</v>
      </c>
      <c r="H55" s="72" t="s">
        <v>5</v>
      </c>
      <c r="I55" s="143">
        <v>8</v>
      </c>
      <c r="J55" s="58">
        <v>1500</v>
      </c>
      <c r="K55" s="59">
        <f t="shared" si="1"/>
        <v>187.5</v>
      </c>
      <c r="L55" s="143">
        <v>8</v>
      </c>
      <c r="M55" s="60">
        <f t="shared" ref="M55:M58" si="40">F55/V55*60</f>
        <v>1430.6796116504854</v>
      </c>
      <c r="N55" s="59">
        <f t="shared" si="3"/>
        <v>178.83495145631068</v>
      </c>
      <c r="O55" s="61">
        <f t="shared" si="4"/>
        <v>0</v>
      </c>
      <c r="P55" s="62">
        <f t="shared" si="5"/>
        <v>-8.6650485436893234</v>
      </c>
      <c r="Q55" s="139">
        <f t="shared" si="6"/>
        <v>0.95378640776699031</v>
      </c>
      <c r="R55" s="566">
        <f>Q59</f>
        <v>0.96092662518030125</v>
      </c>
      <c r="S55" s="63">
        <v>0.20833333333333334</v>
      </c>
      <c r="T55" s="63">
        <v>0.27986111111111112</v>
      </c>
      <c r="U55" s="138"/>
      <c r="V55" s="144">
        <f t="shared" ref="V55:V58" si="41">(T55-S55)*24*60</f>
        <v>103</v>
      </c>
      <c r="W55" s="68"/>
      <c r="X55" s="68"/>
      <c r="Y55" s="559"/>
      <c r="Z55" s="559"/>
      <c r="AA55" s="61">
        <f t="shared" si="8"/>
        <v>-69.320388349514587</v>
      </c>
      <c r="AB55" s="139">
        <f t="shared" si="9"/>
        <v>0.95378640776699031</v>
      </c>
      <c r="AC55" s="566">
        <f>AB59</f>
        <v>0.96092662518030125</v>
      </c>
    </row>
    <row r="56" spans="1:29" ht="15.75" customHeight="1">
      <c r="A56" s="572" t="s">
        <v>449</v>
      </c>
      <c r="B56" s="146" t="s">
        <v>31</v>
      </c>
      <c r="C56" s="560" t="s">
        <v>41</v>
      </c>
      <c r="D56" s="560"/>
      <c r="E56" s="57">
        <v>26.78</v>
      </c>
      <c r="F56" s="69">
        <v>2136</v>
      </c>
      <c r="G56" s="138">
        <f t="shared" si="39"/>
        <v>57202.080000000002</v>
      </c>
      <c r="H56" s="72" t="s">
        <v>5</v>
      </c>
      <c r="I56" s="143">
        <v>10</v>
      </c>
      <c r="J56" s="58">
        <v>3000</v>
      </c>
      <c r="K56" s="59">
        <f t="shared" si="1"/>
        <v>300</v>
      </c>
      <c r="L56" s="143">
        <v>10</v>
      </c>
      <c r="M56" s="60">
        <f t="shared" si="40"/>
        <v>2912.727272727273</v>
      </c>
      <c r="N56" s="59">
        <f t="shared" si="3"/>
        <v>291.27272727272731</v>
      </c>
      <c r="O56" s="61">
        <f t="shared" si="4"/>
        <v>0</v>
      </c>
      <c r="P56" s="62">
        <f t="shared" si="5"/>
        <v>-8.7272727272726911</v>
      </c>
      <c r="Q56" s="139">
        <f t="shared" si="6"/>
        <v>0.97090909090909105</v>
      </c>
      <c r="R56" s="566"/>
      <c r="S56" s="63">
        <v>0.28541666666666665</v>
      </c>
      <c r="T56" s="63">
        <v>0.31597222222222221</v>
      </c>
      <c r="U56" s="138">
        <f t="shared" ref="U56:U58" si="42">(S56-T55)*24*60</f>
        <v>7.9999999999999716</v>
      </c>
      <c r="V56" s="144">
        <f t="shared" si="41"/>
        <v>44</v>
      </c>
      <c r="W56" s="138"/>
      <c r="X56" s="138"/>
      <c r="Y56" s="559"/>
      <c r="Z56" s="559"/>
      <c r="AA56" s="61">
        <f t="shared" si="8"/>
        <v>-87.272727272727025</v>
      </c>
      <c r="AB56" s="139">
        <f t="shared" si="9"/>
        <v>0.97090909090909094</v>
      </c>
      <c r="AC56" s="566"/>
    </row>
    <row r="57" spans="1:29" ht="15.75" customHeight="1">
      <c r="A57" s="572" t="s">
        <v>449</v>
      </c>
      <c r="B57" s="146" t="s">
        <v>31</v>
      </c>
      <c r="C57" s="560" t="s">
        <v>64</v>
      </c>
      <c r="D57" s="560"/>
      <c r="E57" s="57">
        <v>37.880000000000003</v>
      </c>
      <c r="F57" s="69">
        <v>2533</v>
      </c>
      <c r="G57" s="138">
        <f t="shared" si="39"/>
        <v>95950.040000000008</v>
      </c>
      <c r="H57" s="72" t="s">
        <v>5</v>
      </c>
      <c r="I57" s="143">
        <v>10</v>
      </c>
      <c r="J57" s="58">
        <v>3000</v>
      </c>
      <c r="K57" s="59">
        <f t="shared" si="1"/>
        <v>300</v>
      </c>
      <c r="L57" s="143">
        <v>10</v>
      </c>
      <c r="M57" s="60">
        <f t="shared" si="40"/>
        <v>2867.5471698113224</v>
      </c>
      <c r="N57" s="59">
        <f t="shared" si="3"/>
        <v>286.75471698113222</v>
      </c>
      <c r="O57" s="61">
        <f t="shared" si="4"/>
        <v>0</v>
      </c>
      <c r="P57" s="62">
        <f t="shared" si="5"/>
        <v>-13.245283018867781</v>
      </c>
      <c r="Q57" s="139">
        <f t="shared" si="6"/>
        <v>0.95584905660377406</v>
      </c>
      <c r="R57" s="566"/>
      <c r="S57" s="63">
        <v>0.31944444444444442</v>
      </c>
      <c r="T57" s="63">
        <v>0.35624999999999996</v>
      </c>
      <c r="U57" s="138">
        <f t="shared" si="42"/>
        <v>4.9999999999999822</v>
      </c>
      <c r="V57" s="144">
        <f t="shared" si="41"/>
        <v>52.999999999999972</v>
      </c>
      <c r="W57" s="138"/>
      <c r="X57" s="138"/>
      <c r="Y57" s="559"/>
      <c r="Z57" s="559"/>
      <c r="AA57" s="61">
        <f t="shared" si="8"/>
        <v>-132.45283018867758</v>
      </c>
      <c r="AB57" s="139">
        <f t="shared" si="9"/>
        <v>0.95584905660377417</v>
      </c>
      <c r="AC57" s="566"/>
    </row>
    <row r="58" spans="1:29" ht="15.75" customHeight="1">
      <c r="A58" s="572" t="s">
        <v>449</v>
      </c>
      <c r="B58" s="146" t="s">
        <v>31</v>
      </c>
      <c r="C58" s="560" t="s">
        <v>72</v>
      </c>
      <c r="D58" s="560"/>
      <c r="E58" s="57">
        <v>40.51</v>
      </c>
      <c r="F58" s="69">
        <v>2351</v>
      </c>
      <c r="G58" s="138">
        <f t="shared" si="39"/>
        <v>95239.01</v>
      </c>
      <c r="H58" s="72" t="s">
        <v>5</v>
      </c>
      <c r="I58" s="143">
        <v>8</v>
      </c>
      <c r="J58" s="58">
        <v>3000</v>
      </c>
      <c r="K58" s="59">
        <f t="shared" si="1"/>
        <v>375</v>
      </c>
      <c r="L58" s="143">
        <v>8</v>
      </c>
      <c r="M58" s="60">
        <f t="shared" si="40"/>
        <v>2878.7755102040824</v>
      </c>
      <c r="N58" s="59">
        <f t="shared" si="3"/>
        <v>359.8469387755103</v>
      </c>
      <c r="O58" s="61">
        <f t="shared" si="4"/>
        <v>0</v>
      </c>
      <c r="P58" s="62">
        <f t="shared" si="5"/>
        <v>-15.153061224489704</v>
      </c>
      <c r="Q58" s="139">
        <f t="shared" si="6"/>
        <v>0.95959183673469417</v>
      </c>
      <c r="R58" s="566"/>
      <c r="S58" s="63">
        <v>0.36041666666666661</v>
      </c>
      <c r="T58" s="63">
        <v>0.39444444444444438</v>
      </c>
      <c r="U58" s="138">
        <f t="shared" si="42"/>
        <v>5.9999999999999787</v>
      </c>
      <c r="V58" s="144">
        <f t="shared" si="41"/>
        <v>48.999999999999986</v>
      </c>
      <c r="W58" s="138"/>
      <c r="X58" s="138"/>
      <c r="Y58" s="559"/>
      <c r="Z58" s="559"/>
      <c r="AA58" s="61">
        <f t="shared" si="8"/>
        <v>-121.22448979591763</v>
      </c>
      <c r="AB58" s="139">
        <f t="shared" si="9"/>
        <v>0.95959183673469417</v>
      </c>
      <c r="AC58" s="566"/>
    </row>
    <row r="59" spans="1:29">
      <c r="A59" s="573" t="s">
        <v>449</v>
      </c>
      <c r="B59" s="57" t="s">
        <v>441</v>
      </c>
      <c r="C59" s="571"/>
      <c r="D59" s="571"/>
      <c r="E59" s="140"/>
      <c r="F59" s="66"/>
      <c r="G59" s="59"/>
      <c r="H59" s="146"/>
      <c r="I59" s="67">
        <v>9</v>
      </c>
      <c r="J59" s="58">
        <v>2625</v>
      </c>
      <c r="K59" s="59">
        <f t="shared" si="1"/>
        <v>291.66666666666669</v>
      </c>
      <c r="L59" s="67">
        <v>9</v>
      </c>
      <c r="M59" s="60">
        <f>AVERAGE(M55:M58)</f>
        <v>2522.4323910982907</v>
      </c>
      <c r="N59" s="59">
        <f t="shared" si="3"/>
        <v>280.27026567758787</v>
      </c>
      <c r="O59" s="61">
        <f t="shared" si="4"/>
        <v>0</v>
      </c>
      <c r="P59" s="62">
        <f t="shared" si="5"/>
        <v>-11.396400989078813</v>
      </c>
      <c r="Q59" s="139">
        <f t="shared" si="6"/>
        <v>0.96092662518030125</v>
      </c>
      <c r="R59" s="566"/>
      <c r="S59" s="63"/>
      <c r="T59" s="63"/>
      <c r="U59" s="59"/>
      <c r="V59" s="144"/>
      <c r="W59" s="59"/>
      <c r="X59" s="59"/>
      <c r="Y59" s="559"/>
      <c r="Z59" s="559"/>
      <c r="AA59" s="61">
        <f t="shared" si="8"/>
        <v>-102.56760890170926</v>
      </c>
      <c r="AB59" s="139">
        <f t="shared" si="9"/>
        <v>0.96092662518030125</v>
      </c>
      <c r="AC59" s="566"/>
    </row>
    <row r="60" spans="1:29" ht="15.75" customHeight="1">
      <c r="A60" s="563" t="s">
        <v>450</v>
      </c>
      <c r="B60" s="146" t="s">
        <v>15</v>
      </c>
      <c r="C60" s="560" t="s">
        <v>43</v>
      </c>
      <c r="D60" s="560"/>
      <c r="E60" s="57">
        <v>20.2</v>
      </c>
      <c r="F60" s="146">
        <v>1817</v>
      </c>
      <c r="G60" s="138">
        <f t="shared" ref="G60:G66" si="43">E60*F60</f>
        <v>36703.4</v>
      </c>
      <c r="H60" s="72" t="s">
        <v>5</v>
      </c>
      <c r="I60" s="143">
        <v>19</v>
      </c>
      <c r="J60" s="58">
        <v>2400</v>
      </c>
      <c r="K60" s="59">
        <f t="shared" si="1"/>
        <v>126.31578947368421</v>
      </c>
      <c r="L60" s="143">
        <v>19</v>
      </c>
      <c r="M60" s="60">
        <f t="shared" ref="M60:M66" si="44">F60/V60*60</f>
        <v>2319.5744680851058</v>
      </c>
      <c r="N60" s="59">
        <f t="shared" si="3"/>
        <v>122.08286674132135</v>
      </c>
      <c r="O60" s="61">
        <f t="shared" si="4"/>
        <v>0</v>
      </c>
      <c r="P60" s="62">
        <f t="shared" si="5"/>
        <v>-4.2329227323628515</v>
      </c>
      <c r="Q60" s="139">
        <f t="shared" si="6"/>
        <v>0.9664893617021274</v>
      </c>
      <c r="R60" s="566">
        <f>Q67</f>
        <v>0.95938005313716535</v>
      </c>
      <c r="S60" s="63">
        <v>8.3333333333333329E-2</v>
      </c>
      <c r="T60" s="63">
        <v>0.11597222222222223</v>
      </c>
      <c r="U60" s="68"/>
      <c r="V60" s="144">
        <f t="shared" ref="V60:V66" si="45">(T60-S60)*24*60</f>
        <v>47.000000000000014</v>
      </c>
      <c r="W60" s="64">
        <f>T60</f>
        <v>0.11597222222222223</v>
      </c>
      <c r="X60" s="64">
        <f>S61</f>
        <v>0.13333333333333333</v>
      </c>
      <c r="Y60" s="559"/>
      <c r="Z60" s="559"/>
      <c r="AA60" s="61">
        <f t="shared" si="8"/>
        <v>-80.425531914894236</v>
      </c>
      <c r="AB60" s="139">
        <f t="shared" si="9"/>
        <v>0.9664893617021274</v>
      </c>
      <c r="AC60" s="566">
        <f>AB67</f>
        <v>0.95938005313716535</v>
      </c>
    </row>
    <row r="61" spans="1:29" ht="15.75" customHeight="1">
      <c r="A61" s="564" t="s">
        <v>450</v>
      </c>
      <c r="B61" s="146" t="s">
        <v>15</v>
      </c>
      <c r="C61" s="560" t="s">
        <v>16</v>
      </c>
      <c r="D61" s="560"/>
      <c r="E61" s="57">
        <v>24.45</v>
      </c>
      <c r="F61" s="146">
        <v>2093</v>
      </c>
      <c r="G61" s="138">
        <f t="shared" si="43"/>
        <v>51173.85</v>
      </c>
      <c r="H61" s="72" t="s">
        <v>5</v>
      </c>
      <c r="I61" s="143">
        <v>20</v>
      </c>
      <c r="J61" s="58">
        <v>2400</v>
      </c>
      <c r="K61" s="59">
        <f t="shared" si="1"/>
        <v>120</v>
      </c>
      <c r="L61" s="143">
        <v>20</v>
      </c>
      <c r="M61" s="60">
        <f t="shared" si="44"/>
        <v>2325.5555555555552</v>
      </c>
      <c r="N61" s="59">
        <f t="shared" si="3"/>
        <v>116.27777777777776</v>
      </c>
      <c r="O61" s="61">
        <f t="shared" si="4"/>
        <v>0</v>
      </c>
      <c r="P61" s="62">
        <f t="shared" si="5"/>
        <v>-3.7222222222222427</v>
      </c>
      <c r="Q61" s="139">
        <f t="shared" si="6"/>
        <v>0.96898148148148133</v>
      </c>
      <c r="R61" s="566"/>
      <c r="S61" s="63">
        <v>0.13333333333333333</v>
      </c>
      <c r="T61" s="63">
        <v>0.17083333333333334</v>
      </c>
      <c r="U61" s="138">
        <f t="shared" ref="U61:U66" si="46">(S61-T60)*24*60</f>
        <v>24.999999999999993</v>
      </c>
      <c r="V61" s="144">
        <f t="shared" si="45"/>
        <v>54.000000000000007</v>
      </c>
      <c r="W61" s="64"/>
      <c r="X61" s="64"/>
      <c r="Y61" s="559"/>
      <c r="Z61" s="559"/>
      <c r="AA61" s="61">
        <f t="shared" si="8"/>
        <v>-74.444444444444798</v>
      </c>
      <c r="AB61" s="139">
        <f t="shared" si="9"/>
        <v>0.96898148148148133</v>
      </c>
      <c r="AC61" s="566"/>
    </row>
    <row r="62" spans="1:29" ht="15.75" customHeight="1">
      <c r="A62" s="564" t="s">
        <v>450</v>
      </c>
      <c r="B62" s="146" t="s">
        <v>15</v>
      </c>
      <c r="C62" s="560" t="s">
        <v>17</v>
      </c>
      <c r="D62" s="560"/>
      <c r="E62" s="57">
        <v>22.35</v>
      </c>
      <c r="F62" s="146">
        <v>1613</v>
      </c>
      <c r="G62" s="138">
        <f t="shared" si="43"/>
        <v>36050.550000000003</v>
      </c>
      <c r="H62" s="72" t="s">
        <v>5</v>
      </c>
      <c r="I62" s="143">
        <v>16</v>
      </c>
      <c r="J62" s="58">
        <v>2400</v>
      </c>
      <c r="K62" s="59">
        <f t="shared" si="1"/>
        <v>150</v>
      </c>
      <c r="L62" s="143">
        <v>16</v>
      </c>
      <c r="M62" s="60">
        <f t="shared" si="44"/>
        <v>2304.2857142857133</v>
      </c>
      <c r="N62" s="59">
        <f t="shared" si="3"/>
        <v>144.01785714285708</v>
      </c>
      <c r="O62" s="61">
        <f t="shared" si="4"/>
        <v>0</v>
      </c>
      <c r="P62" s="62">
        <f t="shared" si="5"/>
        <v>-5.982142857142918</v>
      </c>
      <c r="Q62" s="139">
        <f t="shared" si="6"/>
        <v>0.96011904761904721</v>
      </c>
      <c r="R62" s="566"/>
      <c r="S62" s="63">
        <v>0.1763888888888889</v>
      </c>
      <c r="T62" s="63">
        <v>0.20555555555555557</v>
      </c>
      <c r="U62" s="138">
        <f t="shared" si="46"/>
        <v>8.0000000000000107</v>
      </c>
      <c r="V62" s="144">
        <f t="shared" si="45"/>
        <v>42.000000000000014</v>
      </c>
      <c r="W62" s="64"/>
      <c r="X62" s="64"/>
      <c r="Y62" s="559"/>
      <c r="Z62" s="559"/>
      <c r="AA62" s="61">
        <f t="shared" si="8"/>
        <v>-95.714285714286689</v>
      </c>
      <c r="AB62" s="139">
        <f t="shared" si="9"/>
        <v>0.96011904761904721</v>
      </c>
      <c r="AC62" s="566"/>
    </row>
    <row r="63" spans="1:29" ht="15.75" customHeight="1">
      <c r="A63" s="564" t="s">
        <v>450</v>
      </c>
      <c r="B63" s="146" t="s">
        <v>15</v>
      </c>
      <c r="C63" s="560" t="s">
        <v>30</v>
      </c>
      <c r="D63" s="560"/>
      <c r="E63" s="57">
        <v>24.25</v>
      </c>
      <c r="F63" s="146">
        <v>2148</v>
      </c>
      <c r="G63" s="138">
        <f t="shared" si="43"/>
        <v>52089</v>
      </c>
      <c r="H63" s="72" t="s">
        <v>5</v>
      </c>
      <c r="I63" s="143">
        <v>13</v>
      </c>
      <c r="J63" s="58">
        <v>2400</v>
      </c>
      <c r="K63" s="59">
        <f t="shared" si="1"/>
        <v>184.61538461538461</v>
      </c>
      <c r="L63" s="143">
        <v>13</v>
      </c>
      <c r="M63" s="60">
        <f t="shared" si="44"/>
        <v>2301.4285714285734</v>
      </c>
      <c r="N63" s="59">
        <f t="shared" si="3"/>
        <v>177.03296703296718</v>
      </c>
      <c r="O63" s="61">
        <f t="shared" si="4"/>
        <v>0</v>
      </c>
      <c r="P63" s="62">
        <f t="shared" si="5"/>
        <v>-7.5824175824174347</v>
      </c>
      <c r="Q63" s="139">
        <f t="shared" si="6"/>
        <v>0.95892857142857224</v>
      </c>
      <c r="R63" s="566"/>
      <c r="S63" s="63">
        <v>0.21111111111111114</v>
      </c>
      <c r="T63" s="63">
        <v>0.25</v>
      </c>
      <c r="U63" s="138">
        <f t="shared" si="46"/>
        <v>8.0000000000000107</v>
      </c>
      <c r="V63" s="144">
        <f t="shared" si="45"/>
        <v>55.999999999999957</v>
      </c>
      <c r="W63" s="64"/>
      <c r="X63" s="64"/>
      <c r="Y63" s="559"/>
      <c r="Z63" s="559"/>
      <c r="AA63" s="61">
        <f t="shared" si="8"/>
        <v>-98.571428571426623</v>
      </c>
      <c r="AB63" s="139">
        <f t="shared" si="9"/>
        <v>0.95892857142857224</v>
      </c>
      <c r="AC63" s="566"/>
    </row>
    <row r="64" spans="1:29" ht="15.75" customHeight="1">
      <c r="A64" s="564" t="s">
        <v>450</v>
      </c>
      <c r="B64" s="146" t="s">
        <v>15</v>
      </c>
      <c r="C64" s="560" t="s">
        <v>24</v>
      </c>
      <c r="D64" s="560"/>
      <c r="E64" s="57">
        <v>20.52</v>
      </c>
      <c r="F64" s="146">
        <v>2860</v>
      </c>
      <c r="G64" s="138">
        <f t="shared" si="43"/>
        <v>58687.199999999997</v>
      </c>
      <c r="H64" s="72" t="s">
        <v>5</v>
      </c>
      <c r="I64" s="143">
        <v>18</v>
      </c>
      <c r="J64" s="58">
        <v>2400</v>
      </c>
      <c r="K64" s="59">
        <f t="shared" si="1"/>
        <v>133.33333333333334</v>
      </c>
      <c r="L64" s="143">
        <v>18</v>
      </c>
      <c r="M64" s="60">
        <f t="shared" si="44"/>
        <v>2288.0000000000009</v>
      </c>
      <c r="N64" s="59">
        <f t="shared" si="3"/>
        <v>127.11111111111116</v>
      </c>
      <c r="O64" s="61">
        <f t="shared" si="4"/>
        <v>0</v>
      </c>
      <c r="P64" s="62">
        <f t="shared" si="5"/>
        <v>-6.2222222222221859</v>
      </c>
      <c r="Q64" s="139">
        <f t="shared" si="6"/>
        <v>0.95333333333333359</v>
      </c>
      <c r="R64" s="566"/>
      <c r="S64" s="63">
        <v>0.25416666666666665</v>
      </c>
      <c r="T64" s="63">
        <v>0.30624999999999997</v>
      </c>
      <c r="U64" s="138">
        <f t="shared" si="46"/>
        <v>5.9999999999999787</v>
      </c>
      <c r="V64" s="144">
        <f t="shared" si="45"/>
        <v>74.999999999999972</v>
      </c>
      <c r="W64" s="64"/>
      <c r="X64" s="64"/>
      <c r="Y64" s="559"/>
      <c r="Z64" s="559"/>
      <c r="AA64" s="61">
        <f t="shared" si="8"/>
        <v>-111.99999999999909</v>
      </c>
      <c r="AB64" s="139">
        <f t="shared" si="9"/>
        <v>0.9533333333333337</v>
      </c>
      <c r="AC64" s="566"/>
    </row>
    <row r="65" spans="1:29" ht="15.75" customHeight="1">
      <c r="A65" s="564" t="s">
        <v>450</v>
      </c>
      <c r="B65" s="146" t="s">
        <v>15</v>
      </c>
      <c r="C65" s="560" t="s">
        <v>101</v>
      </c>
      <c r="D65" s="560"/>
      <c r="E65" s="57">
        <v>22.69</v>
      </c>
      <c r="F65" s="146">
        <v>3543</v>
      </c>
      <c r="G65" s="138">
        <f t="shared" si="43"/>
        <v>80390.67</v>
      </c>
      <c r="H65" s="72" t="s">
        <v>5</v>
      </c>
      <c r="I65" s="143">
        <v>15</v>
      </c>
      <c r="J65" s="58">
        <v>2400</v>
      </c>
      <c r="K65" s="59">
        <f t="shared" si="1"/>
        <v>160</v>
      </c>
      <c r="L65" s="143">
        <v>15</v>
      </c>
      <c r="M65" s="60">
        <f t="shared" si="44"/>
        <v>2285.8064516129034</v>
      </c>
      <c r="N65" s="59">
        <f t="shared" si="3"/>
        <v>152.38709677419357</v>
      </c>
      <c r="O65" s="61">
        <f t="shared" si="4"/>
        <v>0</v>
      </c>
      <c r="P65" s="62">
        <f t="shared" si="5"/>
        <v>-7.6129032258064342</v>
      </c>
      <c r="Q65" s="139">
        <f t="shared" si="6"/>
        <v>0.95241935483870976</v>
      </c>
      <c r="R65" s="566"/>
      <c r="S65" s="63">
        <v>0.31041666666666662</v>
      </c>
      <c r="T65" s="63">
        <v>0.37499999999999994</v>
      </c>
      <c r="U65" s="138">
        <f t="shared" si="46"/>
        <v>5.9999999999999787</v>
      </c>
      <c r="V65" s="144">
        <f t="shared" si="45"/>
        <v>92.999999999999986</v>
      </c>
      <c r="W65" s="64"/>
      <c r="X65" s="64"/>
      <c r="Y65" s="559"/>
      <c r="Z65" s="559"/>
      <c r="AA65" s="61">
        <f t="shared" si="8"/>
        <v>-114.1935483870966</v>
      </c>
      <c r="AB65" s="139">
        <f t="shared" si="9"/>
        <v>0.95241935483870976</v>
      </c>
      <c r="AC65" s="566"/>
    </row>
    <row r="66" spans="1:29" ht="15.75" customHeight="1">
      <c r="A66" s="564" t="s">
        <v>450</v>
      </c>
      <c r="B66" s="146" t="s">
        <v>15</v>
      </c>
      <c r="C66" s="560" t="s">
        <v>29</v>
      </c>
      <c r="D66" s="560"/>
      <c r="E66" s="57">
        <v>24.43</v>
      </c>
      <c r="F66" s="146">
        <v>6382</v>
      </c>
      <c r="G66" s="138">
        <f t="shared" si="43"/>
        <v>155912.26</v>
      </c>
      <c r="H66" s="72" t="s">
        <v>5</v>
      </c>
      <c r="I66" s="143">
        <v>14</v>
      </c>
      <c r="J66" s="58">
        <v>2400</v>
      </c>
      <c r="K66" s="59">
        <f t="shared" si="1"/>
        <v>171.42857142857142</v>
      </c>
      <c r="L66" s="143">
        <v>14</v>
      </c>
      <c r="M66" s="60">
        <f t="shared" si="44"/>
        <v>2292.9341317365274</v>
      </c>
      <c r="N66" s="59">
        <f t="shared" si="3"/>
        <v>163.78100940975196</v>
      </c>
      <c r="O66" s="61">
        <f t="shared" si="4"/>
        <v>0</v>
      </c>
      <c r="P66" s="62">
        <f t="shared" si="5"/>
        <v>-7.6475620188194569</v>
      </c>
      <c r="Q66" s="139">
        <f t="shared" si="6"/>
        <v>0.95538922155688655</v>
      </c>
      <c r="R66" s="566"/>
      <c r="S66" s="63">
        <v>0.37986111111111104</v>
      </c>
      <c r="T66" s="63">
        <v>0.49583333333333324</v>
      </c>
      <c r="U66" s="138">
        <f t="shared" si="46"/>
        <v>6.9999999999999751</v>
      </c>
      <c r="V66" s="144">
        <f t="shared" si="45"/>
        <v>166.99999999999997</v>
      </c>
      <c r="W66" s="64"/>
      <c r="X66" s="64"/>
      <c r="Y66" s="569"/>
      <c r="Z66" s="570"/>
      <c r="AA66" s="61">
        <f t="shared" si="8"/>
        <v>-107.06586826347257</v>
      </c>
      <c r="AB66" s="139">
        <f t="shared" si="9"/>
        <v>0.95538922155688644</v>
      </c>
      <c r="AC66" s="566"/>
    </row>
    <row r="67" spans="1:29" ht="16.5" customHeight="1">
      <c r="A67" s="565" t="s">
        <v>450</v>
      </c>
      <c r="B67" s="57" t="s">
        <v>441</v>
      </c>
      <c r="C67" s="561"/>
      <c r="D67" s="562"/>
      <c r="E67" s="140"/>
      <c r="F67" s="66"/>
      <c r="G67" s="59"/>
      <c r="H67" s="146"/>
      <c r="I67" s="67">
        <v>16.428571428571427</v>
      </c>
      <c r="J67" s="58">
        <v>2400</v>
      </c>
      <c r="K67" s="59">
        <f t="shared" si="1"/>
        <v>146.08695652173915</v>
      </c>
      <c r="L67" s="67">
        <v>16.428571428571427</v>
      </c>
      <c r="M67" s="60">
        <f>AVERAGE(M60:M66)</f>
        <v>2302.5121275291967</v>
      </c>
      <c r="N67" s="59">
        <f t="shared" si="3"/>
        <v>140.15291211047287</v>
      </c>
      <c r="O67" s="61">
        <f t="shared" si="4"/>
        <v>0</v>
      </c>
      <c r="P67" s="62">
        <f t="shared" si="5"/>
        <v>-5.9340444112662851</v>
      </c>
      <c r="Q67" s="139">
        <f t="shared" si="6"/>
        <v>0.95938005313716535</v>
      </c>
      <c r="R67" s="566"/>
      <c r="S67" s="63"/>
      <c r="T67" s="63"/>
      <c r="U67" s="59"/>
      <c r="V67" s="144"/>
      <c r="W67" s="59"/>
      <c r="X67" s="59"/>
      <c r="Y67" s="559"/>
      <c r="Z67" s="559"/>
      <c r="AA67" s="61">
        <f t="shared" si="8"/>
        <v>-97.487872470803268</v>
      </c>
      <c r="AB67" s="139">
        <f t="shared" si="9"/>
        <v>0.95938005313716535</v>
      </c>
      <c r="AC67" s="566"/>
    </row>
    <row r="68" spans="1:29">
      <c r="D68" s="122"/>
      <c r="E68" s="122"/>
    </row>
  </sheetData>
  <mergeCells count="182"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C8:D8"/>
    <mergeCell ref="Y8:Z8"/>
    <mergeCell ref="A9:A11"/>
    <mergeCell ref="C9:D9"/>
    <mergeCell ref="R9:R11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C14:D14"/>
    <mergeCell ref="Y14:Z14"/>
    <mergeCell ref="C15:D15"/>
    <mergeCell ref="Y15:Z15"/>
    <mergeCell ref="AC9:AC11"/>
    <mergeCell ref="C10:D10"/>
    <mergeCell ref="Y10:Z10"/>
    <mergeCell ref="C11:D11"/>
    <mergeCell ref="Y11:Z11"/>
    <mergeCell ref="C12:D12"/>
    <mergeCell ref="R12:R17"/>
    <mergeCell ref="Y12:Z12"/>
    <mergeCell ref="AC12:AC17"/>
    <mergeCell ref="C16:D16"/>
    <mergeCell ref="Y16:Z16"/>
    <mergeCell ref="C17:D17"/>
    <mergeCell ref="Y17:Z17"/>
    <mergeCell ref="A18:A26"/>
    <mergeCell ref="C18:D18"/>
    <mergeCell ref="R18:R26"/>
    <mergeCell ref="Y18:Z18"/>
    <mergeCell ref="Y23:Z23"/>
    <mergeCell ref="C24:D24"/>
    <mergeCell ref="A12:A17"/>
    <mergeCell ref="AC18:AC26"/>
    <mergeCell ref="C19:D19"/>
    <mergeCell ref="Y19:Z19"/>
    <mergeCell ref="C20:D20"/>
    <mergeCell ref="Y20:Z20"/>
    <mergeCell ref="C21:D21"/>
    <mergeCell ref="Y21:Z21"/>
    <mergeCell ref="C22:D22"/>
    <mergeCell ref="Y22:Z22"/>
    <mergeCell ref="C23:D23"/>
    <mergeCell ref="Y24:Z24"/>
    <mergeCell ref="C25:D25"/>
    <mergeCell ref="Y25:Z25"/>
    <mergeCell ref="C26:D26"/>
    <mergeCell ref="Y26:Z26"/>
    <mergeCell ref="C13:D13"/>
    <mergeCell ref="Y13:Z13"/>
    <mergeCell ref="A27:A33"/>
    <mergeCell ref="C27:D27"/>
    <mergeCell ref="R27:R33"/>
    <mergeCell ref="Y27:Z27"/>
    <mergeCell ref="Y32:Z32"/>
    <mergeCell ref="AC27:AC33"/>
    <mergeCell ref="C28:D28"/>
    <mergeCell ref="Y28:Z28"/>
    <mergeCell ref="C29:D29"/>
    <mergeCell ref="Y29:Z29"/>
    <mergeCell ref="C30:D30"/>
    <mergeCell ref="Y30:Z30"/>
    <mergeCell ref="C31:D31"/>
    <mergeCell ref="Y31:Z31"/>
    <mergeCell ref="C32:D32"/>
    <mergeCell ref="C33:D33"/>
    <mergeCell ref="Y33:Z33"/>
    <mergeCell ref="A34:A40"/>
    <mergeCell ref="C34:D34"/>
    <mergeCell ref="R34:R40"/>
    <mergeCell ref="Y34:Z34"/>
    <mergeCell ref="Y39:Z39"/>
    <mergeCell ref="C40:D40"/>
    <mergeCell ref="Y40:Z40"/>
    <mergeCell ref="AC41:AC48"/>
    <mergeCell ref="C42:D42"/>
    <mergeCell ref="Y42:Z42"/>
    <mergeCell ref="C43:D43"/>
    <mergeCell ref="Y43:Z43"/>
    <mergeCell ref="C44:D44"/>
    <mergeCell ref="AC34:AC40"/>
    <mergeCell ref="C35:D35"/>
    <mergeCell ref="Y35:Z35"/>
    <mergeCell ref="C36:D36"/>
    <mergeCell ref="Y36:Z36"/>
    <mergeCell ref="C37:D37"/>
    <mergeCell ref="Y37:Z37"/>
    <mergeCell ref="C38:D38"/>
    <mergeCell ref="Y38:Z38"/>
    <mergeCell ref="C39:D39"/>
    <mergeCell ref="C48:D48"/>
    <mergeCell ref="Y48:Z48"/>
    <mergeCell ref="A49:A54"/>
    <mergeCell ref="C49:D49"/>
    <mergeCell ref="R49:R54"/>
    <mergeCell ref="Y49:Z49"/>
    <mergeCell ref="Y44:Z44"/>
    <mergeCell ref="C45:D45"/>
    <mergeCell ref="Y45:Z45"/>
    <mergeCell ref="C46:D46"/>
    <mergeCell ref="Y46:Z46"/>
    <mergeCell ref="C47:D47"/>
    <mergeCell ref="Y47:Z47"/>
    <mergeCell ref="A41:A48"/>
    <mergeCell ref="C41:D41"/>
    <mergeCell ref="R41:R48"/>
    <mergeCell ref="Y41:Z41"/>
    <mergeCell ref="AC55:AC59"/>
    <mergeCell ref="C56:D56"/>
    <mergeCell ref="Y56:Z56"/>
    <mergeCell ref="C57:D57"/>
    <mergeCell ref="Y57:Z57"/>
    <mergeCell ref="C58:D58"/>
    <mergeCell ref="AC49:AC54"/>
    <mergeCell ref="C50:D50"/>
    <mergeCell ref="Y50:Z50"/>
    <mergeCell ref="C51:D51"/>
    <mergeCell ref="C54:D54"/>
    <mergeCell ref="Y54:Z54"/>
    <mergeCell ref="Y58:Z58"/>
    <mergeCell ref="C59:D59"/>
    <mergeCell ref="Y59:Z59"/>
    <mergeCell ref="A60:A67"/>
    <mergeCell ref="C60:D60"/>
    <mergeCell ref="R60:R67"/>
    <mergeCell ref="Y60:Z60"/>
    <mergeCell ref="Y65:Z65"/>
    <mergeCell ref="C66:D66"/>
    <mergeCell ref="Y66:Z66"/>
    <mergeCell ref="A55:A59"/>
    <mergeCell ref="C55:D55"/>
    <mergeCell ref="R55:R59"/>
    <mergeCell ref="Y55:Z55"/>
    <mergeCell ref="C67:D67"/>
    <mergeCell ref="Y67:Z67"/>
    <mergeCell ref="AC60:AC67"/>
    <mergeCell ref="C61:D61"/>
    <mergeCell ref="Y61:Z61"/>
    <mergeCell ref="C62:D62"/>
    <mergeCell ref="Y62:Z62"/>
    <mergeCell ref="C63:D63"/>
    <mergeCell ref="Y63:Z63"/>
    <mergeCell ref="C64:D64"/>
    <mergeCell ref="Y64:Z64"/>
    <mergeCell ref="C65:D65"/>
  </mergeCells>
  <phoneticPr fontId="3" type="noConversion"/>
  <conditionalFormatting sqref="O58:O65 O67 O5:O9 O11:O13 O48:O55 O17:O46">
    <cfRule type="cellIs" dxfId="396" priority="50" operator="greaterThan">
      <formula>0</formula>
    </cfRule>
  </conditionalFormatting>
  <conditionalFormatting sqref="P5:P7 P58 AA58 P60:P65 P27:P32 P55 P9 P11:P13 P18:P25 P49:P53 P34:P46 AA5:AA55 AA60:AA67">
    <cfRule type="cellIs" dxfId="395" priority="54" operator="lessThan">
      <formula>0</formula>
    </cfRule>
  </conditionalFormatting>
  <conditionalFormatting sqref="AB58 Q58:Q65 Q67 Q5:Q9 Q11:Q13 Q48:Q55 Q17:Q46 AB5:AB55 AB60:AB67">
    <cfRule type="cellIs" dxfId="394" priority="51" operator="greaterThan">
      <formula>1</formula>
    </cfRule>
    <cfRule type="cellIs" dxfId="393" priority="52" operator="lessThan">
      <formula>0.8</formula>
    </cfRule>
  </conditionalFormatting>
  <conditionalFormatting sqref="AC12:AC13 R12:R13 AC58 R58:R65 R17:R23 AC17:AC23 R67 AC5:AC9 R5:R9 R26:R46 AC26:AC46 AC48:AC55 R48:R55">
    <cfRule type="cellIs" dxfId="392" priority="56" operator="lessThan">
      <formula>0.8</formula>
    </cfRule>
  </conditionalFormatting>
  <conditionalFormatting sqref="AC41">
    <cfRule type="cellIs" dxfId="391" priority="58" operator="lessThan">
      <formula>0.8</formula>
    </cfRule>
  </conditionalFormatting>
  <conditionalFormatting sqref="AC18:AC23">
    <cfRule type="cellIs" dxfId="390" priority="55" operator="lessThan">
      <formula>0.8</formula>
    </cfRule>
  </conditionalFormatting>
  <conditionalFormatting sqref="AC27">
    <cfRule type="cellIs" dxfId="389" priority="57" operator="lessThan">
      <formula>0.8</formula>
    </cfRule>
  </conditionalFormatting>
  <conditionalFormatting sqref="AC34:AC39">
    <cfRule type="cellIs" dxfId="388" priority="53" operator="lessThan">
      <formula>0.8</formula>
    </cfRule>
  </conditionalFormatting>
  <conditionalFormatting sqref="AA59">
    <cfRule type="cellIs" dxfId="387" priority="49" operator="lessThan">
      <formula>0</formula>
    </cfRule>
  </conditionalFormatting>
  <conditionalFormatting sqref="AB59">
    <cfRule type="cellIs" dxfId="386" priority="47" operator="greaterThan">
      <formula>1</formula>
    </cfRule>
    <cfRule type="cellIs" dxfId="385" priority="48" operator="lessThan">
      <formula>0.8</formula>
    </cfRule>
  </conditionalFormatting>
  <conditionalFormatting sqref="O14:O15">
    <cfRule type="cellIs" dxfId="384" priority="42" operator="greaterThan">
      <formula>0</formula>
    </cfRule>
  </conditionalFormatting>
  <conditionalFormatting sqref="P14:P15">
    <cfRule type="cellIs" dxfId="383" priority="45" operator="lessThan">
      <formula>0</formula>
    </cfRule>
  </conditionalFormatting>
  <conditionalFormatting sqref="Q14:Q15">
    <cfRule type="cellIs" dxfId="382" priority="43" operator="greaterThan">
      <formula>1</formula>
    </cfRule>
    <cfRule type="cellIs" dxfId="381" priority="44" operator="lessThan">
      <formula>0.8</formula>
    </cfRule>
  </conditionalFormatting>
  <conditionalFormatting sqref="R14:R15 AC14:AC15">
    <cfRule type="cellIs" dxfId="380" priority="46" operator="lessThan">
      <formula>0.8</formula>
    </cfRule>
  </conditionalFormatting>
  <conditionalFormatting sqref="O10">
    <cfRule type="cellIs" dxfId="379" priority="38" operator="greaterThan">
      <formula>0</formula>
    </cfRule>
  </conditionalFormatting>
  <conditionalFormatting sqref="P10">
    <cfRule type="cellIs" dxfId="378" priority="41" operator="lessThan">
      <formula>0</formula>
    </cfRule>
  </conditionalFormatting>
  <conditionalFormatting sqref="Q10">
    <cfRule type="cellIs" dxfId="377" priority="39" operator="greaterThan">
      <formula>1</formula>
    </cfRule>
    <cfRule type="cellIs" dxfId="376" priority="40" operator="lessThan">
      <formula>0.8</formula>
    </cfRule>
  </conditionalFormatting>
  <conditionalFormatting sqref="AC25 R25">
    <cfRule type="cellIs" dxfId="375" priority="37" operator="lessThan">
      <formula>0.8</formula>
    </cfRule>
  </conditionalFormatting>
  <conditionalFormatting sqref="O57">
    <cfRule type="cellIs" dxfId="374" priority="32" operator="greaterThan">
      <formula>0</formula>
    </cfRule>
  </conditionalFormatting>
  <conditionalFormatting sqref="P57 AA57">
    <cfRule type="cellIs" dxfId="373" priority="35" operator="lessThan">
      <formula>0</formula>
    </cfRule>
  </conditionalFormatting>
  <conditionalFormatting sqref="Q57 AB57">
    <cfRule type="cellIs" dxfId="372" priority="33" operator="greaterThan">
      <formula>1</formula>
    </cfRule>
    <cfRule type="cellIs" dxfId="371" priority="34" operator="lessThan">
      <formula>0.8</formula>
    </cfRule>
  </conditionalFormatting>
  <conditionalFormatting sqref="R57 AC57">
    <cfRule type="cellIs" dxfId="370" priority="36" operator="lessThan">
      <formula>0.8</formula>
    </cfRule>
  </conditionalFormatting>
  <conditionalFormatting sqref="O66">
    <cfRule type="cellIs" dxfId="369" priority="27" operator="greaterThan">
      <formula>0</formula>
    </cfRule>
  </conditionalFormatting>
  <conditionalFormatting sqref="P66">
    <cfRule type="cellIs" dxfId="368" priority="30" operator="lessThan">
      <formula>0</formula>
    </cfRule>
  </conditionalFormatting>
  <conditionalFormatting sqref="Q66">
    <cfRule type="cellIs" dxfId="367" priority="28" operator="greaterThan">
      <formula>1</formula>
    </cfRule>
    <cfRule type="cellIs" dxfId="366" priority="29" operator="lessThan">
      <formula>0.8</formula>
    </cfRule>
  </conditionalFormatting>
  <conditionalFormatting sqref="R66">
    <cfRule type="cellIs" dxfId="365" priority="31" operator="lessThan">
      <formula>0.8</formula>
    </cfRule>
  </conditionalFormatting>
  <conditionalFormatting sqref="O16">
    <cfRule type="cellIs" dxfId="364" priority="22" operator="greaterThan">
      <formula>0</formula>
    </cfRule>
  </conditionalFormatting>
  <conditionalFormatting sqref="P16">
    <cfRule type="cellIs" dxfId="363" priority="25" operator="lessThan">
      <formula>0</formula>
    </cfRule>
  </conditionalFormatting>
  <conditionalFormatting sqref="Q16">
    <cfRule type="cellIs" dxfId="362" priority="23" operator="greaterThan">
      <formula>1</formula>
    </cfRule>
    <cfRule type="cellIs" dxfId="361" priority="24" operator="lessThan">
      <formula>0.8</formula>
    </cfRule>
  </conditionalFormatting>
  <conditionalFormatting sqref="R16 AC16">
    <cfRule type="cellIs" dxfId="360" priority="26" operator="lessThan">
      <formula>0.8</formula>
    </cfRule>
  </conditionalFormatting>
  <conditionalFormatting sqref="O47">
    <cfRule type="cellIs" dxfId="359" priority="16" operator="greaterThan">
      <formula>0</formula>
    </cfRule>
  </conditionalFormatting>
  <conditionalFormatting sqref="P47">
    <cfRule type="cellIs" dxfId="358" priority="20" operator="lessThan">
      <formula>0</formula>
    </cfRule>
  </conditionalFormatting>
  <conditionalFormatting sqref="Q47">
    <cfRule type="cellIs" dxfId="357" priority="17" operator="greaterThan">
      <formula>1</formula>
    </cfRule>
    <cfRule type="cellIs" dxfId="356" priority="18" operator="lessThan">
      <formula>0.8</formula>
    </cfRule>
  </conditionalFormatting>
  <conditionalFormatting sqref="R47 AC47">
    <cfRule type="cellIs" dxfId="355" priority="21" operator="lessThan">
      <formula>0.8</formula>
    </cfRule>
  </conditionalFormatting>
  <conditionalFormatting sqref="AC47">
    <cfRule type="cellIs" dxfId="354" priority="19" operator="lessThan">
      <formula>0.8</formula>
    </cfRule>
  </conditionalFormatting>
  <conditionalFormatting sqref="R24 AC24">
    <cfRule type="cellIs" dxfId="353" priority="15" operator="lessThan">
      <formula>0.8</formula>
    </cfRule>
  </conditionalFormatting>
  <conditionalFormatting sqref="AC24">
    <cfRule type="cellIs" dxfId="352" priority="14" operator="lessThan">
      <formula>0.8</formula>
    </cfRule>
  </conditionalFormatting>
  <conditionalFormatting sqref="O56">
    <cfRule type="cellIs" dxfId="351" priority="9" operator="greaterThan">
      <formula>0</formula>
    </cfRule>
  </conditionalFormatting>
  <conditionalFormatting sqref="P56 AA56">
    <cfRule type="cellIs" dxfId="350" priority="12" operator="lessThan">
      <formula>0</formula>
    </cfRule>
  </conditionalFormatting>
  <conditionalFormatting sqref="Q56 AB56">
    <cfRule type="cellIs" dxfId="349" priority="10" operator="greaterThan">
      <formula>1</formula>
    </cfRule>
    <cfRule type="cellIs" dxfId="348" priority="11" operator="lessThan">
      <formula>0.8</formula>
    </cfRule>
  </conditionalFormatting>
  <conditionalFormatting sqref="R56 AC56">
    <cfRule type="cellIs" dxfId="347" priority="13" operator="lessThan">
      <formula>0.8</formula>
    </cfRule>
  </conditionalFormatting>
  <conditionalFormatting sqref="P8">
    <cfRule type="cellIs" dxfId="346" priority="8" operator="lessThan">
      <formula>0</formula>
    </cfRule>
  </conditionalFormatting>
  <conditionalFormatting sqref="P17">
    <cfRule type="cellIs" dxfId="345" priority="7" operator="lessThan">
      <formula>0</formula>
    </cfRule>
  </conditionalFormatting>
  <conditionalFormatting sqref="P26">
    <cfRule type="cellIs" dxfId="344" priority="6" operator="lessThan">
      <formula>0</formula>
    </cfRule>
  </conditionalFormatting>
  <conditionalFormatting sqref="P33">
    <cfRule type="cellIs" dxfId="343" priority="5" operator="lessThan">
      <formula>0</formula>
    </cfRule>
  </conditionalFormatting>
  <conditionalFormatting sqref="P48">
    <cfRule type="cellIs" dxfId="342" priority="4" operator="lessThan">
      <formula>0</formula>
    </cfRule>
  </conditionalFormatting>
  <conditionalFormatting sqref="P54">
    <cfRule type="cellIs" dxfId="341" priority="3" operator="lessThan">
      <formula>0</formula>
    </cfRule>
  </conditionalFormatting>
  <conditionalFormatting sqref="P59">
    <cfRule type="cellIs" dxfId="340" priority="2" operator="lessThan">
      <formula>0</formula>
    </cfRule>
  </conditionalFormatting>
  <conditionalFormatting sqref="P67">
    <cfRule type="cellIs" dxfId="339" priority="1" operator="lessThan">
      <formula>0</formula>
    </cfRule>
  </conditionalFormatting>
  <dataValidations count="1">
    <dataValidation type="list" allowBlank="1" showInputMessage="1" showErrorMessage="1" sqref="Z8 Y5:Z7 Y8:Y58 Z10:Z55 Y59:Z67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="85" zoomScaleNormal="85" workbookViewId="0">
      <selection activeCell="E6" sqref="E6:F6"/>
    </sheetView>
  </sheetViews>
  <sheetFormatPr defaultColWidth="8.75" defaultRowHeight="15.75"/>
  <cols>
    <col min="1" max="1" width="8.75" style="2"/>
    <col min="2" max="2" width="17.875" style="2" customWidth="1"/>
    <col min="3" max="3" width="9.25" style="9" customWidth="1"/>
    <col min="4" max="13" width="12.625" style="2" customWidth="1"/>
    <col min="14" max="14" width="11" style="2" bestFit="1" customWidth="1"/>
    <col min="15" max="15" width="17.75" style="2" bestFit="1" customWidth="1"/>
    <col min="16" max="16" width="12.25" style="2" bestFit="1" customWidth="1"/>
    <col min="17" max="22" width="9.25" style="2" customWidth="1"/>
    <col min="23" max="23" width="10.75" style="2" customWidth="1"/>
    <col min="24" max="24" width="11" style="2" customWidth="1"/>
    <col min="25" max="16384" width="8.75" style="2"/>
  </cols>
  <sheetData>
    <row r="1" spans="2:17" ht="27.75" customHeight="1">
      <c r="B1" s="546" t="s">
        <v>330</v>
      </c>
      <c r="C1" s="546"/>
      <c r="D1" s="546"/>
      <c r="E1" s="546"/>
      <c r="F1" s="546"/>
      <c r="G1" s="546"/>
      <c r="H1" s="546"/>
      <c r="I1" s="546"/>
      <c r="J1" s="546"/>
      <c r="K1" s="1"/>
      <c r="L1" s="1"/>
      <c r="M1" s="1"/>
      <c r="N1" s="1"/>
      <c r="O1" s="1"/>
      <c r="P1" s="1"/>
    </row>
    <row r="2" spans="2:17" ht="27.75" customHeight="1">
      <c r="B2" s="547"/>
      <c r="C2" s="547"/>
      <c r="D2" s="547"/>
      <c r="E2" s="547"/>
      <c r="F2" s="547"/>
      <c r="G2" s="547"/>
      <c r="H2" s="547"/>
      <c r="I2" s="547"/>
      <c r="J2" s="547"/>
      <c r="K2" s="3"/>
      <c r="L2" s="3"/>
      <c r="M2" s="3"/>
      <c r="N2" s="1"/>
      <c r="O2" s="1"/>
      <c r="P2" s="1"/>
    </row>
    <row r="3" spans="2:17" ht="46.5" customHeight="1">
      <c r="B3" s="4" t="s">
        <v>331</v>
      </c>
      <c r="C3" s="548" t="str">
        <f>TEXT('1204 4度C'!A2,"yyyy.mm.ddaaaa")</f>
        <v>2025.12.04星期四</v>
      </c>
      <c r="D3" s="549"/>
      <c r="E3" s="4" t="s">
        <v>332</v>
      </c>
      <c r="F3" s="550">
        <f>'1204 4度C'!D1</f>
        <v>161774</v>
      </c>
      <c r="G3" s="551"/>
      <c r="H3" s="4" t="s">
        <v>333</v>
      </c>
      <c r="I3" s="552">
        <f>'1204 4度C'!F1</f>
        <v>5410047.4500000011</v>
      </c>
      <c r="J3" s="553"/>
      <c r="K3" s="5"/>
      <c r="L3" s="6"/>
      <c r="M3" s="7"/>
      <c r="N3" s="7"/>
    </row>
    <row r="4" spans="2:17" ht="28.5" customHeight="1">
      <c r="B4" s="554" t="s">
        <v>176</v>
      </c>
      <c r="C4" s="536" t="s">
        <v>107</v>
      </c>
      <c r="D4" s="537"/>
      <c r="E4" s="557" t="s">
        <v>334</v>
      </c>
      <c r="F4" s="558"/>
      <c r="G4" s="557" t="s">
        <v>179</v>
      </c>
      <c r="H4" s="558"/>
      <c r="I4" s="557" t="s">
        <v>335</v>
      </c>
      <c r="J4" s="558"/>
      <c r="L4" s="7"/>
      <c r="M4" s="7"/>
      <c r="N4" s="7"/>
    </row>
    <row r="5" spans="2:17" ht="28.5" customHeight="1">
      <c r="B5" s="555"/>
      <c r="C5" s="536" t="s">
        <v>121</v>
      </c>
      <c r="D5" s="537"/>
      <c r="E5" s="536" t="s">
        <v>336</v>
      </c>
      <c r="F5" s="537"/>
      <c r="G5" s="538" t="s">
        <v>337</v>
      </c>
      <c r="H5" s="539"/>
      <c r="I5" s="540" t="s">
        <v>338</v>
      </c>
      <c r="J5" s="541"/>
      <c r="K5" s="7"/>
      <c r="L5" s="7"/>
      <c r="M5" s="7"/>
      <c r="N5" s="7"/>
    </row>
    <row r="6" spans="2:17" ht="28.5" customHeight="1">
      <c r="B6" s="555"/>
      <c r="C6" s="536" t="s">
        <v>46</v>
      </c>
      <c r="D6" s="537"/>
      <c r="E6" s="542">
        <f>AVERAGE(D13:M13)</f>
        <v>154.21686097449714</v>
      </c>
      <c r="F6" s="543">
        <f>AVERAGE(D27:O27,D13:J13)</f>
        <v>160.44269175758728</v>
      </c>
      <c r="G6" s="544">
        <f>AVERAGE(D13:J13)</f>
        <v>160.44269175758728</v>
      </c>
      <c r="H6" s="545"/>
      <c r="I6" s="544">
        <f>AVERAGE(K13:M13)</f>
        <v>139.68992248062014</v>
      </c>
      <c r="J6" s="545"/>
      <c r="K6" s="7"/>
      <c r="L6" s="7"/>
      <c r="M6" s="7"/>
      <c r="N6" s="7"/>
    </row>
    <row r="7" spans="2:17" ht="28.5" customHeight="1">
      <c r="B7" s="555"/>
      <c r="C7" s="526" t="s">
        <v>47</v>
      </c>
      <c r="D7" s="527"/>
      <c r="E7" s="528">
        <f>AVERAGE(D14:M14)</f>
        <v>147.64583695749835</v>
      </c>
      <c r="F7" s="529">
        <f>AVERAGE(D28:O28,D14:J14)</f>
        <v>153.6552773089318</v>
      </c>
      <c r="G7" s="530">
        <f>AVERAGE(D14:J14)</f>
        <v>153.6552773089318</v>
      </c>
      <c r="H7" s="531"/>
      <c r="I7" s="530">
        <f>AVERAGE(K14:M14)</f>
        <v>133.62380947082019</v>
      </c>
      <c r="J7" s="531"/>
      <c r="K7" s="7"/>
      <c r="L7" s="7"/>
      <c r="M7" s="7"/>
      <c r="N7" s="7"/>
    </row>
    <row r="8" spans="2:17" ht="28.5" customHeight="1">
      <c r="B8" s="556"/>
      <c r="C8" s="526" t="s">
        <v>48</v>
      </c>
      <c r="D8" s="527"/>
      <c r="E8" s="532">
        <f>AVERAGE(D15:M15)</f>
        <v>0.95731341196537101</v>
      </c>
      <c r="F8" s="533">
        <f>AVERAGE(D15:J15,D29:O29)</f>
        <v>0.95763321661444423</v>
      </c>
      <c r="G8" s="534">
        <f>AVERAGE(D15:J15)</f>
        <v>0.95763321661444423</v>
      </c>
      <c r="H8" s="535"/>
      <c r="I8" s="534">
        <f>AVERAGE(K15:M15)</f>
        <v>0.95656720111753379</v>
      </c>
      <c r="J8" s="535"/>
      <c r="K8" s="8" t="s">
        <v>125</v>
      </c>
      <c r="L8" s="7"/>
      <c r="M8" s="7"/>
      <c r="N8" s="7"/>
    </row>
    <row r="9" spans="2:17" ht="28.5" customHeight="1" thickBot="1">
      <c r="H9" s="10"/>
      <c r="N9" s="7"/>
      <c r="O9" s="7"/>
      <c r="P9" s="7"/>
      <c r="Q9" s="7"/>
    </row>
    <row r="10" spans="2:17" ht="30" customHeight="1">
      <c r="B10" s="509" t="s">
        <v>339</v>
      </c>
      <c r="C10" s="510"/>
      <c r="D10" s="511" t="s">
        <v>340</v>
      </c>
      <c r="E10" s="512"/>
      <c r="F10" s="512"/>
      <c r="G10" s="512"/>
      <c r="H10" s="512"/>
      <c r="I10" s="512"/>
      <c r="J10" s="513"/>
      <c r="K10" s="514" t="s">
        <v>341</v>
      </c>
      <c r="L10" s="515"/>
      <c r="M10" s="516"/>
      <c r="P10" s="11"/>
      <c r="Q10" s="11"/>
    </row>
    <row r="11" spans="2:17" ht="17.25" customHeight="1">
      <c r="B11" s="517" t="s">
        <v>129</v>
      </c>
      <c r="C11" s="518"/>
      <c r="D11" s="12">
        <v>1</v>
      </c>
      <c r="E11" s="13">
        <v>2</v>
      </c>
      <c r="F11" s="13">
        <v>3</v>
      </c>
      <c r="G11" s="13">
        <v>4</v>
      </c>
      <c r="H11" s="13">
        <v>5</v>
      </c>
      <c r="I11" s="13">
        <v>6</v>
      </c>
      <c r="J11" s="14">
        <v>7</v>
      </c>
      <c r="K11" s="12">
        <v>1</v>
      </c>
      <c r="L11" s="13">
        <v>2</v>
      </c>
      <c r="M11" s="14">
        <v>3</v>
      </c>
      <c r="P11" s="11"/>
      <c r="Q11" s="11"/>
    </row>
    <row r="12" spans="2:17" ht="34.15" customHeight="1">
      <c r="B12" s="519"/>
      <c r="C12" s="520"/>
      <c r="D12" s="15" t="s">
        <v>49</v>
      </c>
      <c r="E12" s="16" t="s">
        <v>50</v>
      </c>
      <c r="F12" s="16" t="s">
        <v>51</v>
      </c>
      <c r="G12" s="16" t="s">
        <v>52</v>
      </c>
      <c r="H12" s="16" t="s">
        <v>53</v>
      </c>
      <c r="I12" s="16" t="s">
        <v>54</v>
      </c>
      <c r="J12" s="17" t="s">
        <v>55</v>
      </c>
      <c r="K12" s="15" t="s">
        <v>56</v>
      </c>
      <c r="L12" s="16" t="s">
        <v>57</v>
      </c>
      <c r="M12" s="17" t="s">
        <v>58</v>
      </c>
    </row>
    <row r="13" spans="2:17" ht="40.15" customHeight="1">
      <c r="B13" s="521" t="s">
        <v>342</v>
      </c>
      <c r="C13" s="18" t="s">
        <v>131</v>
      </c>
      <c r="D13" s="19">
        <f>SUMIFS('1204 4度C'!$K:$K,'1204 4度C'!$A:$A,"新豐6線",'1204 4度C'!$B:$B,"平均")</f>
        <v>133.33333333333334</v>
      </c>
      <c r="E13" s="20">
        <f>SUMIFS('1204 4度C'!$K:$K,'1204 4度C'!$A:$A,"新豐2線",'1204 4度C'!$B:$B,"平均")</f>
        <v>83.333333333333329</v>
      </c>
      <c r="F13" s="21">
        <f>SUMIFS('1204 4度C'!$K:$K,'1204 4度C'!$A:$A,"新豐5線",'1204 4度C'!$B:$B,"平均")</f>
        <v>98.901098901098905</v>
      </c>
      <c r="G13" s="21">
        <f>SUMIFS('1204 4度C'!$K:$K,'1204 4度C'!$A:$A,"新豐7線",'1204 4度C'!$B:$B,"平均")</f>
        <v>118.32061068702291</v>
      </c>
      <c r="H13" s="21">
        <f>SUMIFS('1204 4度C'!$K:$K,'1204 4度C'!$A:$A,"新豐3線",'1204 4度C'!$B:$B,"平均")</f>
        <v>281.69014084507046</v>
      </c>
      <c r="I13" s="21">
        <f>SUMIFS('1204 4度C'!$K:$K,'1204 4度C'!$A:$A,"新豐1線",'1204 4度C'!$B:$B,"平均")</f>
        <v>115.85365853658537</v>
      </c>
      <c r="J13" s="22">
        <f>SUMIFS('1204 4度C'!$K:$K,'1204 4度C'!$A:$A,"新豐10線",'1204 4度C'!$B:$B,"平均")</f>
        <v>291.66666666666669</v>
      </c>
      <c r="K13" s="23">
        <f>SUMIFS('1204 4度C'!$K:$K,'1204 4度C'!$A:$A,"新豐8線",'1204 4度C'!$B:$B,"平均")</f>
        <v>130.23255813953489</v>
      </c>
      <c r="L13" s="24">
        <f>SUMIFS('1204 4度C'!$K:$K,'1204 4度C'!$A:$A,"新豐9線",'1204 4度C'!$B:$B,"平均")</f>
        <v>140</v>
      </c>
      <c r="M13" s="22">
        <f>SUMIFS('1204 4度C'!$K:$K,'1204 4度C'!$A:$A,"新豐4線",'1204 4度C'!$B:$B,"平均")</f>
        <v>148.83720930232559</v>
      </c>
    </row>
    <row r="14" spans="2:17" ht="39.6" customHeight="1">
      <c r="B14" s="522"/>
      <c r="C14" s="25" t="s">
        <v>343</v>
      </c>
      <c r="D14" s="26">
        <f>SUMIFS('1204 4度C'!$N:$N,'1204 4度C'!$A:$A,"新豐6線",'1204 4度C'!$B:$B,"平均")</f>
        <v>128.24444444444441</v>
      </c>
      <c r="E14" s="27">
        <f>SUMIFS('1204 4度C'!$N:$N,'1204 4度C'!$A:$A,"新豐2線",'1204 4度C'!$B:$B,"平均")</f>
        <v>79.329292929292933</v>
      </c>
      <c r="F14" s="27">
        <f>SUMIFS('1204 4度C'!$N:$N,'1204 4度C'!$A:$A,"新豐5線",'1204 4度C'!$B:$B,"平均")</f>
        <v>95.064796624139802</v>
      </c>
      <c r="G14" s="27">
        <f>SUMIFS('1204 4度C'!$N:$N,'1204 4度C'!$A:$A,"新豐7線",'1204 4度C'!$B:$B,"平均")</f>
        <v>113.24039976522174</v>
      </c>
      <c r="H14" s="27">
        <f>SUMIFS('1204 4度C'!$N:$N,'1204 4度C'!$A:$A,"新豐3線",'1204 4度C'!$B:$B,"平均")</f>
        <v>270.12098819170438</v>
      </c>
      <c r="I14" s="27">
        <f>SUMIFS('1204 4度C'!$N:$N,'1204 4度C'!$A:$A,"新豐1線",'1204 4度C'!$B:$B,"平均")</f>
        <v>110.84290949229813</v>
      </c>
      <c r="J14" s="28">
        <f>SUMIFS('1204 4度C'!$N:$N,'1204 4度C'!$A:$A,"新豐10線",'1204 4度C'!$B:$B,"平均")</f>
        <v>278.74410971542125</v>
      </c>
      <c r="K14" s="29">
        <f>SUMIFS('1204 4度C'!$N:$N,'1204 4度C'!$A:$A,"新豐8線",'1204 4度C'!$B:$B,"平均")</f>
        <v>124.55290628045027</v>
      </c>
      <c r="L14" s="30">
        <f>SUMIFS('1204 4度C'!$N:$N,'1204 4度C'!$A:$A,"新豐9線",'1204 4度C'!$B:$B,"平均")</f>
        <v>133.92404778876511</v>
      </c>
      <c r="M14" s="28">
        <f>SUMIFS('1204 4度C'!$N:$N,'1204 4度C'!$A:$A,"新豐4線",'1204 4度C'!$B:$B,"平均")</f>
        <v>142.39447434324521</v>
      </c>
    </row>
    <row r="15" spans="2:17" ht="40.15" customHeight="1">
      <c r="B15" s="523"/>
      <c r="C15" s="31" t="s">
        <v>133</v>
      </c>
      <c r="D15" s="32">
        <f t="shared" ref="D15:M15" si="0">D14/D13</f>
        <v>0.96183333333333298</v>
      </c>
      <c r="E15" s="33">
        <f t="shared" si="0"/>
        <v>0.95195151515151522</v>
      </c>
      <c r="F15" s="33">
        <f t="shared" si="0"/>
        <v>0.96121072142185793</v>
      </c>
      <c r="G15" s="33">
        <f t="shared" si="0"/>
        <v>0.95706402382219657</v>
      </c>
      <c r="H15" s="33">
        <f t="shared" si="0"/>
        <v>0.95892950808055044</v>
      </c>
      <c r="I15" s="33">
        <f t="shared" si="0"/>
        <v>0.95674932403878388</v>
      </c>
      <c r="J15" s="34">
        <f t="shared" si="0"/>
        <v>0.95569409045287279</v>
      </c>
      <c r="K15" s="32">
        <f t="shared" si="0"/>
        <v>0.95638838751060029</v>
      </c>
      <c r="L15" s="33">
        <f t="shared" si="0"/>
        <v>0.95660034134832217</v>
      </c>
      <c r="M15" s="34">
        <f t="shared" si="0"/>
        <v>0.9567128744936787</v>
      </c>
    </row>
    <row r="16" spans="2:17" ht="17.25" customHeight="1">
      <c r="B16" s="524" t="s">
        <v>134</v>
      </c>
      <c r="C16" s="35" t="s">
        <v>344</v>
      </c>
      <c r="D16" s="49">
        <f>VLOOKUP("新豐6線",'1204 4度C'!$A:$T,19,0)</f>
        <v>0.70833333333333337</v>
      </c>
      <c r="E16" s="50">
        <f>VLOOKUP("新豐2線",'1204 4度C'!$A:$T,19,0)</f>
        <v>0.20833333333333334</v>
      </c>
      <c r="F16" s="50">
        <f>VLOOKUP("新豐5線",'1204 4度C'!$A:$T,19,0)</f>
        <v>0.125</v>
      </c>
      <c r="G16" s="50">
        <f>VLOOKUP("新豐7線",'1204 4度C'!$A:$T,19,0)</f>
        <v>0.20833333333333334</v>
      </c>
      <c r="H16" s="50">
        <f>VLOOKUP("新豐3線",'1204 4度C'!$A:$T,19,0)</f>
        <v>8.3333333333333329E-2</v>
      </c>
      <c r="I16" s="50">
        <f>VLOOKUP("新豐1線",'1204 4度C'!$A:$T,19,0)</f>
        <v>0.20833333333333334</v>
      </c>
      <c r="J16" s="51">
        <f>VLOOKUP("新豐10線",'1204 4度C'!$A:$T,19,0)</f>
        <v>0.20833333333333334</v>
      </c>
      <c r="K16" s="36">
        <f>VLOOKUP("新豐8線",'1204 4度C'!$A:$T,19,0)</f>
        <v>8.3333333333333329E-2</v>
      </c>
      <c r="L16" s="37">
        <f>VLOOKUP("新豐9線",'1204 4度C'!$A:$T,19,0)</f>
        <v>8.3333333333333329E-2</v>
      </c>
      <c r="M16" s="38">
        <f>VLOOKUP("新豐4線",'1204 4度C'!$A:$T,19,0)</f>
        <v>8.3333333333333329E-2</v>
      </c>
    </row>
    <row r="17" spans="2:13" ht="17.25" customHeight="1">
      <c r="B17" s="525"/>
      <c r="C17" s="35" t="s">
        <v>73</v>
      </c>
      <c r="D17" s="36">
        <f>LOOKUP(2,1/(('1204 4度C'!$A:$A="新豐6線")*('1204 4度C'!$T:$T&lt;&gt;"")),'1204 4度C'!$T:$T)</f>
        <v>0.8354166666666667</v>
      </c>
      <c r="E17" s="50">
        <f>LOOKUP(2,1/(('1204 4度C'!$A:$A="新豐2線")*('1204 4度C'!$T:$T&lt;&gt;"")),'1204 4度C'!$T:$T)</f>
        <v>0.50138888888888888</v>
      </c>
      <c r="F17" s="50">
        <f>LOOKUP(2,1/(('1204 4度C'!$A:$A="新豐5線")*('1204 4度C'!$T:$T&lt;&gt;"")),'1204 4度C'!$T:$T)</f>
        <v>0.82986111111111127</v>
      </c>
      <c r="G17" s="50">
        <f>LOOKUP(2,1/(('1204 4度C'!$A:$A="新豐7線")*('1204 4度C'!$T:$T&lt;&gt;"")),'1204 4度C'!$T:$T)</f>
        <v>0.8208333333333333</v>
      </c>
      <c r="H17" s="50">
        <f>LOOKUP(2,1/(('1204 4度C'!$A:$A="新豐3線")*('1204 4度C'!$T:$T&lt;&gt;"")),'1204 4度C'!$T:$T)</f>
        <v>0.51249999999999996</v>
      </c>
      <c r="I17" s="50">
        <f>LOOKUP(2,1/(('1204 4度C'!$A:$A="新豐1線")*('1204 4度C'!$T:$T&lt;&gt;"")),'1204 4度C'!$T:$T)</f>
        <v>0.85555555555555551</v>
      </c>
      <c r="J17" s="51">
        <f>LOOKUP(2,1/(('1204 4度C'!$A:$A="新豐10線")*('1204 4度C'!$T:$T&lt;&gt;"")),'1204 4度C'!$T:$T)</f>
        <v>0.4277777777777777</v>
      </c>
      <c r="K17" s="49">
        <f>LOOKUP(2,1/(('1204 4度C'!$A:$A="新豐8線")*('1204 4度C'!$T:$T&lt;&gt;"")),'1204 4度C'!$T:$T)</f>
        <v>0.65763888888888877</v>
      </c>
      <c r="L17" s="50">
        <f>LOOKUP(2,1/(('1204 4度C'!$A:$A="新豐9線")*('1204 4度C'!$T:$T&lt;&gt;"")),'1204 4度C'!$T:$T)</f>
        <v>0.64652777777777759</v>
      </c>
      <c r="M17" s="51">
        <f>LOOKUP(2,1/(('1204 4度C'!$A:$A="新豐4線")*('1204 4度C'!$T:$T&lt;&gt;"")),'1204 4度C'!$T:$T)</f>
        <v>0.59513888888888877</v>
      </c>
    </row>
    <row r="18" spans="2:13" ht="17.25" customHeight="1">
      <c r="B18" s="503" t="s">
        <v>345</v>
      </c>
      <c r="C18" s="504"/>
      <c r="D18" s="39">
        <f>SUMIFS('1204 4度C'!$I:$I,'1204 4度C'!$A:$A,"新豐6線",'1204 4度C'!$B:$B,"平均")</f>
        <v>15</v>
      </c>
      <c r="E18" s="40">
        <f>SUMIFS('1204 4度C'!$I:$I,'1204 4度C'!$A:$A,"新豐2線",'1204 4度C'!$B:$B,"平均")</f>
        <v>18</v>
      </c>
      <c r="F18" s="40">
        <f>SUMIFS('1204 4度C'!$I:$I,'1204 4度C'!$A:$A,"新豐5線",'1204 4度C'!$B:$B,"平均")</f>
        <v>18.2</v>
      </c>
      <c r="G18" s="40">
        <f>SUMIFS('1204 4度C'!$I:$I,'1204 4度C'!$A:$A,"新豐7線",'1204 4度C'!$B:$B,"平均")</f>
        <v>16.375</v>
      </c>
      <c r="H18" s="40">
        <f>SUMIFS('1204 4度C'!$I:$I,'1204 4度C'!$A:$A,"新豐3線",'1204 4度C'!$B:$B,"平均")</f>
        <v>10.142857142857142</v>
      </c>
      <c r="I18" s="40">
        <f>SUMIFS('1204 4度C'!$I:$I,'1204 4度C'!$A:$A,"新豐1線",'1204 4度C'!$B:$B,"平均")</f>
        <v>16.399999999999999</v>
      </c>
      <c r="J18" s="41">
        <f>SUMIFS('1204 4度C'!$I:$I,'1204 4度C'!$A:$A,"新豐10線",'1204 4度C'!$B:$B,"平均")</f>
        <v>9</v>
      </c>
      <c r="K18" s="39">
        <f>SUMIFS('1204 4度C'!$I:$I,'1204 4度C'!$A:$A,"新豐8線",'1204 4度C'!$B:$B,"平均")</f>
        <v>18.428571428571427</v>
      </c>
      <c r="L18" s="40">
        <f>SUMIFS('1204 4度C'!$I:$I,'1204 4度C'!$A:$A,"新豐9線",'1204 4度C'!$B:$B,"平均")</f>
        <v>17.142857142857142</v>
      </c>
      <c r="M18" s="41">
        <f>SUMIFS('1204 4度C'!$I:$I,'1204 4度C'!$A:$A,"新豐4線",'1204 4度C'!$B:$B,"平均")</f>
        <v>16.125</v>
      </c>
    </row>
    <row r="19" spans="2:13" ht="17.25" customHeight="1">
      <c r="B19" s="503" t="s">
        <v>346</v>
      </c>
      <c r="C19" s="504"/>
      <c r="D19" s="42" t="s">
        <v>59</v>
      </c>
      <c r="E19" s="43" t="s">
        <v>60</v>
      </c>
      <c r="F19" s="43" t="s">
        <v>347</v>
      </c>
      <c r="G19" s="43" t="s">
        <v>348</v>
      </c>
      <c r="H19" s="43" t="s">
        <v>61</v>
      </c>
      <c r="I19" s="43" t="s">
        <v>59</v>
      </c>
      <c r="J19" s="44" t="s">
        <v>61</v>
      </c>
      <c r="K19" s="42" t="s">
        <v>349</v>
      </c>
      <c r="L19" s="43" t="s">
        <v>349</v>
      </c>
      <c r="M19" s="44" t="s">
        <v>350</v>
      </c>
    </row>
    <row r="20" spans="2:13" ht="17.25" customHeight="1">
      <c r="B20" s="503" t="s">
        <v>140</v>
      </c>
      <c r="C20" s="504"/>
      <c r="D20" s="42"/>
      <c r="E20" s="43"/>
      <c r="F20" s="43" t="s">
        <v>141</v>
      </c>
      <c r="G20" s="43" t="s">
        <v>59</v>
      </c>
      <c r="H20" s="43"/>
      <c r="I20" s="43"/>
      <c r="J20" s="44"/>
      <c r="K20" s="42"/>
      <c r="L20" s="43"/>
      <c r="M20" s="44"/>
    </row>
    <row r="21" spans="2:13" ht="17.25" customHeight="1" thickBot="1">
      <c r="B21" s="505" t="s">
        <v>351</v>
      </c>
      <c r="C21" s="506"/>
      <c r="D21" s="45"/>
      <c r="E21" s="46" t="s">
        <v>352</v>
      </c>
      <c r="F21" s="507" t="s">
        <v>353</v>
      </c>
      <c r="G21" s="508"/>
      <c r="H21" s="46" t="s">
        <v>354</v>
      </c>
      <c r="I21" s="46" t="s">
        <v>355</v>
      </c>
      <c r="J21" s="47" t="s">
        <v>354</v>
      </c>
      <c r="K21" s="48"/>
      <c r="L21" s="46"/>
      <c r="M21" s="4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20:C20"/>
    <mergeCell ref="B21:C21"/>
    <mergeCell ref="F21:G21"/>
    <mergeCell ref="K10:M10"/>
    <mergeCell ref="B11:C12"/>
    <mergeCell ref="B13:B15"/>
    <mergeCell ref="B18:C18"/>
    <mergeCell ref="B19:C19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338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71"/>
  <sheetViews>
    <sheetView zoomScale="80" zoomScaleNormal="80" workbookViewId="0">
      <pane ySplit="4" topLeftCell="A5" activePane="bottomLeft" state="frozen"/>
      <selection activeCell="E6" sqref="E6:F6"/>
      <selection pane="bottomLeft" activeCell="B14" sqref="B14"/>
    </sheetView>
  </sheetViews>
  <sheetFormatPr defaultColWidth="8" defaultRowHeight="15.75"/>
  <cols>
    <col min="1" max="1" width="15.125" style="54" customWidth="1"/>
    <col min="2" max="2" width="19.375" style="54" customWidth="1"/>
    <col min="3" max="3" width="15.25" style="54" customWidth="1"/>
    <col min="4" max="4" width="17.5" style="54" customWidth="1"/>
    <col min="5" max="5" width="7.5" style="54" bestFit="1" customWidth="1"/>
    <col min="6" max="6" width="14.375" style="54" bestFit="1" customWidth="1"/>
    <col min="7" max="7" width="14.375" style="54" customWidth="1"/>
    <col min="8" max="8" width="8" style="54" customWidth="1"/>
    <col min="9" max="9" width="5.875" style="54" customWidth="1"/>
    <col min="10" max="10" width="10.625" style="54" customWidth="1"/>
    <col min="11" max="11" width="14.625" style="54" customWidth="1"/>
    <col min="12" max="12" width="7.25" style="54" bestFit="1" customWidth="1"/>
    <col min="13" max="13" width="8" style="54" customWidth="1"/>
    <col min="14" max="14" width="12" style="54" customWidth="1"/>
    <col min="15" max="15" width="6" style="54" customWidth="1"/>
    <col min="16" max="16" width="9.25" style="54" customWidth="1"/>
    <col min="17" max="17" width="11.5" style="54" customWidth="1"/>
    <col min="18" max="18" width="8.5" style="54" customWidth="1"/>
    <col min="19" max="19" width="10.125" style="73" bestFit="1" customWidth="1"/>
    <col min="20" max="20" width="7.625" style="73" bestFit="1" customWidth="1"/>
    <col min="21" max="21" width="10.25" style="54" bestFit="1" customWidth="1"/>
    <col min="22" max="22" width="8.75" style="71" customWidth="1"/>
    <col min="23" max="23" width="7.375" style="54" customWidth="1"/>
    <col min="24" max="24" width="6.875" style="54" bestFit="1" customWidth="1"/>
    <col min="25" max="25" width="12.75" style="54" customWidth="1"/>
    <col min="26" max="26" width="18.875" style="54" customWidth="1"/>
    <col min="27" max="27" width="13.125" style="54" bestFit="1" customWidth="1"/>
    <col min="28" max="28" width="10.375" style="54" customWidth="1"/>
    <col min="29" max="29" width="9.375" style="54" customWidth="1"/>
    <col min="30" max="30" width="8" style="54"/>
    <col min="31" max="31" width="24.625" style="54" bestFit="1" customWidth="1"/>
    <col min="32" max="16384" width="8" style="54"/>
  </cols>
  <sheetData>
    <row r="1" spans="1:29" ht="26.25" customHeight="1">
      <c r="A1" s="52" t="s">
        <v>146</v>
      </c>
      <c r="B1" s="52"/>
      <c r="C1" s="117" t="s">
        <v>356</v>
      </c>
      <c r="D1" s="118">
        <f>SUM(F5:F70)</f>
        <v>161774</v>
      </c>
      <c r="E1" s="126" t="s">
        <v>148</v>
      </c>
      <c r="F1" s="52">
        <f>SUM(G5:G70)</f>
        <v>5410047.4500000011</v>
      </c>
      <c r="G1" s="52" t="s">
        <v>357</v>
      </c>
      <c r="H1" s="53">
        <f>L8+L11+L50+L56+L17+L61+L34+L42+L26+L70</f>
        <v>154.81428571428569</v>
      </c>
      <c r="I1" s="607" t="s">
        <v>358</v>
      </c>
      <c r="J1" s="607"/>
      <c r="K1" s="607"/>
      <c r="L1" s="607" t="s">
        <v>207</v>
      </c>
      <c r="M1" s="607"/>
      <c r="N1" s="607"/>
      <c r="O1" s="607" t="s">
        <v>359</v>
      </c>
      <c r="P1" s="607"/>
      <c r="Q1" s="607"/>
      <c r="R1" s="607"/>
      <c r="S1" s="607" t="s">
        <v>109</v>
      </c>
      <c r="T1" s="607"/>
      <c r="U1" s="607"/>
      <c r="V1" s="607"/>
      <c r="W1" s="607"/>
      <c r="X1" s="607"/>
      <c r="Y1" s="607" t="s">
        <v>360</v>
      </c>
      <c r="Z1" s="607"/>
      <c r="AA1" s="607" t="s">
        <v>361</v>
      </c>
      <c r="AB1" s="608"/>
      <c r="AC1" s="608"/>
    </row>
    <row r="2" spans="1:29" ht="26.25" customHeight="1">
      <c r="A2" s="55">
        <v>45995</v>
      </c>
      <c r="B2" s="56" t="s">
        <v>329</v>
      </c>
      <c r="C2" s="117" t="s">
        <v>130</v>
      </c>
      <c r="D2" s="119">
        <f>AVERAGE(N8,N11,N50,N56,N17,N61,N26,N34,N42,N70)</f>
        <v>147.64583695749835</v>
      </c>
      <c r="E2" s="120" t="s">
        <v>0</v>
      </c>
      <c r="F2" s="121">
        <f>F1/D1</f>
        <v>33.442008295523394</v>
      </c>
      <c r="G2" s="52" t="s">
        <v>92</v>
      </c>
      <c r="H2" s="133">
        <f>COUNT(H5:H70)</f>
        <v>5</v>
      </c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8"/>
      <c r="AB2" s="608"/>
      <c r="AC2" s="608"/>
    </row>
    <row r="3" spans="1:29" ht="23.25" customHeight="1">
      <c r="A3" s="559" t="s">
        <v>215</v>
      </c>
      <c r="B3" s="559" t="s">
        <v>362</v>
      </c>
      <c r="C3" s="559" t="s">
        <v>152</v>
      </c>
      <c r="D3" s="559"/>
      <c r="E3" s="605" t="s">
        <v>111</v>
      </c>
      <c r="F3" s="559" t="s">
        <v>79</v>
      </c>
      <c r="G3" s="605" t="s">
        <v>80</v>
      </c>
      <c r="H3" s="598" t="s">
        <v>221</v>
      </c>
      <c r="I3" s="596" t="s">
        <v>222</v>
      </c>
      <c r="J3" s="601" t="s">
        <v>83</v>
      </c>
      <c r="K3" s="603" t="s">
        <v>130</v>
      </c>
      <c r="L3" s="596" t="s">
        <v>222</v>
      </c>
      <c r="M3" s="601" t="s">
        <v>83</v>
      </c>
      <c r="N3" s="603" t="s">
        <v>130</v>
      </c>
      <c r="O3" s="596" t="s">
        <v>222</v>
      </c>
      <c r="P3" s="603" t="s">
        <v>130</v>
      </c>
      <c r="Q3" s="602" t="s">
        <v>84</v>
      </c>
      <c r="R3" s="574" t="s">
        <v>114</v>
      </c>
      <c r="S3" s="604" t="s">
        <v>1</v>
      </c>
      <c r="T3" s="604"/>
      <c r="U3" s="598" t="s">
        <v>2</v>
      </c>
      <c r="V3" s="598" t="s">
        <v>363</v>
      </c>
      <c r="W3" s="559" t="s">
        <v>364</v>
      </c>
      <c r="X3" s="559"/>
      <c r="Y3" s="599" t="s">
        <v>365</v>
      </c>
      <c r="Z3" s="600"/>
      <c r="AA3" s="601" t="s">
        <v>366</v>
      </c>
      <c r="AB3" s="602" t="s">
        <v>367</v>
      </c>
      <c r="AC3" s="574" t="s">
        <v>368</v>
      </c>
    </row>
    <row r="4" spans="1:29">
      <c r="A4" s="559"/>
      <c r="B4" s="559"/>
      <c r="C4" s="559"/>
      <c r="D4" s="559"/>
      <c r="E4" s="606"/>
      <c r="F4" s="559"/>
      <c r="G4" s="606"/>
      <c r="H4" s="598"/>
      <c r="I4" s="596"/>
      <c r="J4" s="601"/>
      <c r="K4" s="603"/>
      <c r="L4" s="596"/>
      <c r="M4" s="601"/>
      <c r="N4" s="603"/>
      <c r="O4" s="596"/>
      <c r="P4" s="603"/>
      <c r="Q4" s="602"/>
      <c r="R4" s="574"/>
      <c r="S4" s="134" t="s">
        <v>3</v>
      </c>
      <c r="T4" s="134" t="s">
        <v>4</v>
      </c>
      <c r="U4" s="598"/>
      <c r="V4" s="598"/>
      <c r="W4" s="126" t="s">
        <v>369</v>
      </c>
      <c r="X4" s="126" t="s">
        <v>156</v>
      </c>
      <c r="Y4" s="600"/>
      <c r="Z4" s="600"/>
      <c r="AA4" s="601"/>
      <c r="AB4" s="602"/>
      <c r="AC4" s="574"/>
    </row>
    <row r="5" spans="1:29">
      <c r="A5" s="595" t="s">
        <v>370</v>
      </c>
      <c r="B5" s="57" t="s">
        <v>6</v>
      </c>
      <c r="C5" s="597" t="s">
        <v>9</v>
      </c>
      <c r="D5" s="597"/>
      <c r="E5" s="57">
        <v>50.67</v>
      </c>
      <c r="F5" s="134">
        <v>1298</v>
      </c>
      <c r="G5" s="126">
        <f t="shared" ref="G5:G7" si="0">E5*F5</f>
        <v>65769.66</v>
      </c>
      <c r="H5" s="72" t="s">
        <v>5</v>
      </c>
      <c r="I5" s="131">
        <v>17</v>
      </c>
      <c r="J5" s="58">
        <v>2000</v>
      </c>
      <c r="K5" s="59">
        <f t="shared" ref="K5:K68" si="1">J5/I5</f>
        <v>117.64705882352941</v>
      </c>
      <c r="L5" s="131">
        <v>17</v>
      </c>
      <c r="M5" s="60">
        <f t="shared" ref="M5:M7" si="2">F5/V5*60</f>
        <v>1946.9999999999993</v>
      </c>
      <c r="N5" s="59">
        <f t="shared" ref="N5:N68" si="3">M5/L5</f>
        <v>114.52941176470584</v>
      </c>
      <c r="O5" s="61">
        <f t="shared" ref="O5:O68" si="4">L5-I5</f>
        <v>0</v>
      </c>
      <c r="P5" s="62">
        <f t="shared" ref="P5:P68" si="5">N5-K5</f>
        <v>-3.1176470588235645</v>
      </c>
      <c r="Q5" s="127">
        <f t="shared" ref="Q5:Q68" si="6">N5/K5</f>
        <v>0.9734999999999997</v>
      </c>
      <c r="R5" s="566">
        <f>Q8</f>
        <v>0.96183333333333298</v>
      </c>
      <c r="S5" s="63">
        <v>0.70833333333333337</v>
      </c>
      <c r="T5" s="63">
        <v>0.73611111111111116</v>
      </c>
      <c r="U5" s="126"/>
      <c r="V5" s="132">
        <f t="shared" ref="V5:V7" si="7">(T5-S5)*24*60</f>
        <v>40.000000000000014</v>
      </c>
      <c r="W5" s="64"/>
      <c r="X5" s="65"/>
      <c r="Y5" s="559"/>
      <c r="Z5" s="559"/>
      <c r="AA5" s="61">
        <f t="shared" ref="AA5:AA68" si="8">M5-J5</f>
        <v>-53.000000000000682</v>
      </c>
      <c r="AB5" s="127">
        <f t="shared" ref="AB5:AB68" si="9">M5/J5</f>
        <v>0.9734999999999997</v>
      </c>
      <c r="AC5" s="566">
        <f>AB8</f>
        <v>0.96183333333333298</v>
      </c>
    </row>
    <row r="6" spans="1:29">
      <c r="A6" s="596" t="s">
        <v>116</v>
      </c>
      <c r="B6" s="57" t="s">
        <v>6</v>
      </c>
      <c r="C6" s="597" t="s">
        <v>8</v>
      </c>
      <c r="D6" s="597"/>
      <c r="E6" s="57">
        <v>50.49</v>
      </c>
      <c r="F6" s="134">
        <v>1728</v>
      </c>
      <c r="G6" s="126">
        <f t="shared" si="0"/>
        <v>87246.720000000001</v>
      </c>
      <c r="H6" s="72" t="s">
        <v>5</v>
      </c>
      <c r="I6" s="131">
        <v>15</v>
      </c>
      <c r="J6" s="58">
        <v>2000</v>
      </c>
      <c r="K6" s="59">
        <f t="shared" si="1"/>
        <v>133.33333333333334</v>
      </c>
      <c r="L6" s="131">
        <v>15</v>
      </c>
      <c r="M6" s="60">
        <f t="shared" si="2"/>
        <v>1920.0000000000009</v>
      </c>
      <c r="N6" s="59">
        <f t="shared" si="3"/>
        <v>128.00000000000006</v>
      </c>
      <c r="O6" s="61">
        <f t="shared" si="4"/>
        <v>0</v>
      </c>
      <c r="P6" s="62">
        <f t="shared" si="5"/>
        <v>-5.333333333333286</v>
      </c>
      <c r="Q6" s="127">
        <f t="shared" si="6"/>
        <v>0.96000000000000041</v>
      </c>
      <c r="R6" s="566"/>
      <c r="S6" s="63">
        <v>0.7416666666666667</v>
      </c>
      <c r="T6" s="63">
        <v>0.77916666666666667</v>
      </c>
      <c r="U6" s="126">
        <f t="shared" ref="U6:U7" si="10">IF(S6=TIME(17,0,0),"",(S6-T5)*24*60)</f>
        <v>7.9999999999999716</v>
      </c>
      <c r="V6" s="132">
        <f t="shared" si="7"/>
        <v>53.999999999999972</v>
      </c>
      <c r="W6" s="64"/>
      <c r="X6" s="64"/>
      <c r="Y6" s="559"/>
      <c r="Z6" s="559"/>
      <c r="AA6" s="61">
        <f t="shared" si="8"/>
        <v>-79.999999999999091</v>
      </c>
      <c r="AB6" s="127">
        <f t="shared" si="9"/>
        <v>0.96000000000000041</v>
      </c>
      <c r="AC6" s="566"/>
    </row>
    <row r="7" spans="1:29">
      <c r="A7" s="596" t="s">
        <v>116</v>
      </c>
      <c r="B7" s="57" t="s">
        <v>6</v>
      </c>
      <c r="C7" s="590" t="s">
        <v>94</v>
      </c>
      <c r="D7" s="591"/>
      <c r="E7" s="57">
        <v>57.3</v>
      </c>
      <c r="F7" s="134">
        <v>2380</v>
      </c>
      <c r="G7" s="126">
        <f t="shared" si="0"/>
        <v>136374</v>
      </c>
      <c r="H7" s="72" t="s">
        <v>5</v>
      </c>
      <c r="I7" s="131">
        <v>13</v>
      </c>
      <c r="J7" s="58">
        <v>2000</v>
      </c>
      <c r="K7" s="59">
        <f t="shared" si="1"/>
        <v>153.84615384615384</v>
      </c>
      <c r="L7" s="131">
        <v>13</v>
      </c>
      <c r="M7" s="60">
        <f t="shared" si="2"/>
        <v>1903.9999999999986</v>
      </c>
      <c r="N7" s="59">
        <f t="shared" si="3"/>
        <v>146.46153846153837</v>
      </c>
      <c r="O7" s="61">
        <f t="shared" si="4"/>
        <v>0</v>
      </c>
      <c r="P7" s="62">
        <f t="shared" si="5"/>
        <v>-7.3846153846154721</v>
      </c>
      <c r="Q7" s="127">
        <f t="shared" si="6"/>
        <v>0.9519999999999994</v>
      </c>
      <c r="R7" s="566"/>
      <c r="S7" s="63">
        <v>0.78333333333333333</v>
      </c>
      <c r="T7" s="63">
        <v>0.8354166666666667</v>
      </c>
      <c r="U7" s="126">
        <f t="shared" si="10"/>
        <v>5.9999999999999787</v>
      </c>
      <c r="V7" s="132">
        <f t="shared" si="7"/>
        <v>75.000000000000057</v>
      </c>
      <c r="W7" s="64"/>
      <c r="X7" s="64"/>
      <c r="Y7" s="569"/>
      <c r="Z7" s="570"/>
      <c r="AA7" s="61">
        <f t="shared" si="8"/>
        <v>-96.000000000001364</v>
      </c>
      <c r="AB7" s="127">
        <f t="shared" si="9"/>
        <v>0.95199999999999929</v>
      </c>
      <c r="AC7" s="566"/>
    </row>
    <row r="8" spans="1:29">
      <c r="A8" s="596" t="s">
        <v>116</v>
      </c>
      <c r="B8" s="57" t="s">
        <v>159</v>
      </c>
      <c r="C8" s="571"/>
      <c r="D8" s="571"/>
      <c r="E8" s="128"/>
      <c r="F8" s="66"/>
      <c r="G8" s="59"/>
      <c r="H8" s="134"/>
      <c r="I8" s="67">
        <v>15</v>
      </c>
      <c r="J8" s="58">
        <v>2000</v>
      </c>
      <c r="K8" s="59">
        <f t="shared" si="1"/>
        <v>133.33333333333334</v>
      </c>
      <c r="L8" s="67">
        <v>15</v>
      </c>
      <c r="M8" s="60">
        <f>AVERAGE(M5:M7)</f>
        <v>1923.6666666666661</v>
      </c>
      <c r="N8" s="59">
        <f t="shared" si="3"/>
        <v>128.24444444444441</v>
      </c>
      <c r="O8" s="61">
        <f t="shared" si="4"/>
        <v>0</v>
      </c>
      <c r="P8" s="62">
        <f t="shared" si="5"/>
        <v>-5.0888888888889312</v>
      </c>
      <c r="Q8" s="127">
        <f t="shared" si="6"/>
        <v>0.96183333333333298</v>
      </c>
      <c r="R8" s="566"/>
      <c r="S8" s="63"/>
      <c r="T8" s="63"/>
      <c r="U8" s="126"/>
      <c r="V8" s="132"/>
      <c r="W8" s="59"/>
      <c r="X8" s="59"/>
      <c r="Y8" s="559"/>
      <c r="Z8" s="559"/>
      <c r="AA8" s="61">
        <f t="shared" si="8"/>
        <v>-76.33333333333394</v>
      </c>
      <c r="AB8" s="127">
        <f t="shared" si="9"/>
        <v>0.96183333333333298</v>
      </c>
      <c r="AC8" s="566"/>
    </row>
    <row r="9" spans="1:29" ht="15.75" customHeight="1">
      <c r="A9" s="594" t="s">
        <v>234</v>
      </c>
      <c r="B9" s="57" t="s">
        <v>10</v>
      </c>
      <c r="C9" s="590" t="s">
        <v>11</v>
      </c>
      <c r="D9" s="591"/>
      <c r="E9" s="57">
        <v>39.799999999999997</v>
      </c>
      <c r="F9" s="134">
        <v>5960</v>
      </c>
      <c r="G9" s="126">
        <f t="shared" ref="G9:G10" si="11">E9*F9</f>
        <v>237207.99999999997</v>
      </c>
      <c r="H9" s="72" t="s">
        <v>5</v>
      </c>
      <c r="I9" s="131">
        <v>17</v>
      </c>
      <c r="J9" s="58">
        <v>1500</v>
      </c>
      <c r="K9" s="59">
        <f t="shared" si="1"/>
        <v>88.235294117647058</v>
      </c>
      <c r="L9" s="131">
        <v>17</v>
      </c>
      <c r="M9" s="60">
        <f t="shared" ref="M9:M10" si="12">F9/V9*60</f>
        <v>1430.3999999999999</v>
      </c>
      <c r="N9" s="59">
        <f t="shared" si="3"/>
        <v>84.141176470588221</v>
      </c>
      <c r="O9" s="61">
        <f t="shared" si="4"/>
        <v>0</v>
      </c>
      <c r="P9" s="62">
        <f t="shared" si="5"/>
        <v>-4.0941176470588374</v>
      </c>
      <c r="Q9" s="127">
        <f t="shared" si="6"/>
        <v>0.95359999999999989</v>
      </c>
      <c r="R9" s="566">
        <f>Q11</f>
        <v>0.95195151515151522</v>
      </c>
      <c r="S9" s="63">
        <v>0.20833333333333334</v>
      </c>
      <c r="T9" s="63">
        <v>0.38194444444444448</v>
      </c>
      <c r="U9" s="126"/>
      <c r="V9" s="132">
        <f t="shared" ref="V9:V10" si="13">(T9-S9)*24*60</f>
        <v>250.00000000000003</v>
      </c>
      <c r="W9" s="64"/>
      <c r="X9" s="64"/>
      <c r="Y9" s="559"/>
      <c r="Z9" s="559"/>
      <c r="AA9" s="61">
        <f t="shared" si="8"/>
        <v>-69.600000000000136</v>
      </c>
      <c r="AB9" s="127">
        <f t="shared" si="9"/>
        <v>0.95359999999999989</v>
      </c>
      <c r="AC9" s="566">
        <f>AB11</f>
        <v>0.95195151515151522</v>
      </c>
    </row>
    <row r="10" spans="1:29" ht="15.75" customHeight="1">
      <c r="A10" s="594" t="s">
        <v>234</v>
      </c>
      <c r="B10" s="57" t="s">
        <v>10</v>
      </c>
      <c r="C10" s="590" t="s">
        <v>14</v>
      </c>
      <c r="D10" s="591"/>
      <c r="E10" s="57">
        <v>39.619999999999997</v>
      </c>
      <c r="F10" s="134">
        <v>3920</v>
      </c>
      <c r="G10" s="126">
        <f t="shared" si="11"/>
        <v>155310.39999999999</v>
      </c>
      <c r="H10" s="72" t="s">
        <v>5</v>
      </c>
      <c r="I10" s="131">
        <v>19</v>
      </c>
      <c r="J10" s="58">
        <v>1500</v>
      </c>
      <c r="K10" s="59">
        <f t="shared" si="1"/>
        <v>78.94736842105263</v>
      </c>
      <c r="L10" s="131">
        <v>19</v>
      </c>
      <c r="M10" s="60">
        <f t="shared" si="12"/>
        <v>1425.4545454545457</v>
      </c>
      <c r="N10" s="59">
        <f t="shared" si="3"/>
        <v>75.023923444976091</v>
      </c>
      <c r="O10" s="61">
        <f t="shared" si="4"/>
        <v>0</v>
      </c>
      <c r="P10" s="62">
        <f t="shared" si="5"/>
        <v>-3.9234449760765386</v>
      </c>
      <c r="Q10" s="127">
        <f t="shared" si="6"/>
        <v>0.95030303030303054</v>
      </c>
      <c r="R10" s="566"/>
      <c r="S10" s="63">
        <v>0.38680555555555557</v>
      </c>
      <c r="T10" s="63">
        <v>0.50138888888888888</v>
      </c>
      <c r="U10" s="126">
        <f t="shared" ref="U10" si="14">IF(S10=TIME(17,0,0),"",(S10-T9)*24*60)</f>
        <v>6.9999999999999751</v>
      </c>
      <c r="V10" s="132">
        <f t="shared" si="13"/>
        <v>164.99999999999997</v>
      </c>
      <c r="W10" s="64"/>
      <c r="X10" s="64"/>
      <c r="Y10" s="559"/>
      <c r="Z10" s="559"/>
      <c r="AA10" s="61">
        <f t="shared" si="8"/>
        <v>-74.545454545454277</v>
      </c>
      <c r="AB10" s="127">
        <f t="shared" si="9"/>
        <v>0.95030303030303043</v>
      </c>
      <c r="AC10" s="566"/>
    </row>
    <row r="11" spans="1:29" ht="16.5" customHeight="1">
      <c r="A11" s="594" t="s">
        <v>234</v>
      </c>
      <c r="B11" s="57" t="s">
        <v>159</v>
      </c>
      <c r="C11" s="571"/>
      <c r="D11" s="571"/>
      <c r="E11" s="128"/>
      <c r="F11" s="58"/>
      <c r="G11" s="60"/>
      <c r="H11" s="134"/>
      <c r="I11" s="67">
        <v>18</v>
      </c>
      <c r="J11" s="58">
        <v>1500</v>
      </c>
      <c r="K11" s="59">
        <f t="shared" si="1"/>
        <v>83.333333333333329</v>
      </c>
      <c r="L11" s="67">
        <v>18</v>
      </c>
      <c r="M11" s="60">
        <f>AVERAGE(M9:M10)</f>
        <v>1427.9272727272728</v>
      </c>
      <c r="N11" s="59">
        <f t="shared" si="3"/>
        <v>79.329292929292933</v>
      </c>
      <c r="O11" s="61">
        <f t="shared" si="4"/>
        <v>0</v>
      </c>
      <c r="P11" s="62">
        <f t="shared" si="5"/>
        <v>-4.0040404040403956</v>
      </c>
      <c r="Q11" s="127">
        <f t="shared" si="6"/>
        <v>0.95195151515151522</v>
      </c>
      <c r="R11" s="566"/>
      <c r="S11" s="63"/>
      <c r="T11" s="63"/>
      <c r="U11" s="59"/>
      <c r="V11" s="132"/>
      <c r="W11" s="59"/>
      <c r="X11" s="59"/>
      <c r="Y11" s="559"/>
      <c r="Z11" s="559"/>
      <c r="AA11" s="61">
        <f t="shared" si="8"/>
        <v>-72.072727272727207</v>
      </c>
      <c r="AB11" s="127">
        <f t="shared" si="9"/>
        <v>0.95195151515151522</v>
      </c>
      <c r="AC11" s="566"/>
    </row>
    <row r="12" spans="1:29" ht="16.5" customHeight="1">
      <c r="A12" s="592" t="s">
        <v>160</v>
      </c>
      <c r="B12" s="134" t="s">
        <v>12</v>
      </c>
      <c r="C12" s="584" t="s">
        <v>13</v>
      </c>
      <c r="D12" s="584"/>
      <c r="E12" s="57">
        <v>41</v>
      </c>
      <c r="F12" s="134">
        <v>2225</v>
      </c>
      <c r="G12" s="126">
        <f t="shared" ref="G12:G16" si="15">E12*F12</f>
        <v>91225</v>
      </c>
      <c r="H12" s="72" t="s">
        <v>5</v>
      </c>
      <c r="I12" s="131">
        <v>26</v>
      </c>
      <c r="J12" s="58">
        <v>1500</v>
      </c>
      <c r="K12" s="59">
        <f t="shared" si="1"/>
        <v>57.692307692307693</v>
      </c>
      <c r="L12" s="131">
        <v>26</v>
      </c>
      <c r="M12" s="60">
        <f t="shared" ref="M12:M16" si="16">F12/V12*60</f>
        <v>1435.4838709677422</v>
      </c>
      <c r="N12" s="59">
        <f t="shared" si="3"/>
        <v>55.210918114143929</v>
      </c>
      <c r="O12" s="61">
        <f t="shared" si="4"/>
        <v>0</v>
      </c>
      <c r="P12" s="62">
        <f t="shared" si="5"/>
        <v>-2.481389578163764</v>
      </c>
      <c r="Q12" s="127">
        <f t="shared" si="6"/>
        <v>0.95698924731182811</v>
      </c>
      <c r="R12" s="566">
        <f>Q17</f>
        <v>0.96121072142185793</v>
      </c>
      <c r="S12" s="63">
        <v>0.125</v>
      </c>
      <c r="T12" s="63">
        <v>0.18958333333333333</v>
      </c>
      <c r="U12" s="126"/>
      <c r="V12" s="132">
        <f t="shared" ref="V12:V16" si="17">(T12-S12)*24*60</f>
        <v>92.999999999999986</v>
      </c>
      <c r="W12" s="64">
        <f>T12</f>
        <v>0.18958333333333333</v>
      </c>
      <c r="X12" s="64">
        <f>S13</f>
        <v>0.2069444444444444</v>
      </c>
      <c r="Y12" s="559"/>
      <c r="Z12" s="559"/>
      <c r="AA12" s="61">
        <f t="shared" si="8"/>
        <v>-64.516129032257822</v>
      </c>
      <c r="AB12" s="127">
        <f t="shared" si="9"/>
        <v>0.95698924731182811</v>
      </c>
      <c r="AC12" s="566">
        <f>AB17</f>
        <v>0.96121072142185793</v>
      </c>
    </row>
    <row r="13" spans="1:29" ht="16.5" customHeight="1">
      <c r="A13" s="593" t="s">
        <v>160</v>
      </c>
      <c r="B13" s="134" t="s">
        <v>656</v>
      </c>
      <c r="C13" s="584" t="s">
        <v>236</v>
      </c>
      <c r="D13" s="584"/>
      <c r="E13" s="57">
        <v>69.010000000000005</v>
      </c>
      <c r="F13" s="134">
        <v>2653</v>
      </c>
      <c r="G13" s="126">
        <f t="shared" si="15"/>
        <v>183083.53000000003</v>
      </c>
      <c r="H13" s="72" t="s">
        <v>5</v>
      </c>
      <c r="I13" s="131">
        <v>18</v>
      </c>
      <c r="J13" s="58">
        <v>1500</v>
      </c>
      <c r="K13" s="59">
        <f t="shared" si="1"/>
        <v>83.333333333333329</v>
      </c>
      <c r="L13" s="131">
        <v>18</v>
      </c>
      <c r="M13" s="60">
        <f t="shared" si="16"/>
        <v>1434.0540540540537</v>
      </c>
      <c r="N13" s="59">
        <f t="shared" si="3"/>
        <v>79.669669669669645</v>
      </c>
      <c r="O13" s="61">
        <f t="shared" si="4"/>
        <v>0</v>
      </c>
      <c r="P13" s="62">
        <f t="shared" si="5"/>
        <v>-3.6636636636636837</v>
      </c>
      <c r="Q13" s="127">
        <f t="shared" si="6"/>
        <v>0.95603603603603582</v>
      </c>
      <c r="R13" s="566"/>
      <c r="S13" s="63">
        <v>0.2069444444444444</v>
      </c>
      <c r="T13" s="63">
        <v>0.28402777777777777</v>
      </c>
      <c r="U13" s="126">
        <f t="shared" ref="U13:U16" si="18">IF(S13=TIME(17,0,0),"",(S13-T12)*24*60)</f>
        <v>24.99999999999995</v>
      </c>
      <c r="V13" s="132">
        <f t="shared" si="17"/>
        <v>111.00000000000004</v>
      </c>
      <c r="W13" s="64"/>
      <c r="X13" s="64"/>
      <c r="Y13" s="559"/>
      <c r="Z13" s="559"/>
      <c r="AA13" s="61">
        <f t="shared" si="8"/>
        <v>-65.945945945946278</v>
      </c>
      <c r="AB13" s="127">
        <f t="shared" si="9"/>
        <v>0.95603603603603582</v>
      </c>
      <c r="AC13" s="566"/>
    </row>
    <row r="14" spans="1:29" ht="16.5" customHeight="1">
      <c r="A14" s="593" t="s">
        <v>160</v>
      </c>
      <c r="B14" s="134" t="s">
        <v>6</v>
      </c>
      <c r="C14" s="584" t="s">
        <v>95</v>
      </c>
      <c r="D14" s="584"/>
      <c r="E14" s="57">
        <v>50.98</v>
      </c>
      <c r="F14" s="134">
        <v>2191</v>
      </c>
      <c r="G14" s="126">
        <f t="shared" si="15"/>
        <v>111697.18</v>
      </c>
      <c r="H14" s="72" t="s">
        <v>5</v>
      </c>
      <c r="I14" s="131">
        <v>16</v>
      </c>
      <c r="J14" s="58">
        <v>2000</v>
      </c>
      <c r="K14" s="59">
        <f t="shared" si="1"/>
        <v>125</v>
      </c>
      <c r="L14" s="131">
        <v>16</v>
      </c>
      <c r="M14" s="60">
        <f t="shared" si="16"/>
        <v>1905.2173913043459</v>
      </c>
      <c r="N14" s="59">
        <f t="shared" si="3"/>
        <v>119.07608695652162</v>
      </c>
      <c r="O14" s="61">
        <f t="shared" si="4"/>
        <v>0</v>
      </c>
      <c r="P14" s="62">
        <f t="shared" si="5"/>
        <v>-5.9239130434783789</v>
      </c>
      <c r="Q14" s="127">
        <f t="shared" si="6"/>
        <v>0.95260869565217299</v>
      </c>
      <c r="R14" s="566"/>
      <c r="S14" s="63">
        <v>0.70833333333333337</v>
      </c>
      <c r="T14" s="63">
        <v>0.75625000000000009</v>
      </c>
      <c r="U14" s="126" t="str">
        <f t="shared" si="18"/>
        <v/>
      </c>
      <c r="V14" s="132">
        <f t="shared" si="17"/>
        <v>69.000000000000071</v>
      </c>
      <c r="W14" s="64"/>
      <c r="X14" s="64"/>
      <c r="Y14" s="559"/>
      <c r="Z14" s="559"/>
      <c r="AA14" s="61">
        <f t="shared" si="8"/>
        <v>-94.782608695654062</v>
      </c>
      <c r="AB14" s="127">
        <f t="shared" si="9"/>
        <v>0.95260869565217299</v>
      </c>
      <c r="AC14" s="566"/>
    </row>
    <row r="15" spans="1:29" ht="16.5" customHeight="1">
      <c r="A15" s="593" t="s">
        <v>160</v>
      </c>
      <c r="B15" s="134" t="s">
        <v>6</v>
      </c>
      <c r="C15" s="584" t="s">
        <v>18</v>
      </c>
      <c r="D15" s="584"/>
      <c r="E15" s="57">
        <v>50.92</v>
      </c>
      <c r="F15" s="134">
        <v>2168</v>
      </c>
      <c r="G15" s="126">
        <f t="shared" si="15"/>
        <v>110394.56</v>
      </c>
      <c r="H15" s="72" t="s">
        <v>5</v>
      </c>
      <c r="I15" s="131">
        <v>15</v>
      </c>
      <c r="J15" s="58">
        <v>2000</v>
      </c>
      <c r="K15" s="59">
        <f t="shared" si="1"/>
        <v>133.33333333333334</v>
      </c>
      <c r="L15" s="131">
        <v>15</v>
      </c>
      <c r="M15" s="60">
        <f t="shared" si="16"/>
        <v>1912.941176470586</v>
      </c>
      <c r="N15" s="59">
        <f t="shared" si="3"/>
        <v>127.52941176470573</v>
      </c>
      <c r="O15" s="61">
        <f t="shared" si="4"/>
        <v>0</v>
      </c>
      <c r="P15" s="62">
        <f t="shared" si="5"/>
        <v>-5.8039215686276151</v>
      </c>
      <c r="Q15" s="127">
        <f t="shared" si="6"/>
        <v>0.95647058823529285</v>
      </c>
      <c r="R15" s="566"/>
      <c r="S15" s="63">
        <v>0.76180555555555562</v>
      </c>
      <c r="T15" s="63">
        <v>0.8090277777777779</v>
      </c>
      <c r="U15" s="126">
        <f t="shared" si="18"/>
        <v>7.9999999999999716</v>
      </c>
      <c r="V15" s="132">
        <f t="shared" si="17"/>
        <v>68.000000000000085</v>
      </c>
      <c r="W15" s="64"/>
      <c r="X15" s="64"/>
      <c r="Y15" s="559"/>
      <c r="Z15" s="559"/>
      <c r="AA15" s="61">
        <f t="shared" si="8"/>
        <v>-87.058823529413985</v>
      </c>
      <c r="AB15" s="127">
        <f t="shared" si="9"/>
        <v>0.95647058823529296</v>
      </c>
      <c r="AC15" s="566"/>
    </row>
    <row r="16" spans="1:29" ht="16.5" customHeight="1">
      <c r="A16" s="593" t="s">
        <v>160</v>
      </c>
      <c r="B16" s="134" t="s">
        <v>6</v>
      </c>
      <c r="C16" s="584" t="s">
        <v>7</v>
      </c>
      <c r="D16" s="584"/>
      <c r="E16" s="57">
        <v>46.93</v>
      </c>
      <c r="F16" s="134">
        <v>818</v>
      </c>
      <c r="G16" s="126">
        <f t="shared" si="15"/>
        <v>38388.74</v>
      </c>
      <c r="H16" s="72" t="s">
        <v>5</v>
      </c>
      <c r="I16" s="131">
        <v>16</v>
      </c>
      <c r="J16" s="58">
        <v>2000</v>
      </c>
      <c r="K16" s="59">
        <f t="shared" si="1"/>
        <v>125</v>
      </c>
      <c r="L16" s="131">
        <v>16</v>
      </c>
      <c r="M16" s="60">
        <f t="shared" si="16"/>
        <v>1963.1999999999944</v>
      </c>
      <c r="N16" s="59">
        <f t="shared" si="3"/>
        <v>122.69999999999965</v>
      </c>
      <c r="O16" s="61">
        <f t="shared" si="4"/>
        <v>0</v>
      </c>
      <c r="P16" s="62">
        <f t="shared" si="5"/>
        <v>-2.3000000000003524</v>
      </c>
      <c r="Q16" s="127">
        <f t="shared" si="6"/>
        <v>0.98159999999999714</v>
      </c>
      <c r="R16" s="566"/>
      <c r="S16" s="63">
        <v>0.81250000000000011</v>
      </c>
      <c r="T16" s="63">
        <v>0.82986111111111127</v>
      </c>
      <c r="U16" s="126">
        <f t="shared" si="18"/>
        <v>4.9999999999999822</v>
      </c>
      <c r="V16" s="132">
        <f t="shared" si="17"/>
        <v>25.000000000000071</v>
      </c>
      <c r="W16" s="64"/>
      <c r="X16" s="64"/>
      <c r="Y16" s="559"/>
      <c r="Z16" s="559"/>
      <c r="AA16" s="61">
        <f t="shared" si="8"/>
        <v>-36.800000000005639</v>
      </c>
      <c r="AB16" s="127">
        <f t="shared" si="9"/>
        <v>0.98159999999999714</v>
      </c>
      <c r="AC16" s="566"/>
    </row>
    <row r="17" spans="1:29" ht="16.5" customHeight="1">
      <c r="A17" s="593" t="s">
        <v>160</v>
      </c>
      <c r="B17" s="57" t="s">
        <v>159</v>
      </c>
      <c r="C17" s="571"/>
      <c r="D17" s="571"/>
      <c r="E17" s="128"/>
      <c r="F17" s="66"/>
      <c r="G17" s="59"/>
      <c r="H17" s="134"/>
      <c r="I17" s="67">
        <v>18.2</v>
      </c>
      <c r="J17" s="58">
        <v>1800</v>
      </c>
      <c r="K17" s="59">
        <f t="shared" si="1"/>
        <v>98.901098901098905</v>
      </c>
      <c r="L17" s="67">
        <v>18.2</v>
      </c>
      <c r="M17" s="60">
        <f>AVERAGE(M12:M16)</f>
        <v>1730.1792985593443</v>
      </c>
      <c r="N17" s="59">
        <f t="shared" si="3"/>
        <v>95.064796624139802</v>
      </c>
      <c r="O17" s="61">
        <f t="shared" si="4"/>
        <v>0</v>
      </c>
      <c r="P17" s="62">
        <f t="shared" si="5"/>
        <v>-3.8363022769591026</v>
      </c>
      <c r="Q17" s="127">
        <f t="shared" si="6"/>
        <v>0.96121072142185793</v>
      </c>
      <c r="R17" s="566"/>
      <c r="S17" s="63"/>
      <c r="T17" s="63"/>
      <c r="U17" s="126"/>
      <c r="V17" s="132"/>
      <c r="W17" s="59"/>
      <c r="X17" s="59"/>
      <c r="Y17" s="559"/>
      <c r="Z17" s="559"/>
      <c r="AA17" s="61">
        <f t="shared" si="8"/>
        <v>-69.820701440655739</v>
      </c>
      <c r="AB17" s="127">
        <f t="shared" si="9"/>
        <v>0.96121072142185793</v>
      </c>
      <c r="AC17" s="566"/>
    </row>
    <row r="18" spans="1:29" ht="15.75" customHeight="1">
      <c r="A18" s="588" t="s">
        <v>86</v>
      </c>
      <c r="B18" s="57" t="s">
        <v>12</v>
      </c>
      <c r="C18" s="584" t="s">
        <v>19</v>
      </c>
      <c r="D18" s="584"/>
      <c r="E18" s="57">
        <v>43.14</v>
      </c>
      <c r="F18" s="134">
        <v>1186</v>
      </c>
      <c r="G18" s="126">
        <f t="shared" ref="G18:G25" si="19">E18*F18</f>
        <v>51164.04</v>
      </c>
      <c r="H18" s="72" t="s">
        <v>5</v>
      </c>
      <c r="I18" s="131">
        <v>17</v>
      </c>
      <c r="J18" s="58">
        <v>2000</v>
      </c>
      <c r="K18" s="59">
        <f t="shared" si="1"/>
        <v>117.64705882352941</v>
      </c>
      <c r="L18" s="131">
        <v>17</v>
      </c>
      <c r="M18" s="60">
        <f t="shared" ref="M18:M25" si="20">F18/V18*60</f>
        <v>1923.2432432432438</v>
      </c>
      <c r="N18" s="59">
        <f t="shared" si="3"/>
        <v>113.13195548489669</v>
      </c>
      <c r="O18" s="61">
        <f t="shared" si="4"/>
        <v>0</v>
      </c>
      <c r="P18" s="62">
        <f t="shared" si="5"/>
        <v>-4.5151033386327128</v>
      </c>
      <c r="Q18" s="127">
        <f t="shared" si="6"/>
        <v>0.9616216216216219</v>
      </c>
      <c r="R18" s="566">
        <f>Q26</f>
        <v>0.95706402382219657</v>
      </c>
      <c r="S18" s="63">
        <v>0.20833333333333334</v>
      </c>
      <c r="T18" s="63">
        <v>0.23402777777777778</v>
      </c>
      <c r="U18" s="126"/>
      <c r="V18" s="132">
        <f t="shared" ref="V18:V25" si="21">(T18-S18)*24*60</f>
        <v>36.999999999999986</v>
      </c>
      <c r="W18" s="68"/>
      <c r="X18" s="68"/>
      <c r="Y18" s="559"/>
      <c r="Z18" s="559"/>
      <c r="AA18" s="61">
        <f t="shared" si="8"/>
        <v>-76.756756756756204</v>
      </c>
      <c r="AB18" s="127">
        <f t="shared" si="9"/>
        <v>0.9616216216216219</v>
      </c>
      <c r="AC18" s="566">
        <f>AB26</f>
        <v>0.95706402382219669</v>
      </c>
    </row>
    <row r="19" spans="1:29" ht="15.75" customHeight="1">
      <c r="A19" s="589" t="s">
        <v>86</v>
      </c>
      <c r="B19" s="57" t="s">
        <v>65</v>
      </c>
      <c r="C19" s="584" t="s">
        <v>97</v>
      </c>
      <c r="D19" s="584"/>
      <c r="E19" s="57">
        <v>49.9</v>
      </c>
      <c r="F19" s="134">
        <v>1623</v>
      </c>
      <c r="G19" s="126">
        <f t="shared" si="19"/>
        <v>80987.7</v>
      </c>
      <c r="H19" s="72" t="s">
        <v>5</v>
      </c>
      <c r="I19" s="131">
        <v>17</v>
      </c>
      <c r="J19" s="58">
        <v>2000</v>
      </c>
      <c r="K19" s="59">
        <f t="shared" si="1"/>
        <v>117.64705882352941</v>
      </c>
      <c r="L19" s="131">
        <v>17</v>
      </c>
      <c r="M19" s="60">
        <f t="shared" si="20"/>
        <v>1909.4117647058815</v>
      </c>
      <c r="N19" s="59">
        <f t="shared" si="3"/>
        <v>112.31833910034597</v>
      </c>
      <c r="O19" s="61">
        <f t="shared" si="4"/>
        <v>0</v>
      </c>
      <c r="P19" s="62">
        <f t="shared" si="5"/>
        <v>-5.3287197231834398</v>
      </c>
      <c r="Q19" s="127">
        <f t="shared" si="6"/>
        <v>0.95470588235294074</v>
      </c>
      <c r="R19" s="566"/>
      <c r="S19" s="63">
        <v>0.2388888888888889</v>
      </c>
      <c r="T19" s="63">
        <v>0.27430555555555558</v>
      </c>
      <c r="U19" s="126">
        <f t="shared" ref="U19:U25" si="22">IF(S19=TIME(17,0,0),"",(S19-T18)*24*60)</f>
        <v>7.0000000000000151</v>
      </c>
      <c r="V19" s="132">
        <f t="shared" si="21"/>
        <v>51.000000000000021</v>
      </c>
      <c r="W19" s="64"/>
      <c r="X19" s="126"/>
      <c r="Y19" s="559"/>
      <c r="Z19" s="559"/>
      <c r="AA19" s="61">
        <f t="shared" si="8"/>
        <v>-90.588235294118476</v>
      </c>
      <c r="AB19" s="127">
        <f t="shared" si="9"/>
        <v>0.95470588235294074</v>
      </c>
      <c r="AC19" s="566"/>
    </row>
    <row r="20" spans="1:29" ht="15.75" customHeight="1">
      <c r="A20" s="589" t="s">
        <v>86</v>
      </c>
      <c r="B20" s="57" t="s">
        <v>6</v>
      </c>
      <c r="C20" s="584" t="s">
        <v>20</v>
      </c>
      <c r="D20" s="584"/>
      <c r="E20" s="57">
        <v>57.73</v>
      </c>
      <c r="F20" s="134">
        <v>2159</v>
      </c>
      <c r="G20" s="126">
        <f t="shared" si="19"/>
        <v>124639.06999999999</v>
      </c>
      <c r="H20" s="72" t="s">
        <v>5</v>
      </c>
      <c r="I20" s="131">
        <v>14</v>
      </c>
      <c r="J20" s="58">
        <v>2000</v>
      </c>
      <c r="K20" s="59">
        <f t="shared" si="1"/>
        <v>142.85714285714286</v>
      </c>
      <c r="L20" s="131">
        <v>14</v>
      </c>
      <c r="M20" s="60">
        <f t="shared" si="20"/>
        <v>1905</v>
      </c>
      <c r="N20" s="59">
        <f t="shared" si="3"/>
        <v>136.07142857142858</v>
      </c>
      <c r="O20" s="61">
        <f t="shared" si="4"/>
        <v>0</v>
      </c>
      <c r="P20" s="62">
        <f t="shared" si="5"/>
        <v>-6.7857142857142776</v>
      </c>
      <c r="Q20" s="127">
        <f t="shared" si="6"/>
        <v>0.95250000000000001</v>
      </c>
      <c r="R20" s="566"/>
      <c r="S20" s="63">
        <v>0.27777777777777779</v>
      </c>
      <c r="T20" s="63">
        <v>0.32500000000000001</v>
      </c>
      <c r="U20" s="126">
        <f t="shared" si="22"/>
        <v>4.9999999999999822</v>
      </c>
      <c r="V20" s="132">
        <f t="shared" si="21"/>
        <v>68</v>
      </c>
      <c r="W20" s="64"/>
      <c r="X20" s="126"/>
      <c r="Y20" s="559"/>
      <c r="Z20" s="559"/>
      <c r="AA20" s="61">
        <f t="shared" si="8"/>
        <v>-95</v>
      </c>
      <c r="AB20" s="127">
        <f t="shared" si="9"/>
        <v>0.95250000000000001</v>
      </c>
      <c r="AC20" s="566"/>
    </row>
    <row r="21" spans="1:29" ht="15.75" customHeight="1">
      <c r="A21" s="589" t="s">
        <v>86</v>
      </c>
      <c r="B21" s="57" t="s">
        <v>6</v>
      </c>
      <c r="C21" s="584" t="s">
        <v>21</v>
      </c>
      <c r="D21" s="584"/>
      <c r="E21" s="57">
        <v>53.68</v>
      </c>
      <c r="F21" s="134">
        <v>1505</v>
      </c>
      <c r="G21" s="126">
        <f t="shared" si="19"/>
        <v>80788.399999999994</v>
      </c>
      <c r="H21" s="72" t="s">
        <v>5</v>
      </c>
      <c r="I21" s="131">
        <v>16</v>
      </c>
      <c r="J21" s="58">
        <v>2000</v>
      </c>
      <c r="K21" s="59">
        <f t="shared" si="1"/>
        <v>125</v>
      </c>
      <c r="L21" s="131">
        <v>16</v>
      </c>
      <c r="M21" s="60">
        <f t="shared" si="20"/>
        <v>1921.2765957446813</v>
      </c>
      <c r="N21" s="59">
        <f t="shared" si="3"/>
        <v>120.07978723404258</v>
      </c>
      <c r="O21" s="61">
        <f t="shared" si="4"/>
        <v>0</v>
      </c>
      <c r="P21" s="62">
        <f t="shared" si="5"/>
        <v>-4.920212765957416</v>
      </c>
      <c r="Q21" s="127">
        <f t="shared" si="6"/>
        <v>0.96063829787234067</v>
      </c>
      <c r="R21" s="566"/>
      <c r="S21" s="63">
        <v>0.3298611111111111</v>
      </c>
      <c r="T21" s="63">
        <v>0.36249999999999999</v>
      </c>
      <c r="U21" s="126">
        <f t="shared" si="22"/>
        <v>6.9999999999999751</v>
      </c>
      <c r="V21" s="132">
        <f t="shared" si="21"/>
        <v>46.999999999999993</v>
      </c>
      <c r="W21" s="64"/>
      <c r="X21" s="126"/>
      <c r="Y21" s="559"/>
      <c r="Z21" s="559"/>
      <c r="AA21" s="61">
        <f t="shared" si="8"/>
        <v>-78.723404255318655</v>
      </c>
      <c r="AB21" s="127">
        <f t="shared" si="9"/>
        <v>0.96063829787234067</v>
      </c>
      <c r="AC21" s="566"/>
    </row>
    <row r="22" spans="1:29" ht="15.75" customHeight="1">
      <c r="A22" s="589" t="s">
        <v>86</v>
      </c>
      <c r="B22" s="57" t="s">
        <v>6</v>
      </c>
      <c r="C22" s="584" t="s">
        <v>96</v>
      </c>
      <c r="D22" s="584"/>
      <c r="E22" s="57">
        <v>49.91</v>
      </c>
      <c r="F22" s="134">
        <v>1403</v>
      </c>
      <c r="G22" s="126">
        <f t="shared" si="19"/>
        <v>70023.73</v>
      </c>
      <c r="H22" s="72" t="s">
        <v>5</v>
      </c>
      <c r="I22" s="131">
        <v>17</v>
      </c>
      <c r="J22" s="58">
        <v>2000</v>
      </c>
      <c r="K22" s="59">
        <f t="shared" si="1"/>
        <v>117.64705882352941</v>
      </c>
      <c r="L22" s="131">
        <v>17</v>
      </c>
      <c r="M22" s="60">
        <f t="shared" si="20"/>
        <v>1913.1818181818182</v>
      </c>
      <c r="N22" s="59">
        <f t="shared" si="3"/>
        <v>112.54010695187166</v>
      </c>
      <c r="O22" s="61">
        <f t="shared" si="4"/>
        <v>0</v>
      </c>
      <c r="P22" s="62">
        <f t="shared" si="5"/>
        <v>-5.106951871657742</v>
      </c>
      <c r="Q22" s="127">
        <f t="shared" si="6"/>
        <v>0.95659090909090916</v>
      </c>
      <c r="R22" s="566"/>
      <c r="S22" s="63">
        <v>0.36666666666666664</v>
      </c>
      <c r="T22" s="63">
        <v>0.3972222222222222</v>
      </c>
      <c r="U22" s="126">
        <f t="shared" si="22"/>
        <v>5.9999999999999787</v>
      </c>
      <c r="V22" s="132">
        <f t="shared" si="21"/>
        <v>44</v>
      </c>
      <c r="W22" s="64"/>
      <c r="X22" s="126"/>
      <c r="Y22" s="559"/>
      <c r="Z22" s="559"/>
      <c r="AA22" s="61">
        <f t="shared" si="8"/>
        <v>-86.818181818181756</v>
      </c>
      <c r="AB22" s="127">
        <f t="shared" si="9"/>
        <v>0.95659090909090916</v>
      </c>
      <c r="AC22" s="566"/>
    </row>
    <row r="23" spans="1:29" ht="15.75" customHeight="1">
      <c r="A23" s="589" t="s">
        <v>86</v>
      </c>
      <c r="B23" s="57" t="s">
        <v>6</v>
      </c>
      <c r="C23" s="584" t="s">
        <v>22</v>
      </c>
      <c r="D23" s="584"/>
      <c r="E23" s="57">
        <v>54.09</v>
      </c>
      <c r="F23" s="134">
        <v>1434</v>
      </c>
      <c r="G23" s="126">
        <f t="shared" si="19"/>
        <v>77565.06</v>
      </c>
      <c r="H23" s="72" t="s">
        <v>5</v>
      </c>
      <c r="I23" s="131">
        <v>19</v>
      </c>
      <c r="J23" s="58">
        <v>2000</v>
      </c>
      <c r="K23" s="59">
        <f t="shared" si="1"/>
        <v>105.26315789473684</v>
      </c>
      <c r="L23" s="131">
        <v>19</v>
      </c>
      <c r="M23" s="60">
        <f t="shared" si="20"/>
        <v>1912</v>
      </c>
      <c r="N23" s="59">
        <f t="shared" si="3"/>
        <v>100.63157894736842</v>
      </c>
      <c r="O23" s="61">
        <f t="shared" si="4"/>
        <v>0</v>
      </c>
      <c r="P23" s="62">
        <f t="shared" si="5"/>
        <v>-4.6315789473684106</v>
      </c>
      <c r="Q23" s="127">
        <f t="shared" si="6"/>
        <v>0.95600000000000007</v>
      </c>
      <c r="R23" s="566"/>
      <c r="S23" s="63">
        <v>0.70833333333333337</v>
      </c>
      <c r="T23" s="63">
        <v>0.73958333333333337</v>
      </c>
      <c r="U23" s="126" t="str">
        <f t="shared" si="22"/>
        <v/>
      </c>
      <c r="V23" s="132">
        <f t="shared" si="21"/>
        <v>45</v>
      </c>
      <c r="W23" s="64"/>
      <c r="X23" s="68"/>
      <c r="Y23" s="559"/>
      <c r="Z23" s="559"/>
      <c r="AA23" s="61">
        <f t="shared" si="8"/>
        <v>-88</v>
      </c>
      <c r="AB23" s="127">
        <f t="shared" si="9"/>
        <v>0.95599999999999996</v>
      </c>
      <c r="AC23" s="566"/>
    </row>
    <row r="24" spans="1:29" ht="15.75" customHeight="1">
      <c r="A24" s="589" t="s">
        <v>86</v>
      </c>
      <c r="B24" s="57" t="s">
        <v>6</v>
      </c>
      <c r="C24" s="584" t="s">
        <v>69</v>
      </c>
      <c r="D24" s="584"/>
      <c r="E24" s="57">
        <v>57.73</v>
      </c>
      <c r="F24" s="134">
        <v>1360</v>
      </c>
      <c r="G24" s="126">
        <f t="shared" si="19"/>
        <v>78512.800000000003</v>
      </c>
      <c r="H24" s="72" t="s">
        <v>5</v>
      </c>
      <c r="I24" s="131">
        <v>16</v>
      </c>
      <c r="J24" s="58">
        <v>1500</v>
      </c>
      <c r="K24" s="59">
        <f t="shared" si="1"/>
        <v>93.75</v>
      </c>
      <c r="L24" s="131">
        <v>16</v>
      </c>
      <c r="M24" s="60">
        <f t="shared" si="20"/>
        <v>1431.5789473684222</v>
      </c>
      <c r="N24" s="59">
        <f t="shared" si="3"/>
        <v>89.473684210526386</v>
      </c>
      <c r="O24" s="61">
        <f t="shared" si="4"/>
        <v>0</v>
      </c>
      <c r="P24" s="62">
        <f t="shared" si="5"/>
        <v>-4.2763157894736139</v>
      </c>
      <c r="Q24" s="127">
        <f t="shared" si="6"/>
        <v>0.95438596491228145</v>
      </c>
      <c r="R24" s="566"/>
      <c r="S24" s="63">
        <v>0.74305555555555558</v>
      </c>
      <c r="T24" s="63">
        <v>0.78263888888888888</v>
      </c>
      <c r="U24" s="126">
        <f t="shared" si="22"/>
        <v>4.9999999999999822</v>
      </c>
      <c r="V24" s="132">
        <f t="shared" si="21"/>
        <v>56.999999999999957</v>
      </c>
      <c r="W24" s="64"/>
      <c r="X24" s="68"/>
      <c r="Y24" s="569"/>
      <c r="Z24" s="570"/>
      <c r="AA24" s="61">
        <f t="shared" si="8"/>
        <v>-68.421052631577822</v>
      </c>
      <c r="AB24" s="127">
        <f t="shared" si="9"/>
        <v>0.95438596491228145</v>
      </c>
      <c r="AC24" s="566"/>
    </row>
    <row r="25" spans="1:29" ht="15.75" customHeight="1">
      <c r="A25" s="589" t="s">
        <v>86</v>
      </c>
      <c r="B25" s="57" t="s">
        <v>6</v>
      </c>
      <c r="C25" s="585" t="s">
        <v>68</v>
      </c>
      <c r="D25" s="586"/>
      <c r="E25" s="57">
        <v>50.67</v>
      </c>
      <c r="F25" s="134">
        <v>1599</v>
      </c>
      <c r="G25" s="126">
        <f t="shared" si="19"/>
        <v>81021.33</v>
      </c>
      <c r="H25" s="72" t="s">
        <v>5</v>
      </c>
      <c r="I25" s="131">
        <v>15</v>
      </c>
      <c r="J25" s="58">
        <v>2000</v>
      </c>
      <c r="K25" s="59">
        <f t="shared" si="1"/>
        <v>133.33333333333334</v>
      </c>
      <c r="L25" s="131">
        <v>15</v>
      </c>
      <c r="M25" s="60">
        <f t="shared" si="20"/>
        <v>1918.8000000000004</v>
      </c>
      <c r="N25" s="59">
        <f t="shared" si="3"/>
        <v>127.92000000000003</v>
      </c>
      <c r="O25" s="61">
        <f t="shared" si="4"/>
        <v>0</v>
      </c>
      <c r="P25" s="62">
        <f t="shared" si="5"/>
        <v>-5.4133333333333127</v>
      </c>
      <c r="Q25" s="127">
        <f t="shared" si="6"/>
        <v>0.95940000000000014</v>
      </c>
      <c r="R25" s="566"/>
      <c r="S25" s="63">
        <v>0.78611111111111109</v>
      </c>
      <c r="T25" s="63">
        <v>0.8208333333333333</v>
      </c>
      <c r="U25" s="126">
        <f t="shared" si="22"/>
        <v>4.9999999999999822</v>
      </c>
      <c r="V25" s="132">
        <f t="shared" si="21"/>
        <v>49.999999999999986</v>
      </c>
      <c r="W25" s="64"/>
      <c r="X25" s="64"/>
      <c r="Y25" s="569"/>
      <c r="Z25" s="570"/>
      <c r="AA25" s="61">
        <f t="shared" si="8"/>
        <v>-81.199999999999591</v>
      </c>
      <c r="AB25" s="127">
        <f t="shared" si="9"/>
        <v>0.95940000000000025</v>
      </c>
      <c r="AC25" s="566"/>
    </row>
    <row r="26" spans="1:29" ht="15.75" customHeight="1">
      <c r="A26" s="589" t="s">
        <v>86</v>
      </c>
      <c r="B26" s="57" t="s">
        <v>159</v>
      </c>
      <c r="C26" s="571"/>
      <c r="D26" s="571"/>
      <c r="E26" s="128"/>
      <c r="F26" s="134"/>
      <c r="G26" s="126"/>
      <c r="H26" s="134"/>
      <c r="I26" s="67">
        <v>16.375</v>
      </c>
      <c r="J26" s="58">
        <v>1937.5</v>
      </c>
      <c r="K26" s="59">
        <f t="shared" si="1"/>
        <v>118.32061068702291</v>
      </c>
      <c r="L26" s="67">
        <v>16.375</v>
      </c>
      <c r="M26" s="60">
        <f>AVERAGE(M18:M25)</f>
        <v>1854.311546155506</v>
      </c>
      <c r="N26" s="59">
        <f t="shared" si="3"/>
        <v>113.24039976522174</v>
      </c>
      <c r="O26" s="61">
        <f t="shared" si="4"/>
        <v>0</v>
      </c>
      <c r="P26" s="62">
        <f t="shared" si="5"/>
        <v>-5.080210921801168</v>
      </c>
      <c r="Q26" s="127">
        <f t="shared" si="6"/>
        <v>0.95706402382219657</v>
      </c>
      <c r="R26" s="566"/>
      <c r="S26" s="63"/>
      <c r="T26" s="63"/>
      <c r="U26" s="59"/>
      <c r="V26" s="132"/>
      <c r="W26" s="59"/>
      <c r="X26" s="59"/>
      <c r="Y26" s="559"/>
      <c r="Z26" s="559"/>
      <c r="AA26" s="61">
        <f t="shared" si="8"/>
        <v>-83.188453844494006</v>
      </c>
      <c r="AB26" s="127">
        <f t="shared" si="9"/>
        <v>0.95706402382219669</v>
      </c>
      <c r="AC26" s="566"/>
    </row>
    <row r="27" spans="1:29" ht="15.75" customHeight="1">
      <c r="A27" s="587" t="s">
        <v>87</v>
      </c>
      <c r="B27" s="57" t="s">
        <v>15</v>
      </c>
      <c r="C27" s="584" t="s">
        <v>26</v>
      </c>
      <c r="D27" s="584"/>
      <c r="E27" s="57">
        <v>31.29</v>
      </c>
      <c r="F27" s="134">
        <v>4800</v>
      </c>
      <c r="G27" s="126">
        <f t="shared" ref="G27:G33" si="23">E27*F27</f>
        <v>150192</v>
      </c>
      <c r="H27" s="72">
        <v>2</v>
      </c>
      <c r="I27" s="131">
        <v>18</v>
      </c>
      <c r="J27" s="58">
        <v>2400</v>
      </c>
      <c r="K27" s="59">
        <f t="shared" si="1"/>
        <v>133.33333333333334</v>
      </c>
      <c r="L27" s="131">
        <v>18</v>
      </c>
      <c r="M27" s="60">
        <f t="shared" ref="M27:M33" si="24">F27/V27*60</f>
        <v>2285.7142857142858</v>
      </c>
      <c r="N27" s="59">
        <f t="shared" si="3"/>
        <v>126.98412698412699</v>
      </c>
      <c r="O27" s="61">
        <f t="shared" si="4"/>
        <v>0</v>
      </c>
      <c r="P27" s="62">
        <f t="shared" si="5"/>
        <v>-6.3492063492063551</v>
      </c>
      <c r="Q27" s="127">
        <f t="shared" si="6"/>
        <v>0.95238095238095233</v>
      </c>
      <c r="R27" s="566">
        <f>Q34</f>
        <v>0.95638838751060029</v>
      </c>
      <c r="S27" s="63">
        <v>8.3333333333333329E-2</v>
      </c>
      <c r="T27" s="63">
        <v>0.17083333333333334</v>
      </c>
      <c r="U27" s="126"/>
      <c r="V27" s="132">
        <f t="shared" ref="V27:V33" si="25">(T27-S27)*24*60</f>
        <v>126</v>
      </c>
      <c r="W27" s="64">
        <f>T27</f>
        <v>0.17083333333333334</v>
      </c>
      <c r="X27" s="64">
        <f>S28</f>
        <v>0.19166666666666668</v>
      </c>
      <c r="Y27" s="559"/>
      <c r="Z27" s="559"/>
      <c r="AA27" s="61">
        <f t="shared" si="8"/>
        <v>-114.28571428571422</v>
      </c>
      <c r="AB27" s="127">
        <f t="shared" si="9"/>
        <v>0.95238095238095244</v>
      </c>
      <c r="AC27" s="566">
        <f>AB34</f>
        <v>0.95638838751060029</v>
      </c>
    </row>
    <row r="28" spans="1:29" ht="15.75" customHeight="1">
      <c r="A28" s="587" t="s">
        <v>87</v>
      </c>
      <c r="B28" s="57" t="s">
        <v>15</v>
      </c>
      <c r="C28" s="584" t="s">
        <v>23</v>
      </c>
      <c r="D28" s="584"/>
      <c r="E28" s="57">
        <v>26.2</v>
      </c>
      <c r="F28" s="134">
        <v>3000</v>
      </c>
      <c r="G28" s="126">
        <f t="shared" si="23"/>
        <v>78600</v>
      </c>
      <c r="H28" s="72">
        <v>2</v>
      </c>
      <c r="I28" s="131">
        <v>20</v>
      </c>
      <c r="J28" s="58">
        <v>2400</v>
      </c>
      <c r="K28" s="59">
        <f t="shared" si="1"/>
        <v>120</v>
      </c>
      <c r="L28" s="131">
        <v>20</v>
      </c>
      <c r="M28" s="60">
        <f t="shared" si="24"/>
        <v>2307.6923076923076</v>
      </c>
      <c r="N28" s="59">
        <f t="shared" si="3"/>
        <v>115.38461538461539</v>
      </c>
      <c r="O28" s="61">
        <f t="shared" si="4"/>
        <v>0</v>
      </c>
      <c r="P28" s="62">
        <f t="shared" si="5"/>
        <v>-4.6153846153846132</v>
      </c>
      <c r="Q28" s="127">
        <f t="shared" si="6"/>
        <v>0.96153846153846156</v>
      </c>
      <c r="R28" s="566"/>
      <c r="S28" s="63">
        <v>0.19166666666666668</v>
      </c>
      <c r="T28" s="63">
        <v>0.24583333333333335</v>
      </c>
      <c r="U28" s="126">
        <f t="shared" ref="U28:U33" si="26">(S28-T27)*24*60</f>
        <v>30.000000000000014</v>
      </c>
      <c r="V28" s="132">
        <f t="shared" si="25"/>
        <v>78</v>
      </c>
      <c r="W28" s="64"/>
      <c r="X28" s="64"/>
      <c r="Y28" s="559"/>
      <c r="Z28" s="559"/>
      <c r="AA28" s="61">
        <f t="shared" si="8"/>
        <v>-92.307692307692378</v>
      </c>
      <c r="AB28" s="127">
        <f t="shared" si="9"/>
        <v>0.96153846153846156</v>
      </c>
      <c r="AC28" s="566"/>
    </row>
    <row r="29" spans="1:29" ht="15.75" customHeight="1">
      <c r="A29" s="587" t="s">
        <v>87</v>
      </c>
      <c r="B29" s="57" t="s">
        <v>15</v>
      </c>
      <c r="C29" s="584" t="s">
        <v>70</v>
      </c>
      <c r="D29" s="584"/>
      <c r="E29" s="57">
        <v>25.99</v>
      </c>
      <c r="F29" s="134">
        <v>4842</v>
      </c>
      <c r="G29" s="126">
        <f t="shared" si="23"/>
        <v>125843.57999999999</v>
      </c>
      <c r="H29" s="72" t="s">
        <v>5</v>
      </c>
      <c r="I29" s="131">
        <v>14</v>
      </c>
      <c r="J29" s="58">
        <v>2400</v>
      </c>
      <c r="K29" s="59">
        <f t="shared" si="1"/>
        <v>171.42857142857142</v>
      </c>
      <c r="L29" s="131">
        <v>14</v>
      </c>
      <c r="M29" s="60">
        <f t="shared" si="24"/>
        <v>2287.5590551181099</v>
      </c>
      <c r="N29" s="59">
        <f t="shared" si="3"/>
        <v>163.39707536557927</v>
      </c>
      <c r="O29" s="61">
        <f t="shared" si="4"/>
        <v>0</v>
      </c>
      <c r="P29" s="62">
        <f t="shared" si="5"/>
        <v>-8.0314960629921472</v>
      </c>
      <c r="Q29" s="127">
        <f t="shared" si="6"/>
        <v>0.95314960629921253</v>
      </c>
      <c r="R29" s="566"/>
      <c r="S29" s="63">
        <v>0.24930555555555556</v>
      </c>
      <c r="T29" s="63">
        <v>0.33750000000000002</v>
      </c>
      <c r="U29" s="126">
        <f t="shared" si="26"/>
        <v>4.9999999999999822</v>
      </c>
      <c r="V29" s="132">
        <f t="shared" si="25"/>
        <v>127.00000000000003</v>
      </c>
      <c r="W29" s="64"/>
      <c r="X29" s="64"/>
      <c r="Y29" s="559"/>
      <c r="Z29" s="559"/>
      <c r="AA29" s="61">
        <f t="shared" si="8"/>
        <v>-112.44094488189012</v>
      </c>
      <c r="AB29" s="127">
        <f t="shared" si="9"/>
        <v>0.95314960629921242</v>
      </c>
      <c r="AC29" s="566"/>
    </row>
    <row r="30" spans="1:29" ht="15.75" customHeight="1">
      <c r="A30" s="587" t="s">
        <v>87</v>
      </c>
      <c r="B30" s="57" t="s">
        <v>15</v>
      </c>
      <c r="C30" s="584" t="s">
        <v>45</v>
      </c>
      <c r="D30" s="584"/>
      <c r="E30" s="57">
        <v>20.52</v>
      </c>
      <c r="F30" s="134">
        <v>4481</v>
      </c>
      <c r="G30" s="126">
        <f t="shared" si="23"/>
        <v>91950.12</v>
      </c>
      <c r="H30" s="72" t="s">
        <v>5</v>
      </c>
      <c r="I30" s="131">
        <v>18</v>
      </c>
      <c r="J30" s="58">
        <v>2400</v>
      </c>
      <c r="K30" s="59">
        <f t="shared" si="1"/>
        <v>133.33333333333334</v>
      </c>
      <c r="L30" s="131">
        <v>18</v>
      </c>
      <c r="M30" s="60">
        <f t="shared" si="24"/>
        <v>2297.9487179487182</v>
      </c>
      <c r="N30" s="59">
        <f t="shared" si="3"/>
        <v>127.66381766381768</v>
      </c>
      <c r="O30" s="61">
        <f t="shared" si="4"/>
        <v>0</v>
      </c>
      <c r="P30" s="62">
        <f t="shared" si="5"/>
        <v>-5.6695156695156612</v>
      </c>
      <c r="Q30" s="127">
        <f t="shared" si="6"/>
        <v>0.95747863247863252</v>
      </c>
      <c r="R30" s="566"/>
      <c r="S30" s="63">
        <v>0.34166666666666667</v>
      </c>
      <c r="T30" s="63">
        <v>0.42291666666666666</v>
      </c>
      <c r="U30" s="126">
        <f t="shared" si="26"/>
        <v>5.9999999999999787</v>
      </c>
      <c r="V30" s="132">
        <f t="shared" si="25"/>
        <v>116.99999999999999</v>
      </c>
      <c r="W30" s="64"/>
      <c r="X30" s="64"/>
      <c r="Y30" s="559"/>
      <c r="Z30" s="559"/>
      <c r="AA30" s="61">
        <f t="shared" si="8"/>
        <v>-102.05128205128176</v>
      </c>
      <c r="AB30" s="127">
        <f t="shared" si="9"/>
        <v>0.95747863247863263</v>
      </c>
      <c r="AC30" s="566"/>
    </row>
    <row r="31" spans="1:29" ht="15.75" customHeight="1">
      <c r="A31" s="587" t="s">
        <v>87</v>
      </c>
      <c r="B31" s="57" t="s">
        <v>15</v>
      </c>
      <c r="C31" s="584" t="s">
        <v>98</v>
      </c>
      <c r="D31" s="584"/>
      <c r="E31" s="57">
        <v>25.98</v>
      </c>
      <c r="F31" s="134">
        <v>4552</v>
      </c>
      <c r="G31" s="126">
        <f t="shared" si="23"/>
        <v>118260.96</v>
      </c>
      <c r="H31" s="72" t="s">
        <v>5</v>
      </c>
      <c r="I31" s="131">
        <v>21</v>
      </c>
      <c r="J31" s="58">
        <v>2400</v>
      </c>
      <c r="K31" s="59">
        <f t="shared" si="1"/>
        <v>114.28571428571429</v>
      </c>
      <c r="L31" s="131">
        <v>21</v>
      </c>
      <c r="M31" s="60">
        <f t="shared" si="24"/>
        <v>2295.1260504201682</v>
      </c>
      <c r="N31" s="59">
        <f t="shared" si="3"/>
        <v>109.29171668667468</v>
      </c>
      <c r="O31" s="61">
        <f t="shared" si="4"/>
        <v>0</v>
      </c>
      <c r="P31" s="62">
        <f t="shared" si="5"/>
        <v>-4.9939975990396164</v>
      </c>
      <c r="Q31" s="127">
        <f t="shared" si="6"/>
        <v>0.95630252100840341</v>
      </c>
      <c r="R31" s="566"/>
      <c r="S31" s="63">
        <v>0.4284722222222222</v>
      </c>
      <c r="T31" s="63">
        <v>0.51111111111111107</v>
      </c>
      <c r="U31" s="126">
        <f t="shared" si="26"/>
        <v>7.9999999999999716</v>
      </c>
      <c r="V31" s="132">
        <f t="shared" si="25"/>
        <v>118.99999999999997</v>
      </c>
      <c r="W31" s="64">
        <f>T31</f>
        <v>0.51111111111111107</v>
      </c>
      <c r="X31" s="64">
        <f>S32</f>
        <v>0.55138888888888882</v>
      </c>
      <c r="Y31" s="559"/>
      <c r="Z31" s="559"/>
      <c r="AA31" s="61">
        <f t="shared" si="8"/>
        <v>-104.87394957983179</v>
      </c>
      <c r="AB31" s="127">
        <f t="shared" si="9"/>
        <v>0.95630252100840341</v>
      </c>
      <c r="AC31" s="566"/>
    </row>
    <row r="32" spans="1:29" ht="15.75" customHeight="1">
      <c r="A32" s="587" t="s">
        <v>87</v>
      </c>
      <c r="B32" s="57" t="s">
        <v>15</v>
      </c>
      <c r="C32" s="584" t="s">
        <v>26</v>
      </c>
      <c r="D32" s="584"/>
      <c r="E32" s="57">
        <v>31.29</v>
      </c>
      <c r="F32" s="134">
        <v>3495</v>
      </c>
      <c r="G32" s="126">
        <f t="shared" si="23"/>
        <v>109358.55</v>
      </c>
      <c r="H32" s="72" t="s">
        <v>5</v>
      </c>
      <c r="I32" s="131">
        <v>18</v>
      </c>
      <c r="J32" s="58">
        <v>2400</v>
      </c>
      <c r="K32" s="59">
        <f t="shared" si="1"/>
        <v>133.33333333333334</v>
      </c>
      <c r="L32" s="131">
        <v>18</v>
      </c>
      <c r="M32" s="60">
        <f t="shared" si="24"/>
        <v>2304.3956043956046</v>
      </c>
      <c r="N32" s="59">
        <f t="shared" si="3"/>
        <v>128.02197802197804</v>
      </c>
      <c r="O32" s="61">
        <f t="shared" si="4"/>
        <v>0</v>
      </c>
      <c r="P32" s="62">
        <f t="shared" si="5"/>
        <v>-5.3113553113552996</v>
      </c>
      <c r="Q32" s="127">
        <f t="shared" si="6"/>
        <v>0.96016483516483531</v>
      </c>
      <c r="R32" s="566"/>
      <c r="S32" s="63">
        <v>0.55138888888888882</v>
      </c>
      <c r="T32" s="63">
        <v>0.61458333333333326</v>
      </c>
      <c r="U32" s="126">
        <f t="shared" si="26"/>
        <v>57.999999999999957</v>
      </c>
      <c r="V32" s="132">
        <f t="shared" si="25"/>
        <v>91</v>
      </c>
      <c r="W32" s="64"/>
      <c r="X32" s="64"/>
      <c r="Y32" s="559"/>
      <c r="Z32" s="559"/>
      <c r="AA32" s="61">
        <f t="shared" si="8"/>
        <v>-95.604395604395449</v>
      </c>
      <c r="AB32" s="127">
        <f t="shared" si="9"/>
        <v>0.9601648351648352</v>
      </c>
      <c r="AC32" s="566"/>
    </row>
    <row r="33" spans="1:29" ht="15.75" customHeight="1">
      <c r="A33" s="587" t="s">
        <v>87</v>
      </c>
      <c r="B33" s="57" t="s">
        <v>15</v>
      </c>
      <c r="C33" s="584" t="s">
        <v>23</v>
      </c>
      <c r="D33" s="584"/>
      <c r="E33" s="57">
        <v>26.2</v>
      </c>
      <c r="F33" s="134">
        <v>2060</v>
      </c>
      <c r="G33" s="126">
        <f t="shared" si="23"/>
        <v>53972</v>
      </c>
      <c r="H33" s="72" t="s">
        <v>5</v>
      </c>
      <c r="I33" s="131">
        <v>20</v>
      </c>
      <c r="J33" s="58">
        <v>2400</v>
      </c>
      <c r="K33" s="59">
        <f t="shared" si="1"/>
        <v>120</v>
      </c>
      <c r="L33" s="131">
        <v>20</v>
      </c>
      <c r="M33" s="60">
        <f t="shared" si="24"/>
        <v>2288.8888888888901</v>
      </c>
      <c r="N33" s="59">
        <f t="shared" si="3"/>
        <v>114.4444444444445</v>
      </c>
      <c r="O33" s="61">
        <f t="shared" si="4"/>
        <v>0</v>
      </c>
      <c r="P33" s="62">
        <f t="shared" si="5"/>
        <v>-5.5555555555555003</v>
      </c>
      <c r="Q33" s="127">
        <f t="shared" si="6"/>
        <v>0.95370370370370416</v>
      </c>
      <c r="R33" s="566"/>
      <c r="S33" s="63">
        <v>0.6201388888888888</v>
      </c>
      <c r="T33" s="63">
        <v>0.65763888888888877</v>
      </c>
      <c r="U33" s="126">
        <f t="shared" si="26"/>
        <v>7.9999999999999716</v>
      </c>
      <c r="V33" s="132">
        <f t="shared" si="25"/>
        <v>53.999999999999972</v>
      </c>
      <c r="W33" s="64"/>
      <c r="X33" s="64"/>
      <c r="Y33" s="559"/>
      <c r="Z33" s="559"/>
      <c r="AA33" s="61">
        <f t="shared" si="8"/>
        <v>-111.11111111110995</v>
      </c>
      <c r="AB33" s="127">
        <f t="shared" si="9"/>
        <v>0.95370370370370416</v>
      </c>
      <c r="AC33" s="566"/>
    </row>
    <row r="34" spans="1:29" ht="15.75" customHeight="1">
      <c r="A34" s="587" t="s">
        <v>87</v>
      </c>
      <c r="B34" s="57" t="s">
        <v>159</v>
      </c>
      <c r="C34" s="571"/>
      <c r="D34" s="571"/>
      <c r="E34" s="128"/>
      <c r="F34" s="134"/>
      <c r="G34" s="126"/>
      <c r="H34" s="134"/>
      <c r="I34" s="67">
        <v>18.428571428571427</v>
      </c>
      <c r="J34" s="58">
        <v>2400</v>
      </c>
      <c r="K34" s="59">
        <f t="shared" si="1"/>
        <v>130.23255813953489</v>
      </c>
      <c r="L34" s="67">
        <v>18.428571428571427</v>
      </c>
      <c r="M34" s="60">
        <f>AVERAGE(M27:M33)</f>
        <v>2295.3321300254406</v>
      </c>
      <c r="N34" s="59">
        <f t="shared" si="3"/>
        <v>124.55290628045027</v>
      </c>
      <c r="O34" s="61">
        <f t="shared" si="4"/>
        <v>0</v>
      </c>
      <c r="P34" s="62">
        <f t="shared" si="5"/>
        <v>-5.6796518590846148</v>
      </c>
      <c r="Q34" s="127">
        <f t="shared" si="6"/>
        <v>0.95638838751060029</v>
      </c>
      <c r="R34" s="566"/>
      <c r="S34" s="63"/>
      <c r="T34" s="63"/>
      <c r="U34" s="126"/>
      <c r="V34" s="132"/>
      <c r="W34" s="126"/>
      <c r="X34" s="126"/>
      <c r="Y34" s="559"/>
      <c r="Z34" s="559"/>
      <c r="AA34" s="61">
        <f t="shared" si="8"/>
        <v>-104.66786997455938</v>
      </c>
      <c r="AB34" s="127">
        <f t="shared" si="9"/>
        <v>0.95638838751060029</v>
      </c>
      <c r="AC34" s="566"/>
    </row>
    <row r="35" spans="1:29" ht="15.75" customHeight="1">
      <c r="A35" s="582" t="s">
        <v>88</v>
      </c>
      <c r="B35" s="57" t="s">
        <v>15</v>
      </c>
      <c r="C35" s="560" t="s">
        <v>44</v>
      </c>
      <c r="D35" s="560"/>
      <c r="E35" s="57">
        <v>19.02</v>
      </c>
      <c r="F35" s="134">
        <v>5500</v>
      </c>
      <c r="G35" s="126">
        <f t="shared" ref="G35:G41" si="27">E35*F35</f>
        <v>104610</v>
      </c>
      <c r="H35" s="72">
        <v>2</v>
      </c>
      <c r="I35" s="131">
        <v>15</v>
      </c>
      <c r="J35" s="58">
        <v>2400</v>
      </c>
      <c r="K35" s="59">
        <f t="shared" si="1"/>
        <v>160</v>
      </c>
      <c r="L35" s="131">
        <v>15</v>
      </c>
      <c r="M35" s="60">
        <f t="shared" ref="M35:M41" si="28">F35/V35*60</f>
        <v>2291.6666666666665</v>
      </c>
      <c r="N35" s="59">
        <f t="shared" si="3"/>
        <v>152.77777777777777</v>
      </c>
      <c r="O35" s="61">
        <f t="shared" si="4"/>
        <v>0</v>
      </c>
      <c r="P35" s="62">
        <f t="shared" si="5"/>
        <v>-7.2222222222222285</v>
      </c>
      <c r="Q35" s="127">
        <f t="shared" si="6"/>
        <v>0.95486111111111105</v>
      </c>
      <c r="R35" s="566">
        <f>Q42</f>
        <v>0.95660034134832217</v>
      </c>
      <c r="S35" s="63">
        <v>8.3333333333333329E-2</v>
      </c>
      <c r="T35" s="63">
        <v>0.18333333333333332</v>
      </c>
      <c r="U35" s="126"/>
      <c r="V35" s="132">
        <f t="shared" ref="V35:V41" si="29">(T35-S35)*24*60</f>
        <v>144</v>
      </c>
      <c r="W35" s="68">
        <f>T35</f>
        <v>0.18333333333333332</v>
      </c>
      <c r="X35" s="68">
        <f>S36</f>
        <v>0.20416666666666666</v>
      </c>
      <c r="Y35" s="559"/>
      <c r="Z35" s="559"/>
      <c r="AA35" s="61">
        <f t="shared" si="8"/>
        <v>-108.33333333333348</v>
      </c>
      <c r="AB35" s="127">
        <f t="shared" si="9"/>
        <v>0.95486111111111105</v>
      </c>
      <c r="AC35" s="566">
        <f>AB42</f>
        <v>0.95660034134832228</v>
      </c>
    </row>
    <row r="36" spans="1:29" ht="15.75" customHeight="1">
      <c r="A36" s="582" t="s">
        <v>88</v>
      </c>
      <c r="B36" s="57" t="s">
        <v>15</v>
      </c>
      <c r="C36" s="560" t="s">
        <v>27</v>
      </c>
      <c r="D36" s="560"/>
      <c r="E36" s="57">
        <v>26.2</v>
      </c>
      <c r="F36" s="134">
        <v>3800</v>
      </c>
      <c r="G36" s="126">
        <f t="shared" si="27"/>
        <v>99560</v>
      </c>
      <c r="H36" s="72">
        <v>2</v>
      </c>
      <c r="I36" s="131">
        <v>18</v>
      </c>
      <c r="J36" s="58">
        <v>2400</v>
      </c>
      <c r="K36" s="59">
        <f t="shared" si="1"/>
        <v>133.33333333333334</v>
      </c>
      <c r="L36" s="131">
        <v>18</v>
      </c>
      <c r="M36" s="60">
        <f t="shared" si="28"/>
        <v>2303.0303030303039</v>
      </c>
      <c r="N36" s="59">
        <f t="shared" si="3"/>
        <v>127.946127946128</v>
      </c>
      <c r="O36" s="61">
        <f t="shared" si="4"/>
        <v>0</v>
      </c>
      <c r="P36" s="62">
        <f t="shared" si="5"/>
        <v>-5.3872053872053414</v>
      </c>
      <c r="Q36" s="127">
        <f t="shared" si="6"/>
        <v>0.95959595959595989</v>
      </c>
      <c r="R36" s="566"/>
      <c r="S36" s="63">
        <v>0.20416666666666666</v>
      </c>
      <c r="T36" s="63">
        <v>0.27291666666666664</v>
      </c>
      <c r="U36" s="126">
        <f t="shared" ref="U36:U41" si="30">(S36-T35)*24*60</f>
        <v>30.000000000000014</v>
      </c>
      <c r="V36" s="132">
        <f t="shared" si="29"/>
        <v>98.999999999999972</v>
      </c>
      <c r="W36" s="126"/>
      <c r="X36" s="126"/>
      <c r="Y36" s="559"/>
      <c r="Z36" s="559"/>
      <c r="AA36" s="61">
        <f t="shared" si="8"/>
        <v>-96.969696969696088</v>
      </c>
      <c r="AB36" s="127">
        <f t="shared" si="9"/>
        <v>0.95959595959596</v>
      </c>
      <c r="AC36" s="566"/>
    </row>
    <row r="37" spans="1:29">
      <c r="A37" s="583" t="s">
        <v>88</v>
      </c>
      <c r="B37" s="57" t="s">
        <v>15</v>
      </c>
      <c r="C37" s="560" t="s">
        <v>25</v>
      </c>
      <c r="D37" s="560"/>
      <c r="E37" s="57">
        <v>26.18</v>
      </c>
      <c r="F37" s="134">
        <v>2897</v>
      </c>
      <c r="G37" s="126">
        <f t="shared" si="27"/>
        <v>75843.460000000006</v>
      </c>
      <c r="H37" s="72" t="s">
        <v>5</v>
      </c>
      <c r="I37" s="131">
        <v>19</v>
      </c>
      <c r="J37" s="58">
        <v>2400</v>
      </c>
      <c r="K37" s="59">
        <f t="shared" si="1"/>
        <v>126.31578947368421</v>
      </c>
      <c r="L37" s="131">
        <v>19</v>
      </c>
      <c r="M37" s="60">
        <f t="shared" si="28"/>
        <v>2287.1052631578959</v>
      </c>
      <c r="N37" s="59">
        <f t="shared" si="3"/>
        <v>120.37396121883663</v>
      </c>
      <c r="O37" s="61">
        <f t="shared" si="4"/>
        <v>0</v>
      </c>
      <c r="P37" s="62">
        <f t="shared" si="5"/>
        <v>-5.9418282548475787</v>
      </c>
      <c r="Q37" s="127">
        <f t="shared" si="6"/>
        <v>0.95296052631578998</v>
      </c>
      <c r="R37" s="566"/>
      <c r="S37" s="63">
        <v>0.27847222222222218</v>
      </c>
      <c r="T37" s="63">
        <v>0.33124999999999993</v>
      </c>
      <c r="U37" s="126">
        <f t="shared" si="30"/>
        <v>7.9999999999999716</v>
      </c>
      <c r="V37" s="132">
        <f t="shared" si="29"/>
        <v>75.999999999999972</v>
      </c>
      <c r="W37" s="126"/>
      <c r="X37" s="126"/>
      <c r="Y37" s="559"/>
      <c r="Z37" s="559"/>
      <c r="AA37" s="61">
        <f t="shared" si="8"/>
        <v>-112.89473684210407</v>
      </c>
      <c r="AB37" s="127">
        <f t="shared" si="9"/>
        <v>0.95296052631578998</v>
      </c>
      <c r="AC37" s="566"/>
    </row>
    <row r="38" spans="1:29">
      <c r="A38" s="583" t="s">
        <v>88</v>
      </c>
      <c r="B38" s="57" t="s">
        <v>15</v>
      </c>
      <c r="C38" s="560" t="s">
        <v>28</v>
      </c>
      <c r="D38" s="560"/>
      <c r="E38" s="57">
        <v>26.39</v>
      </c>
      <c r="F38" s="134">
        <v>6061</v>
      </c>
      <c r="G38" s="126">
        <f t="shared" si="27"/>
        <v>159949.79</v>
      </c>
      <c r="H38" s="72" t="s">
        <v>5</v>
      </c>
      <c r="I38" s="131">
        <v>19</v>
      </c>
      <c r="J38" s="58">
        <v>2400</v>
      </c>
      <c r="K38" s="59">
        <f t="shared" si="1"/>
        <v>126.31578947368421</v>
      </c>
      <c r="L38" s="131">
        <v>19</v>
      </c>
      <c r="M38" s="60">
        <f t="shared" si="28"/>
        <v>2287.1698113207549</v>
      </c>
      <c r="N38" s="59">
        <f t="shared" si="3"/>
        <v>120.37735849056605</v>
      </c>
      <c r="O38" s="61">
        <f t="shared" si="4"/>
        <v>0</v>
      </c>
      <c r="P38" s="62">
        <f t="shared" si="5"/>
        <v>-5.9384309831181525</v>
      </c>
      <c r="Q38" s="127">
        <f t="shared" si="6"/>
        <v>0.952987421383648</v>
      </c>
      <c r="R38" s="566"/>
      <c r="S38" s="63">
        <v>0.33541666666666659</v>
      </c>
      <c r="T38" s="63">
        <v>0.44583333333333325</v>
      </c>
      <c r="U38" s="126">
        <f t="shared" si="30"/>
        <v>5.9999999999999787</v>
      </c>
      <c r="V38" s="132">
        <f t="shared" si="29"/>
        <v>159</v>
      </c>
      <c r="W38" s="64"/>
      <c r="X38" s="64"/>
      <c r="Y38" s="559"/>
      <c r="Z38" s="559"/>
      <c r="AA38" s="61">
        <f t="shared" si="8"/>
        <v>-112.83018867924511</v>
      </c>
      <c r="AB38" s="127">
        <f t="shared" si="9"/>
        <v>0.95298742138364789</v>
      </c>
      <c r="AC38" s="566"/>
    </row>
    <row r="39" spans="1:29">
      <c r="A39" s="583" t="s">
        <v>88</v>
      </c>
      <c r="B39" s="57" t="s">
        <v>15</v>
      </c>
      <c r="C39" s="560" t="s">
        <v>100</v>
      </c>
      <c r="D39" s="560"/>
      <c r="E39" s="57">
        <v>28.51</v>
      </c>
      <c r="F39" s="134">
        <v>2457</v>
      </c>
      <c r="G39" s="126">
        <f t="shared" si="27"/>
        <v>70049.070000000007</v>
      </c>
      <c r="H39" s="72" t="s">
        <v>5</v>
      </c>
      <c r="I39" s="131">
        <v>16</v>
      </c>
      <c r="J39" s="58">
        <v>2400</v>
      </c>
      <c r="K39" s="59">
        <f t="shared" si="1"/>
        <v>150</v>
      </c>
      <c r="L39" s="131">
        <v>16</v>
      </c>
      <c r="M39" s="60">
        <f t="shared" si="28"/>
        <v>2303.4374999999995</v>
      </c>
      <c r="N39" s="59">
        <f t="shared" si="3"/>
        <v>143.96484374999997</v>
      </c>
      <c r="O39" s="61">
        <f t="shared" si="4"/>
        <v>0</v>
      </c>
      <c r="P39" s="62">
        <f t="shared" si="5"/>
        <v>-6.0351562500000284</v>
      </c>
      <c r="Q39" s="127">
        <f t="shared" si="6"/>
        <v>0.95976562499999984</v>
      </c>
      <c r="R39" s="566"/>
      <c r="S39" s="63">
        <v>0.45138888888888878</v>
      </c>
      <c r="T39" s="63">
        <v>0.49583333333333324</v>
      </c>
      <c r="U39" s="126">
        <f t="shared" si="30"/>
        <v>7.9999999999999716</v>
      </c>
      <c r="V39" s="132">
        <f t="shared" si="29"/>
        <v>64.000000000000014</v>
      </c>
      <c r="W39" s="64">
        <f>T39</f>
        <v>0.49583333333333324</v>
      </c>
      <c r="X39" s="64">
        <f>S40</f>
        <v>0.53611111111111098</v>
      </c>
      <c r="Y39" s="559"/>
      <c r="Z39" s="559"/>
      <c r="AA39" s="61">
        <f t="shared" si="8"/>
        <v>-96.562500000000455</v>
      </c>
      <c r="AB39" s="127">
        <f t="shared" si="9"/>
        <v>0.95976562499999984</v>
      </c>
      <c r="AC39" s="566"/>
    </row>
    <row r="40" spans="1:29">
      <c r="A40" s="583" t="s">
        <v>88</v>
      </c>
      <c r="B40" s="57" t="s">
        <v>15</v>
      </c>
      <c r="C40" s="560" t="s">
        <v>44</v>
      </c>
      <c r="D40" s="560"/>
      <c r="E40" s="57">
        <v>19.02</v>
      </c>
      <c r="F40" s="134">
        <v>3452</v>
      </c>
      <c r="G40" s="126">
        <f t="shared" si="27"/>
        <v>65657.039999999994</v>
      </c>
      <c r="H40" s="72" t="s">
        <v>5</v>
      </c>
      <c r="I40" s="131">
        <v>15</v>
      </c>
      <c r="J40" s="58">
        <v>2400</v>
      </c>
      <c r="K40" s="59">
        <f t="shared" si="1"/>
        <v>160</v>
      </c>
      <c r="L40" s="131">
        <v>15</v>
      </c>
      <c r="M40" s="60">
        <f t="shared" si="28"/>
        <v>2301.333333333333</v>
      </c>
      <c r="N40" s="59">
        <f t="shared" si="3"/>
        <v>153.42222222222219</v>
      </c>
      <c r="O40" s="61">
        <f t="shared" si="4"/>
        <v>0</v>
      </c>
      <c r="P40" s="62">
        <f t="shared" si="5"/>
        <v>-6.5777777777778113</v>
      </c>
      <c r="Q40" s="127">
        <f t="shared" si="6"/>
        <v>0.95888888888888868</v>
      </c>
      <c r="R40" s="566"/>
      <c r="S40" s="63">
        <v>0.53611111111111098</v>
      </c>
      <c r="T40" s="63">
        <v>0.59861111111111098</v>
      </c>
      <c r="U40" s="126">
        <f t="shared" si="30"/>
        <v>57.999999999999957</v>
      </c>
      <c r="V40" s="132">
        <f t="shared" si="29"/>
        <v>90</v>
      </c>
      <c r="W40" s="64"/>
      <c r="X40" s="64"/>
      <c r="Y40" s="559"/>
      <c r="Z40" s="559"/>
      <c r="AA40" s="61">
        <f t="shared" si="8"/>
        <v>-98.66666666666697</v>
      </c>
      <c r="AB40" s="127">
        <f t="shared" si="9"/>
        <v>0.95888888888888879</v>
      </c>
      <c r="AC40" s="566"/>
    </row>
    <row r="41" spans="1:29">
      <c r="A41" s="583" t="s">
        <v>88</v>
      </c>
      <c r="B41" s="57" t="s">
        <v>15</v>
      </c>
      <c r="C41" s="560" t="s">
        <v>27</v>
      </c>
      <c r="D41" s="560"/>
      <c r="E41" s="57">
        <v>26.2</v>
      </c>
      <c r="F41" s="134">
        <v>2412</v>
      </c>
      <c r="G41" s="126">
        <f t="shared" si="27"/>
        <v>63194.400000000001</v>
      </c>
      <c r="H41" s="72" t="s">
        <v>5</v>
      </c>
      <c r="I41" s="131">
        <v>18</v>
      </c>
      <c r="J41" s="58">
        <v>2400</v>
      </c>
      <c r="K41" s="59">
        <f t="shared" si="1"/>
        <v>133.33333333333334</v>
      </c>
      <c r="L41" s="131">
        <v>18</v>
      </c>
      <c r="M41" s="60">
        <f t="shared" si="28"/>
        <v>2297.1428571428596</v>
      </c>
      <c r="N41" s="59">
        <f t="shared" si="3"/>
        <v>127.61904761904776</v>
      </c>
      <c r="O41" s="61">
        <f t="shared" si="4"/>
        <v>0</v>
      </c>
      <c r="P41" s="62">
        <f t="shared" si="5"/>
        <v>-5.7142857142855803</v>
      </c>
      <c r="Q41" s="127">
        <f t="shared" si="6"/>
        <v>0.95714285714285818</v>
      </c>
      <c r="R41" s="566"/>
      <c r="S41" s="63">
        <v>0.60277777777777763</v>
      </c>
      <c r="T41" s="63">
        <v>0.64652777777777759</v>
      </c>
      <c r="U41" s="126">
        <f t="shared" si="30"/>
        <v>5.9999999999999787</v>
      </c>
      <c r="V41" s="132">
        <f t="shared" si="29"/>
        <v>62.999999999999936</v>
      </c>
      <c r="W41" s="64"/>
      <c r="X41" s="64"/>
      <c r="Y41" s="569"/>
      <c r="Z41" s="570"/>
      <c r="AA41" s="61">
        <f t="shared" si="8"/>
        <v>-102.85714285714039</v>
      </c>
      <c r="AB41" s="127">
        <f t="shared" si="9"/>
        <v>0.95714285714285818</v>
      </c>
      <c r="AC41" s="566"/>
    </row>
    <row r="42" spans="1:29">
      <c r="A42" s="583" t="s">
        <v>88</v>
      </c>
      <c r="B42" s="66" t="s">
        <v>159</v>
      </c>
      <c r="C42" s="571"/>
      <c r="D42" s="571"/>
      <c r="E42" s="128"/>
      <c r="F42" s="66"/>
      <c r="G42" s="59"/>
      <c r="H42" s="134"/>
      <c r="I42" s="67">
        <v>17.142857142857142</v>
      </c>
      <c r="J42" s="58">
        <v>2400</v>
      </c>
      <c r="K42" s="59">
        <f t="shared" si="1"/>
        <v>140</v>
      </c>
      <c r="L42" s="67">
        <v>17.142857142857142</v>
      </c>
      <c r="M42" s="60">
        <f>AVERAGE(M35:M41)</f>
        <v>2295.8408192359734</v>
      </c>
      <c r="N42" s="59">
        <f t="shared" si="3"/>
        <v>133.92404778876511</v>
      </c>
      <c r="O42" s="61">
        <f t="shared" si="4"/>
        <v>0</v>
      </c>
      <c r="P42" s="62">
        <f t="shared" si="5"/>
        <v>-6.0759522112348918</v>
      </c>
      <c r="Q42" s="127">
        <f t="shared" si="6"/>
        <v>0.95660034134832217</v>
      </c>
      <c r="R42" s="566"/>
      <c r="S42" s="63"/>
      <c r="T42" s="63"/>
      <c r="U42" s="59"/>
      <c r="V42" s="132"/>
      <c r="W42" s="59"/>
      <c r="X42" s="59"/>
      <c r="Y42" s="559"/>
      <c r="Z42" s="559"/>
      <c r="AA42" s="61">
        <f t="shared" si="8"/>
        <v>-104.15918076402659</v>
      </c>
      <c r="AB42" s="127">
        <f t="shared" si="9"/>
        <v>0.95660034134832228</v>
      </c>
      <c r="AC42" s="566"/>
    </row>
    <row r="43" spans="1:29" ht="15.75" customHeight="1">
      <c r="A43" s="576" t="s">
        <v>168</v>
      </c>
      <c r="B43" s="57" t="s">
        <v>31</v>
      </c>
      <c r="C43" s="567" t="s">
        <v>32</v>
      </c>
      <c r="D43" s="568"/>
      <c r="E43" s="57">
        <v>21.13</v>
      </c>
      <c r="F43" s="134">
        <v>5501</v>
      </c>
      <c r="G43" s="126">
        <f t="shared" ref="G43:G49" si="31">E43*F43</f>
        <v>116236.12999999999</v>
      </c>
      <c r="H43" s="72" t="s">
        <v>5</v>
      </c>
      <c r="I43" s="131">
        <v>10</v>
      </c>
      <c r="J43" s="58">
        <v>3000</v>
      </c>
      <c r="K43" s="59">
        <f t="shared" si="1"/>
        <v>300</v>
      </c>
      <c r="L43" s="131">
        <v>10</v>
      </c>
      <c r="M43" s="60">
        <f t="shared" ref="M43:M49" si="32">F43/V43*60</f>
        <v>2870.086956521739</v>
      </c>
      <c r="N43" s="60">
        <f t="shared" si="3"/>
        <v>287.00869565217391</v>
      </c>
      <c r="O43" s="61">
        <f t="shared" si="4"/>
        <v>0</v>
      </c>
      <c r="P43" s="62">
        <f t="shared" si="5"/>
        <v>-12.991304347826087</v>
      </c>
      <c r="Q43" s="127">
        <f t="shared" si="6"/>
        <v>0.95669565217391306</v>
      </c>
      <c r="R43" s="579">
        <f>Q50</f>
        <v>0.95892950808055044</v>
      </c>
      <c r="S43" s="63">
        <v>8.3333333333333329E-2</v>
      </c>
      <c r="T43" s="63">
        <v>0.16319444444444445</v>
      </c>
      <c r="U43" s="68"/>
      <c r="V43" s="132">
        <f t="shared" ref="V43:V49" si="33">(T43-S43)*24*60</f>
        <v>115.00000000000001</v>
      </c>
      <c r="W43" s="64">
        <f>T43</f>
        <v>0.16319444444444445</v>
      </c>
      <c r="X43" s="64">
        <f>S44</f>
        <v>0.18263888888888888</v>
      </c>
      <c r="Y43" s="569"/>
      <c r="Z43" s="570"/>
      <c r="AA43" s="61">
        <f t="shared" si="8"/>
        <v>-129.91304347826099</v>
      </c>
      <c r="AB43" s="127">
        <f t="shared" si="9"/>
        <v>0.95669565217391306</v>
      </c>
      <c r="AC43" s="579">
        <f>AB50</f>
        <v>0.95892950808055044</v>
      </c>
    </row>
    <row r="44" spans="1:29" ht="15.75" customHeight="1">
      <c r="A44" s="577" t="s">
        <v>168</v>
      </c>
      <c r="B44" s="57" t="s">
        <v>31</v>
      </c>
      <c r="C44" s="567" t="s">
        <v>33</v>
      </c>
      <c r="D44" s="568"/>
      <c r="E44" s="57">
        <v>27.17</v>
      </c>
      <c r="F44" s="134">
        <v>6401</v>
      </c>
      <c r="G44" s="126">
        <f t="shared" si="31"/>
        <v>173915.17</v>
      </c>
      <c r="H44" s="72" t="s">
        <v>5</v>
      </c>
      <c r="I44" s="131">
        <v>10</v>
      </c>
      <c r="J44" s="58">
        <v>3000</v>
      </c>
      <c r="K44" s="59">
        <f t="shared" si="1"/>
        <v>300</v>
      </c>
      <c r="L44" s="131">
        <v>10</v>
      </c>
      <c r="M44" s="60">
        <f t="shared" si="32"/>
        <v>2866.1194029850731</v>
      </c>
      <c r="N44" s="60">
        <f t="shared" si="3"/>
        <v>286.61194029850731</v>
      </c>
      <c r="O44" s="61">
        <f t="shared" si="4"/>
        <v>0</v>
      </c>
      <c r="P44" s="62">
        <f t="shared" si="5"/>
        <v>-13.388059701492693</v>
      </c>
      <c r="Q44" s="127">
        <f t="shared" si="6"/>
        <v>0.95537313432835769</v>
      </c>
      <c r="R44" s="580"/>
      <c r="S44" s="63">
        <v>0.18263888888888888</v>
      </c>
      <c r="T44" s="63">
        <v>0.27569444444444446</v>
      </c>
      <c r="U44" s="126">
        <f t="shared" ref="U44:U49" si="34">(S44-T43)*24*60</f>
        <v>27.999999999999979</v>
      </c>
      <c r="V44" s="132">
        <f t="shared" si="33"/>
        <v>134.00000000000006</v>
      </c>
      <c r="W44" s="64"/>
      <c r="X44" s="64"/>
      <c r="Y44" s="569"/>
      <c r="Z44" s="570"/>
      <c r="AA44" s="61">
        <f t="shared" si="8"/>
        <v>-133.88059701492693</v>
      </c>
      <c r="AB44" s="127">
        <f t="shared" si="9"/>
        <v>0.95537313432835769</v>
      </c>
      <c r="AC44" s="580"/>
    </row>
    <row r="45" spans="1:29" ht="15.75" customHeight="1">
      <c r="A45" s="577" t="s">
        <v>168</v>
      </c>
      <c r="B45" s="57" t="s">
        <v>31</v>
      </c>
      <c r="C45" s="567" t="s">
        <v>34</v>
      </c>
      <c r="D45" s="568"/>
      <c r="E45" s="57">
        <v>35.119999999999997</v>
      </c>
      <c r="F45" s="134">
        <v>4132</v>
      </c>
      <c r="G45" s="126">
        <f t="shared" si="31"/>
        <v>145115.84</v>
      </c>
      <c r="H45" s="72" t="s">
        <v>5</v>
      </c>
      <c r="I45" s="131">
        <v>10</v>
      </c>
      <c r="J45" s="58">
        <v>3000</v>
      </c>
      <c r="K45" s="59">
        <f t="shared" si="1"/>
        <v>300</v>
      </c>
      <c r="L45" s="131">
        <v>10</v>
      </c>
      <c r="M45" s="60">
        <f t="shared" si="32"/>
        <v>2882.790697674418</v>
      </c>
      <c r="N45" s="60">
        <f t="shared" si="3"/>
        <v>288.2790697674418</v>
      </c>
      <c r="O45" s="61">
        <f t="shared" si="4"/>
        <v>0</v>
      </c>
      <c r="P45" s="62">
        <f t="shared" si="5"/>
        <v>-11.720930232558203</v>
      </c>
      <c r="Q45" s="127">
        <f t="shared" si="6"/>
        <v>0.96093023255813936</v>
      </c>
      <c r="R45" s="580"/>
      <c r="S45" s="63">
        <v>0.27916666666666667</v>
      </c>
      <c r="T45" s="63">
        <v>0.33888888888888891</v>
      </c>
      <c r="U45" s="126">
        <f t="shared" si="34"/>
        <v>4.9999999999999822</v>
      </c>
      <c r="V45" s="132">
        <f t="shared" si="33"/>
        <v>86.000000000000014</v>
      </c>
      <c r="W45" s="64"/>
      <c r="X45" s="64"/>
      <c r="Y45" s="569"/>
      <c r="Z45" s="570"/>
      <c r="AA45" s="61">
        <f t="shared" si="8"/>
        <v>-117.20930232558203</v>
      </c>
      <c r="AB45" s="127">
        <f t="shared" si="9"/>
        <v>0.96093023255813936</v>
      </c>
      <c r="AC45" s="580"/>
    </row>
    <row r="46" spans="1:29" ht="15.75" customHeight="1">
      <c r="A46" s="577" t="s">
        <v>168</v>
      </c>
      <c r="B46" s="57" t="s">
        <v>31</v>
      </c>
      <c r="C46" s="567" t="s">
        <v>35</v>
      </c>
      <c r="D46" s="568"/>
      <c r="E46" s="57">
        <v>35.869999999999997</v>
      </c>
      <c r="F46" s="134">
        <v>2806</v>
      </c>
      <c r="G46" s="126">
        <f t="shared" si="31"/>
        <v>100651.21999999999</v>
      </c>
      <c r="H46" s="72" t="s">
        <v>5</v>
      </c>
      <c r="I46" s="131">
        <v>9</v>
      </c>
      <c r="J46" s="58">
        <v>3000</v>
      </c>
      <c r="K46" s="59">
        <f t="shared" si="1"/>
        <v>333.33333333333331</v>
      </c>
      <c r="L46" s="131">
        <v>9</v>
      </c>
      <c r="M46" s="60">
        <f t="shared" si="32"/>
        <v>2902.7586206896535</v>
      </c>
      <c r="N46" s="60">
        <f t="shared" si="3"/>
        <v>322.52873563218373</v>
      </c>
      <c r="O46" s="61">
        <f t="shared" si="4"/>
        <v>0</v>
      </c>
      <c r="P46" s="62">
        <f t="shared" si="5"/>
        <v>-10.804597701149589</v>
      </c>
      <c r="Q46" s="127">
        <f t="shared" si="6"/>
        <v>0.96758620689655128</v>
      </c>
      <c r="R46" s="580"/>
      <c r="S46" s="63">
        <v>0.34305555555555556</v>
      </c>
      <c r="T46" s="63">
        <v>0.38333333333333336</v>
      </c>
      <c r="U46" s="126">
        <f t="shared" si="34"/>
        <v>5.9999999999999787</v>
      </c>
      <c r="V46" s="132">
        <f t="shared" si="33"/>
        <v>58.000000000000036</v>
      </c>
      <c r="W46" s="64"/>
      <c r="X46" s="64"/>
      <c r="Y46" s="569"/>
      <c r="Z46" s="570"/>
      <c r="AA46" s="61">
        <f t="shared" si="8"/>
        <v>-97.241379310346474</v>
      </c>
      <c r="AB46" s="127">
        <f t="shared" si="9"/>
        <v>0.96758620689655117</v>
      </c>
      <c r="AC46" s="580"/>
    </row>
    <row r="47" spans="1:29" ht="15.75" customHeight="1">
      <c r="A47" s="577" t="s">
        <v>168</v>
      </c>
      <c r="B47" s="57" t="s">
        <v>31</v>
      </c>
      <c r="C47" s="567" t="s">
        <v>36</v>
      </c>
      <c r="D47" s="568"/>
      <c r="E47" s="57">
        <v>36.14</v>
      </c>
      <c r="F47" s="134">
        <v>1240</v>
      </c>
      <c r="G47" s="126">
        <f t="shared" si="31"/>
        <v>44813.599999999999</v>
      </c>
      <c r="H47" s="72" t="s">
        <v>5</v>
      </c>
      <c r="I47" s="131">
        <v>9</v>
      </c>
      <c r="J47" s="58">
        <v>3000</v>
      </c>
      <c r="K47" s="59">
        <f t="shared" si="1"/>
        <v>333.33333333333331</v>
      </c>
      <c r="L47" s="131">
        <v>9</v>
      </c>
      <c r="M47" s="60">
        <f t="shared" si="32"/>
        <v>2861.5384615384633</v>
      </c>
      <c r="N47" s="60">
        <f t="shared" si="3"/>
        <v>317.94871794871813</v>
      </c>
      <c r="O47" s="61">
        <f t="shared" si="4"/>
        <v>0</v>
      </c>
      <c r="P47" s="62">
        <f t="shared" si="5"/>
        <v>-15.384615384615188</v>
      </c>
      <c r="Q47" s="127">
        <f t="shared" si="6"/>
        <v>0.95384615384615445</v>
      </c>
      <c r="R47" s="580"/>
      <c r="S47" s="63">
        <v>0.3888888888888889</v>
      </c>
      <c r="T47" s="63">
        <v>0.40694444444444444</v>
      </c>
      <c r="U47" s="126">
        <f t="shared" si="34"/>
        <v>7.9999999999999716</v>
      </c>
      <c r="V47" s="132">
        <f t="shared" si="33"/>
        <v>25.999999999999986</v>
      </c>
      <c r="W47" s="64"/>
      <c r="X47" s="64"/>
      <c r="Y47" s="569"/>
      <c r="Z47" s="570"/>
      <c r="AA47" s="61">
        <f t="shared" si="8"/>
        <v>-138.46153846153675</v>
      </c>
      <c r="AB47" s="127">
        <f t="shared" si="9"/>
        <v>0.95384615384615445</v>
      </c>
      <c r="AC47" s="580"/>
    </row>
    <row r="48" spans="1:29" ht="15.75" customHeight="1">
      <c r="A48" s="577" t="s">
        <v>168</v>
      </c>
      <c r="B48" s="57" t="s">
        <v>31</v>
      </c>
      <c r="C48" s="567" t="s">
        <v>63</v>
      </c>
      <c r="D48" s="568"/>
      <c r="E48" s="57">
        <v>34.36</v>
      </c>
      <c r="F48" s="134">
        <v>2261</v>
      </c>
      <c r="G48" s="126">
        <f t="shared" si="31"/>
        <v>77687.959999999992</v>
      </c>
      <c r="H48" s="72" t="s">
        <v>5</v>
      </c>
      <c r="I48" s="131">
        <v>10</v>
      </c>
      <c r="J48" s="58">
        <v>3000</v>
      </c>
      <c r="K48" s="59">
        <f t="shared" si="1"/>
        <v>300</v>
      </c>
      <c r="L48" s="131">
        <v>10</v>
      </c>
      <c r="M48" s="60">
        <f t="shared" si="32"/>
        <v>2886.3829787234044</v>
      </c>
      <c r="N48" s="60">
        <f t="shared" si="3"/>
        <v>288.63829787234044</v>
      </c>
      <c r="O48" s="61">
        <f t="shared" si="4"/>
        <v>0</v>
      </c>
      <c r="P48" s="62">
        <f t="shared" si="5"/>
        <v>-11.361702127659555</v>
      </c>
      <c r="Q48" s="127">
        <f t="shared" si="6"/>
        <v>0.96212765957446811</v>
      </c>
      <c r="R48" s="580"/>
      <c r="S48" s="63">
        <v>0.41111111111111109</v>
      </c>
      <c r="T48" s="63">
        <v>0.44374999999999998</v>
      </c>
      <c r="U48" s="126">
        <f t="shared" si="34"/>
        <v>5.9999999999999787</v>
      </c>
      <c r="V48" s="132">
        <f t="shared" si="33"/>
        <v>46.999999999999993</v>
      </c>
      <c r="W48" s="64"/>
      <c r="X48" s="64"/>
      <c r="Y48" s="569"/>
      <c r="Z48" s="570"/>
      <c r="AA48" s="61">
        <f t="shared" si="8"/>
        <v>-113.61702127659555</v>
      </c>
      <c r="AB48" s="127">
        <f t="shared" si="9"/>
        <v>0.96212765957446811</v>
      </c>
      <c r="AC48" s="580"/>
    </row>
    <row r="49" spans="1:29" ht="15.75" customHeight="1">
      <c r="A49" s="577" t="s">
        <v>168</v>
      </c>
      <c r="B49" s="57" t="s">
        <v>31</v>
      </c>
      <c r="C49" s="567" t="s">
        <v>71</v>
      </c>
      <c r="D49" s="568"/>
      <c r="E49" s="57">
        <v>31</v>
      </c>
      <c r="F49" s="134">
        <v>2927</v>
      </c>
      <c r="G49" s="126">
        <f t="shared" si="31"/>
        <v>90737</v>
      </c>
      <c r="H49" s="72" t="s">
        <v>5</v>
      </c>
      <c r="I49" s="131">
        <v>13</v>
      </c>
      <c r="J49" s="58">
        <v>2000</v>
      </c>
      <c r="K49" s="59">
        <f t="shared" si="1"/>
        <v>153.84615384615384</v>
      </c>
      <c r="L49" s="131">
        <v>13</v>
      </c>
      <c r="M49" s="60">
        <f t="shared" si="32"/>
        <v>1908.9130434782608</v>
      </c>
      <c r="N49" s="60">
        <f t="shared" si="3"/>
        <v>146.83946488294313</v>
      </c>
      <c r="O49" s="61">
        <f t="shared" si="4"/>
        <v>0</v>
      </c>
      <c r="P49" s="62">
        <f t="shared" si="5"/>
        <v>-7.0066889632107063</v>
      </c>
      <c r="Q49" s="127">
        <f t="shared" si="6"/>
        <v>0.95445652173913043</v>
      </c>
      <c r="R49" s="580"/>
      <c r="S49" s="63">
        <v>0.44861111111111107</v>
      </c>
      <c r="T49" s="63">
        <v>0.51249999999999996</v>
      </c>
      <c r="U49" s="126">
        <f t="shared" si="34"/>
        <v>6.9999999999999751</v>
      </c>
      <c r="V49" s="132">
        <f t="shared" si="33"/>
        <v>92</v>
      </c>
      <c r="W49" s="64"/>
      <c r="X49" s="64"/>
      <c r="Y49" s="569"/>
      <c r="Z49" s="570"/>
      <c r="AA49" s="61">
        <f t="shared" si="8"/>
        <v>-91.086956521739239</v>
      </c>
      <c r="AB49" s="127">
        <f t="shared" si="9"/>
        <v>0.95445652173913043</v>
      </c>
      <c r="AC49" s="580"/>
    </row>
    <row r="50" spans="1:29" ht="15.75" customHeight="1">
      <c r="A50" s="578" t="s">
        <v>168</v>
      </c>
      <c r="B50" s="57" t="s">
        <v>159</v>
      </c>
      <c r="C50" s="561"/>
      <c r="D50" s="562"/>
      <c r="E50" s="125"/>
      <c r="F50" s="134"/>
      <c r="G50" s="126"/>
      <c r="H50" s="134"/>
      <c r="I50" s="67">
        <v>10.142857142857142</v>
      </c>
      <c r="J50" s="58">
        <v>2857.1428571428573</v>
      </c>
      <c r="K50" s="59">
        <f t="shared" si="1"/>
        <v>281.69014084507046</v>
      </c>
      <c r="L50" s="67">
        <v>10.142857142857142</v>
      </c>
      <c r="M50" s="60">
        <f>AVERAGE(M43:M49)</f>
        <v>2739.7985945158584</v>
      </c>
      <c r="N50" s="59">
        <f t="shared" si="3"/>
        <v>270.12098819170438</v>
      </c>
      <c r="O50" s="61">
        <f t="shared" si="4"/>
        <v>0</v>
      </c>
      <c r="P50" s="62">
        <f t="shared" si="5"/>
        <v>-11.569152653366075</v>
      </c>
      <c r="Q50" s="127">
        <f t="shared" si="6"/>
        <v>0.95892950808055044</v>
      </c>
      <c r="R50" s="581"/>
      <c r="S50" s="63"/>
      <c r="T50" s="63"/>
      <c r="U50" s="126"/>
      <c r="V50" s="132"/>
      <c r="W50" s="64"/>
      <c r="X50" s="64"/>
      <c r="Y50" s="569"/>
      <c r="Z50" s="570"/>
      <c r="AA50" s="61">
        <f t="shared" si="8"/>
        <v>-117.3442626269989</v>
      </c>
      <c r="AB50" s="127">
        <f t="shared" si="9"/>
        <v>0.95892950808055044</v>
      </c>
      <c r="AC50" s="581"/>
    </row>
    <row r="51" spans="1:29" ht="15.75" customHeight="1">
      <c r="A51" s="574" t="s">
        <v>117</v>
      </c>
      <c r="B51" s="57" t="s">
        <v>10</v>
      </c>
      <c r="C51" s="560" t="s">
        <v>37</v>
      </c>
      <c r="D51" s="560"/>
      <c r="E51" s="57">
        <v>46</v>
      </c>
      <c r="F51" s="69">
        <v>2290</v>
      </c>
      <c r="G51" s="126">
        <f t="shared" ref="G51:G55" si="35">E51*F51</f>
        <v>105340</v>
      </c>
      <c r="H51" s="72" t="s">
        <v>5</v>
      </c>
      <c r="I51" s="131">
        <v>17</v>
      </c>
      <c r="J51" s="58">
        <v>2000</v>
      </c>
      <c r="K51" s="59">
        <f t="shared" si="1"/>
        <v>117.64705882352941</v>
      </c>
      <c r="L51" s="131">
        <v>17</v>
      </c>
      <c r="M51" s="60">
        <f t="shared" ref="M51:M55" si="36">F51/V51*60</f>
        <v>1908.3333333333326</v>
      </c>
      <c r="N51" s="60">
        <f t="shared" si="3"/>
        <v>112.25490196078427</v>
      </c>
      <c r="O51" s="61">
        <f t="shared" si="4"/>
        <v>0</v>
      </c>
      <c r="P51" s="62">
        <f t="shared" si="5"/>
        <v>-5.3921568627451393</v>
      </c>
      <c r="Q51" s="127">
        <f t="shared" si="6"/>
        <v>0.95416666666666627</v>
      </c>
      <c r="R51" s="566">
        <f>Q56</f>
        <v>0.95674932403878388</v>
      </c>
      <c r="S51" s="63">
        <v>0.20833333333333334</v>
      </c>
      <c r="T51" s="63">
        <v>0.25833333333333336</v>
      </c>
      <c r="U51" s="68"/>
      <c r="V51" s="132">
        <f t="shared" ref="V51:V55" si="37">(T51-S51)*24*60</f>
        <v>72.000000000000028</v>
      </c>
      <c r="W51" s="68"/>
      <c r="X51" s="68"/>
      <c r="Y51" s="559"/>
      <c r="Z51" s="559"/>
      <c r="AA51" s="61">
        <f t="shared" si="8"/>
        <v>-91.666666666667425</v>
      </c>
      <c r="AB51" s="127">
        <f t="shared" si="9"/>
        <v>0.95416666666666627</v>
      </c>
      <c r="AC51" s="566">
        <f>AB56</f>
        <v>0.95674932403878388</v>
      </c>
    </row>
    <row r="52" spans="1:29" ht="15.75" customHeight="1">
      <c r="A52" s="574" t="s">
        <v>117</v>
      </c>
      <c r="B52" s="57" t="s">
        <v>10</v>
      </c>
      <c r="C52" s="560" t="s">
        <v>38</v>
      </c>
      <c r="D52" s="560"/>
      <c r="E52" s="57">
        <v>46</v>
      </c>
      <c r="F52" s="69">
        <v>2437</v>
      </c>
      <c r="G52" s="126">
        <f t="shared" si="35"/>
        <v>112102</v>
      </c>
      <c r="H52" s="72" t="s">
        <v>5</v>
      </c>
      <c r="I52" s="131">
        <v>17</v>
      </c>
      <c r="J52" s="58">
        <v>2000</v>
      </c>
      <c r="K52" s="59">
        <f t="shared" si="1"/>
        <v>117.64705882352941</v>
      </c>
      <c r="L52" s="131">
        <v>17</v>
      </c>
      <c r="M52" s="60">
        <f t="shared" si="36"/>
        <v>1923.9473684210532</v>
      </c>
      <c r="N52" s="60">
        <f t="shared" si="3"/>
        <v>113.17337461300313</v>
      </c>
      <c r="O52" s="61">
        <f t="shared" si="4"/>
        <v>0</v>
      </c>
      <c r="P52" s="62">
        <f t="shared" si="5"/>
        <v>-4.4736842105262724</v>
      </c>
      <c r="Q52" s="127">
        <f t="shared" si="6"/>
        <v>0.96197368421052665</v>
      </c>
      <c r="R52" s="566"/>
      <c r="S52" s="63">
        <v>0.2638888888888889</v>
      </c>
      <c r="T52" s="63">
        <v>0.31666666666666665</v>
      </c>
      <c r="U52" s="126">
        <f t="shared" ref="U52:U55" si="38">IF(S52=TIME(17,0,0),"",(S52-T51)*24*60)</f>
        <v>7.9999999999999716</v>
      </c>
      <c r="V52" s="132">
        <f t="shared" si="37"/>
        <v>75.999999999999972</v>
      </c>
      <c r="W52" s="64"/>
      <c r="X52" s="64"/>
      <c r="Y52" s="559"/>
      <c r="Z52" s="559"/>
      <c r="AA52" s="61">
        <f t="shared" si="8"/>
        <v>-76.05263157894683</v>
      </c>
      <c r="AB52" s="127">
        <f t="shared" si="9"/>
        <v>0.96197368421052654</v>
      </c>
      <c r="AC52" s="566"/>
    </row>
    <row r="53" spans="1:29" ht="15.75" customHeight="1">
      <c r="A53" s="574" t="s">
        <v>117</v>
      </c>
      <c r="B53" s="57" t="s">
        <v>6</v>
      </c>
      <c r="C53" s="567" t="s">
        <v>39</v>
      </c>
      <c r="D53" s="568"/>
      <c r="E53" s="57">
        <v>55.56</v>
      </c>
      <c r="F53" s="69">
        <v>1749</v>
      </c>
      <c r="G53" s="126">
        <f t="shared" si="35"/>
        <v>97174.44</v>
      </c>
      <c r="H53" s="72" t="s">
        <v>5</v>
      </c>
      <c r="I53" s="131">
        <v>17</v>
      </c>
      <c r="J53" s="58">
        <v>2000</v>
      </c>
      <c r="K53" s="59">
        <f t="shared" si="1"/>
        <v>117.64705882352941</v>
      </c>
      <c r="L53" s="131">
        <v>17</v>
      </c>
      <c r="M53" s="60">
        <f t="shared" si="36"/>
        <v>1908.0000000000014</v>
      </c>
      <c r="N53" s="60">
        <f t="shared" si="3"/>
        <v>112.23529411764714</v>
      </c>
      <c r="O53" s="61">
        <f t="shared" si="4"/>
        <v>0</v>
      </c>
      <c r="P53" s="62">
        <f t="shared" si="5"/>
        <v>-5.4117647058822627</v>
      </c>
      <c r="Q53" s="127">
        <f t="shared" si="6"/>
        <v>0.95400000000000074</v>
      </c>
      <c r="R53" s="566"/>
      <c r="S53" s="63">
        <v>0.70833333333333337</v>
      </c>
      <c r="T53" s="63">
        <v>0.74652777777777779</v>
      </c>
      <c r="U53" s="126" t="str">
        <f t="shared" si="38"/>
        <v/>
      </c>
      <c r="V53" s="132">
        <f t="shared" si="37"/>
        <v>54.999999999999964</v>
      </c>
      <c r="W53" s="64"/>
      <c r="X53" s="64"/>
      <c r="Y53" s="123"/>
      <c r="Z53" s="124"/>
      <c r="AA53" s="61">
        <f t="shared" si="8"/>
        <v>-91.999999999998636</v>
      </c>
      <c r="AB53" s="127">
        <f t="shared" si="9"/>
        <v>0.95400000000000074</v>
      </c>
      <c r="AC53" s="566"/>
    </row>
    <row r="54" spans="1:29" ht="15.75" customHeight="1">
      <c r="A54" s="574" t="s">
        <v>117</v>
      </c>
      <c r="B54" s="57" t="s">
        <v>6</v>
      </c>
      <c r="C54" s="129" t="s">
        <v>40</v>
      </c>
      <c r="D54" s="130"/>
      <c r="E54" s="57">
        <v>55.32</v>
      </c>
      <c r="F54" s="69">
        <v>1310</v>
      </c>
      <c r="G54" s="126">
        <f t="shared" si="35"/>
        <v>72469.2</v>
      </c>
      <c r="H54" s="72" t="s">
        <v>5</v>
      </c>
      <c r="I54" s="131">
        <v>15</v>
      </c>
      <c r="J54" s="58">
        <v>2000</v>
      </c>
      <c r="K54" s="59">
        <f t="shared" si="1"/>
        <v>133.33333333333334</v>
      </c>
      <c r="L54" s="131">
        <v>15</v>
      </c>
      <c r="M54" s="60">
        <f t="shared" si="36"/>
        <v>1917.0731707317066</v>
      </c>
      <c r="N54" s="60">
        <f t="shared" si="3"/>
        <v>127.80487804878044</v>
      </c>
      <c r="O54" s="61">
        <f t="shared" si="4"/>
        <v>0</v>
      </c>
      <c r="P54" s="62">
        <f t="shared" si="5"/>
        <v>-5.5284552845529049</v>
      </c>
      <c r="Q54" s="127">
        <f t="shared" si="6"/>
        <v>0.95853658536585318</v>
      </c>
      <c r="R54" s="566"/>
      <c r="S54" s="63">
        <v>0.75138888888888888</v>
      </c>
      <c r="T54" s="63">
        <v>0.77986111111111112</v>
      </c>
      <c r="U54" s="126">
        <f t="shared" si="38"/>
        <v>6.9999999999999751</v>
      </c>
      <c r="V54" s="132">
        <f t="shared" si="37"/>
        <v>41.000000000000014</v>
      </c>
      <c r="W54" s="64"/>
      <c r="X54" s="64"/>
      <c r="Y54" s="123"/>
      <c r="Z54" s="124"/>
      <c r="AA54" s="61">
        <f t="shared" si="8"/>
        <v>-82.926829268293432</v>
      </c>
      <c r="AB54" s="127">
        <f t="shared" si="9"/>
        <v>0.95853658536585329</v>
      </c>
      <c r="AC54" s="566"/>
    </row>
    <row r="55" spans="1:29" ht="15.75" customHeight="1">
      <c r="A55" s="574" t="s">
        <v>117</v>
      </c>
      <c r="B55" s="57" t="s">
        <v>6</v>
      </c>
      <c r="C55" s="129" t="s">
        <v>99</v>
      </c>
      <c r="D55" s="130"/>
      <c r="E55" s="57">
        <v>53.68</v>
      </c>
      <c r="F55" s="69">
        <v>2434</v>
      </c>
      <c r="G55" s="126">
        <f t="shared" si="35"/>
        <v>130657.12</v>
      </c>
      <c r="H55" s="72" t="s">
        <v>5</v>
      </c>
      <c r="I55" s="131">
        <v>16</v>
      </c>
      <c r="J55" s="58">
        <v>1500</v>
      </c>
      <c r="K55" s="59">
        <f t="shared" si="1"/>
        <v>93.75</v>
      </c>
      <c r="L55" s="131">
        <v>16</v>
      </c>
      <c r="M55" s="60">
        <f t="shared" si="36"/>
        <v>1431.7647058823536</v>
      </c>
      <c r="N55" s="60">
        <f t="shared" si="3"/>
        <v>89.485294117647101</v>
      </c>
      <c r="O55" s="61">
        <f t="shared" si="4"/>
        <v>0</v>
      </c>
      <c r="P55" s="62">
        <f t="shared" si="5"/>
        <v>-4.2647058823528994</v>
      </c>
      <c r="Q55" s="127">
        <f t="shared" si="6"/>
        <v>0.95450980392156903</v>
      </c>
      <c r="R55" s="566"/>
      <c r="S55" s="63">
        <v>0.78472222222222221</v>
      </c>
      <c r="T55" s="63">
        <v>0.85555555555555551</v>
      </c>
      <c r="U55" s="126">
        <f t="shared" si="38"/>
        <v>6.9999999999999751</v>
      </c>
      <c r="V55" s="132">
        <f t="shared" si="37"/>
        <v>101.99999999999996</v>
      </c>
      <c r="W55" s="64"/>
      <c r="X55" s="64"/>
      <c r="Y55" s="123"/>
      <c r="Z55" s="124"/>
      <c r="AA55" s="61">
        <f t="shared" si="8"/>
        <v>-68.23529411764639</v>
      </c>
      <c r="AB55" s="127">
        <f t="shared" si="9"/>
        <v>0.95450980392156903</v>
      </c>
      <c r="AC55" s="566"/>
    </row>
    <row r="56" spans="1:29">
      <c r="A56" s="575" t="s">
        <v>117</v>
      </c>
      <c r="B56" s="57" t="s">
        <v>159</v>
      </c>
      <c r="C56" s="571"/>
      <c r="D56" s="571"/>
      <c r="E56" s="128"/>
      <c r="F56" s="66"/>
      <c r="G56" s="59"/>
      <c r="H56" s="134"/>
      <c r="I56" s="67">
        <v>16.399999999999999</v>
      </c>
      <c r="J56" s="58">
        <v>1900</v>
      </c>
      <c r="K56" s="59">
        <f t="shared" si="1"/>
        <v>115.85365853658537</v>
      </c>
      <c r="L56" s="67">
        <v>16.399999999999999</v>
      </c>
      <c r="M56" s="60">
        <f>AVERAGE(M51:M55)</f>
        <v>1817.8237156736893</v>
      </c>
      <c r="N56" s="59">
        <f t="shared" si="3"/>
        <v>110.84290949229813</v>
      </c>
      <c r="O56" s="61">
        <f t="shared" si="4"/>
        <v>0</v>
      </c>
      <c r="P56" s="62">
        <f t="shared" si="5"/>
        <v>-5.0107490442872376</v>
      </c>
      <c r="Q56" s="127">
        <f t="shared" si="6"/>
        <v>0.95674932403878388</v>
      </c>
      <c r="R56" s="566"/>
      <c r="S56" s="70"/>
      <c r="T56" s="63"/>
      <c r="U56" s="59"/>
      <c r="V56" s="132"/>
      <c r="W56" s="59"/>
      <c r="X56" s="59"/>
      <c r="Y56" s="559"/>
      <c r="Z56" s="559"/>
      <c r="AA56" s="61">
        <f t="shared" si="8"/>
        <v>-82.176284326310679</v>
      </c>
      <c r="AB56" s="127">
        <f t="shared" si="9"/>
        <v>0.95674932403878388</v>
      </c>
      <c r="AC56" s="566"/>
    </row>
    <row r="57" spans="1:29" ht="15.75" customHeight="1">
      <c r="A57" s="572" t="s">
        <v>93</v>
      </c>
      <c r="B57" s="134" t="s">
        <v>10</v>
      </c>
      <c r="C57" s="560" t="s">
        <v>42</v>
      </c>
      <c r="D57" s="560"/>
      <c r="E57" s="57">
        <v>26.97</v>
      </c>
      <c r="F57" s="69">
        <v>2900</v>
      </c>
      <c r="G57" s="126">
        <f t="shared" ref="G57:G60" si="39">E57*F57</f>
        <v>78213</v>
      </c>
      <c r="H57" s="72" t="s">
        <v>5</v>
      </c>
      <c r="I57" s="131">
        <v>8</v>
      </c>
      <c r="J57" s="58">
        <v>1500</v>
      </c>
      <c r="K57" s="59">
        <f t="shared" si="1"/>
        <v>187.5</v>
      </c>
      <c r="L57" s="131">
        <v>8</v>
      </c>
      <c r="M57" s="60">
        <f t="shared" ref="M57:M60" si="40">F57/V57*60</f>
        <v>1426.2295081967213</v>
      </c>
      <c r="N57" s="59">
        <f t="shared" si="3"/>
        <v>178.27868852459017</v>
      </c>
      <c r="O57" s="61">
        <f t="shared" si="4"/>
        <v>0</v>
      </c>
      <c r="P57" s="62">
        <f t="shared" si="5"/>
        <v>-9.2213114754098342</v>
      </c>
      <c r="Q57" s="127">
        <f t="shared" si="6"/>
        <v>0.9508196721311476</v>
      </c>
      <c r="R57" s="566">
        <f>Q61</f>
        <v>0.95569409045287279</v>
      </c>
      <c r="S57" s="63">
        <v>0.20833333333333334</v>
      </c>
      <c r="T57" s="63">
        <v>0.29305555555555557</v>
      </c>
      <c r="U57" s="126"/>
      <c r="V57" s="132">
        <f t="shared" ref="V57:V60" si="41">(T57-S57)*24*60</f>
        <v>122</v>
      </c>
      <c r="W57" s="68"/>
      <c r="X57" s="68"/>
      <c r="Y57" s="559"/>
      <c r="Z57" s="559"/>
      <c r="AA57" s="61">
        <f t="shared" si="8"/>
        <v>-73.770491803278674</v>
      </c>
      <c r="AB57" s="127">
        <f t="shared" si="9"/>
        <v>0.9508196721311476</v>
      </c>
      <c r="AC57" s="566">
        <f>AB61</f>
        <v>0.9556940904528729</v>
      </c>
    </row>
    <row r="58" spans="1:29" ht="15.75" customHeight="1">
      <c r="A58" s="572" t="s">
        <v>93</v>
      </c>
      <c r="B58" s="134" t="s">
        <v>31</v>
      </c>
      <c r="C58" s="560" t="s">
        <v>41</v>
      </c>
      <c r="D58" s="560"/>
      <c r="E58" s="57">
        <v>26.78</v>
      </c>
      <c r="F58" s="69">
        <v>2621</v>
      </c>
      <c r="G58" s="126">
        <f t="shared" si="39"/>
        <v>70190.38</v>
      </c>
      <c r="H58" s="72" t="s">
        <v>5</v>
      </c>
      <c r="I58" s="131">
        <v>10</v>
      </c>
      <c r="J58" s="58">
        <v>3000</v>
      </c>
      <c r="K58" s="59">
        <f t="shared" si="1"/>
        <v>300</v>
      </c>
      <c r="L58" s="131">
        <v>10</v>
      </c>
      <c r="M58" s="60">
        <f t="shared" si="40"/>
        <v>2859.2727272727288</v>
      </c>
      <c r="N58" s="59">
        <f t="shared" si="3"/>
        <v>285.92727272727291</v>
      </c>
      <c r="O58" s="61">
        <f t="shared" si="4"/>
        <v>0</v>
      </c>
      <c r="P58" s="62">
        <f t="shared" si="5"/>
        <v>-14.072727272727093</v>
      </c>
      <c r="Q58" s="127">
        <f t="shared" si="6"/>
        <v>0.95309090909090965</v>
      </c>
      <c r="R58" s="566"/>
      <c r="S58" s="63">
        <v>0.2986111111111111</v>
      </c>
      <c r="T58" s="63">
        <v>0.33680555555555552</v>
      </c>
      <c r="U58" s="126">
        <f t="shared" ref="U58:U60" si="42">(S58-T57)*24*60</f>
        <v>7.9999999999999716</v>
      </c>
      <c r="V58" s="132">
        <f t="shared" si="41"/>
        <v>54.999999999999964</v>
      </c>
      <c r="W58" s="126"/>
      <c r="X58" s="126"/>
      <c r="Y58" s="559"/>
      <c r="Z58" s="559"/>
      <c r="AA58" s="61">
        <f t="shared" si="8"/>
        <v>-140.72727272727116</v>
      </c>
      <c r="AB58" s="127">
        <f t="shared" si="9"/>
        <v>0.95309090909090965</v>
      </c>
      <c r="AC58" s="566"/>
    </row>
    <row r="59" spans="1:29" ht="15.75" customHeight="1">
      <c r="A59" s="572" t="s">
        <v>93</v>
      </c>
      <c r="B59" s="134" t="s">
        <v>31</v>
      </c>
      <c r="C59" s="560" t="s">
        <v>64</v>
      </c>
      <c r="D59" s="560"/>
      <c r="E59" s="57">
        <v>37.880000000000003</v>
      </c>
      <c r="F59" s="69">
        <v>3015</v>
      </c>
      <c r="G59" s="126">
        <f t="shared" si="39"/>
        <v>114208.20000000001</v>
      </c>
      <c r="H59" s="72" t="s">
        <v>5</v>
      </c>
      <c r="I59" s="131">
        <v>10</v>
      </c>
      <c r="J59" s="58">
        <v>3000</v>
      </c>
      <c r="K59" s="59">
        <f t="shared" si="1"/>
        <v>300</v>
      </c>
      <c r="L59" s="131">
        <v>10</v>
      </c>
      <c r="M59" s="60">
        <f t="shared" si="40"/>
        <v>2871.4285714285706</v>
      </c>
      <c r="N59" s="59">
        <f t="shared" si="3"/>
        <v>287.14285714285705</v>
      </c>
      <c r="O59" s="61">
        <f t="shared" si="4"/>
        <v>0</v>
      </c>
      <c r="P59" s="62">
        <f t="shared" si="5"/>
        <v>-12.857142857142946</v>
      </c>
      <c r="Q59" s="127">
        <f t="shared" si="6"/>
        <v>0.95714285714285685</v>
      </c>
      <c r="R59" s="566"/>
      <c r="S59" s="63">
        <v>0.34027777777777773</v>
      </c>
      <c r="T59" s="63">
        <v>0.38402777777777775</v>
      </c>
      <c r="U59" s="126">
        <f t="shared" si="42"/>
        <v>4.9999999999999822</v>
      </c>
      <c r="V59" s="132">
        <f t="shared" si="41"/>
        <v>63.000000000000014</v>
      </c>
      <c r="W59" s="126"/>
      <c r="X59" s="126"/>
      <c r="Y59" s="559"/>
      <c r="Z59" s="559"/>
      <c r="AA59" s="61">
        <f t="shared" si="8"/>
        <v>-128.57142857142935</v>
      </c>
      <c r="AB59" s="127">
        <f t="shared" si="9"/>
        <v>0.95714285714285685</v>
      </c>
      <c r="AC59" s="566"/>
    </row>
    <row r="60" spans="1:29" ht="15.75" customHeight="1">
      <c r="A60" s="572" t="s">
        <v>93</v>
      </c>
      <c r="B60" s="134" t="s">
        <v>31</v>
      </c>
      <c r="C60" s="560" t="s">
        <v>72</v>
      </c>
      <c r="D60" s="560"/>
      <c r="E60" s="57">
        <v>40.51</v>
      </c>
      <c r="F60" s="69">
        <v>2686</v>
      </c>
      <c r="G60" s="126">
        <f t="shared" si="39"/>
        <v>108809.86</v>
      </c>
      <c r="H60" s="72" t="s">
        <v>5</v>
      </c>
      <c r="I60" s="131">
        <v>8</v>
      </c>
      <c r="J60" s="58">
        <v>3000</v>
      </c>
      <c r="K60" s="59">
        <f t="shared" si="1"/>
        <v>375</v>
      </c>
      <c r="L60" s="131">
        <v>8</v>
      </c>
      <c r="M60" s="60">
        <f t="shared" si="40"/>
        <v>2877.8571428571449</v>
      </c>
      <c r="N60" s="59">
        <f t="shared" si="3"/>
        <v>359.73214285714312</v>
      </c>
      <c r="O60" s="61">
        <f t="shared" si="4"/>
        <v>0</v>
      </c>
      <c r="P60" s="62">
        <f t="shared" si="5"/>
        <v>-15.267857142856883</v>
      </c>
      <c r="Q60" s="127">
        <f t="shared" si="6"/>
        <v>0.95928571428571496</v>
      </c>
      <c r="R60" s="566"/>
      <c r="S60" s="63">
        <v>0.38888888888888884</v>
      </c>
      <c r="T60" s="63">
        <v>0.4277777777777777</v>
      </c>
      <c r="U60" s="126">
        <f t="shared" si="42"/>
        <v>6.9999999999999751</v>
      </c>
      <c r="V60" s="132">
        <f t="shared" si="41"/>
        <v>55.999999999999957</v>
      </c>
      <c r="W60" s="126"/>
      <c r="X60" s="126"/>
      <c r="Y60" s="559"/>
      <c r="Z60" s="559"/>
      <c r="AA60" s="61">
        <f t="shared" si="8"/>
        <v>-122.14285714285506</v>
      </c>
      <c r="AB60" s="127">
        <f t="shared" si="9"/>
        <v>0.95928571428571496</v>
      </c>
      <c r="AC60" s="566"/>
    </row>
    <row r="61" spans="1:29">
      <c r="A61" s="573" t="s">
        <v>93</v>
      </c>
      <c r="B61" s="57" t="s">
        <v>159</v>
      </c>
      <c r="C61" s="571"/>
      <c r="D61" s="571"/>
      <c r="E61" s="128"/>
      <c r="F61" s="66"/>
      <c r="G61" s="59"/>
      <c r="H61" s="134"/>
      <c r="I61" s="67">
        <v>9</v>
      </c>
      <c r="J61" s="58">
        <v>2625</v>
      </c>
      <c r="K61" s="59">
        <f t="shared" si="1"/>
        <v>291.66666666666669</v>
      </c>
      <c r="L61" s="67">
        <v>9</v>
      </c>
      <c r="M61" s="60">
        <f>AVERAGE(M57:M60)</f>
        <v>2508.6969874387914</v>
      </c>
      <c r="N61" s="59">
        <f t="shared" si="3"/>
        <v>278.74410971542125</v>
      </c>
      <c r="O61" s="61">
        <f t="shared" si="4"/>
        <v>0</v>
      </c>
      <c r="P61" s="62">
        <f t="shared" si="5"/>
        <v>-12.92255695124544</v>
      </c>
      <c r="Q61" s="127">
        <f t="shared" si="6"/>
        <v>0.95569409045287279</v>
      </c>
      <c r="R61" s="566"/>
      <c r="S61" s="63"/>
      <c r="T61" s="63"/>
      <c r="U61" s="59"/>
      <c r="V61" s="132"/>
      <c r="W61" s="59"/>
      <c r="X61" s="59"/>
      <c r="Y61" s="559"/>
      <c r="Z61" s="559"/>
      <c r="AA61" s="61">
        <f t="shared" si="8"/>
        <v>-116.30301256120856</v>
      </c>
      <c r="AB61" s="127">
        <f t="shared" si="9"/>
        <v>0.9556940904528729</v>
      </c>
      <c r="AC61" s="566"/>
    </row>
    <row r="62" spans="1:29" ht="15.75" customHeight="1">
      <c r="A62" s="563" t="s">
        <v>90</v>
      </c>
      <c r="B62" s="134" t="s">
        <v>15</v>
      </c>
      <c r="C62" s="560" t="s">
        <v>43</v>
      </c>
      <c r="D62" s="560"/>
      <c r="E62" s="57">
        <v>20.2</v>
      </c>
      <c r="F62" s="134">
        <v>2330</v>
      </c>
      <c r="G62" s="126">
        <f t="shared" ref="G62:G69" si="43">E62*F62</f>
        <v>47066</v>
      </c>
      <c r="H62" s="72" t="s">
        <v>5</v>
      </c>
      <c r="I62" s="131">
        <v>19</v>
      </c>
      <c r="J62" s="58">
        <v>2400</v>
      </c>
      <c r="K62" s="59">
        <f t="shared" si="1"/>
        <v>126.31578947368421</v>
      </c>
      <c r="L62" s="131">
        <v>19</v>
      </c>
      <c r="M62" s="60">
        <f t="shared" ref="M62:M69" si="44">F62/V62*60</f>
        <v>2291.8032786885246</v>
      </c>
      <c r="N62" s="59">
        <f t="shared" si="3"/>
        <v>120.62122519413288</v>
      </c>
      <c r="O62" s="61">
        <f t="shared" si="4"/>
        <v>0</v>
      </c>
      <c r="P62" s="62">
        <f t="shared" si="5"/>
        <v>-5.6945642795513294</v>
      </c>
      <c r="Q62" s="127">
        <f t="shared" si="6"/>
        <v>0.95491803278688536</v>
      </c>
      <c r="R62" s="566">
        <f>Q70</f>
        <v>0.9567128744936787</v>
      </c>
      <c r="S62" s="63">
        <v>8.3333333333333329E-2</v>
      </c>
      <c r="T62" s="63">
        <v>0.12569444444444444</v>
      </c>
      <c r="U62" s="68"/>
      <c r="V62" s="132">
        <f t="shared" ref="V62:V69" si="45">(T62-S62)*24*60</f>
        <v>61</v>
      </c>
      <c r="W62" s="64">
        <f>T62</f>
        <v>0.12569444444444444</v>
      </c>
      <c r="X62" s="64">
        <f>S63</f>
        <v>0.14305555555555552</v>
      </c>
      <c r="Y62" s="559"/>
      <c r="Z62" s="559"/>
      <c r="AA62" s="61">
        <f t="shared" si="8"/>
        <v>-108.19672131147536</v>
      </c>
      <c r="AB62" s="127">
        <f t="shared" si="9"/>
        <v>0.95491803278688525</v>
      </c>
      <c r="AC62" s="566">
        <f>AB70</f>
        <v>0.9567128744936787</v>
      </c>
    </row>
    <row r="63" spans="1:29" ht="15.75" customHeight="1">
      <c r="A63" s="564" t="s">
        <v>90</v>
      </c>
      <c r="B63" s="134" t="s">
        <v>15</v>
      </c>
      <c r="C63" s="560" t="s">
        <v>16</v>
      </c>
      <c r="D63" s="560"/>
      <c r="E63" s="57">
        <v>24.45</v>
      </c>
      <c r="F63" s="134">
        <v>2450</v>
      </c>
      <c r="G63" s="126">
        <f t="shared" si="43"/>
        <v>59902.5</v>
      </c>
      <c r="H63" s="72" t="s">
        <v>5</v>
      </c>
      <c r="I63" s="131">
        <v>20</v>
      </c>
      <c r="J63" s="58">
        <v>2400</v>
      </c>
      <c r="K63" s="59">
        <f t="shared" si="1"/>
        <v>120</v>
      </c>
      <c r="L63" s="131">
        <v>20</v>
      </c>
      <c r="M63" s="60">
        <f t="shared" si="44"/>
        <v>2296.8749999999995</v>
      </c>
      <c r="N63" s="59">
        <f t="shared" si="3"/>
        <v>114.84374999999997</v>
      </c>
      <c r="O63" s="61">
        <f t="shared" si="4"/>
        <v>0</v>
      </c>
      <c r="P63" s="62">
        <f t="shared" si="5"/>
        <v>-5.1562500000000284</v>
      </c>
      <c r="Q63" s="127">
        <f t="shared" si="6"/>
        <v>0.95703124999999978</v>
      </c>
      <c r="R63" s="566"/>
      <c r="S63" s="63">
        <v>0.14305555555555552</v>
      </c>
      <c r="T63" s="63">
        <v>0.18749999999999997</v>
      </c>
      <c r="U63" s="126">
        <f t="shared" ref="U63:U69" si="46">(S63-T62)*24*60</f>
        <v>24.99999999999995</v>
      </c>
      <c r="V63" s="132">
        <f t="shared" si="45"/>
        <v>64.000000000000014</v>
      </c>
      <c r="W63" s="64"/>
      <c r="X63" s="64"/>
      <c r="Y63" s="559"/>
      <c r="Z63" s="559"/>
      <c r="AA63" s="61">
        <f t="shared" si="8"/>
        <v>-103.12500000000045</v>
      </c>
      <c r="AB63" s="127">
        <f t="shared" si="9"/>
        <v>0.95703124999999978</v>
      </c>
      <c r="AC63" s="566"/>
    </row>
    <row r="64" spans="1:29" ht="15.75" customHeight="1">
      <c r="A64" s="564" t="s">
        <v>90</v>
      </c>
      <c r="B64" s="134" t="s">
        <v>15</v>
      </c>
      <c r="C64" s="560" t="s">
        <v>17</v>
      </c>
      <c r="D64" s="560"/>
      <c r="E64" s="57">
        <v>22.35</v>
      </c>
      <c r="F64" s="134">
        <v>2402</v>
      </c>
      <c r="G64" s="126">
        <f t="shared" si="43"/>
        <v>53684.700000000004</v>
      </c>
      <c r="H64" s="72" t="s">
        <v>5</v>
      </c>
      <c r="I64" s="131">
        <v>16</v>
      </c>
      <c r="J64" s="58">
        <v>2400</v>
      </c>
      <c r="K64" s="59">
        <f t="shared" si="1"/>
        <v>150</v>
      </c>
      <c r="L64" s="131">
        <v>16</v>
      </c>
      <c r="M64" s="60">
        <f t="shared" si="44"/>
        <v>2287.6190476190473</v>
      </c>
      <c r="N64" s="59">
        <f t="shared" si="3"/>
        <v>142.97619047619045</v>
      </c>
      <c r="O64" s="61">
        <f t="shared" si="4"/>
        <v>0</v>
      </c>
      <c r="P64" s="62">
        <f t="shared" si="5"/>
        <v>-7.0238095238095468</v>
      </c>
      <c r="Q64" s="127">
        <f t="shared" si="6"/>
        <v>0.95317460317460301</v>
      </c>
      <c r="R64" s="566"/>
      <c r="S64" s="63">
        <v>0.19166666666666665</v>
      </c>
      <c r="T64" s="63">
        <v>0.23541666666666666</v>
      </c>
      <c r="U64" s="126">
        <f t="shared" si="46"/>
        <v>6.0000000000000187</v>
      </c>
      <c r="V64" s="132">
        <f t="shared" si="45"/>
        <v>63.000000000000014</v>
      </c>
      <c r="W64" s="64"/>
      <c r="X64" s="64"/>
      <c r="Y64" s="559"/>
      <c r="Z64" s="559"/>
      <c r="AA64" s="61">
        <f t="shared" si="8"/>
        <v>-112.38095238095275</v>
      </c>
      <c r="AB64" s="127">
        <f t="shared" si="9"/>
        <v>0.95317460317460301</v>
      </c>
      <c r="AC64" s="566"/>
    </row>
    <row r="65" spans="1:29" ht="15.75" customHeight="1">
      <c r="A65" s="564" t="s">
        <v>90</v>
      </c>
      <c r="B65" s="134" t="s">
        <v>15</v>
      </c>
      <c r="C65" s="560" t="s">
        <v>30</v>
      </c>
      <c r="D65" s="560"/>
      <c r="E65" s="57">
        <v>24.25</v>
      </c>
      <c r="F65" s="134">
        <v>2644</v>
      </c>
      <c r="G65" s="126">
        <f t="shared" si="43"/>
        <v>64117</v>
      </c>
      <c r="H65" s="72" t="s">
        <v>5</v>
      </c>
      <c r="I65" s="131">
        <v>13</v>
      </c>
      <c r="J65" s="58">
        <v>2400</v>
      </c>
      <c r="K65" s="59">
        <f t="shared" si="1"/>
        <v>184.61538461538461</v>
      </c>
      <c r="L65" s="131">
        <v>13</v>
      </c>
      <c r="M65" s="60">
        <f t="shared" si="44"/>
        <v>2299.1304347826103</v>
      </c>
      <c r="N65" s="59">
        <f t="shared" si="3"/>
        <v>176.85618729097001</v>
      </c>
      <c r="O65" s="61">
        <f t="shared" si="4"/>
        <v>0</v>
      </c>
      <c r="P65" s="62">
        <f t="shared" si="5"/>
        <v>-7.7591973244146004</v>
      </c>
      <c r="Q65" s="127">
        <f t="shared" si="6"/>
        <v>0.95797101449275424</v>
      </c>
      <c r="R65" s="566"/>
      <c r="S65" s="63">
        <v>0.24027777777777778</v>
      </c>
      <c r="T65" s="63">
        <v>0.28819444444444442</v>
      </c>
      <c r="U65" s="126">
        <f t="shared" si="46"/>
        <v>7.0000000000000151</v>
      </c>
      <c r="V65" s="132">
        <f t="shared" si="45"/>
        <v>68.999999999999957</v>
      </c>
      <c r="W65" s="64"/>
      <c r="X65" s="64"/>
      <c r="Y65" s="559"/>
      <c r="Z65" s="559"/>
      <c r="AA65" s="61">
        <f t="shared" si="8"/>
        <v>-100.86956521738966</v>
      </c>
      <c r="AB65" s="127">
        <f t="shared" si="9"/>
        <v>0.95797101449275435</v>
      </c>
      <c r="AC65" s="566"/>
    </row>
    <row r="66" spans="1:29" ht="15.75" customHeight="1">
      <c r="A66" s="564" t="s">
        <v>90</v>
      </c>
      <c r="B66" s="134" t="s">
        <v>15</v>
      </c>
      <c r="C66" s="560" t="s">
        <v>24</v>
      </c>
      <c r="D66" s="560"/>
      <c r="E66" s="57">
        <v>20.52</v>
      </c>
      <c r="F66" s="134">
        <v>3323</v>
      </c>
      <c r="G66" s="126">
        <f t="shared" si="43"/>
        <v>68187.959999999992</v>
      </c>
      <c r="H66" s="72" t="s">
        <v>5</v>
      </c>
      <c r="I66" s="131">
        <v>18</v>
      </c>
      <c r="J66" s="58">
        <v>2400</v>
      </c>
      <c r="K66" s="59">
        <f t="shared" si="1"/>
        <v>133.33333333333334</v>
      </c>
      <c r="L66" s="131">
        <v>18</v>
      </c>
      <c r="M66" s="60">
        <f t="shared" si="44"/>
        <v>2291.724137931034</v>
      </c>
      <c r="N66" s="59">
        <f t="shared" si="3"/>
        <v>127.31800766283521</v>
      </c>
      <c r="O66" s="61">
        <f t="shared" si="4"/>
        <v>0</v>
      </c>
      <c r="P66" s="62">
        <f t="shared" si="5"/>
        <v>-6.0153256704981288</v>
      </c>
      <c r="Q66" s="127">
        <f t="shared" si="6"/>
        <v>0.95488505747126406</v>
      </c>
      <c r="R66" s="566"/>
      <c r="S66" s="63">
        <v>0.29305555555555551</v>
      </c>
      <c r="T66" s="63">
        <v>0.35347222222222219</v>
      </c>
      <c r="U66" s="126">
        <f t="shared" si="46"/>
        <v>6.9999999999999751</v>
      </c>
      <c r="V66" s="132">
        <f t="shared" si="45"/>
        <v>87.000000000000014</v>
      </c>
      <c r="W66" s="64"/>
      <c r="X66" s="64"/>
      <c r="Y66" s="559"/>
      <c r="Z66" s="559"/>
      <c r="AA66" s="61">
        <f t="shared" si="8"/>
        <v>-108.27586206896603</v>
      </c>
      <c r="AB66" s="127">
        <f t="shared" si="9"/>
        <v>0.95488505747126418</v>
      </c>
      <c r="AC66" s="566"/>
    </row>
    <row r="67" spans="1:29" ht="15.75" customHeight="1">
      <c r="A67" s="564" t="s">
        <v>90</v>
      </c>
      <c r="B67" s="134" t="s">
        <v>15</v>
      </c>
      <c r="C67" s="560" t="s">
        <v>101</v>
      </c>
      <c r="D67" s="560"/>
      <c r="E67" s="57">
        <v>22.69</v>
      </c>
      <c r="F67" s="134">
        <v>3500</v>
      </c>
      <c r="G67" s="126">
        <f t="shared" si="43"/>
        <v>79415</v>
      </c>
      <c r="H67" s="72" t="s">
        <v>5</v>
      </c>
      <c r="I67" s="131">
        <v>15</v>
      </c>
      <c r="J67" s="58">
        <v>2400</v>
      </c>
      <c r="K67" s="59">
        <f t="shared" si="1"/>
        <v>160</v>
      </c>
      <c r="L67" s="131">
        <v>15</v>
      </c>
      <c r="M67" s="60">
        <f t="shared" si="44"/>
        <v>2307.6923076923076</v>
      </c>
      <c r="N67" s="59">
        <f t="shared" si="3"/>
        <v>153.84615384615384</v>
      </c>
      <c r="O67" s="61">
        <f t="shared" si="4"/>
        <v>0</v>
      </c>
      <c r="P67" s="62">
        <f t="shared" si="5"/>
        <v>-6.1538461538461604</v>
      </c>
      <c r="Q67" s="127">
        <f t="shared" si="6"/>
        <v>0.96153846153846145</v>
      </c>
      <c r="R67" s="566"/>
      <c r="S67" s="63">
        <v>0.35902777777777772</v>
      </c>
      <c r="T67" s="63">
        <v>0.42222222222222217</v>
      </c>
      <c r="U67" s="126">
        <f t="shared" si="46"/>
        <v>7.9999999999999716</v>
      </c>
      <c r="V67" s="132">
        <f t="shared" si="45"/>
        <v>91</v>
      </c>
      <c r="W67" s="64"/>
      <c r="X67" s="64"/>
      <c r="Y67" s="559"/>
      <c r="Z67" s="559"/>
      <c r="AA67" s="61">
        <f t="shared" si="8"/>
        <v>-92.307692307692378</v>
      </c>
      <c r="AB67" s="127">
        <f t="shared" si="9"/>
        <v>0.96153846153846156</v>
      </c>
      <c r="AC67" s="566"/>
    </row>
    <row r="68" spans="1:29" ht="15.75" customHeight="1">
      <c r="A68" s="564" t="s">
        <v>90</v>
      </c>
      <c r="B68" s="134" t="s">
        <v>15</v>
      </c>
      <c r="C68" s="560" t="s">
        <v>29</v>
      </c>
      <c r="D68" s="560"/>
      <c r="E68" s="57">
        <v>24.43</v>
      </c>
      <c r="F68" s="134">
        <v>4300</v>
      </c>
      <c r="G68" s="126">
        <f t="shared" si="43"/>
        <v>105049</v>
      </c>
      <c r="H68" s="72">
        <v>2</v>
      </c>
      <c r="I68" s="131">
        <v>14</v>
      </c>
      <c r="J68" s="58">
        <v>2400</v>
      </c>
      <c r="K68" s="59">
        <f t="shared" si="1"/>
        <v>171.42857142857142</v>
      </c>
      <c r="L68" s="131">
        <v>14</v>
      </c>
      <c r="M68" s="60">
        <f t="shared" si="44"/>
        <v>2283.1858407079662</v>
      </c>
      <c r="N68" s="59">
        <f t="shared" si="3"/>
        <v>163.08470290771189</v>
      </c>
      <c r="O68" s="61">
        <f t="shared" si="4"/>
        <v>0</v>
      </c>
      <c r="P68" s="62">
        <f t="shared" si="5"/>
        <v>-8.3438685208595302</v>
      </c>
      <c r="Q68" s="127">
        <f t="shared" si="6"/>
        <v>0.9513274336283194</v>
      </c>
      <c r="R68" s="566"/>
      <c r="S68" s="63">
        <v>0.4277777777777777</v>
      </c>
      <c r="T68" s="63">
        <v>0.50624999999999987</v>
      </c>
      <c r="U68" s="126">
        <f t="shared" si="46"/>
        <v>7.9999999999999716</v>
      </c>
      <c r="V68" s="132">
        <f t="shared" si="45"/>
        <v>112.99999999999991</v>
      </c>
      <c r="W68" s="64">
        <f>T68</f>
        <v>0.50624999999999987</v>
      </c>
      <c r="X68" s="64">
        <f>S69</f>
        <v>0.54652777777777761</v>
      </c>
      <c r="Y68" s="569"/>
      <c r="Z68" s="570"/>
      <c r="AA68" s="61">
        <f t="shared" si="8"/>
        <v>-116.81415929203376</v>
      </c>
      <c r="AB68" s="127">
        <f t="shared" si="9"/>
        <v>0.95132743362831929</v>
      </c>
      <c r="AC68" s="566"/>
    </row>
    <row r="69" spans="1:29" ht="15.75" customHeight="1">
      <c r="A69" s="564" t="s">
        <v>90</v>
      </c>
      <c r="B69" s="134" t="s">
        <v>15</v>
      </c>
      <c r="C69" s="560" t="s">
        <v>29</v>
      </c>
      <c r="D69" s="560"/>
      <c r="E69" s="57">
        <v>24.43</v>
      </c>
      <c r="F69" s="134">
        <v>2696</v>
      </c>
      <c r="G69" s="126">
        <f t="shared" si="43"/>
        <v>65863.28</v>
      </c>
      <c r="H69" s="72" t="s">
        <v>5</v>
      </c>
      <c r="I69" s="131">
        <v>14</v>
      </c>
      <c r="J69" s="58">
        <v>2400</v>
      </c>
      <c r="K69" s="59">
        <f t="shared" ref="K69:K70" si="47">J69/I69</f>
        <v>171.42857142857142</v>
      </c>
      <c r="L69" s="131">
        <v>14</v>
      </c>
      <c r="M69" s="60">
        <f t="shared" si="44"/>
        <v>2310.8571428571404</v>
      </c>
      <c r="N69" s="59">
        <f t="shared" ref="N69:N70" si="48">M69/L69</f>
        <v>165.06122448979573</v>
      </c>
      <c r="O69" s="61">
        <f t="shared" ref="O69:O70" si="49">L69-I69</f>
        <v>0</v>
      </c>
      <c r="P69" s="62">
        <f t="shared" ref="P69:P70" si="50">N69-K69</f>
        <v>-6.3673469387756825</v>
      </c>
      <c r="Q69" s="127">
        <f t="shared" ref="Q69:Q70" si="51">N69/K69</f>
        <v>0.96285714285714186</v>
      </c>
      <c r="R69" s="566"/>
      <c r="S69" s="63">
        <v>0.54652777777777761</v>
      </c>
      <c r="T69" s="63">
        <v>0.59513888888888877</v>
      </c>
      <c r="U69" s="126">
        <f t="shared" si="46"/>
        <v>57.999999999999957</v>
      </c>
      <c r="V69" s="132">
        <f t="shared" si="45"/>
        <v>70.000000000000071</v>
      </c>
      <c r="W69" s="64"/>
      <c r="X69" s="64"/>
      <c r="Y69" s="569"/>
      <c r="Z69" s="570"/>
      <c r="AA69" s="61">
        <f t="shared" ref="AA69:AA70" si="52">M69-J69</f>
        <v>-89.142857142859611</v>
      </c>
      <c r="AB69" s="127">
        <f t="shared" ref="AB69:AB70" si="53">M69/J69</f>
        <v>0.96285714285714186</v>
      </c>
      <c r="AC69" s="566"/>
    </row>
    <row r="70" spans="1:29" ht="16.5" customHeight="1">
      <c r="A70" s="565" t="s">
        <v>90</v>
      </c>
      <c r="B70" s="57" t="s">
        <v>371</v>
      </c>
      <c r="C70" s="561"/>
      <c r="D70" s="562"/>
      <c r="E70" s="128"/>
      <c r="F70" s="66"/>
      <c r="G70" s="59"/>
      <c r="H70" s="134"/>
      <c r="I70" s="67">
        <v>16.125</v>
      </c>
      <c r="J70" s="58">
        <v>2400</v>
      </c>
      <c r="K70" s="59">
        <f t="shared" si="47"/>
        <v>148.83720930232559</v>
      </c>
      <c r="L70" s="67">
        <v>16.125</v>
      </c>
      <c r="M70" s="60">
        <f>AVERAGE(M62:M69)</f>
        <v>2296.1108987848288</v>
      </c>
      <c r="N70" s="59">
        <f t="shared" si="48"/>
        <v>142.39447434324521</v>
      </c>
      <c r="O70" s="61">
        <f t="shared" si="49"/>
        <v>0</v>
      </c>
      <c r="P70" s="62">
        <f t="shared" si="50"/>
        <v>-6.4427349590803829</v>
      </c>
      <c r="Q70" s="127">
        <f t="shared" si="51"/>
        <v>0.9567128744936787</v>
      </c>
      <c r="R70" s="566"/>
      <c r="S70" s="63"/>
      <c r="T70" s="63"/>
      <c r="U70" s="59"/>
      <c r="V70" s="132"/>
      <c r="W70" s="59"/>
      <c r="X70" s="59"/>
      <c r="Y70" s="559"/>
      <c r="Z70" s="559"/>
      <c r="AA70" s="61">
        <f t="shared" si="52"/>
        <v>-103.88910121517119</v>
      </c>
      <c r="AB70" s="127">
        <f t="shared" si="53"/>
        <v>0.9567128744936787</v>
      </c>
      <c r="AC70" s="566"/>
    </row>
    <row r="71" spans="1:29">
      <c r="D71" s="122"/>
      <c r="E71" s="122"/>
    </row>
  </sheetData>
  <mergeCells count="188">
    <mergeCell ref="AC62:AC70"/>
    <mergeCell ref="C63:D63"/>
    <mergeCell ref="Y63:Z63"/>
    <mergeCell ref="C64:D64"/>
    <mergeCell ref="Y64:Z64"/>
    <mergeCell ref="C65:D65"/>
    <mergeCell ref="Y65:Z65"/>
    <mergeCell ref="C66:D66"/>
    <mergeCell ref="Y66:Z66"/>
    <mergeCell ref="C67:D67"/>
    <mergeCell ref="A62:A70"/>
    <mergeCell ref="C62:D62"/>
    <mergeCell ref="R62:R70"/>
    <mergeCell ref="Y62:Z62"/>
    <mergeCell ref="Y67:Z67"/>
    <mergeCell ref="C68:D68"/>
    <mergeCell ref="Y68:Z68"/>
    <mergeCell ref="A57:A61"/>
    <mergeCell ref="C57:D57"/>
    <mergeCell ref="R57:R61"/>
    <mergeCell ref="Y57:Z57"/>
    <mergeCell ref="C69:D69"/>
    <mergeCell ref="Y69:Z69"/>
    <mergeCell ref="C70:D70"/>
    <mergeCell ref="Y70:Z70"/>
    <mergeCell ref="AC57:AC61"/>
    <mergeCell ref="C58:D58"/>
    <mergeCell ref="Y58:Z58"/>
    <mergeCell ref="C59:D59"/>
    <mergeCell ref="Y59:Z59"/>
    <mergeCell ref="C60:D60"/>
    <mergeCell ref="AC51:AC56"/>
    <mergeCell ref="C52:D52"/>
    <mergeCell ref="Y52:Z52"/>
    <mergeCell ref="C53:D53"/>
    <mergeCell ref="C56:D56"/>
    <mergeCell ref="Y56:Z56"/>
    <mergeCell ref="Y60:Z60"/>
    <mergeCell ref="C61:D61"/>
    <mergeCell ref="Y61:Z61"/>
    <mergeCell ref="A51:A56"/>
    <mergeCell ref="C51:D51"/>
    <mergeCell ref="R51:R56"/>
    <mergeCell ref="Y51:Z51"/>
    <mergeCell ref="AC43:AC50"/>
    <mergeCell ref="C44:D44"/>
    <mergeCell ref="Y44:Z44"/>
    <mergeCell ref="C45:D45"/>
    <mergeCell ref="Y45:Z45"/>
    <mergeCell ref="C46:D46"/>
    <mergeCell ref="Y46:Z46"/>
    <mergeCell ref="C47:D47"/>
    <mergeCell ref="Y47:Z47"/>
    <mergeCell ref="C48:D48"/>
    <mergeCell ref="A43:A50"/>
    <mergeCell ref="C43:D43"/>
    <mergeCell ref="R43:R50"/>
    <mergeCell ref="Y43:Z43"/>
    <mergeCell ref="Y48:Z48"/>
    <mergeCell ref="C49:D49"/>
    <mergeCell ref="Y49:Z49"/>
    <mergeCell ref="C50:D50"/>
    <mergeCell ref="Y50:Z50"/>
    <mergeCell ref="A35:A42"/>
    <mergeCell ref="C35:D35"/>
    <mergeCell ref="R35:R42"/>
    <mergeCell ref="Y35:Z35"/>
    <mergeCell ref="Y40:Z40"/>
    <mergeCell ref="C41:D41"/>
    <mergeCell ref="AC35:AC42"/>
    <mergeCell ref="C36:D36"/>
    <mergeCell ref="Y36:Z36"/>
    <mergeCell ref="C37:D37"/>
    <mergeCell ref="Y37:Z37"/>
    <mergeCell ref="C38:D38"/>
    <mergeCell ref="Y38:Z38"/>
    <mergeCell ref="C39:D39"/>
    <mergeCell ref="Y39:Z39"/>
    <mergeCell ref="C40:D40"/>
    <mergeCell ref="Y41:Z41"/>
    <mergeCell ref="C42:D42"/>
    <mergeCell ref="Y42:Z42"/>
    <mergeCell ref="A27:A34"/>
    <mergeCell ref="C27:D27"/>
    <mergeCell ref="R27:R34"/>
    <mergeCell ref="Y27:Z27"/>
    <mergeCell ref="Y32:Z32"/>
    <mergeCell ref="AC27:AC34"/>
    <mergeCell ref="C28:D28"/>
    <mergeCell ref="Y28:Z28"/>
    <mergeCell ref="C29:D29"/>
    <mergeCell ref="Y29:Z29"/>
    <mergeCell ref="C30:D30"/>
    <mergeCell ref="Y30:Z30"/>
    <mergeCell ref="C31:D31"/>
    <mergeCell ref="Y31:Z31"/>
    <mergeCell ref="C32:D32"/>
    <mergeCell ref="C33:D33"/>
    <mergeCell ref="Y33:Z33"/>
    <mergeCell ref="C34:D34"/>
    <mergeCell ref="Y34:Z34"/>
    <mergeCell ref="A18:A26"/>
    <mergeCell ref="C18:D18"/>
    <mergeCell ref="R18:R26"/>
    <mergeCell ref="Y18:Z18"/>
    <mergeCell ref="Y23:Z23"/>
    <mergeCell ref="C24:D24"/>
    <mergeCell ref="A12:A17"/>
    <mergeCell ref="AC18:AC26"/>
    <mergeCell ref="C19:D19"/>
    <mergeCell ref="Y19:Z19"/>
    <mergeCell ref="C20:D20"/>
    <mergeCell ref="Y20:Z20"/>
    <mergeCell ref="C21:D21"/>
    <mergeCell ref="Y21:Z21"/>
    <mergeCell ref="C22:D22"/>
    <mergeCell ref="Y22:Z22"/>
    <mergeCell ref="C23:D23"/>
    <mergeCell ref="Y24:Z24"/>
    <mergeCell ref="C25:D25"/>
    <mergeCell ref="Y25:Z25"/>
    <mergeCell ref="C26:D26"/>
    <mergeCell ref="Y26:Z26"/>
    <mergeCell ref="C13:D13"/>
    <mergeCell ref="Y13:Z13"/>
    <mergeCell ref="C14:D14"/>
    <mergeCell ref="Y14:Z14"/>
    <mergeCell ref="C15:D15"/>
    <mergeCell ref="Y15:Z15"/>
    <mergeCell ref="AC9:AC11"/>
    <mergeCell ref="C10:D10"/>
    <mergeCell ref="Y10:Z10"/>
    <mergeCell ref="C11:D11"/>
    <mergeCell ref="Y11:Z11"/>
    <mergeCell ref="C12:D12"/>
    <mergeCell ref="R12:R17"/>
    <mergeCell ref="Y12:Z12"/>
    <mergeCell ref="AC12:AC17"/>
    <mergeCell ref="C16:D16"/>
    <mergeCell ref="Y16:Z16"/>
    <mergeCell ref="C17:D17"/>
    <mergeCell ref="Y17:Z17"/>
    <mergeCell ref="C8:D8"/>
    <mergeCell ref="Y8:Z8"/>
    <mergeCell ref="A9:A11"/>
    <mergeCell ref="C9:D9"/>
    <mergeCell ref="R9:R11"/>
    <mergeCell ref="Y9:Z9"/>
    <mergeCell ref="AC3:AC4"/>
    <mergeCell ref="A5:A8"/>
    <mergeCell ref="C5:D5"/>
    <mergeCell ref="R5:R8"/>
    <mergeCell ref="Y5:Z5"/>
    <mergeCell ref="AC5:AC8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N3:N4"/>
    <mergeCell ref="O3:O4"/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</mergeCells>
  <phoneticPr fontId="3" type="noConversion"/>
  <conditionalFormatting sqref="O60:O67 O70 O5:O9 O11:O13 O50:O57 O17:O48">
    <cfRule type="cellIs" dxfId="337" priority="55" operator="greaterThan">
      <formula>0</formula>
    </cfRule>
  </conditionalFormatting>
  <conditionalFormatting sqref="P5:P7 P60 AA60 P62:P67 P27:P33 P57 P9 P11:P13 P18:P25 P51:P55 P35:P48 AA5:AA57 AA62:AA70">
    <cfRule type="cellIs" dxfId="336" priority="59" operator="lessThan">
      <formula>0</formula>
    </cfRule>
  </conditionalFormatting>
  <conditionalFormatting sqref="AB60 Q60:Q67 Q70 Q5:Q9 Q11:Q13 Q50:Q57 Q17:Q48 AB5:AB57 AB62:AB70">
    <cfRule type="cellIs" dxfId="335" priority="56" operator="greaterThan">
      <formula>1</formula>
    </cfRule>
    <cfRule type="cellIs" dxfId="334" priority="57" operator="lessThan">
      <formula>0.8</formula>
    </cfRule>
  </conditionalFormatting>
  <conditionalFormatting sqref="AC12:AC13 R12:R13 AC60 R60:R67 R17:R23 AC17:AC23 R70 AC5:AC9 R5:R9 R26:R48 AC26:AC48 AC50:AC57 R50:R57">
    <cfRule type="cellIs" dxfId="333" priority="61" operator="lessThan">
      <formula>0.8</formula>
    </cfRule>
  </conditionalFormatting>
  <conditionalFormatting sqref="AC43">
    <cfRule type="cellIs" dxfId="332" priority="63" operator="lessThan">
      <formula>0.8</formula>
    </cfRule>
  </conditionalFormatting>
  <conditionalFormatting sqref="AC18:AC23">
    <cfRule type="cellIs" dxfId="331" priority="60" operator="lessThan">
      <formula>0.8</formula>
    </cfRule>
  </conditionalFormatting>
  <conditionalFormatting sqref="AC27">
    <cfRule type="cellIs" dxfId="330" priority="62" operator="lessThan">
      <formula>0.8</formula>
    </cfRule>
  </conditionalFormatting>
  <conditionalFormatting sqref="AC35:AC41">
    <cfRule type="cellIs" dxfId="329" priority="58" operator="lessThan">
      <formula>0.8</formula>
    </cfRule>
  </conditionalFormatting>
  <conditionalFormatting sqref="AA61">
    <cfRule type="cellIs" dxfId="328" priority="54" operator="lessThan">
      <formula>0</formula>
    </cfRule>
  </conditionalFormatting>
  <conditionalFormatting sqref="AB61">
    <cfRule type="cellIs" dxfId="327" priority="52" operator="greaterThan">
      <formula>1</formula>
    </cfRule>
    <cfRule type="cellIs" dxfId="326" priority="53" operator="lessThan">
      <formula>0.8</formula>
    </cfRule>
  </conditionalFormatting>
  <conditionalFormatting sqref="O14:O15">
    <cfRule type="cellIs" dxfId="325" priority="47" operator="greaterThan">
      <formula>0</formula>
    </cfRule>
  </conditionalFormatting>
  <conditionalFormatting sqref="P14:P15">
    <cfRule type="cellIs" dxfId="324" priority="50" operator="lessThan">
      <formula>0</formula>
    </cfRule>
  </conditionalFormatting>
  <conditionalFormatting sqref="Q14:Q15">
    <cfRule type="cellIs" dxfId="323" priority="48" operator="greaterThan">
      <formula>1</formula>
    </cfRule>
    <cfRule type="cellIs" dxfId="322" priority="49" operator="lessThan">
      <formula>0.8</formula>
    </cfRule>
  </conditionalFormatting>
  <conditionalFormatting sqref="R14:R15 AC14:AC15">
    <cfRule type="cellIs" dxfId="321" priority="51" operator="lessThan">
      <formula>0.8</formula>
    </cfRule>
  </conditionalFormatting>
  <conditionalFormatting sqref="O10">
    <cfRule type="cellIs" dxfId="320" priority="43" operator="greaterThan">
      <formula>0</formula>
    </cfRule>
  </conditionalFormatting>
  <conditionalFormatting sqref="P10">
    <cfRule type="cellIs" dxfId="319" priority="46" operator="lessThan">
      <formula>0</formula>
    </cfRule>
  </conditionalFormatting>
  <conditionalFormatting sqref="Q10">
    <cfRule type="cellIs" dxfId="318" priority="44" operator="greaterThan">
      <formula>1</formula>
    </cfRule>
    <cfRule type="cellIs" dxfId="317" priority="45" operator="lessThan">
      <formula>0.8</formula>
    </cfRule>
  </conditionalFormatting>
  <conditionalFormatting sqref="AC25 R25">
    <cfRule type="cellIs" dxfId="316" priority="42" operator="lessThan">
      <formula>0.8</formula>
    </cfRule>
  </conditionalFormatting>
  <conditionalFormatting sqref="O59">
    <cfRule type="cellIs" dxfId="315" priority="37" operator="greaterThan">
      <formula>0</formula>
    </cfRule>
  </conditionalFormatting>
  <conditionalFormatting sqref="P59 AA59">
    <cfRule type="cellIs" dxfId="314" priority="40" operator="lessThan">
      <formula>0</formula>
    </cfRule>
  </conditionalFormatting>
  <conditionalFormatting sqref="Q59 AB59">
    <cfRule type="cellIs" dxfId="313" priority="38" operator="greaterThan">
      <formula>1</formula>
    </cfRule>
    <cfRule type="cellIs" dxfId="312" priority="39" operator="lessThan">
      <formula>0.8</formula>
    </cfRule>
  </conditionalFormatting>
  <conditionalFormatting sqref="R59 AC59">
    <cfRule type="cellIs" dxfId="311" priority="41" operator="lessThan">
      <formula>0.8</formula>
    </cfRule>
  </conditionalFormatting>
  <conditionalFormatting sqref="O68">
    <cfRule type="cellIs" dxfId="310" priority="32" operator="greaterThan">
      <formula>0</formula>
    </cfRule>
  </conditionalFormatting>
  <conditionalFormatting sqref="P68">
    <cfRule type="cellIs" dxfId="309" priority="35" operator="lessThan">
      <formula>0</formula>
    </cfRule>
  </conditionalFormatting>
  <conditionalFormatting sqref="Q68">
    <cfRule type="cellIs" dxfId="308" priority="33" operator="greaterThan">
      <formula>1</formula>
    </cfRule>
    <cfRule type="cellIs" dxfId="307" priority="34" operator="lessThan">
      <formula>0.8</formula>
    </cfRule>
  </conditionalFormatting>
  <conditionalFormatting sqref="R68">
    <cfRule type="cellIs" dxfId="306" priority="36" operator="lessThan">
      <formula>0.8</formula>
    </cfRule>
  </conditionalFormatting>
  <conditionalFormatting sqref="O16">
    <cfRule type="cellIs" dxfId="305" priority="27" operator="greaterThan">
      <formula>0</formula>
    </cfRule>
  </conditionalFormatting>
  <conditionalFormatting sqref="P16">
    <cfRule type="cellIs" dxfId="304" priority="30" operator="lessThan">
      <formula>0</formula>
    </cfRule>
  </conditionalFormatting>
  <conditionalFormatting sqref="Q16">
    <cfRule type="cellIs" dxfId="303" priority="28" operator="greaterThan">
      <formula>1</formula>
    </cfRule>
    <cfRule type="cellIs" dxfId="302" priority="29" operator="lessThan">
      <formula>0.8</formula>
    </cfRule>
  </conditionalFormatting>
  <conditionalFormatting sqref="R16 AC16">
    <cfRule type="cellIs" dxfId="301" priority="31" operator="lessThan">
      <formula>0.8</formula>
    </cfRule>
  </conditionalFormatting>
  <conditionalFormatting sqref="O49">
    <cfRule type="cellIs" dxfId="300" priority="21" operator="greaterThan">
      <formula>0</formula>
    </cfRule>
  </conditionalFormatting>
  <conditionalFormatting sqref="P49">
    <cfRule type="cellIs" dxfId="299" priority="25" operator="lessThan">
      <formula>0</formula>
    </cfRule>
  </conditionalFormatting>
  <conditionalFormatting sqref="Q49">
    <cfRule type="cellIs" dxfId="298" priority="22" operator="greaterThan">
      <formula>1</formula>
    </cfRule>
    <cfRule type="cellIs" dxfId="297" priority="23" operator="lessThan">
      <formula>0.8</formula>
    </cfRule>
  </conditionalFormatting>
  <conditionalFormatting sqref="R49 AC49">
    <cfRule type="cellIs" dxfId="296" priority="26" operator="lessThan">
      <formula>0.8</formula>
    </cfRule>
  </conditionalFormatting>
  <conditionalFormatting sqref="AC49">
    <cfRule type="cellIs" dxfId="295" priority="24" operator="lessThan">
      <formula>0.8</formula>
    </cfRule>
  </conditionalFormatting>
  <conditionalFormatting sqref="R24 AC24">
    <cfRule type="cellIs" dxfId="294" priority="20" operator="lessThan">
      <formula>0.8</formula>
    </cfRule>
  </conditionalFormatting>
  <conditionalFormatting sqref="AC24">
    <cfRule type="cellIs" dxfId="293" priority="19" operator="lessThan">
      <formula>0.8</formula>
    </cfRule>
  </conditionalFormatting>
  <conditionalFormatting sqref="O58">
    <cfRule type="cellIs" dxfId="292" priority="14" operator="greaterThan">
      <formula>0</formula>
    </cfRule>
  </conditionalFormatting>
  <conditionalFormatting sqref="P58 AA58">
    <cfRule type="cellIs" dxfId="291" priority="17" operator="lessThan">
      <formula>0</formula>
    </cfRule>
  </conditionalFormatting>
  <conditionalFormatting sqref="Q58 AB58">
    <cfRule type="cellIs" dxfId="290" priority="15" operator="greaterThan">
      <formula>1</formula>
    </cfRule>
    <cfRule type="cellIs" dxfId="289" priority="16" operator="lessThan">
      <formula>0.8</formula>
    </cfRule>
  </conditionalFormatting>
  <conditionalFormatting sqref="R58 AC58">
    <cfRule type="cellIs" dxfId="288" priority="18" operator="lessThan">
      <formula>0.8</formula>
    </cfRule>
  </conditionalFormatting>
  <conditionalFormatting sqref="P8">
    <cfRule type="cellIs" dxfId="287" priority="13" operator="lessThan">
      <formula>0</formula>
    </cfRule>
  </conditionalFormatting>
  <conditionalFormatting sqref="P17">
    <cfRule type="cellIs" dxfId="286" priority="12" operator="lessThan">
      <formula>0</formula>
    </cfRule>
  </conditionalFormatting>
  <conditionalFormatting sqref="P26">
    <cfRule type="cellIs" dxfId="285" priority="11" operator="lessThan">
      <formula>0</formula>
    </cfRule>
  </conditionalFormatting>
  <conditionalFormatting sqref="P34">
    <cfRule type="cellIs" dxfId="284" priority="10" operator="lessThan">
      <formula>0</formula>
    </cfRule>
  </conditionalFormatting>
  <conditionalFormatting sqref="P50">
    <cfRule type="cellIs" dxfId="283" priority="9" operator="lessThan">
      <formula>0</formula>
    </cfRule>
  </conditionalFormatting>
  <conditionalFormatting sqref="P56">
    <cfRule type="cellIs" dxfId="282" priority="8" operator="lessThan">
      <formula>0</formula>
    </cfRule>
  </conditionalFormatting>
  <conditionalFormatting sqref="P61">
    <cfRule type="cellIs" dxfId="281" priority="7" operator="lessThan">
      <formula>0</formula>
    </cfRule>
  </conditionalFormatting>
  <conditionalFormatting sqref="P70">
    <cfRule type="cellIs" dxfId="280" priority="6" operator="lessThan">
      <formula>0</formula>
    </cfRule>
  </conditionalFormatting>
  <conditionalFormatting sqref="O69">
    <cfRule type="cellIs" dxfId="279" priority="1" operator="greaterThan">
      <formula>0</formula>
    </cfRule>
  </conditionalFormatting>
  <conditionalFormatting sqref="P69">
    <cfRule type="cellIs" dxfId="278" priority="4" operator="lessThan">
      <formula>0</formula>
    </cfRule>
  </conditionalFormatting>
  <conditionalFormatting sqref="Q69">
    <cfRule type="cellIs" dxfId="277" priority="2" operator="greaterThan">
      <formula>1</formula>
    </cfRule>
    <cfRule type="cellIs" dxfId="276" priority="3" operator="lessThan">
      <formula>0.8</formula>
    </cfRule>
  </conditionalFormatting>
  <conditionalFormatting sqref="R69">
    <cfRule type="cellIs" dxfId="275" priority="5" operator="lessThan">
      <formula>0.8</formula>
    </cfRule>
  </conditionalFormatting>
  <dataValidations count="1">
    <dataValidation type="list" allowBlank="1" showInputMessage="1" showErrorMessage="1" sqref="Z8 Y5:Z7 Y8:Y60 Z10:Z57 Y61:Z70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="85" zoomScaleNormal="85" workbookViewId="0">
      <selection activeCell="C13" sqref="C13"/>
    </sheetView>
  </sheetViews>
  <sheetFormatPr defaultColWidth="8.75" defaultRowHeight="15.75"/>
  <cols>
    <col min="1" max="1" width="8.75" style="2"/>
    <col min="2" max="2" width="17.875" style="2" customWidth="1"/>
    <col min="3" max="3" width="9.25" style="9" customWidth="1"/>
    <col min="4" max="13" width="12.625" style="2" customWidth="1"/>
    <col min="14" max="14" width="11" style="2" bestFit="1" customWidth="1"/>
    <col min="15" max="15" width="17.75" style="2" bestFit="1" customWidth="1"/>
    <col min="16" max="16" width="12.25" style="2" bestFit="1" customWidth="1"/>
    <col min="17" max="22" width="9.25" style="2" customWidth="1"/>
    <col min="23" max="23" width="10.75" style="2" customWidth="1"/>
    <col min="24" max="24" width="11" style="2" customWidth="1"/>
    <col min="25" max="16384" width="8.75" style="2"/>
  </cols>
  <sheetData>
    <row r="1" spans="2:17" ht="27.75" customHeight="1">
      <c r="B1" s="546" t="s">
        <v>248</v>
      </c>
      <c r="C1" s="546"/>
      <c r="D1" s="546"/>
      <c r="E1" s="546"/>
      <c r="F1" s="546"/>
      <c r="G1" s="546"/>
      <c r="H1" s="546"/>
      <c r="I1" s="546"/>
      <c r="J1" s="546"/>
      <c r="K1" s="1"/>
      <c r="L1" s="1"/>
      <c r="M1" s="1"/>
      <c r="N1" s="1"/>
      <c r="O1" s="1"/>
      <c r="P1" s="1"/>
    </row>
    <row r="2" spans="2:17" ht="27.75" customHeight="1">
      <c r="B2" s="547"/>
      <c r="C2" s="547"/>
      <c r="D2" s="547"/>
      <c r="E2" s="547"/>
      <c r="F2" s="547"/>
      <c r="G2" s="547"/>
      <c r="H2" s="547"/>
      <c r="I2" s="547"/>
      <c r="J2" s="547"/>
      <c r="K2" s="3"/>
      <c r="L2" s="3"/>
      <c r="M2" s="3"/>
      <c r="N2" s="1"/>
      <c r="O2" s="1"/>
      <c r="P2" s="1"/>
    </row>
    <row r="3" spans="2:17" ht="46.5" customHeight="1">
      <c r="B3" s="4" t="s">
        <v>249</v>
      </c>
      <c r="C3" s="548" t="str">
        <f>TEXT('1203 4度C'!A2,"yyyy.mm.ddaaaa")</f>
        <v>2025.12.03星期三</v>
      </c>
      <c r="D3" s="549"/>
      <c r="E3" s="4" t="s">
        <v>250</v>
      </c>
      <c r="F3" s="550">
        <f>'1203 4度C'!D1</f>
        <v>174895</v>
      </c>
      <c r="G3" s="551"/>
      <c r="H3" s="4" t="s">
        <v>251</v>
      </c>
      <c r="I3" s="552">
        <f>'1203 4度C'!F1</f>
        <v>5904746.3199999994</v>
      </c>
      <c r="J3" s="553"/>
      <c r="K3" s="5"/>
      <c r="L3" s="6"/>
      <c r="M3" s="7"/>
      <c r="N3" s="7"/>
    </row>
    <row r="4" spans="2:17" ht="28.5" customHeight="1">
      <c r="B4" s="554" t="s">
        <v>252</v>
      </c>
      <c r="C4" s="536" t="s">
        <v>253</v>
      </c>
      <c r="D4" s="537"/>
      <c r="E4" s="557" t="s">
        <v>254</v>
      </c>
      <c r="F4" s="558"/>
      <c r="G4" s="557" t="s">
        <v>255</v>
      </c>
      <c r="H4" s="558"/>
      <c r="I4" s="557" t="s">
        <v>256</v>
      </c>
      <c r="J4" s="558"/>
      <c r="L4" s="7"/>
      <c r="M4" s="7"/>
      <c r="N4" s="7"/>
    </row>
    <row r="5" spans="2:17" ht="28.5" customHeight="1">
      <c r="B5" s="555"/>
      <c r="C5" s="536" t="s">
        <v>257</v>
      </c>
      <c r="D5" s="537"/>
      <c r="E5" s="536" t="s">
        <v>258</v>
      </c>
      <c r="F5" s="537"/>
      <c r="G5" s="538" t="s">
        <v>259</v>
      </c>
      <c r="H5" s="539"/>
      <c r="I5" s="540" t="s">
        <v>260</v>
      </c>
      <c r="J5" s="541"/>
      <c r="K5" s="7"/>
      <c r="L5" s="7"/>
      <c r="M5" s="7"/>
      <c r="N5" s="7"/>
    </row>
    <row r="6" spans="2:17" ht="28.5" customHeight="1">
      <c r="B6" s="555"/>
      <c r="C6" s="536" t="s">
        <v>46</v>
      </c>
      <c r="D6" s="537"/>
      <c r="E6" s="542">
        <f>AVERAGE(D13:M13)</f>
        <v>154.94512028820745</v>
      </c>
      <c r="F6" s="543">
        <f>AVERAGE(D27:O27,D13:J13)</f>
        <v>160.9068941877164</v>
      </c>
      <c r="G6" s="544">
        <f>AVERAGE(D13:J13)</f>
        <v>160.9068941877164</v>
      </c>
      <c r="H6" s="545"/>
      <c r="I6" s="544">
        <f>AVERAGE(K13:M13)</f>
        <v>141.03431452268663</v>
      </c>
      <c r="J6" s="545"/>
      <c r="K6" s="7"/>
      <c r="L6" s="7"/>
      <c r="M6" s="7"/>
      <c r="N6" s="7"/>
    </row>
    <row r="7" spans="2:17" ht="28.5" customHeight="1">
      <c r="B7" s="555"/>
      <c r="C7" s="526" t="s">
        <v>47</v>
      </c>
      <c r="D7" s="527"/>
      <c r="E7" s="528">
        <f>AVERAGE(D14:M14)</f>
        <v>148.29873924378961</v>
      </c>
      <c r="F7" s="529">
        <f>AVERAGE(D28:O28,D14:J14)</f>
        <v>154.03349319630533</v>
      </c>
      <c r="G7" s="530">
        <f>AVERAGE(D14:J14)</f>
        <v>154.03349319630533</v>
      </c>
      <c r="H7" s="531"/>
      <c r="I7" s="530">
        <f>AVERAGE(K14:M14)</f>
        <v>134.91764668791953</v>
      </c>
      <c r="J7" s="531"/>
      <c r="K7" s="7"/>
      <c r="L7" s="7"/>
      <c r="M7" s="7"/>
      <c r="N7" s="7"/>
    </row>
    <row r="8" spans="2:17" ht="28.5" customHeight="1">
      <c r="B8" s="556"/>
      <c r="C8" s="526" t="s">
        <v>48</v>
      </c>
      <c r="D8" s="527"/>
      <c r="E8" s="532">
        <f>AVERAGE(D15:M15)</f>
        <v>0.9568272688938313</v>
      </c>
      <c r="F8" s="533">
        <f>AVERAGE(D15:J15,D29:O29)</f>
        <v>0.9568936226574164</v>
      </c>
      <c r="G8" s="534">
        <f>AVERAGE(D15:J15)</f>
        <v>0.9568936226574164</v>
      </c>
      <c r="H8" s="535"/>
      <c r="I8" s="534">
        <f>AVERAGE(K15:M15)</f>
        <v>0.95667244344546587</v>
      </c>
      <c r="J8" s="535"/>
      <c r="K8" s="8" t="s">
        <v>261</v>
      </c>
      <c r="L8" s="7"/>
      <c r="M8" s="7"/>
      <c r="N8" s="7"/>
    </row>
    <row r="9" spans="2:17" ht="28.5" customHeight="1" thickBot="1">
      <c r="H9" s="10"/>
      <c r="N9" s="7"/>
      <c r="O9" s="7"/>
      <c r="P9" s="7"/>
      <c r="Q9" s="7"/>
    </row>
    <row r="10" spans="2:17" ht="30" customHeight="1">
      <c r="B10" s="509" t="s">
        <v>262</v>
      </c>
      <c r="C10" s="510"/>
      <c r="D10" s="511" t="s">
        <v>263</v>
      </c>
      <c r="E10" s="512"/>
      <c r="F10" s="512"/>
      <c r="G10" s="512"/>
      <c r="H10" s="512"/>
      <c r="I10" s="512"/>
      <c r="J10" s="513"/>
      <c r="K10" s="514" t="s">
        <v>264</v>
      </c>
      <c r="L10" s="515"/>
      <c r="M10" s="516"/>
      <c r="P10" s="11"/>
      <c r="Q10" s="11"/>
    </row>
    <row r="11" spans="2:17" ht="17.25" customHeight="1">
      <c r="B11" s="517" t="s">
        <v>265</v>
      </c>
      <c r="C11" s="518"/>
      <c r="D11" s="12">
        <v>1</v>
      </c>
      <c r="E11" s="13">
        <v>2</v>
      </c>
      <c r="F11" s="13">
        <v>3</v>
      </c>
      <c r="G11" s="13">
        <v>4</v>
      </c>
      <c r="H11" s="13">
        <v>5</v>
      </c>
      <c r="I11" s="13">
        <v>6</v>
      </c>
      <c r="J11" s="14">
        <v>7</v>
      </c>
      <c r="K11" s="12">
        <v>1</v>
      </c>
      <c r="L11" s="13">
        <v>2</v>
      </c>
      <c r="M11" s="14">
        <v>3</v>
      </c>
      <c r="P11" s="11"/>
      <c r="Q11" s="11"/>
    </row>
    <row r="12" spans="2:17" ht="34.15" customHeight="1">
      <c r="B12" s="519"/>
      <c r="C12" s="520"/>
      <c r="D12" s="15" t="s">
        <v>49</v>
      </c>
      <c r="E12" s="16" t="s">
        <v>50</v>
      </c>
      <c r="F12" s="16" t="s">
        <v>51</v>
      </c>
      <c r="G12" s="16" t="s">
        <v>52</v>
      </c>
      <c r="H12" s="16" t="s">
        <v>53</v>
      </c>
      <c r="I12" s="16" t="s">
        <v>54</v>
      </c>
      <c r="J12" s="17" t="s">
        <v>55</v>
      </c>
      <c r="K12" s="15" t="s">
        <v>56</v>
      </c>
      <c r="L12" s="16" t="s">
        <v>57</v>
      </c>
      <c r="M12" s="17" t="s">
        <v>58</v>
      </c>
    </row>
    <row r="13" spans="2:17" ht="40.15" customHeight="1">
      <c r="B13" s="521" t="s">
        <v>266</v>
      </c>
      <c r="C13" s="18" t="s">
        <v>267</v>
      </c>
      <c r="D13" s="19">
        <f>SUMIFS('1203 4度C'!$K:$K,'1203 4度C'!$A:$A,"新豐6線",'1203 4度C'!$B:$B,"平均")</f>
        <v>137.93103448275863</v>
      </c>
      <c r="E13" s="20">
        <f>SUMIFS('1203 4度C'!$K:$K,'1203 4度C'!$A:$A,"新豐2線",'1203 4度C'!$B:$B,"平均")</f>
        <v>83.333333333333329</v>
      </c>
      <c r="F13" s="21">
        <f>SUMIFS('1203 4度C'!$K:$K,'1203 4度C'!$A:$A,"新豐5線",'1203 4度C'!$B:$B,"平均")</f>
        <v>98.901098901098905</v>
      </c>
      <c r="G13" s="21">
        <f>SUMIFS('1203 4度C'!$K:$K,'1203 4度C'!$A:$A,"新豐7線",'1203 4度C'!$B:$B,"平均")</f>
        <v>118.32061068702291</v>
      </c>
      <c r="H13" s="21">
        <f>SUMIFS('1203 4度C'!$K:$K,'1203 4度C'!$A:$A,"新豐3線",'1203 4度C'!$B:$B,"平均")</f>
        <v>283.95061728395063</v>
      </c>
      <c r="I13" s="21">
        <f>SUMIFS('1203 4度C'!$K:$K,'1203 4度C'!$A:$A,"新豐1線",'1203 4度C'!$B:$B,"平均")</f>
        <v>112.24489795918367</v>
      </c>
      <c r="J13" s="22">
        <f>SUMIFS('1203 4度C'!$K:$K,'1203 4度C'!$A:$A,"新豐10線",'1203 4度C'!$B:$B,"平均")</f>
        <v>291.66666666666669</v>
      </c>
      <c r="K13" s="23">
        <f>SUMIFS('1203 4度C'!$K:$K,'1203 4度C'!$A:$A,"新豐8線",'1203 4度C'!$B:$B,"平均")</f>
        <v>134.26573426573427</v>
      </c>
      <c r="L13" s="24">
        <f>SUMIFS('1203 4度C'!$K:$K,'1203 4度C'!$A:$A,"新豐9線",'1203 4度C'!$B:$B,"平均")</f>
        <v>140</v>
      </c>
      <c r="M13" s="22">
        <f>SUMIFS('1203 4度C'!$K:$K,'1203 4度C'!$A:$A,"新豐4線",'1203 4度C'!$B:$B,"平均")</f>
        <v>148.83720930232559</v>
      </c>
    </row>
    <row r="14" spans="2:17" ht="39.6" customHeight="1">
      <c r="B14" s="522"/>
      <c r="C14" s="25" t="s">
        <v>268</v>
      </c>
      <c r="D14" s="26">
        <f>SUMIFS('1203 4度C'!$N:$N,'1203 4度C'!$A:$A,"新豐6線",'1203 4度C'!$B:$B,"平均")</f>
        <v>132.12673723928305</v>
      </c>
      <c r="E14" s="27">
        <f>SUMIFS('1203 4度C'!$N:$N,'1203 4度C'!$A:$A,"新豐2線",'1203 4度C'!$B:$B,"平均")</f>
        <v>79.535264930001759</v>
      </c>
      <c r="F14" s="27">
        <f>SUMIFS('1203 4度C'!$N:$N,'1203 4度C'!$A:$A,"新豐5線",'1203 4度C'!$B:$B,"平均")</f>
        <v>94.375502940968644</v>
      </c>
      <c r="G14" s="27">
        <f>SUMIFS('1203 4度C'!$N:$N,'1203 4度C'!$A:$A,"新豐7線",'1203 4度C'!$B:$B,"平均")</f>
        <v>113.25326792755706</v>
      </c>
      <c r="H14" s="27">
        <f>SUMIFS('1203 4度C'!$N:$N,'1203 4度C'!$A:$A,"新豐3線",'1203 4度C'!$B:$B,"平均")</f>
        <v>272.37358183987703</v>
      </c>
      <c r="I14" s="27">
        <f>SUMIFS('1203 4度C'!$N:$N,'1203 4度C'!$A:$A,"新豐1線",'1203 4度C'!$B:$B,"平均")</f>
        <v>107.63349476689494</v>
      </c>
      <c r="J14" s="28">
        <f>SUMIFS('1203 4度C'!$N:$N,'1203 4度C'!$A:$A,"新豐10線",'1203 4度C'!$B:$B,"平均")</f>
        <v>278.93660272955486</v>
      </c>
      <c r="K14" s="29">
        <f>SUMIFS('1203 4度C'!$N:$N,'1203 4度C'!$A:$A,"新豐8線",'1203 4度C'!$B:$B,"平均")</f>
        <v>128.63529749826847</v>
      </c>
      <c r="L14" s="30">
        <f>SUMIFS('1203 4度C'!$N:$N,'1203 4度C'!$A:$A,"新豐9線",'1203 4度C'!$B:$B,"平均")</f>
        <v>133.89763447030666</v>
      </c>
      <c r="M14" s="28">
        <f>SUMIFS('1203 4度C'!$N:$N,'1203 4度C'!$A:$A,"新豐4線",'1203 4度C'!$B:$B,"平均")</f>
        <v>142.22000809518352</v>
      </c>
    </row>
    <row r="15" spans="2:17" ht="40.15" customHeight="1">
      <c r="B15" s="523"/>
      <c r="C15" s="31" t="s">
        <v>269</v>
      </c>
      <c r="D15" s="32">
        <f t="shared" ref="D15:M15" si="0">D14/D13</f>
        <v>0.95791884498480195</v>
      </c>
      <c r="E15" s="33">
        <f t="shared" si="0"/>
        <v>0.95442317916002117</v>
      </c>
      <c r="F15" s="33">
        <f t="shared" si="0"/>
        <v>0.95424119640312732</v>
      </c>
      <c r="G15" s="33">
        <f t="shared" si="0"/>
        <v>0.95717278054903066</v>
      </c>
      <c r="H15" s="33">
        <f t="shared" si="0"/>
        <v>0.95922870126217563</v>
      </c>
      <c r="I15" s="33">
        <f t="shared" si="0"/>
        <v>0.95891658974142768</v>
      </c>
      <c r="J15" s="34">
        <f t="shared" si="0"/>
        <v>0.95635406650133092</v>
      </c>
      <c r="K15" s="32">
        <f t="shared" si="0"/>
        <v>0.95806497615897868</v>
      </c>
      <c r="L15" s="33">
        <f t="shared" si="0"/>
        <v>0.95641167478790468</v>
      </c>
      <c r="M15" s="34">
        <f t="shared" si="0"/>
        <v>0.95554067938951415</v>
      </c>
    </row>
    <row r="16" spans="2:17" ht="17.25" customHeight="1">
      <c r="B16" s="524" t="s">
        <v>270</v>
      </c>
      <c r="C16" s="35" t="s">
        <v>271</v>
      </c>
      <c r="D16" s="49">
        <f>VLOOKUP("新豐6線",'1203 4度C'!$A:$T,19,0)</f>
        <v>0.70833333333333337</v>
      </c>
      <c r="E16" s="50">
        <f>VLOOKUP("新豐2線",'1203 4度C'!$A:$T,19,0)</f>
        <v>0.20833333333333334</v>
      </c>
      <c r="F16" s="50">
        <f>VLOOKUP("新豐5線",'1203 4度C'!$A:$T,19,0)</f>
        <v>0.125</v>
      </c>
      <c r="G16" s="50">
        <f>VLOOKUP("新豐7線",'1203 4度C'!$A:$T,19,0)</f>
        <v>0.20833333333333334</v>
      </c>
      <c r="H16" s="50">
        <f>VLOOKUP("新豐3線",'1203 4度C'!$A:$T,19,0)</f>
        <v>8.3333333333333329E-2</v>
      </c>
      <c r="I16" s="50">
        <f>VLOOKUP("新豐1線",'1203 4度C'!$A:$T,19,0)</f>
        <v>0.20833333333333334</v>
      </c>
      <c r="J16" s="51">
        <f>VLOOKUP("新豐10線",'1203 4度C'!$A:$T,19,0)</f>
        <v>0.20833333333333334</v>
      </c>
      <c r="K16" s="36">
        <f>VLOOKUP("新豐8線",'1203 4度C'!$A:$T,19,0)</f>
        <v>8.3333333333333329E-2</v>
      </c>
      <c r="L16" s="37">
        <f>VLOOKUP("新豐9線",'1203 4度C'!$A:$T,19,0)</f>
        <v>8.3333333333333329E-2</v>
      </c>
      <c r="M16" s="38">
        <f>VLOOKUP("新豐4線",'1203 4度C'!$A:$T,19,0)</f>
        <v>8.3333333333333329E-2</v>
      </c>
    </row>
    <row r="17" spans="2:13" ht="17.25" customHeight="1">
      <c r="B17" s="525"/>
      <c r="C17" s="35" t="s">
        <v>272</v>
      </c>
      <c r="D17" s="36">
        <f>LOOKUP(2,1/(('1203 4度C'!$A:$A="新豐6線")*('1203 4度C'!$T:$T&lt;&gt;"")),'1203 4度C'!$T:$T)</f>
        <v>0.9</v>
      </c>
      <c r="E17" s="50">
        <f>LOOKUP(2,1/(('1203 4度C'!$A:$A="新豐2線")*('1203 4度C'!$T:$T&lt;&gt;"")),'1203 4度C'!$T:$T)</f>
        <v>0.51527777777777783</v>
      </c>
      <c r="F17" s="50">
        <f>LOOKUP(2,1/(('1203 4度C'!$A:$A="新豐5線")*('1203 4度C'!$T:$T&lt;&gt;"")),'1203 4度C'!$T:$T)</f>
        <v>0.85208333333333341</v>
      </c>
      <c r="G17" s="50">
        <f>LOOKUP(2,1/(('1203 4度C'!$A:$A="新豐7線")*('1203 4度C'!$T:$T&lt;&gt;"")),'1203 4度C'!$T:$T)</f>
        <v>0.84305555555555556</v>
      </c>
      <c r="H17" s="50">
        <f>LOOKUP(2,1/(('1203 4度C'!$A:$A="新豐3線")*('1203 4度C'!$T:$T&lt;&gt;"")),'1203 4度C'!$T:$T)</f>
        <v>0.57638888888888884</v>
      </c>
      <c r="I17" s="50">
        <f>LOOKUP(2,1/(('1203 4度C'!$A:$A="新豐1線")*('1203 4度C'!$T:$T&lt;&gt;"")),'1203 4度C'!$T:$T)</f>
        <v>0.91874999999999996</v>
      </c>
      <c r="J17" s="51">
        <f>LOOKUP(2,1/(('1203 4度C'!$A:$A="新豐10線")*('1203 4度C'!$T:$T&lt;&gt;"")),'1203 4度C'!$T:$T)</f>
        <v>0.43958333333333333</v>
      </c>
      <c r="K17" s="49">
        <f>LOOKUP(2,1/(('1203 4度C'!$A:$A="新豐8線")*('1203 4度C'!$T:$T&lt;&gt;"")),'1203 4度C'!$T:$T)</f>
        <v>0.70277777777777761</v>
      </c>
      <c r="L17" s="50">
        <f>LOOKUP(2,1/(('1203 4度C'!$A:$A="新豐9線")*('1203 4度C'!$T:$T&lt;&gt;"")),'1203 4度C'!$T:$T)</f>
        <v>0.67708333333333326</v>
      </c>
      <c r="M17" s="51">
        <f>LOOKUP(2,1/(('1203 4度C'!$A:$A="新豐4線")*('1203 4度C'!$T:$T&lt;&gt;"")),'1203 4度C'!$T:$T)</f>
        <v>0.61458333333333326</v>
      </c>
    </row>
    <row r="18" spans="2:13" ht="17.25" customHeight="1">
      <c r="B18" s="503" t="s">
        <v>273</v>
      </c>
      <c r="C18" s="504"/>
      <c r="D18" s="39">
        <f>SUMIFS('1203 4度C'!$I:$I,'1203 4度C'!$A:$A,"新豐6線",'1203 4度C'!$B:$B,"平均")</f>
        <v>14.5</v>
      </c>
      <c r="E18" s="40">
        <f>SUMIFS('1203 4度C'!$I:$I,'1203 4度C'!$A:$A,"新豐2線",'1203 4度C'!$B:$B,"平均")</f>
        <v>18</v>
      </c>
      <c r="F18" s="40">
        <f>SUMIFS('1203 4度C'!$I:$I,'1203 4度C'!$A:$A,"新豐5線",'1203 4度C'!$B:$B,"平均")</f>
        <v>18.2</v>
      </c>
      <c r="G18" s="40">
        <f>SUMIFS('1203 4度C'!$I:$I,'1203 4度C'!$A:$A,"新豐7線",'1203 4度C'!$B:$B,"平均")</f>
        <v>16.375</v>
      </c>
      <c r="H18" s="40">
        <f>SUMIFS('1203 4度C'!$I:$I,'1203 4度C'!$A:$A,"新豐3線",'1203 4度C'!$B:$B,"平均")</f>
        <v>10.125</v>
      </c>
      <c r="I18" s="40">
        <f>SUMIFS('1203 4度C'!$I:$I,'1203 4度C'!$A:$A,"新豐1線",'1203 4度C'!$B:$B,"平均")</f>
        <v>16.333333333333332</v>
      </c>
      <c r="J18" s="41">
        <f>SUMIFS('1203 4度C'!$I:$I,'1203 4度C'!$A:$A,"新豐10線",'1203 4度C'!$B:$B,"平均")</f>
        <v>9</v>
      </c>
      <c r="K18" s="39">
        <f>SUMIFS('1203 4度C'!$I:$I,'1203 4度C'!$A:$A,"新豐8線",'1203 4度C'!$B:$B,"平均")</f>
        <v>17.875</v>
      </c>
      <c r="L18" s="40">
        <f>SUMIFS('1203 4度C'!$I:$I,'1203 4度C'!$A:$A,"新豐9線",'1203 4度C'!$B:$B,"平均")</f>
        <v>17.142857142857142</v>
      </c>
      <c r="M18" s="41">
        <f>SUMIFS('1203 4度C'!$I:$I,'1203 4度C'!$A:$A,"新豐4線",'1203 4度C'!$B:$B,"平均")</f>
        <v>16.125</v>
      </c>
    </row>
    <row r="19" spans="2:13" ht="17.25" customHeight="1">
      <c r="B19" s="503" t="s">
        <v>274</v>
      </c>
      <c r="C19" s="504"/>
      <c r="D19" s="42" t="s">
        <v>59</v>
      </c>
      <c r="E19" s="43" t="s">
        <v>60</v>
      </c>
      <c r="F19" s="43" t="s">
        <v>275</v>
      </c>
      <c r="G19" s="43" t="s">
        <v>275</v>
      </c>
      <c r="H19" s="43" t="s">
        <v>61</v>
      </c>
      <c r="I19" s="43" t="s">
        <v>59</v>
      </c>
      <c r="J19" s="44" t="s">
        <v>61</v>
      </c>
      <c r="K19" s="42" t="s">
        <v>276</v>
      </c>
      <c r="L19" s="43" t="s">
        <v>277</v>
      </c>
      <c r="M19" s="44" t="s">
        <v>277</v>
      </c>
    </row>
    <row r="20" spans="2:13" ht="17.25" customHeight="1">
      <c r="B20" s="503" t="s">
        <v>278</v>
      </c>
      <c r="C20" s="504"/>
      <c r="D20" s="42"/>
      <c r="E20" s="43"/>
      <c r="F20" s="43" t="s">
        <v>279</v>
      </c>
      <c r="G20" s="43" t="s">
        <v>59</v>
      </c>
      <c r="H20" s="43"/>
      <c r="I20" s="43"/>
      <c r="J20" s="44"/>
      <c r="K20" s="42"/>
      <c r="L20" s="43"/>
      <c r="M20" s="44"/>
    </row>
    <row r="21" spans="2:13" ht="17.25" customHeight="1" thickBot="1">
      <c r="B21" s="505" t="s">
        <v>280</v>
      </c>
      <c r="C21" s="506"/>
      <c r="D21" s="45"/>
      <c r="E21" s="46" t="s">
        <v>281</v>
      </c>
      <c r="F21" s="507" t="s">
        <v>282</v>
      </c>
      <c r="G21" s="508"/>
      <c r="H21" s="46" t="s">
        <v>283</v>
      </c>
      <c r="I21" s="46" t="s">
        <v>284</v>
      </c>
      <c r="J21" s="47" t="s">
        <v>283</v>
      </c>
      <c r="K21" s="48"/>
      <c r="L21" s="46"/>
      <c r="M21" s="4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20:C20"/>
    <mergeCell ref="B21:C21"/>
    <mergeCell ref="F21:G21"/>
    <mergeCell ref="K10:M10"/>
    <mergeCell ref="B11:C12"/>
    <mergeCell ref="B13:B15"/>
    <mergeCell ref="B18:C18"/>
    <mergeCell ref="B19:C19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274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75"/>
  <sheetViews>
    <sheetView zoomScale="80" zoomScaleNormal="80" workbookViewId="0">
      <pane ySplit="4" topLeftCell="A5" activePane="bottomLeft" state="frozen"/>
      <selection activeCell="D13" sqref="D13"/>
      <selection pane="bottomLeft" activeCell="B15" sqref="B15"/>
    </sheetView>
  </sheetViews>
  <sheetFormatPr defaultColWidth="8" defaultRowHeight="15.75"/>
  <cols>
    <col min="1" max="1" width="15.125" style="54" customWidth="1"/>
    <col min="2" max="2" width="19.375" style="54" customWidth="1"/>
    <col min="3" max="3" width="15.25" style="54" customWidth="1"/>
    <col min="4" max="4" width="17.5" style="54" customWidth="1"/>
    <col min="5" max="5" width="7.5" style="54" bestFit="1" customWidth="1"/>
    <col min="6" max="6" width="14.375" style="54" bestFit="1" customWidth="1"/>
    <col min="7" max="7" width="14.375" style="54" customWidth="1"/>
    <col min="8" max="8" width="8" style="54" customWidth="1"/>
    <col min="9" max="9" width="5.875" style="54" customWidth="1"/>
    <col min="10" max="10" width="10.625" style="54" customWidth="1"/>
    <col min="11" max="11" width="14.625" style="54" customWidth="1"/>
    <col min="12" max="12" width="7.25" style="54" bestFit="1" customWidth="1"/>
    <col min="13" max="13" width="8" style="54" customWidth="1"/>
    <col min="14" max="14" width="12" style="54" customWidth="1"/>
    <col min="15" max="15" width="6" style="54" customWidth="1"/>
    <col min="16" max="16" width="9.25" style="54" customWidth="1"/>
    <col min="17" max="17" width="11.5" style="54" customWidth="1"/>
    <col min="18" max="18" width="8.5" style="54" customWidth="1"/>
    <col min="19" max="19" width="10.125" style="54" bestFit="1" customWidth="1"/>
    <col min="20" max="20" width="7.625" style="54" bestFit="1" customWidth="1"/>
    <col min="21" max="21" width="10.25" style="54" bestFit="1" customWidth="1"/>
    <col min="22" max="22" width="8.75" style="71" customWidth="1"/>
    <col min="23" max="23" width="7.375" style="54" customWidth="1"/>
    <col min="24" max="24" width="6.875" style="54" bestFit="1" customWidth="1"/>
    <col min="25" max="25" width="12.75" style="54" customWidth="1"/>
    <col min="26" max="26" width="18.875" style="54" customWidth="1"/>
    <col min="27" max="27" width="13.125" style="54" bestFit="1" customWidth="1"/>
    <col min="28" max="28" width="10.375" style="54" customWidth="1"/>
    <col min="29" max="29" width="9.375" style="54" customWidth="1"/>
    <col min="30" max="30" width="8" style="54"/>
    <col min="31" max="31" width="24.625" style="54" bestFit="1" customWidth="1"/>
    <col min="32" max="16384" width="8" style="54"/>
  </cols>
  <sheetData>
    <row r="1" spans="1:29" ht="26.25" customHeight="1">
      <c r="A1" s="52" t="s">
        <v>285</v>
      </c>
      <c r="B1" s="52"/>
      <c r="C1" s="117" t="s">
        <v>286</v>
      </c>
      <c r="D1" s="118">
        <f>SUM(F5:F74)</f>
        <v>174895</v>
      </c>
      <c r="E1" s="108" t="s">
        <v>287</v>
      </c>
      <c r="F1" s="52">
        <f>SUM(G5:G74)</f>
        <v>5904746.3199999994</v>
      </c>
      <c r="G1" s="52" t="s">
        <v>288</v>
      </c>
      <c r="H1" s="53">
        <f>L9+L12+L53+L60+L18+L65+L36+L44+L27+L74</f>
        <v>153.67619047619047</v>
      </c>
      <c r="I1" s="607" t="s">
        <v>289</v>
      </c>
      <c r="J1" s="607"/>
      <c r="K1" s="607"/>
      <c r="L1" s="607" t="s">
        <v>290</v>
      </c>
      <c r="M1" s="607"/>
      <c r="N1" s="607"/>
      <c r="O1" s="607" t="s">
        <v>291</v>
      </c>
      <c r="P1" s="607"/>
      <c r="Q1" s="607"/>
      <c r="R1" s="607"/>
      <c r="S1" s="607" t="s">
        <v>292</v>
      </c>
      <c r="T1" s="607"/>
      <c r="U1" s="607"/>
      <c r="V1" s="607"/>
      <c r="W1" s="607"/>
      <c r="X1" s="607"/>
      <c r="Y1" s="607" t="s">
        <v>293</v>
      </c>
      <c r="Z1" s="607"/>
      <c r="AA1" s="607" t="s">
        <v>294</v>
      </c>
      <c r="AB1" s="608"/>
      <c r="AC1" s="608"/>
    </row>
    <row r="2" spans="1:29" ht="26.25" customHeight="1">
      <c r="A2" s="55">
        <v>45994</v>
      </c>
      <c r="B2" s="56" t="s">
        <v>295</v>
      </c>
      <c r="C2" s="117" t="s">
        <v>266</v>
      </c>
      <c r="D2" s="119">
        <f>AVERAGE(N9,N12,N53,N60,N18,N65,N27,N36,N44,N74)</f>
        <v>148.29873924378961</v>
      </c>
      <c r="E2" s="120" t="s">
        <v>0</v>
      </c>
      <c r="F2" s="121">
        <f>F1/D1</f>
        <v>33.761664541582086</v>
      </c>
      <c r="G2" s="52" t="s">
        <v>296</v>
      </c>
      <c r="H2" s="116">
        <f>COUNT(H5:H74)</f>
        <v>9</v>
      </c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8"/>
      <c r="AB2" s="608"/>
      <c r="AC2" s="608"/>
    </row>
    <row r="3" spans="1:29" ht="23.25" customHeight="1">
      <c r="A3" s="559" t="s">
        <v>297</v>
      </c>
      <c r="B3" s="559" t="s">
        <v>298</v>
      </c>
      <c r="C3" s="559" t="s">
        <v>299</v>
      </c>
      <c r="D3" s="559"/>
      <c r="E3" s="605" t="s">
        <v>300</v>
      </c>
      <c r="F3" s="559" t="s">
        <v>301</v>
      </c>
      <c r="G3" s="605" t="s">
        <v>302</v>
      </c>
      <c r="H3" s="598" t="s">
        <v>303</v>
      </c>
      <c r="I3" s="596" t="s">
        <v>304</v>
      </c>
      <c r="J3" s="601" t="s">
        <v>305</v>
      </c>
      <c r="K3" s="603" t="s">
        <v>306</v>
      </c>
      <c r="L3" s="596" t="s">
        <v>304</v>
      </c>
      <c r="M3" s="601" t="s">
        <v>305</v>
      </c>
      <c r="N3" s="603" t="s">
        <v>306</v>
      </c>
      <c r="O3" s="596" t="s">
        <v>304</v>
      </c>
      <c r="P3" s="603" t="s">
        <v>306</v>
      </c>
      <c r="Q3" s="602" t="s">
        <v>307</v>
      </c>
      <c r="R3" s="574" t="s">
        <v>308</v>
      </c>
      <c r="S3" s="559" t="s">
        <v>1</v>
      </c>
      <c r="T3" s="559"/>
      <c r="U3" s="598" t="s">
        <v>2</v>
      </c>
      <c r="V3" s="598" t="s">
        <v>309</v>
      </c>
      <c r="W3" s="559" t="s">
        <v>310</v>
      </c>
      <c r="X3" s="559"/>
      <c r="Y3" s="599" t="s">
        <v>311</v>
      </c>
      <c r="Z3" s="600"/>
      <c r="AA3" s="601" t="s">
        <v>312</v>
      </c>
      <c r="AB3" s="602" t="s">
        <v>313</v>
      </c>
      <c r="AC3" s="574" t="s">
        <v>314</v>
      </c>
    </row>
    <row r="4" spans="1:29">
      <c r="A4" s="559"/>
      <c r="B4" s="559"/>
      <c r="C4" s="559"/>
      <c r="D4" s="559"/>
      <c r="E4" s="606"/>
      <c r="F4" s="559"/>
      <c r="G4" s="606"/>
      <c r="H4" s="598"/>
      <c r="I4" s="596"/>
      <c r="J4" s="601"/>
      <c r="K4" s="603"/>
      <c r="L4" s="596"/>
      <c r="M4" s="601"/>
      <c r="N4" s="603"/>
      <c r="O4" s="596"/>
      <c r="P4" s="603"/>
      <c r="Q4" s="602"/>
      <c r="R4" s="574"/>
      <c r="S4" s="108" t="s">
        <v>3</v>
      </c>
      <c r="T4" s="108" t="s">
        <v>4</v>
      </c>
      <c r="U4" s="598"/>
      <c r="V4" s="598"/>
      <c r="W4" s="108" t="s">
        <v>315</v>
      </c>
      <c r="X4" s="108" t="s">
        <v>316</v>
      </c>
      <c r="Y4" s="600"/>
      <c r="Z4" s="600"/>
      <c r="AA4" s="601"/>
      <c r="AB4" s="602"/>
      <c r="AC4" s="574"/>
    </row>
    <row r="5" spans="1:29">
      <c r="A5" s="595" t="s">
        <v>317</v>
      </c>
      <c r="B5" s="57" t="s">
        <v>6</v>
      </c>
      <c r="C5" s="597" t="s">
        <v>9</v>
      </c>
      <c r="D5" s="597"/>
      <c r="E5" s="57">
        <v>50.67</v>
      </c>
      <c r="F5" s="115">
        <v>1588</v>
      </c>
      <c r="G5" s="108">
        <f t="shared" ref="G5:G8" si="0">E5*F5</f>
        <v>80463.960000000006</v>
      </c>
      <c r="H5" s="72" t="s">
        <v>5</v>
      </c>
      <c r="I5" s="113">
        <v>17</v>
      </c>
      <c r="J5" s="58">
        <v>2000</v>
      </c>
      <c r="K5" s="59">
        <f t="shared" ref="K5:K68" si="1">J5/I5</f>
        <v>117.64705882352941</v>
      </c>
      <c r="L5" s="113">
        <v>17</v>
      </c>
      <c r="M5" s="60">
        <f t="shared" ref="M5:M8" si="2">F5/V5*60</f>
        <v>1905.6000000000006</v>
      </c>
      <c r="N5" s="59">
        <f t="shared" ref="N5:N68" si="3">M5/L5</f>
        <v>112.09411764705885</v>
      </c>
      <c r="O5" s="61">
        <f t="shared" ref="O5:O68" si="4">L5-I5</f>
        <v>0</v>
      </c>
      <c r="P5" s="62">
        <f t="shared" ref="P5:P68" si="5">N5-K5</f>
        <v>-5.5529411764705543</v>
      </c>
      <c r="Q5" s="109">
        <f t="shared" ref="Q5:Q68" si="6">N5/K5</f>
        <v>0.95280000000000031</v>
      </c>
      <c r="R5" s="566">
        <f>Q9</f>
        <v>0.95791884498480195</v>
      </c>
      <c r="S5" s="63">
        <v>0.70833333333333337</v>
      </c>
      <c r="T5" s="63">
        <v>0.74305555555555558</v>
      </c>
      <c r="U5" s="108"/>
      <c r="V5" s="114">
        <f t="shared" ref="V5:V8" si="7">(T5-S5)*24*60</f>
        <v>49.999999999999986</v>
      </c>
      <c r="W5" s="64"/>
      <c r="X5" s="65"/>
      <c r="Y5" s="559"/>
      <c r="Z5" s="559"/>
      <c r="AA5" s="61">
        <f t="shared" ref="AA5:AA68" si="8">M5-J5</f>
        <v>-94.399999999999409</v>
      </c>
      <c r="AB5" s="109">
        <f t="shared" ref="AB5:AB68" si="9">M5/J5</f>
        <v>0.95280000000000031</v>
      </c>
      <c r="AC5" s="566">
        <f>AB9</f>
        <v>0.95791884498480218</v>
      </c>
    </row>
    <row r="6" spans="1:29">
      <c r="A6" s="596" t="s">
        <v>318</v>
      </c>
      <c r="B6" s="57" t="s">
        <v>6</v>
      </c>
      <c r="C6" s="597" t="s">
        <v>8</v>
      </c>
      <c r="D6" s="597"/>
      <c r="E6" s="57">
        <v>50.49</v>
      </c>
      <c r="F6" s="115">
        <v>2112</v>
      </c>
      <c r="G6" s="108">
        <f t="shared" si="0"/>
        <v>106634.88</v>
      </c>
      <c r="H6" s="72" t="s">
        <v>5</v>
      </c>
      <c r="I6" s="113">
        <v>15</v>
      </c>
      <c r="J6" s="58">
        <v>2000</v>
      </c>
      <c r="K6" s="59">
        <f t="shared" si="1"/>
        <v>133.33333333333334</v>
      </c>
      <c r="L6" s="113">
        <v>15</v>
      </c>
      <c r="M6" s="60">
        <f t="shared" si="2"/>
        <v>1919.9999999999975</v>
      </c>
      <c r="N6" s="59">
        <f t="shared" si="3"/>
        <v>127.99999999999983</v>
      </c>
      <c r="O6" s="61">
        <f t="shared" si="4"/>
        <v>0</v>
      </c>
      <c r="P6" s="62">
        <f t="shared" si="5"/>
        <v>-5.3333333333335133</v>
      </c>
      <c r="Q6" s="109">
        <f t="shared" si="6"/>
        <v>0.95999999999999863</v>
      </c>
      <c r="R6" s="566"/>
      <c r="S6" s="63">
        <v>0.74722222222222223</v>
      </c>
      <c r="T6" s="63">
        <v>0.79305555555555562</v>
      </c>
      <c r="U6" s="108">
        <f t="shared" ref="U6:U8" si="10">IF(S6=TIME(17,0,0),"",(S6-T5)*24*60)</f>
        <v>5.9999999999999787</v>
      </c>
      <c r="V6" s="114">
        <f t="shared" si="7"/>
        <v>66.000000000000085</v>
      </c>
      <c r="W6" s="64"/>
      <c r="X6" s="64"/>
      <c r="Y6" s="559"/>
      <c r="Z6" s="559"/>
      <c r="AA6" s="61">
        <f t="shared" si="8"/>
        <v>-80.000000000002501</v>
      </c>
      <c r="AB6" s="109">
        <f t="shared" si="9"/>
        <v>0.95999999999999874</v>
      </c>
      <c r="AC6" s="566"/>
    </row>
    <row r="7" spans="1:29">
      <c r="A7" s="596" t="s">
        <v>318</v>
      </c>
      <c r="B7" s="57" t="s">
        <v>6</v>
      </c>
      <c r="C7" s="590" t="s">
        <v>94</v>
      </c>
      <c r="D7" s="591"/>
      <c r="E7" s="57">
        <v>57.3</v>
      </c>
      <c r="F7" s="115">
        <v>1500</v>
      </c>
      <c r="G7" s="108">
        <f t="shared" si="0"/>
        <v>85950</v>
      </c>
      <c r="H7" s="72">
        <v>2</v>
      </c>
      <c r="I7" s="113">
        <v>13</v>
      </c>
      <c r="J7" s="58">
        <v>2000</v>
      </c>
      <c r="K7" s="59">
        <f t="shared" si="1"/>
        <v>153.84615384615384</v>
      </c>
      <c r="L7" s="113">
        <v>13</v>
      </c>
      <c r="M7" s="60">
        <f t="shared" si="2"/>
        <v>1914.8936170212769</v>
      </c>
      <c r="N7" s="59">
        <f t="shared" si="3"/>
        <v>147.29950900163669</v>
      </c>
      <c r="O7" s="61">
        <f t="shared" si="4"/>
        <v>0</v>
      </c>
      <c r="P7" s="62">
        <f t="shared" si="5"/>
        <v>-6.5466448445171466</v>
      </c>
      <c r="Q7" s="109">
        <f t="shared" si="6"/>
        <v>0.95744680851063857</v>
      </c>
      <c r="R7" s="566"/>
      <c r="S7" s="63">
        <v>0.79861111111111116</v>
      </c>
      <c r="T7" s="63">
        <v>0.83125000000000004</v>
      </c>
      <c r="U7" s="108">
        <f t="shared" si="10"/>
        <v>7.9999999999999716</v>
      </c>
      <c r="V7" s="114">
        <f t="shared" si="7"/>
        <v>46.999999999999993</v>
      </c>
      <c r="W7" s="64">
        <f>T7</f>
        <v>0.83125000000000004</v>
      </c>
      <c r="X7" s="64">
        <f>S8</f>
        <v>0.87083333333333335</v>
      </c>
      <c r="Y7" s="569"/>
      <c r="Z7" s="570"/>
      <c r="AA7" s="61">
        <f t="shared" si="8"/>
        <v>-85.106382978723104</v>
      </c>
      <c r="AB7" s="109">
        <f t="shared" si="9"/>
        <v>0.95744680851063846</v>
      </c>
      <c r="AC7" s="566"/>
    </row>
    <row r="8" spans="1:29">
      <c r="A8" s="596" t="s">
        <v>318</v>
      </c>
      <c r="B8" s="57" t="s">
        <v>6</v>
      </c>
      <c r="C8" s="590" t="s">
        <v>94</v>
      </c>
      <c r="D8" s="591"/>
      <c r="E8" s="57">
        <v>57.3</v>
      </c>
      <c r="F8" s="115">
        <v>1346</v>
      </c>
      <c r="G8" s="108">
        <f t="shared" si="0"/>
        <v>77125.8</v>
      </c>
      <c r="H8" s="72" t="s">
        <v>5</v>
      </c>
      <c r="I8" s="113">
        <v>13</v>
      </c>
      <c r="J8" s="58">
        <v>2000</v>
      </c>
      <c r="K8" s="59">
        <f t="shared" si="1"/>
        <v>153.84615384615384</v>
      </c>
      <c r="L8" s="113">
        <v>13</v>
      </c>
      <c r="M8" s="60">
        <f t="shared" si="2"/>
        <v>1922.8571428571422</v>
      </c>
      <c r="N8" s="59">
        <f t="shared" si="3"/>
        <v>147.91208791208786</v>
      </c>
      <c r="O8" s="61">
        <f t="shared" si="4"/>
        <v>0</v>
      </c>
      <c r="P8" s="62">
        <f t="shared" si="5"/>
        <v>-5.934065934065984</v>
      </c>
      <c r="Q8" s="109">
        <f t="shared" si="6"/>
        <v>0.96142857142857108</v>
      </c>
      <c r="R8" s="566"/>
      <c r="S8" s="63">
        <v>0.87083333333333335</v>
      </c>
      <c r="T8" s="63">
        <v>0.9</v>
      </c>
      <c r="U8" s="108">
        <f t="shared" si="10"/>
        <v>56.999999999999957</v>
      </c>
      <c r="V8" s="114">
        <f t="shared" si="7"/>
        <v>42.000000000000014</v>
      </c>
      <c r="W8" s="68"/>
      <c r="X8" s="68"/>
      <c r="Y8" s="569"/>
      <c r="Z8" s="570"/>
      <c r="AA8" s="61">
        <f t="shared" si="8"/>
        <v>-77.142857142857792</v>
      </c>
      <c r="AB8" s="109">
        <f t="shared" si="9"/>
        <v>0.96142857142857108</v>
      </c>
      <c r="AC8" s="566"/>
    </row>
    <row r="9" spans="1:29">
      <c r="A9" s="596" t="s">
        <v>318</v>
      </c>
      <c r="B9" s="57" t="s">
        <v>319</v>
      </c>
      <c r="C9" s="571"/>
      <c r="D9" s="571"/>
      <c r="E9" s="110"/>
      <c r="F9" s="66"/>
      <c r="G9" s="59"/>
      <c r="H9" s="115"/>
      <c r="I9" s="67">
        <v>14.5</v>
      </c>
      <c r="J9" s="58">
        <v>2000</v>
      </c>
      <c r="K9" s="59">
        <f t="shared" si="1"/>
        <v>137.93103448275863</v>
      </c>
      <c r="L9" s="67">
        <v>14.5</v>
      </c>
      <c r="M9" s="60">
        <f>AVERAGE(M5:M8)</f>
        <v>1915.8376899696043</v>
      </c>
      <c r="N9" s="59">
        <f t="shared" si="3"/>
        <v>132.12673723928305</v>
      </c>
      <c r="O9" s="61">
        <f t="shared" si="4"/>
        <v>0</v>
      </c>
      <c r="P9" s="62">
        <f t="shared" si="5"/>
        <v>-5.8042972434755882</v>
      </c>
      <c r="Q9" s="109">
        <f t="shared" si="6"/>
        <v>0.95791884498480195</v>
      </c>
      <c r="R9" s="566"/>
      <c r="S9" s="63"/>
      <c r="T9" s="63"/>
      <c r="U9" s="108"/>
      <c r="V9" s="114"/>
      <c r="W9" s="59"/>
      <c r="X9" s="59"/>
      <c r="Y9" s="559"/>
      <c r="Z9" s="559"/>
      <c r="AA9" s="61">
        <f t="shared" si="8"/>
        <v>-84.162310030395702</v>
      </c>
      <c r="AB9" s="109">
        <f t="shared" si="9"/>
        <v>0.95791884498480218</v>
      </c>
      <c r="AC9" s="566"/>
    </row>
    <row r="10" spans="1:29" ht="15.75" customHeight="1">
      <c r="A10" s="594" t="s">
        <v>320</v>
      </c>
      <c r="B10" s="57" t="s">
        <v>10</v>
      </c>
      <c r="C10" s="590" t="s">
        <v>11</v>
      </c>
      <c r="D10" s="591"/>
      <c r="E10" s="57">
        <v>39.799999999999997</v>
      </c>
      <c r="F10" s="115">
        <v>6284</v>
      </c>
      <c r="G10" s="108">
        <f t="shared" ref="G10:G11" si="11">E10*F10</f>
        <v>250103.19999999998</v>
      </c>
      <c r="H10" s="72" t="s">
        <v>5</v>
      </c>
      <c r="I10" s="113">
        <v>17</v>
      </c>
      <c r="J10" s="58">
        <v>1500</v>
      </c>
      <c r="K10" s="59">
        <f t="shared" si="1"/>
        <v>88.235294117647058</v>
      </c>
      <c r="L10" s="113">
        <v>17</v>
      </c>
      <c r="M10" s="60">
        <f t="shared" ref="M10:M11" si="12">F10/V10*60</f>
        <v>1428.1818181818178</v>
      </c>
      <c r="N10" s="59">
        <f t="shared" si="3"/>
        <v>84.010695187165751</v>
      </c>
      <c r="O10" s="61">
        <f t="shared" si="4"/>
        <v>0</v>
      </c>
      <c r="P10" s="62">
        <f t="shared" si="5"/>
        <v>-4.2245989304813065</v>
      </c>
      <c r="Q10" s="109">
        <f t="shared" si="6"/>
        <v>0.95212121212121181</v>
      </c>
      <c r="R10" s="566">
        <f>Q12</f>
        <v>0.95442317916002117</v>
      </c>
      <c r="S10" s="63">
        <v>0.20833333333333334</v>
      </c>
      <c r="T10" s="63">
        <v>0.39166666666666672</v>
      </c>
      <c r="U10" s="108"/>
      <c r="V10" s="114">
        <f t="shared" ref="V10:V11" si="13">(T10-S10)*24*60</f>
        <v>264.00000000000006</v>
      </c>
      <c r="W10" s="64"/>
      <c r="X10" s="64"/>
      <c r="Y10" s="559"/>
      <c r="Z10" s="559"/>
      <c r="AA10" s="61">
        <f t="shared" si="8"/>
        <v>-71.818181818182211</v>
      </c>
      <c r="AB10" s="109">
        <f t="shared" si="9"/>
        <v>0.95212121212121181</v>
      </c>
      <c r="AC10" s="566">
        <f>AB12</f>
        <v>0.95442317916002106</v>
      </c>
    </row>
    <row r="11" spans="1:29" ht="15.75" customHeight="1">
      <c r="A11" s="594" t="s">
        <v>320</v>
      </c>
      <c r="B11" s="57" t="s">
        <v>10</v>
      </c>
      <c r="C11" s="590" t="s">
        <v>14</v>
      </c>
      <c r="D11" s="591"/>
      <c r="E11" s="57">
        <v>39.619999999999997</v>
      </c>
      <c r="F11" s="115">
        <v>4090</v>
      </c>
      <c r="G11" s="108">
        <f t="shared" si="11"/>
        <v>162045.79999999999</v>
      </c>
      <c r="H11" s="72" t="s">
        <v>5</v>
      </c>
      <c r="I11" s="113">
        <v>19</v>
      </c>
      <c r="J11" s="58">
        <v>1500</v>
      </c>
      <c r="K11" s="59">
        <f t="shared" si="1"/>
        <v>78.94736842105263</v>
      </c>
      <c r="L11" s="113">
        <v>19</v>
      </c>
      <c r="M11" s="60">
        <f t="shared" si="12"/>
        <v>1435.0877192982455</v>
      </c>
      <c r="N11" s="59">
        <f t="shared" si="3"/>
        <v>75.530932594644497</v>
      </c>
      <c r="O11" s="61">
        <f t="shared" si="4"/>
        <v>0</v>
      </c>
      <c r="P11" s="62">
        <f t="shared" si="5"/>
        <v>-3.4164358264081329</v>
      </c>
      <c r="Q11" s="109">
        <f t="shared" si="6"/>
        <v>0.95672514619883031</v>
      </c>
      <c r="R11" s="566"/>
      <c r="S11" s="63">
        <v>0.39652777777777781</v>
      </c>
      <c r="T11" s="63">
        <v>0.51527777777777783</v>
      </c>
      <c r="U11" s="108">
        <f t="shared" ref="U11" si="14">IF(S11=TIME(17,0,0),"",(S11-T10)*24*60)</f>
        <v>6.9999999999999751</v>
      </c>
      <c r="V11" s="114">
        <f t="shared" si="13"/>
        <v>171.00000000000003</v>
      </c>
      <c r="W11" s="64"/>
      <c r="X11" s="64"/>
      <c r="Y11" s="559"/>
      <c r="Z11" s="559"/>
      <c r="AA11" s="61">
        <f t="shared" si="8"/>
        <v>-64.912280701754526</v>
      </c>
      <c r="AB11" s="109">
        <f t="shared" si="9"/>
        <v>0.95672514619883031</v>
      </c>
      <c r="AC11" s="566"/>
    </row>
    <row r="12" spans="1:29" ht="16.5" customHeight="1">
      <c r="A12" s="594" t="s">
        <v>320</v>
      </c>
      <c r="B12" s="57" t="s">
        <v>319</v>
      </c>
      <c r="C12" s="571"/>
      <c r="D12" s="571"/>
      <c r="E12" s="110"/>
      <c r="F12" s="58"/>
      <c r="G12" s="60"/>
      <c r="H12" s="115"/>
      <c r="I12" s="67">
        <v>18</v>
      </c>
      <c r="J12" s="58">
        <v>1500</v>
      </c>
      <c r="K12" s="59">
        <f t="shared" si="1"/>
        <v>83.333333333333329</v>
      </c>
      <c r="L12" s="67">
        <v>18</v>
      </c>
      <c r="M12" s="60">
        <f>AVERAGE(M10:M11)</f>
        <v>1431.6347687400316</v>
      </c>
      <c r="N12" s="59">
        <f t="shared" si="3"/>
        <v>79.535264930001759</v>
      </c>
      <c r="O12" s="61">
        <f t="shared" si="4"/>
        <v>0</v>
      </c>
      <c r="P12" s="62">
        <f t="shared" si="5"/>
        <v>-3.7980684033315697</v>
      </c>
      <c r="Q12" s="109">
        <f t="shared" si="6"/>
        <v>0.95442317916002117</v>
      </c>
      <c r="R12" s="566"/>
      <c r="S12" s="63"/>
      <c r="T12" s="63"/>
      <c r="U12" s="59"/>
      <c r="V12" s="114"/>
      <c r="W12" s="59"/>
      <c r="X12" s="59"/>
      <c r="Y12" s="559"/>
      <c r="Z12" s="559"/>
      <c r="AA12" s="61">
        <f t="shared" si="8"/>
        <v>-68.365231259968368</v>
      </c>
      <c r="AB12" s="109">
        <f t="shared" si="9"/>
        <v>0.95442317916002106</v>
      </c>
      <c r="AC12" s="566"/>
    </row>
    <row r="13" spans="1:29" ht="16.5" customHeight="1">
      <c r="A13" s="592" t="s">
        <v>321</v>
      </c>
      <c r="B13" s="115" t="s">
        <v>12</v>
      </c>
      <c r="C13" s="584" t="s">
        <v>13</v>
      </c>
      <c r="D13" s="584"/>
      <c r="E13" s="57">
        <v>41</v>
      </c>
      <c r="F13" s="115">
        <v>2309</v>
      </c>
      <c r="G13" s="108">
        <f t="shared" ref="G13:G17" si="15">E13*F13</f>
        <v>94669</v>
      </c>
      <c r="H13" s="72" t="s">
        <v>5</v>
      </c>
      <c r="I13" s="113">
        <v>26</v>
      </c>
      <c r="J13" s="58">
        <v>1500</v>
      </c>
      <c r="K13" s="59">
        <f t="shared" si="1"/>
        <v>57.692307692307693</v>
      </c>
      <c r="L13" s="113">
        <v>26</v>
      </c>
      <c r="M13" s="60">
        <f t="shared" ref="M13:M17" si="16">F13/V13*60</f>
        <v>1428.2474226804129</v>
      </c>
      <c r="N13" s="59">
        <f t="shared" si="3"/>
        <v>54.932593180015878</v>
      </c>
      <c r="O13" s="61">
        <f t="shared" si="4"/>
        <v>0</v>
      </c>
      <c r="P13" s="62">
        <f t="shared" si="5"/>
        <v>-2.759714512291815</v>
      </c>
      <c r="Q13" s="109">
        <f t="shared" si="6"/>
        <v>0.95216494845360855</v>
      </c>
      <c r="R13" s="566">
        <f>Q18</f>
        <v>0.95424119640312732</v>
      </c>
      <c r="S13" s="63">
        <v>0.125</v>
      </c>
      <c r="T13" s="63">
        <v>0.19236111111111109</v>
      </c>
      <c r="U13" s="108"/>
      <c r="V13" s="114">
        <f t="shared" ref="V13:V17" si="17">(T13-S13)*24*60</f>
        <v>96.999999999999972</v>
      </c>
      <c r="W13" s="64">
        <f>T13</f>
        <v>0.19236111111111109</v>
      </c>
      <c r="X13" s="64">
        <f>S14</f>
        <v>0.21041666666666664</v>
      </c>
      <c r="Y13" s="559"/>
      <c r="Z13" s="559"/>
      <c r="AA13" s="61">
        <f t="shared" si="8"/>
        <v>-71.75257731958709</v>
      </c>
      <c r="AB13" s="109">
        <f t="shared" si="9"/>
        <v>0.95216494845360866</v>
      </c>
      <c r="AC13" s="566">
        <f>AB18</f>
        <v>0.95424119640312732</v>
      </c>
    </row>
    <row r="14" spans="1:29" ht="16.5" customHeight="1">
      <c r="A14" s="593" t="s">
        <v>321</v>
      </c>
      <c r="B14" s="115" t="s">
        <v>656</v>
      </c>
      <c r="C14" s="584" t="s">
        <v>236</v>
      </c>
      <c r="D14" s="584"/>
      <c r="E14" s="57">
        <v>69.010000000000005</v>
      </c>
      <c r="F14" s="115">
        <v>2943</v>
      </c>
      <c r="G14" s="108">
        <f t="shared" si="15"/>
        <v>203096.43000000002</v>
      </c>
      <c r="H14" s="72" t="s">
        <v>5</v>
      </c>
      <c r="I14" s="113">
        <v>18</v>
      </c>
      <c r="J14" s="58">
        <v>1500</v>
      </c>
      <c r="K14" s="59">
        <f t="shared" si="1"/>
        <v>83.333333333333329</v>
      </c>
      <c r="L14" s="113">
        <v>18</v>
      </c>
      <c r="M14" s="60">
        <f t="shared" si="16"/>
        <v>1435.6097560975616</v>
      </c>
      <c r="N14" s="59">
        <f t="shared" si="3"/>
        <v>79.756097560975647</v>
      </c>
      <c r="O14" s="61">
        <f t="shared" si="4"/>
        <v>0</v>
      </c>
      <c r="P14" s="62">
        <f t="shared" si="5"/>
        <v>-3.5772357723576818</v>
      </c>
      <c r="Q14" s="109">
        <f t="shared" si="6"/>
        <v>0.95707317073170783</v>
      </c>
      <c r="R14" s="566"/>
      <c r="S14" s="63">
        <v>0.21041666666666664</v>
      </c>
      <c r="T14" s="63">
        <v>0.29583333333333328</v>
      </c>
      <c r="U14" s="108">
        <f t="shared" ref="U14:U17" si="18">IF(S14=TIME(17,0,0),"",(S14-T13)*24*60)</f>
        <v>25.999999999999986</v>
      </c>
      <c r="V14" s="114">
        <f t="shared" si="17"/>
        <v>122.99999999999996</v>
      </c>
      <c r="W14" s="64"/>
      <c r="X14" s="64"/>
      <c r="Y14" s="559"/>
      <c r="Z14" s="559"/>
      <c r="AA14" s="61">
        <f t="shared" si="8"/>
        <v>-64.390243902438442</v>
      </c>
      <c r="AB14" s="109">
        <f t="shared" si="9"/>
        <v>0.95707317073170772</v>
      </c>
      <c r="AC14" s="566"/>
    </row>
    <row r="15" spans="1:29" ht="16.5" customHeight="1">
      <c r="A15" s="593" t="s">
        <v>321</v>
      </c>
      <c r="B15" s="115" t="s">
        <v>6</v>
      </c>
      <c r="C15" s="584" t="s">
        <v>95</v>
      </c>
      <c r="D15" s="584"/>
      <c r="E15" s="57">
        <v>50.98</v>
      </c>
      <c r="F15" s="115">
        <v>2601</v>
      </c>
      <c r="G15" s="108">
        <f t="shared" si="15"/>
        <v>132598.97999999998</v>
      </c>
      <c r="H15" s="72" t="s">
        <v>5</v>
      </c>
      <c r="I15" s="113">
        <v>16</v>
      </c>
      <c r="J15" s="58">
        <v>2000</v>
      </c>
      <c r="K15" s="59">
        <f t="shared" si="1"/>
        <v>125</v>
      </c>
      <c r="L15" s="113">
        <v>16</v>
      </c>
      <c r="M15" s="60">
        <f t="shared" si="16"/>
        <v>1903.1707317073165</v>
      </c>
      <c r="N15" s="59">
        <f t="shared" si="3"/>
        <v>118.94817073170728</v>
      </c>
      <c r="O15" s="61">
        <f t="shared" si="4"/>
        <v>0</v>
      </c>
      <c r="P15" s="62">
        <f t="shared" si="5"/>
        <v>-6.0518292682927211</v>
      </c>
      <c r="Q15" s="109">
        <f t="shared" si="6"/>
        <v>0.95158536585365827</v>
      </c>
      <c r="R15" s="566"/>
      <c r="S15" s="63">
        <v>0.70833333333333337</v>
      </c>
      <c r="T15" s="63">
        <v>0.76527777777777783</v>
      </c>
      <c r="U15" s="108" t="str">
        <f t="shared" si="18"/>
        <v/>
      </c>
      <c r="V15" s="114">
        <f t="shared" si="17"/>
        <v>82.000000000000028</v>
      </c>
      <c r="W15" s="64"/>
      <c r="X15" s="64"/>
      <c r="Y15" s="559"/>
      <c r="Z15" s="559"/>
      <c r="AA15" s="61">
        <f t="shared" si="8"/>
        <v>-96.829268292683537</v>
      </c>
      <c r="AB15" s="109">
        <f t="shared" si="9"/>
        <v>0.95158536585365827</v>
      </c>
      <c r="AC15" s="566"/>
    </row>
    <row r="16" spans="1:29" ht="16.5" customHeight="1">
      <c r="A16" s="593" t="s">
        <v>321</v>
      </c>
      <c r="B16" s="115" t="s">
        <v>6</v>
      </c>
      <c r="C16" s="584" t="s">
        <v>18</v>
      </c>
      <c r="D16" s="584"/>
      <c r="E16" s="57">
        <v>50.92</v>
      </c>
      <c r="F16" s="115">
        <v>2464</v>
      </c>
      <c r="G16" s="108">
        <f t="shared" si="15"/>
        <v>125466.88</v>
      </c>
      <c r="H16" s="72" t="s">
        <v>5</v>
      </c>
      <c r="I16" s="113">
        <v>15</v>
      </c>
      <c r="J16" s="58">
        <v>2000</v>
      </c>
      <c r="K16" s="59">
        <f t="shared" si="1"/>
        <v>133.33333333333334</v>
      </c>
      <c r="L16" s="113">
        <v>15</v>
      </c>
      <c r="M16" s="60">
        <f t="shared" si="16"/>
        <v>1919.9999999999989</v>
      </c>
      <c r="N16" s="59">
        <f t="shared" si="3"/>
        <v>127.99999999999993</v>
      </c>
      <c r="O16" s="61">
        <f t="shared" si="4"/>
        <v>0</v>
      </c>
      <c r="P16" s="62">
        <f t="shared" si="5"/>
        <v>-5.3333333333334139</v>
      </c>
      <c r="Q16" s="109">
        <f t="shared" si="6"/>
        <v>0.95999999999999941</v>
      </c>
      <c r="R16" s="566"/>
      <c r="S16" s="63">
        <v>0.77083333333333337</v>
      </c>
      <c r="T16" s="63">
        <v>0.82430555555555562</v>
      </c>
      <c r="U16" s="108">
        <f t="shared" si="18"/>
        <v>7.9999999999999716</v>
      </c>
      <c r="V16" s="114">
        <f t="shared" si="17"/>
        <v>77.000000000000043</v>
      </c>
      <c r="W16" s="64"/>
      <c r="X16" s="64"/>
      <c r="Y16" s="559"/>
      <c r="Z16" s="559"/>
      <c r="AA16" s="61">
        <f t="shared" si="8"/>
        <v>-80.000000000001137</v>
      </c>
      <c r="AB16" s="109">
        <f t="shared" si="9"/>
        <v>0.95999999999999941</v>
      </c>
      <c r="AC16" s="566"/>
    </row>
    <row r="17" spans="1:29" ht="16.5" customHeight="1">
      <c r="A17" s="593" t="s">
        <v>321</v>
      </c>
      <c r="B17" s="115" t="s">
        <v>6</v>
      </c>
      <c r="C17" s="584" t="s">
        <v>7</v>
      </c>
      <c r="D17" s="584"/>
      <c r="E17" s="57">
        <v>46.93</v>
      </c>
      <c r="F17" s="115">
        <v>1109</v>
      </c>
      <c r="G17" s="108">
        <f t="shared" si="15"/>
        <v>52045.37</v>
      </c>
      <c r="H17" s="72" t="s">
        <v>5</v>
      </c>
      <c r="I17" s="113">
        <v>16</v>
      </c>
      <c r="J17" s="58">
        <v>2000</v>
      </c>
      <c r="K17" s="59">
        <f t="shared" si="1"/>
        <v>125</v>
      </c>
      <c r="L17" s="113">
        <v>16</v>
      </c>
      <c r="M17" s="60">
        <f t="shared" si="16"/>
        <v>1901.1428571428553</v>
      </c>
      <c r="N17" s="59">
        <f t="shared" si="3"/>
        <v>118.82142857142846</v>
      </c>
      <c r="O17" s="61">
        <f t="shared" si="4"/>
        <v>0</v>
      </c>
      <c r="P17" s="62">
        <f t="shared" si="5"/>
        <v>-6.1785714285715443</v>
      </c>
      <c r="Q17" s="109">
        <f t="shared" si="6"/>
        <v>0.95057142857142762</v>
      </c>
      <c r="R17" s="566"/>
      <c r="S17" s="63">
        <v>0.82777777777777783</v>
      </c>
      <c r="T17" s="63">
        <v>0.85208333333333341</v>
      </c>
      <c r="U17" s="108">
        <f t="shared" si="18"/>
        <v>4.9999999999999822</v>
      </c>
      <c r="V17" s="114">
        <f t="shared" si="17"/>
        <v>35.000000000000036</v>
      </c>
      <c r="W17" s="64"/>
      <c r="X17" s="64"/>
      <c r="Y17" s="559"/>
      <c r="Z17" s="559"/>
      <c r="AA17" s="61">
        <f t="shared" si="8"/>
        <v>-98.857142857144709</v>
      </c>
      <c r="AB17" s="109">
        <f t="shared" si="9"/>
        <v>0.95057142857142762</v>
      </c>
      <c r="AC17" s="566"/>
    </row>
    <row r="18" spans="1:29" ht="16.5" customHeight="1">
      <c r="A18" s="593" t="s">
        <v>321</v>
      </c>
      <c r="B18" s="57" t="s">
        <v>319</v>
      </c>
      <c r="C18" s="571"/>
      <c r="D18" s="571"/>
      <c r="E18" s="110"/>
      <c r="F18" s="66"/>
      <c r="G18" s="59"/>
      <c r="H18" s="115"/>
      <c r="I18" s="67">
        <v>18.2</v>
      </c>
      <c r="J18" s="58">
        <v>1800</v>
      </c>
      <c r="K18" s="59">
        <f t="shared" si="1"/>
        <v>98.901098901098905</v>
      </c>
      <c r="L18" s="67">
        <v>18.2</v>
      </c>
      <c r="M18" s="60">
        <f>AVERAGE(M13:M17)</f>
        <v>1717.6341535256292</v>
      </c>
      <c r="N18" s="59">
        <f t="shared" si="3"/>
        <v>94.375502940968644</v>
      </c>
      <c r="O18" s="61">
        <f t="shared" si="4"/>
        <v>0</v>
      </c>
      <c r="P18" s="62">
        <f t="shared" si="5"/>
        <v>-4.5255959601302607</v>
      </c>
      <c r="Q18" s="109">
        <f t="shared" si="6"/>
        <v>0.95424119640312732</v>
      </c>
      <c r="R18" s="566"/>
      <c r="S18" s="63"/>
      <c r="T18" s="63"/>
      <c r="U18" s="108"/>
      <c r="V18" s="114"/>
      <c r="W18" s="59"/>
      <c r="X18" s="59"/>
      <c r="Y18" s="559"/>
      <c r="Z18" s="559"/>
      <c r="AA18" s="61">
        <f t="shared" si="8"/>
        <v>-82.365846474370755</v>
      </c>
      <c r="AB18" s="109">
        <f t="shared" si="9"/>
        <v>0.95424119640312732</v>
      </c>
      <c r="AC18" s="566"/>
    </row>
    <row r="19" spans="1:29" ht="15.75" customHeight="1">
      <c r="A19" s="588" t="s">
        <v>322</v>
      </c>
      <c r="B19" s="57" t="s">
        <v>12</v>
      </c>
      <c r="C19" s="584" t="s">
        <v>19</v>
      </c>
      <c r="D19" s="584"/>
      <c r="E19" s="57">
        <v>43.14</v>
      </c>
      <c r="F19" s="115">
        <v>1209</v>
      </c>
      <c r="G19" s="108">
        <f t="shared" ref="G19:G26" si="19">E19*F19</f>
        <v>52156.26</v>
      </c>
      <c r="H19" s="72" t="s">
        <v>5</v>
      </c>
      <c r="I19" s="113">
        <v>17</v>
      </c>
      <c r="J19" s="58">
        <v>2000</v>
      </c>
      <c r="K19" s="59">
        <f t="shared" si="1"/>
        <v>117.64705882352941</v>
      </c>
      <c r="L19" s="113">
        <v>17</v>
      </c>
      <c r="M19" s="60">
        <f t="shared" ref="M19:M26" si="20">F19/V19*60</f>
        <v>1908.9473684210534</v>
      </c>
      <c r="N19" s="59">
        <f t="shared" si="3"/>
        <v>112.29102167182667</v>
      </c>
      <c r="O19" s="61">
        <f t="shared" si="4"/>
        <v>0</v>
      </c>
      <c r="P19" s="62">
        <f t="shared" si="5"/>
        <v>-5.3560371517027363</v>
      </c>
      <c r="Q19" s="109">
        <f t="shared" si="6"/>
        <v>0.9544736842105267</v>
      </c>
      <c r="R19" s="566">
        <f>Q27</f>
        <v>0.95717278054903066</v>
      </c>
      <c r="S19" s="63">
        <v>0.20833333333333334</v>
      </c>
      <c r="T19" s="63">
        <v>0.23472222222222222</v>
      </c>
      <c r="U19" s="108"/>
      <c r="V19" s="114">
        <f t="shared" ref="V19:V26" si="21">(T19-S19)*24*60</f>
        <v>37.999999999999986</v>
      </c>
      <c r="W19" s="68"/>
      <c r="X19" s="68"/>
      <c r="Y19" s="559"/>
      <c r="Z19" s="559"/>
      <c r="AA19" s="61">
        <f t="shared" si="8"/>
        <v>-91.052631578946603</v>
      </c>
      <c r="AB19" s="109">
        <f t="shared" si="9"/>
        <v>0.9544736842105267</v>
      </c>
      <c r="AC19" s="566">
        <f>AB27</f>
        <v>0.95717278054903066</v>
      </c>
    </row>
    <row r="20" spans="1:29" ht="15.75" customHeight="1">
      <c r="A20" s="589" t="s">
        <v>322</v>
      </c>
      <c r="B20" s="57" t="s">
        <v>65</v>
      </c>
      <c r="C20" s="584" t="s">
        <v>97</v>
      </c>
      <c r="D20" s="584"/>
      <c r="E20" s="57">
        <v>49.9</v>
      </c>
      <c r="F20" s="115">
        <v>1811</v>
      </c>
      <c r="G20" s="108">
        <f t="shared" si="19"/>
        <v>90368.9</v>
      </c>
      <c r="H20" s="72" t="s">
        <v>5</v>
      </c>
      <c r="I20" s="113">
        <v>17</v>
      </c>
      <c r="J20" s="58">
        <v>2000</v>
      </c>
      <c r="K20" s="59">
        <f t="shared" si="1"/>
        <v>117.64705882352941</v>
      </c>
      <c r="L20" s="113">
        <v>17</v>
      </c>
      <c r="M20" s="60">
        <f t="shared" si="20"/>
        <v>1906.3157894736842</v>
      </c>
      <c r="N20" s="59">
        <f t="shared" si="3"/>
        <v>112.13622291021672</v>
      </c>
      <c r="O20" s="61">
        <f t="shared" si="4"/>
        <v>0</v>
      </c>
      <c r="P20" s="62">
        <f t="shared" si="5"/>
        <v>-5.5108359133126896</v>
      </c>
      <c r="Q20" s="109">
        <f t="shared" si="6"/>
        <v>0.95315789473684209</v>
      </c>
      <c r="R20" s="566"/>
      <c r="S20" s="63">
        <v>0.23958333333333334</v>
      </c>
      <c r="T20" s="63">
        <v>0.27916666666666667</v>
      </c>
      <c r="U20" s="108">
        <f t="shared" ref="U20:U26" si="22">IF(S20=TIME(17,0,0),"",(S20-T19)*24*60)</f>
        <v>7.0000000000000151</v>
      </c>
      <c r="V20" s="114">
        <f t="shared" si="21"/>
        <v>57</v>
      </c>
      <c r="W20" s="64"/>
      <c r="X20" s="108"/>
      <c r="Y20" s="559"/>
      <c r="Z20" s="559"/>
      <c r="AA20" s="61">
        <f t="shared" si="8"/>
        <v>-93.684210526315837</v>
      </c>
      <c r="AB20" s="109">
        <f t="shared" si="9"/>
        <v>0.95315789473684209</v>
      </c>
      <c r="AC20" s="566"/>
    </row>
    <row r="21" spans="1:29" ht="15.75" customHeight="1">
      <c r="A21" s="589" t="s">
        <v>322</v>
      </c>
      <c r="B21" s="57" t="s">
        <v>6</v>
      </c>
      <c r="C21" s="584" t="s">
        <v>20</v>
      </c>
      <c r="D21" s="584"/>
      <c r="E21" s="57">
        <v>57.73</v>
      </c>
      <c r="F21" s="115">
        <v>2389</v>
      </c>
      <c r="G21" s="108">
        <f t="shared" si="19"/>
        <v>137916.97</v>
      </c>
      <c r="H21" s="72" t="s">
        <v>5</v>
      </c>
      <c r="I21" s="113">
        <v>14</v>
      </c>
      <c r="J21" s="58">
        <v>2000</v>
      </c>
      <c r="K21" s="59">
        <f t="shared" si="1"/>
        <v>142.85714285714286</v>
      </c>
      <c r="L21" s="113">
        <v>14</v>
      </c>
      <c r="M21" s="60">
        <f t="shared" si="20"/>
        <v>1911.2000000000007</v>
      </c>
      <c r="N21" s="59">
        <f t="shared" si="3"/>
        <v>136.51428571428576</v>
      </c>
      <c r="O21" s="61">
        <f t="shared" si="4"/>
        <v>0</v>
      </c>
      <c r="P21" s="62">
        <f t="shared" si="5"/>
        <v>-6.342857142857099</v>
      </c>
      <c r="Q21" s="109">
        <f t="shared" si="6"/>
        <v>0.95560000000000034</v>
      </c>
      <c r="R21" s="566"/>
      <c r="S21" s="63">
        <v>0.28333333333333333</v>
      </c>
      <c r="T21" s="63">
        <v>0.33541666666666664</v>
      </c>
      <c r="U21" s="108">
        <f t="shared" si="22"/>
        <v>5.9999999999999787</v>
      </c>
      <c r="V21" s="114">
        <f t="shared" si="21"/>
        <v>74.999999999999972</v>
      </c>
      <c r="W21" s="64"/>
      <c r="X21" s="108"/>
      <c r="Y21" s="559"/>
      <c r="Z21" s="559"/>
      <c r="AA21" s="61">
        <f t="shared" si="8"/>
        <v>-88.799999999999272</v>
      </c>
      <c r="AB21" s="109">
        <f t="shared" si="9"/>
        <v>0.95560000000000034</v>
      </c>
      <c r="AC21" s="566"/>
    </row>
    <row r="22" spans="1:29" ht="15.75" customHeight="1">
      <c r="A22" s="589" t="s">
        <v>322</v>
      </c>
      <c r="B22" s="57" t="s">
        <v>6</v>
      </c>
      <c r="C22" s="584" t="s">
        <v>21</v>
      </c>
      <c r="D22" s="584"/>
      <c r="E22" s="57">
        <v>53.68</v>
      </c>
      <c r="F22" s="115">
        <v>1591</v>
      </c>
      <c r="G22" s="108">
        <f t="shared" si="19"/>
        <v>85404.88</v>
      </c>
      <c r="H22" s="72" t="s">
        <v>5</v>
      </c>
      <c r="I22" s="113">
        <v>16</v>
      </c>
      <c r="J22" s="58">
        <v>2000</v>
      </c>
      <c r="K22" s="59">
        <f t="shared" si="1"/>
        <v>125</v>
      </c>
      <c r="L22" s="113">
        <v>16</v>
      </c>
      <c r="M22" s="60">
        <f t="shared" si="20"/>
        <v>1909.2000000000005</v>
      </c>
      <c r="N22" s="59">
        <f t="shared" si="3"/>
        <v>119.32500000000003</v>
      </c>
      <c r="O22" s="61">
        <f t="shared" si="4"/>
        <v>0</v>
      </c>
      <c r="P22" s="62">
        <f t="shared" si="5"/>
        <v>-5.6749999999999687</v>
      </c>
      <c r="Q22" s="109">
        <f t="shared" si="6"/>
        <v>0.95460000000000023</v>
      </c>
      <c r="R22" s="566"/>
      <c r="S22" s="63">
        <v>0.34027777777777773</v>
      </c>
      <c r="T22" s="63">
        <v>0.37499999999999994</v>
      </c>
      <c r="U22" s="108">
        <f t="shared" si="22"/>
        <v>6.9999999999999751</v>
      </c>
      <c r="V22" s="114">
        <f t="shared" si="21"/>
        <v>49.999999999999986</v>
      </c>
      <c r="W22" s="64"/>
      <c r="X22" s="108"/>
      <c r="Y22" s="559"/>
      <c r="Z22" s="559"/>
      <c r="AA22" s="61">
        <f t="shared" si="8"/>
        <v>-90.7999999999995</v>
      </c>
      <c r="AB22" s="109">
        <f t="shared" si="9"/>
        <v>0.95460000000000023</v>
      </c>
      <c r="AC22" s="566"/>
    </row>
    <row r="23" spans="1:29" ht="15.75" customHeight="1">
      <c r="A23" s="589" t="s">
        <v>322</v>
      </c>
      <c r="B23" s="57" t="s">
        <v>6</v>
      </c>
      <c r="C23" s="584" t="s">
        <v>96</v>
      </c>
      <c r="D23" s="584"/>
      <c r="E23" s="57">
        <v>49.91</v>
      </c>
      <c r="F23" s="115">
        <v>1471</v>
      </c>
      <c r="G23" s="108">
        <f t="shared" si="19"/>
        <v>73417.61</v>
      </c>
      <c r="H23" s="72" t="s">
        <v>5</v>
      </c>
      <c r="I23" s="113">
        <v>17</v>
      </c>
      <c r="J23" s="58">
        <v>2000</v>
      </c>
      <c r="K23" s="59">
        <f t="shared" si="1"/>
        <v>117.64705882352941</v>
      </c>
      <c r="L23" s="113">
        <v>17</v>
      </c>
      <c r="M23" s="60">
        <f t="shared" si="20"/>
        <v>1918.695652173913</v>
      </c>
      <c r="N23" s="59">
        <f t="shared" si="3"/>
        <v>112.86445012787723</v>
      </c>
      <c r="O23" s="61">
        <f t="shared" si="4"/>
        <v>0</v>
      </c>
      <c r="P23" s="62">
        <f t="shared" si="5"/>
        <v>-4.7826086956521721</v>
      </c>
      <c r="Q23" s="109">
        <f t="shared" si="6"/>
        <v>0.95934782608695657</v>
      </c>
      <c r="R23" s="566"/>
      <c r="S23" s="63">
        <v>0.37847222222222215</v>
      </c>
      <c r="T23" s="63">
        <v>0.4104166666666666</v>
      </c>
      <c r="U23" s="108">
        <f t="shared" si="22"/>
        <v>4.9999999999999822</v>
      </c>
      <c r="V23" s="114">
        <f t="shared" si="21"/>
        <v>46</v>
      </c>
      <c r="W23" s="64"/>
      <c r="X23" s="108"/>
      <c r="Y23" s="559"/>
      <c r="Z23" s="559"/>
      <c r="AA23" s="61">
        <f t="shared" si="8"/>
        <v>-81.304347826086996</v>
      </c>
      <c r="AB23" s="109">
        <f t="shared" si="9"/>
        <v>0.95934782608695646</v>
      </c>
      <c r="AC23" s="566"/>
    </row>
    <row r="24" spans="1:29" ht="15.75" customHeight="1">
      <c r="A24" s="589" t="s">
        <v>322</v>
      </c>
      <c r="B24" s="57" t="s">
        <v>6</v>
      </c>
      <c r="C24" s="584" t="s">
        <v>22</v>
      </c>
      <c r="D24" s="584"/>
      <c r="E24" s="57">
        <v>54.09</v>
      </c>
      <c r="F24" s="115">
        <v>1706</v>
      </c>
      <c r="G24" s="108">
        <f t="shared" si="19"/>
        <v>92277.540000000008</v>
      </c>
      <c r="H24" s="72" t="s">
        <v>5</v>
      </c>
      <c r="I24" s="113">
        <v>19</v>
      </c>
      <c r="J24" s="58">
        <v>2000</v>
      </c>
      <c r="K24" s="59">
        <f t="shared" si="1"/>
        <v>105.26315789473684</v>
      </c>
      <c r="L24" s="113">
        <v>19</v>
      </c>
      <c r="M24" s="60">
        <f t="shared" si="20"/>
        <v>1931.320754716982</v>
      </c>
      <c r="N24" s="59">
        <f t="shared" si="3"/>
        <v>101.648460774578</v>
      </c>
      <c r="O24" s="61">
        <f t="shared" si="4"/>
        <v>0</v>
      </c>
      <c r="P24" s="62">
        <f t="shared" si="5"/>
        <v>-3.6146971201588372</v>
      </c>
      <c r="Q24" s="109">
        <f t="shared" si="6"/>
        <v>0.96566037735849108</v>
      </c>
      <c r="R24" s="566"/>
      <c r="S24" s="63">
        <v>0.70833333333333337</v>
      </c>
      <c r="T24" s="63">
        <v>0.74513888888888891</v>
      </c>
      <c r="U24" s="108" t="str">
        <f t="shared" si="22"/>
        <v/>
      </c>
      <c r="V24" s="114">
        <f t="shared" si="21"/>
        <v>52.999999999999972</v>
      </c>
      <c r="W24" s="64"/>
      <c r="X24" s="68"/>
      <c r="Y24" s="559"/>
      <c r="Z24" s="559"/>
      <c r="AA24" s="61">
        <f t="shared" si="8"/>
        <v>-68.679245283017963</v>
      </c>
      <c r="AB24" s="109">
        <f t="shared" si="9"/>
        <v>0.96566037735849097</v>
      </c>
      <c r="AC24" s="566"/>
    </row>
    <row r="25" spans="1:29" ht="15.75" customHeight="1">
      <c r="A25" s="589" t="s">
        <v>322</v>
      </c>
      <c r="B25" s="57" t="s">
        <v>6</v>
      </c>
      <c r="C25" s="584" t="s">
        <v>69</v>
      </c>
      <c r="D25" s="584"/>
      <c r="E25" s="57">
        <v>57.73</v>
      </c>
      <c r="F25" s="115">
        <v>1581</v>
      </c>
      <c r="G25" s="108">
        <f t="shared" si="19"/>
        <v>91271.12999999999</v>
      </c>
      <c r="H25" s="72" t="s">
        <v>5</v>
      </c>
      <c r="I25" s="113">
        <v>16</v>
      </c>
      <c r="J25" s="58">
        <v>1500</v>
      </c>
      <c r="K25" s="59">
        <f t="shared" si="1"/>
        <v>93.75</v>
      </c>
      <c r="L25" s="113">
        <v>16</v>
      </c>
      <c r="M25" s="60">
        <f t="shared" si="20"/>
        <v>1437.2727272727254</v>
      </c>
      <c r="N25" s="59">
        <f t="shared" si="3"/>
        <v>89.82954545454534</v>
      </c>
      <c r="O25" s="61">
        <f t="shared" si="4"/>
        <v>0</v>
      </c>
      <c r="P25" s="62">
        <f t="shared" si="5"/>
        <v>-3.9204545454546604</v>
      </c>
      <c r="Q25" s="109">
        <f t="shared" si="6"/>
        <v>0.95818181818181691</v>
      </c>
      <c r="R25" s="566"/>
      <c r="S25" s="63">
        <v>0.74861111111111112</v>
      </c>
      <c r="T25" s="63">
        <v>0.79444444444444451</v>
      </c>
      <c r="U25" s="108">
        <f t="shared" si="22"/>
        <v>4.9999999999999822</v>
      </c>
      <c r="V25" s="114">
        <f t="shared" si="21"/>
        <v>66.000000000000085</v>
      </c>
      <c r="W25" s="64"/>
      <c r="X25" s="68"/>
      <c r="Y25" s="569"/>
      <c r="Z25" s="570"/>
      <c r="AA25" s="61">
        <f t="shared" si="8"/>
        <v>-62.727272727274567</v>
      </c>
      <c r="AB25" s="109">
        <f t="shared" si="9"/>
        <v>0.95818181818181691</v>
      </c>
      <c r="AC25" s="566"/>
    </row>
    <row r="26" spans="1:29" ht="15.75" customHeight="1">
      <c r="A26" s="589" t="s">
        <v>322</v>
      </c>
      <c r="B26" s="57" t="s">
        <v>6</v>
      </c>
      <c r="C26" s="585" t="s">
        <v>68</v>
      </c>
      <c r="D26" s="586"/>
      <c r="E26" s="57">
        <v>50.67</v>
      </c>
      <c r="F26" s="115">
        <v>1977</v>
      </c>
      <c r="G26" s="108">
        <f t="shared" si="19"/>
        <v>100174.59</v>
      </c>
      <c r="H26" s="72" t="s">
        <v>5</v>
      </c>
      <c r="I26" s="113">
        <v>15</v>
      </c>
      <c r="J26" s="58">
        <v>2000</v>
      </c>
      <c r="K26" s="59">
        <f t="shared" si="1"/>
        <v>133.33333333333334</v>
      </c>
      <c r="L26" s="113">
        <v>15</v>
      </c>
      <c r="M26" s="60">
        <f t="shared" si="20"/>
        <v>1913.2258064516145</v>
      </c>
      <c r="N26" s="59">
        <f t="shared" si="3"/>
        <v>127.54838709677431</v>
      </c>
      <c r="O26" s="61">
        <f t="shared" si="4"/>
        <v>0</v>
      </c>
      <c r="P26" s="62">
        <f t="shared" si="5"/>
        <v>-5.7849462365590369</v>
      </c>
      <c r="Q26" s="109">
        <f t="shared" si="6"/>
        <v>0.95661290322580728</v>
      </c>
      <c r="R26" s="566"/>
      <c r="S26" s="63">
        <v>0.8</v>
      </c>
      <c r="T26" s="63">
        <v>0.84305555555555556</v>
      </c>
      <c r="U26" s="108">
        <f t="shared" si="22"/>
        <v>7.9999999999999716</v>
      </c>
      <c r="V26" s="114">
        <f t="shared" si="21"/>
        <v>61.999999999999943</v>
      </c>
      <c r="W26" s="64"/>
      <c r="X26" s="64"/>
      <c r="Y26" s="569"/>
      <c r="Z26" s="570"/>
      <c r="AA26" s="61">
        <f t="shared" si="8"/>
        <v>-86.774193548385483</v>
      </c>
      <c r="AB26" s="109">
        <f t="shared" si="9"/>
        <v>0.95661290322580728</v>
      </c>
      <c r="AC26" s="566"/>
    </row>
    <row r="27" spans="1:29" ht="15.75" customHeight="1">
      <c r="A27" s="589" t="s">
        <v>322</v>
      </c>
      <c r="B27" s="57" t="s">
        <v>319</v>
      </c>
      <c r="C27" s="571"/>
      <c r="D27" s="571"/>
      <c r="E27" s="110"/>
      <c r="F27" s="115"/>
      <c r="G27" s="108"/>
      <c r="H27" s="115"/>
      <c r="I27" s="67">
        <v>16.375</v>
      </c>
      <c r="J27" s="58">
        <v>1937.5</v>
      </c>
      <c r="K27" s="59">
        <f t="shared" si="1"/>
        <v>118.32061068702291</v>
      </c>
      <c r="L27" s="67">
        <v>16.375</v>
      </c>
      <c r="M27" s="60">
        <f>AVERAGE(M19:M26)</f>
        <v>1854.522262313747</v>
      </c>
      <c r="N27" s="59">
        <f t="shared" si="3"/>
        <v>113.25326792755706</v>
      </c>
      <c r="O27" s="61">
        <f t="shared" si="4"/>
        <v>0</v>
      </c>
      <c r="P27" s="62">
        <f t="shared" si="5"/>
        <v>-5.0673427594658449</v>
      </c>
      <c r="Q27" s="109">
        <f t="shared" si="6"/>
        <v>0.95717278054903066</v>
      </c>
      <c r="R27" s="566"/>
      <c r="S27" s="63"/>
      <c r="T27" s="63"/>
      <c r="U27" s="59"/>
      <c r="V27" s="114"/>
      <c r="W27" s="59"/>
      <c r="X27" s="59"/>
      <c r="Y27" s="559"/>
      <c r="Z27" s="559"/>
      <c r="AA27" s="61">
        <f t="shared" si="8"/>
        <v>-82.977737686253022</v>
      </c>
      <c r="AB27" s="109">
        <f t="shared" si="9"/>
        <v>0.95717278054903066</v>
      </c>
      <c r="AC27" s="566"/>
    </row>
    <row r="28" spans="1:29" ht="15.75" customHeight="1">
      <c r="A28" s="587" t="s">
        <v>323</v>
      </c>
      <c r="B28" s="57" t="s">
        <v>15</v>
      </c>
      <c r="C28" s="584" t="s">
        <v>26</v>
      </c>
      <c r="D28" s="584"/>
      <c r="E28" s="57">
        <v>31.29</v>
      </c>
      <c r="F28" s="115">
        <v>5300</v>
      </c>
      <c r="G28" s="108">
        <f t="shared" ref="G28:G35" si="23">E28*F28</f>
        <v>165837</v>
      </c>
      <c r="H28" s="72">
        <v>2</v>
      </c>
      <c r="I28" s="113">
        <v>18</v>
      </c>
      <c r="J28" s="58">
        <v>2400</v>
      </c>
      <c r="K28" s="59">
        <f t="shared" si="1"/>
        <v>133.33333333333334</v>
      </c>
      <c r="L28" s="113">
        <v>18</v>
      </c>
      <c r="M28" s="60">
        <f t="shared" ref="M28:M35" si="24">F28/V28*60</f>
        <v>2287.7697841726617</v>
      </c>
      <c r="N28" s="59">
        <f t="shared" si="3"/>
        <v>127.09832134292566</v>
      </c>
      <c r="O28" s="61">
        <f t="shared" si="4"/>
        <v>0</v>
      </c>
      <c r="P28" s="62">
        <f t="shared" si="5"/>
        <v>-6.2350119904076848</v>
      </c>
      <c r="Q28" s="109">
        <f t="shared" si="6"/>
        <v>0.9532374100719424</v>
      </c>
      <c r="R28" s="566">
        <f>Q36</f>
        <v>0.95806497615897868</v>
      </c>
      <c r="S28" s="63">
        <v>8.3333333333333329E-2</v>
      </c>
      <c r="T28" s="63">
        <v>0.17986111111111111</v>
      </c>
      <c r="U28" s="108"/>
      <c r="V28" s="114">
        <f t="shared" ref="V28:V35" si="25">(T28-S28)*24*60</f>
        <v>139</v>
      </c>
      <c r="W28" s="64">
        <f>T28</f>
        <v>0.17986111111111111</v>
      </c>
      <c r="X28" s="64">
        <f>S29</f>
        <v>0.19791666666666666</v>
      </c>
      <c r="Y28" s="559"/>
      <c r="Z28" s="559"/>
      <c r="AA28" s="61">
        <f t="shared" si="8"/>
        <v>-112.23021582733827</v>
      </c>
      <c r="AB28" s="109">
        <f t="shared" si="9"/>
        <v>0.9532374100719424</v>
      </c>
      <c r="AC28" s="566">
        <f>AB36</f>
        <v>0.95806497615897868</v>
      </c>
    </row>
    <row r="29" spans="1:29" ht="15.75" customHeight="1">
      <c r="A29" s="587" t="s">
        <v>323</v>
      </c>
      <c r="B29" s="57" t="s">
        <v>15</v>
      </c>
      <c r="C29" s="584" t="s">
        <v>23</v>
      </c>
      <c r="D29" s="584"/>
      <c r="E29" s="57">
        <v>26.2</v>
      </c>
      <c r="F29" s="115">
        <v>3100</v>
      </c>
      <c r="G29" s="108">
        <f t="shared" si="23"/>
        <v>81220</v>
      </c>
      <c r="H29" s="72">
        <v>2</v>
      </c>
      <c r="I29" s="113">
        <v>20</v>
      </c>
      <c r="J29" s="58">
        <v>2400</v>
      </c>
      <c r="K29" s="59">
        <f t="shared" si="1"/>
        <v>120</v>
      </c>
      <c r="L29" s="113">
        <v>20</v>
      </c>
      <c r="M29" s="60">
        <f t="shared" si="24"/>
        <v>2296.296296296297</v>
      </c>
      <c r="N29" s="59">
        <f t="shared" si="3"/>
        <v>114.81481481481485</v>
      </c>
      <c r="O29" s="61">
        <f t="shared" si="4"/>
        <v>0</v>
      </c>
      <c r="P29" s="62">
        <f t="shared" si="5"/>
        <v>-5.1851851851851478</v>
      </c>
      <c r="Q29" s="109">
        <f t="shared" si="6"/>
        <v>0.95679012345679049</v>
      </c>
      <c r="R29" s="566"/>
      <c r="S29" s="63">
        <v>0.19791666666666666</v>
      </c>
      <c r="T29" s="63">
        <v>0.25416666666666665</v>
      </c>
      <c r="U29" s="108">
        <f t="shared" ref="U29:U35" si="26">(S29-T28)*24*60</f>
        <v>25.999999999999986</v>
      </c>
      <c r="V29" s="114">
        <f t="shared" si="25"/>
        <v>80.999999999999986</v>
      </c>
      <c r="W29" s="64"/>
      <c r="X29" s="64"/>
      <c r="Y29" s="559"/>
      <c r="Z29" s="559"/>
      <c r="AA29" s="61">
        <f t="shared" si="8"/>
        <v>-103.70370370370301</v>
      </c>
      <c r="AB29" s="109">
        <f t="shared" si="9"/>
        <v>0.95679012345679038</v>
      </c>
      <c r="AC29" s="566"/>
    </row>
    <row r="30" spans="1:29" ht="15.75" customHeight="1">
      <c r="A30" s="587" t="s">
        <v>323</v>
      </c>
      <c r="B30" s="57" t="s">
        <v>15</v>
      </c>
      <c r="C30" s="584" t="s">
        <v>70</v>
      </c>
      <c r="D30" s="584"/>
      <c r="E30" s="57">
        <v>25.99</v>
      </c>
      <c r="F30" s="115">
        <v>3000</v>
      </c>
      <c r="G30" s="108">
        <f t="shared" si="23"/>
        <v>77970</v>
      </c>
      <c r="H30" s="72">
        <v>2</v>
      </c>
      <c r="I30" s="113">
        <v>14</v>
      </c>
      <c r="J30" s="58">
        <v>2400</v>
      </c>
      <c r="K30" s="59">
        <f t="shared" si="1"/>
        <v>171.42857142857142</v>
      </c>
      <c r="L30" s="113">
        <v>14</v>
      </c>
      <c r="M30" s="60">
        <f t="shared" si="24"/>
        <v>2307.6923076923063</v>
      </c>
      <c r="N30" s="59">
        <f t="shared" si="3"/>
        <v>164.83516483516473</v>
      </c>
      <c r="O30" s="61">
        <f t="shared" si="4"/>
        <v>0</v>
      </c>
      <c r="P30" s="62">
        <f t="shared" si="5"/>
        <v>-6.5934065934066837</v>
      </c>
      <c r="Q30" s="109">
        <f t="shared" si="6"/>
        <v>0.96153846153846101</v>
      </c>
      <c r="R30" s="566"/>
      <c r="S30" s="63">
        <v>0.2583333333333333</v>
      </c>
      <c r="T30" s="63">
        <v>0.3125</v>
      </c>
      <c r="U30" s="108">
        <f t="shared" si="26"/>
        <v>5.9999999999999787</v>
      </c>
      <c r="V30" s="114">
        <f t="shared" si="25"/>
        <v>78.000000000000043</v>
      </c>
      <c r="W30" s="64"/>
      <c r="X30" s="64"/>
      <c r="Y30" s="559"/>
      <c r="Z30" s="559"/>
      <c r="AA30" s="61">
        <f t="shared" si="8"/>
        <v>-92.307692307693742</v>
      </c>
      <c r="AB30" s="109">
        <f t="shared" si="9"/>
        <v>0.9615384615384609</v>
      </c>
      <c r="AC30" s="566"/>
    </row>
    <row r="31" spans="1:29" ht="15.75" customHeight="1">
      <c r="A31" s="587" t="s">
        <v>323</v>
      </c>
      <c r="B31" s="57" t="s">
        <v>15</v>
      </c>
      <c r="C31" s="584" t="s">
        <v>45</v>
      </c>
      <c r="D31" s="584"/>
      <c r="E31" s="57">
        <v>20.52</v>
      </c>
      <c r="F31" s="115">
        <v>5322</v>
      </c>
      <c r="G31" s="108">
        <f t="shared" si="23"/>
        <v>109207.44</v>
      </c>
      <c r="H31" s="72" t="s">
        <v>5</v>
      </c>
      <c r="I31" s="113">
        <v>18</v>
      </c>
      <c r="J31" s="58">
        <v>2400</v>
      </c>
      <c r="K31" s="59">
        <f t="shared" si="1"/>
        <v>133.33333333333334</v>
      </c>
      <c r="L31" s="113">
        <v>18</v>
      </c>
      <c r="M31" s="60">
        <f t="shared" si="24"/>
        <v>2297.2661870503598</v>
      </c>
      <c r="N31" s="59">
        <f t="shared" si="3"/>
        <v>127.62589928057554</v>
      </c>
      <c r="O31" s="61">
        <f t="shared" si="4"/>
        <v>0</v>
      </c>
      <c r="P31" s="62">
        <f t="shared" si="5"/>
        <v>-5.7074340527578045</v>
      </c>
      <c r="Q31" s="109">
        <f t="shared" si="6"/>
        <v>0.95719424460431646</v>
      </c>
      <c r="R31" s="566"/>
      <c r="S31" s="63">
        <v>0.31805555555555554</v>
      </c>
      <c r="T31" s="63">
        <v>0.4145833333333333</v>
      </c>
      <c r="U31" s="108">
        <f t="shared" si="26"/>
        <v>7.9999999999999716</v>
      </c>
      <c r="V31" s="114">
        <f t="shared" si="25"/>
        <v>139</v>
      </c>
      <c r="W31" s="64"/>
      <c r="X31" s="64"/>
      <c r="Y31" s="559"/>
      <c r="Z31" s="559"/>
      <c r="AA31" s="61">
        <f t="shared" si="8"/>
        <v>-102.7338129496402</v>
      </c>
      <c r="AB31" s="109">
        <f t="shared" si="9"/>
        <v>0.95719424460431657</v>
      </c>
      <c r="AC31" s="566"/>
    </row>
    <row r="32" spans="1:29" ht="15.75" customHeight="1">
      <c r="A32" s="587" t="s">
        <v>323</v>
      </c>
      <c r="B32" s="57" t="s">
        <v>15</v>
      </c>
      <c r="C32" s="584" t="s">
        <v>98</v>
      </c>
      <c r="D32" s="584"/>
      <c r="E32" s="57">
        <v>25.98</v>
      </c>
      <c r="F32" s="115">
        <v>4805</v>
      </c>
      <c r="G32" s="108">
        <f t="shared" si="23"/>
        <v>124833.90000000001</v>
      </c>
      <c r="H32" s="72" t="s">
        <v>5</v>
      </c>
      <c r="I32" s="113">
        <v>21</v>
      </c>
      <c r="J32" s="58">
        <v>2400</v>
      </c>
      <c r="K32" s="59">
        <f t="shared" si="1"/>
        <v>114.28571428571429</v>
      </c>
      <c r="L32" s="113">
        <v>21</v>
      </c>
      <c r="M32" s="60">
        <f t="shared" si="24"/>
        <v>2288.0952380952376</v>
      </c>
      <c r="N32" s="59">
        <f t="shared" si="3"/>
        <v>108.95691609977322</v>
      </c>
      <c r="O32" s="61">
        <f t="shared" si="4"/>
        <v>0</v>
      </c>
      <c r="P32" s="62">
        <f t="shared" si="5"/>
        <v>-5.3287981859410678</v>
      </c>
      <c r="Q32" s="109">
        <f t="shared" si="6"/>
        <v>0.95337301587301571</v>
      </c>
      <c r="R32" s="566"/>
      <c r="S32" s="63">
        <v>0.42013888888888884</v>
      </c>
      <c r="T32" s="63">
        <v>0.50763888888888886</v>
      </c>
      <c r="U32" s="108">
        <f t="shared" si="26"/>
        <v>7.9999999999999716</v>
      </c>
      <c r="V32" s="114">
        <f t="shared" si="25"/>
        <v>126.00000000000003</v>
      </c>
      <c r="W32" s="64">
        <f>T32</f>
        <v>0.50763888888888886</v>
      </c>
      <c r="X32" s="64">
        <f>S33</f>
        <v>0.54722222222222217</v>
      </c>
      <c r="Y32" s="559"/>
      <c r="Z32" s="559"/>
      <c r="AA32" s="61">
        <f t="shared" si="8"/>
        <v>-111.90476190476238</v>
      </c>
      <c r="AB32" s="109">
        <f t="shared" si="9"/>
        <v>0.95337301587301571</v>
      </c>
      <c r="AC32" s="566"/>
    </row>
    <row r="33" spans="1:29" ht="15.75" customHeight="1">
      <c r="A33" s="587" t="s">
        <v>323</v>
      </c>
      <c r="B33" s="57" t="s">
        <v>15</v>
      </c>
      <c r="C33" s="584" t="s">
        <v>26</v>
      </c>
      <c r="D33" s="584"/>
      <c r="E33" s="57">
        <v>31.29</v>
      </c>
      <c r="F33" s="115">
        <v>3755</v>
      </c>
      <c r="G33" s="108">
        <f t="shared" si="23"/>
        <v>117493.95</v>
      </c>
      <c r="H33" s="72" t="s">
        <v>5</v>
      </c>
      <c r="I33" s="113">
        <v>18</v>
      </c>
      <c r="J33" s="58">
        <v>2400</v>
      </c>
      <c r="K33" s="59">
        <f t="shared" si="1"/>
        <v>133.33333333333334</v>
      </c>
      <c r="L33" s="113">
        <v>18</v>
      </c>
      <c r="M33" s="60">
        <f t="shared" si="24"/>
        <v>2298.9795918367354</v>
      </c>
      <c r="N33" s="59">
        <f t="shared" si="3"/>
        <v>127.72108843537418</v>
      </c>
      <c r="O33" s="61">
        <f t="shared" si="4"/>
        <v>0</v>
      </c>
      <c r="P33" s="62">
        <f t="shared" si="5"/>
        <v>-5.6122448979591582</v>
      </c>
      <c r="Q33" s="109">
        <f t="shared" si="6"/>
        <v>0.95790816326530637</v>
      </c>
      <c r="R33" s="566"/>
      <c r="S33" s="63">
        <v>0.54722222222222217</v>
      </c>
      <c r="T33" s="63">
        <v>0.6152777777777777</v>
      </c>
      <c r="U33" s="108">
        <f t="shared" si="26"/>
        <v>56.999999999999957</v>
      </c>
      <c r="V33" s="114">
        <f t="shared" si="25"/>
        <v>97.999999999999972</v>
      </c>
      <c r="W33" s="64"/>
      <c r="X33" s="64"/>
      <c r="Y33" s="559"/>
      <c r="Z33" s="559"/>
      <c r="AA33" s="61">
        <f t="shared" si="8"/>
        <v>-101.02040816326462</v>
      </c>
      <c r="AB33" s="109">
        <f t="shared" si="9"/>
        <v>0.95790816326530637</v>
      </c>
      <c r="AC33" s="566"/>
    </row>
    <row r="34" spans="1:29" ht="15.75" customHeight="1">
      <c r="A34" s="587" t="s">
        <v>323</v>
      </c>
      <c r="B34" s="57" t="s">
        <v>15</v>
      </c>
      <c r="C34" s="584" t="s">
        <v>23</v>
      </c>
      <c r="D34" s="584"/>
      <c r="E34" s="57">
        <v>26.2</v>
      </c>
      <c r="F34" s="115">
        <v>2350</v>
      </c>
      <c r="G34" s="108">
        <f t="shared" si="23"/>
        <v>61570</v>
      </c>
      <c r="H34" s="72" t="s">
        <v>5</v>
      </c>
      <c r="I34" s="113">
        <v>20</v>
      </c>
      <c r="J34" s="58">
        <v>2400</v>
      </c>
      <c r="K34" s="59">
        <f t="shared" si="1"/>
        <v>120</v>
      </c>
      <c r="L34" s="113">
        <v>20</v>
      </c>
      <c r="M34" s="60">
        <f t="shared" si="24"/>
        <v>2311.4754098360677</v>
      </c>
      <c r="N34" s="59">
        <f t="shared" si="3"/>
        <v>115.57377049180339</v>
      </c>
      <c r="O34" s="61">
        <f t="shared" si="4"/>
        <v>0</v>
      </c>
      <c r="P34" s="62">
        <f t="shared" si="5"/>
        <v>-4.426229508196613</v>
      </c>
      <c r="Q34" s="109">
        <f t="shared" si="6"/>
        <v>0.96311475409836156</v>
      </c>
      <c r="R34" s="566"/>
      <c r="S34" s="63">
        <v>0.61874999999999991</v>
      </c>
      <c r="T34" s="63">
        <v>0.66111111111111098</v>
      </c>
      <c r="U34" s="108">
        <f t="shared" si="26"/>
        <v>4.9999999999999822</v>
      </c>
      <c r="V34" s="114">
        <f t="shared" si="25"/>
        <v>60.999999999999943</v>
      </c>
      <c r="W34" s="64"/>
      <c r="X34" s="64"/>
      <c r="Y34" s="559"/>
      <c r="Z34" s="559"/>
      <c r="AA34" s="61">
        <f t="shared" si="8"/>
        <v>-88.524590163932316</v>
      </c>
      <c r="AB34" s="109">
        <f t="shared" si="9"/>
        <v>0.96311475409836156</v>
      </c>
      <c r="AC34" s="566"/>
    </row>
    <row r="35" spans="1:29" ht="15.75" customHeight="1">
      <c r="A35" s="587" t="s">
        <v>323</v>
      </c>
      <c r="B35" s="57" t="s">
        <v>15</v>
      </c>
      <c r="C35" s="584" t="s">
        <v>70</v>
      </c>
      <c r="D35" s="584"/>
      <c r="E35" s="57">
        <v>25.99</v>
      </c>
      <c r="F35" s="115">
        <v>2115</v>
      </c>
      <c r="G35" s="108">
        <f t="shared" si="23"/>
        <v>54968.85</v>
      </c>
      <c r="H35" s="72" t="s">
        <v>5</v>
      </c>
      <c r="I35" s="113">
        <v>14</v>
      </c>
      <c r="J35" s="58">
        <v>2400</v>
      </c>
      <c r="K35" s="59">
        <f t="shared" si="1"/>
        <v>171.42857142857142</v>
      </c>
      <c r="L35" s="113">
        <v>14</v>
      </c>
      <c r="M35" s="60">
        <f t="shared" si="24"/>
        <v>2307.2727272727288</v>
      </c>
      <c r="N35" s="59">
        <f t="shared" si="3"/>
        <v>164.80519480519493</v>
      </c>
      <c r="O35" s="61">
        <f t="shared" si="4"/>
        <v>0</v>
      </c>
      <c r="P35" s="62">
        <f t="shared" si="5"/>
        <v>-6.6233766233764868</v>
      </c>
      <c r="Q35" s="109">
        <f t="shared" si="6"/>
        <v>0.9613636363636372</v>
      </c>
      <c r="R35" s="566"/>
      <c r="S35" s="63">
        <v>0.66458333333333319</v>
      </c>
      <c r="T35" s="63">
        <v>0.70277777777777761</v>
      </c>
      <c r="U35" s="108">
        <f t="shared" si="26"/>
        <v>4.9999999999999822</v>
      </c>
      <c r="V35" s="114">
        <f t="shared" si="25"/>
        <v>54.999999999999964</v>
      </c>
      <c r="W35" s="64"/>
      <c r="X35" s="64"/>
      <c r="Y35" s="559"/>
      <c r="Z35" s="559"/>
      <c r="AA35" s="61">
        <f t="shared" si="8"/>
        <v>-92.727272727271156</v>
      </c>
      <c r="AB35" s="109">
        <f t="shared" si="9"/>
        <v>0.96136363636363698</v>
      </c>
      <c r="AC35" s="566"/>
    </row>
    <row r="36" spans="1:29" ht="15.75" customHeight="1">
      <c r="A36" s="587" t="s">
        <v>323</v>
      </c>
      <c r="B36" s="57" t="s">
        <v>319</v>
      </c>
      <c r="C36" s="571"/>
      <c r="D36" s="571"/>
      <c r="E36" s="110"/>
      <c r="F36" s="115"/>
      <c r="G36" s="108"/>
      <c r="H36" s="115"/>
      <c r="I36" s="67">
        <v>17.875</v>
      </c>
      <c r="J36" s="58">
        <v>2400</v>
      </c>
      <c r="K36" s="59">
        <f t="shared" si="1"/>
        <v>134.26573426573427</v>
      </c>
      <c r="L36" s="67">
        <v>17.875</v>
      </c>
      <c r="M36" s="60">
        <f>AVERAGE(M28:M35)</f>
        <v>2299.3559427815489</v>
      </c>
      <c r="N36" s="59">
        <f t="shared" si="3"/>
        <v>128.63529749826847</v>
      </c>
      <c r="O36" s="61">
        <f t="shared" si="4"/>
        <v>0</v>
      </c>
      <c r="P36" s="62">
        <f t="shared" si="5"/>
        <v>-5.6304367674657954</v>
      </c>
      <c r="Q36" s="109">
        <f t="shared" si="6"/>
        <v>0.95806497615897868</v>
      </c>
      <c r="R36" s="566"/>
      <c r="S36" s="63"/>
      <c r="T36" s="63"/>
      <c r="U36" s="108"/>
      <c r="V36" s="114"/>
      <c r="W36" s="108"/>
      <c r="X36" s="108"/>
      <c r="Y36" s="559"/>
      <c r="Z36" s="559"/>
      <c r="AA36" s="61">
        <f t="shared" si="8"/>
        <v>-100.64405721845105</v>
      </c>
      <c r="AB36" s="109">
        <f t="shared" si="9"/>
        <v>0.95806497615897868</v>
      </c>
      <c r="AC36" s="566"/>
    </row>
    <row r="37" spans="1:29" ht="15.75" customHeight="1">
      <c r="A37" s="582" t="s">
        <v>324</v>
      </c>
      <c r="B37" s="57" t="s">
        <v>15</v>
      </c>
      <c r="C37" s="560" t="s">
        <v>44</v>
      </c>
      <c r="D37" s="560"/>
      <c r="E37" s="57">
        <v>19.02</v>
      </c>
      <c r="F37" s="115">
        <v>5400</v>
      </c>
      <c r="G37" s="108">
        <f t="shared" ref="G37:G43" si="27">E37*F37</f>
        <v>102708</v>
      </c>
      <c r="H37" s="72">
        <v>2</v>
      </c>
      <c r="I37" s="113">
        <v>15</v>
      </c>
      <c r="J37" s="58">
        <v>2400</v>
      </c>
      <c r="K37" s="59">
        <f t="shared" si="1"/>
        <v>160</v>
      </c>
      <c r="L37" s="113">
        <v>15</v>
      </c>
      <c r="M37" s="60">
        <f t="shared" ref="M37:M43" si="28">F37/V37*60</f>
        <v>2297.872340425532</v>
      </c>
      <c r="N37" s="59">
        <f t="shared" si="3"/>
        <v>153.19148936170214</v>
      </c>
      <c r="O37" s="61">
        <f t="shared" si="4"/>
        <v>0</v>
      </c>
      <c r="P37" s="62">
        <f t="shared" si="5"/>
        <v>-6.8085106382978609</v>
      </c>
      <c r="Q37" s="109">
        <f t="shared" si="6"/>
        <v>0.95744680851063835</v>
      </c>
      <c r="R37" s="566">
        <f>Q44</f>
        <v>0.95641167478790468</v>
      </c>
      <c r="S37" s="63">
        <v>8.3333333333333329E-2</v>
      </c>
      <c r="T37" s="63">
        <v>0.18124999999999999</v>
      </c>
      <c r="U37" s="108"/>
      <c r="V37" s="114">
        <f t="shared" ref="V37:V43" si="29">(T37-S37)*24*60</f>
        <v>141</v>
      </c>
      <c r="W37" s="68">
        <f>T37</f>
        <v>0.18124999999999999</v>
      </c>
      <c r="X37" s="68">
        <f>S38</f>
        <v>0.19999999999999998</v>
      </c>
      <c r="Y37" s="559"/>
      <c r="Z37" s="559"/>
      <c r="AA37" s="61">
        <f t="shared" si="8"/>
        <v>-102.127659574468</v>
      </c>
      <c r="AB37" s="109">
        <f t="shared" si="9"/>
        <v>0.95744680851063835</v>
      </c>
      <c r="AC37" s="566">
        <f>AB44</f>
        <v>0.95641167478790468</v>
      </c>
    </row>
    <row r="38" spans="1:29" ht="15.75" customHeight="1">
      <c r="A38" s="582" t="s">
        <v>324</v>
      </c>
      <c r="B38" s="57" t="s">
        <v>15</v>
      </c>
      <c r="C38" s="560" t="s">
        <v>27</v>
      </c>
      <c r="D38" s="560"/>
      <c r="E38" s="57">
        <v>26.2</v>
      </c>
      <c r="F38" s="115">
        <v>3800</v>
      </c>
      <c r="G38" s="108">
        <f t="shared" si="27"/>
        <v>99560</v>
      </c>
      <c r="H38" s="72">
        <v>2</v>
      </c>
      <c r="I38" s="113">
        <v>18</v>
      </c>
      <c r="J38" s="58">
        <v>2400</v>
      </c>
      <c r="K38" s="59">
        <f t="shared" si="1"/>
        <v>133.33333333333334</v>
      </c>
      <c r="L38" s="113">
        <v>18</v>
      </c>
      <c r="M38" s="60">
        <f t="shared" si="28"/>
        <v>2303.030303030303</v>
      </c>
      <c r="N38" s="59">
        <f t="shared" si="3"/>
        <v>127.94612794612794</v>
      </c>
      <c r="O38" s="61">
        <f t="shared" si="4"/>
        <v>0</v>
      </c>
      <c r="P38" s="62">
        <f t="shared" si="5"/>
        <v>-5.3872053872053982</v>
      </c>
      <c r="Q38" s="109">
        <f t="shared" si="6"/>
        <v>0.95959595959595956</v>
      </c>
      <c r="R38" s="566"/>
      <c r="S38" s="63">
        <v>0.19999999999999998</v>
      </c>
      <c r="T38" s="63">
        <v>0.26874999999999999</v>
      </c>
      <c r="U38" s="108">
        <f t="shared" ref="U38:U43" si="30">(S38-T37)*24*60</f>
        <v>26.999999999999986</v>
      </c>
      <c r="V38" s="114">
        <f t="shared" si="29"/>
        <v>99.000000000000014</v>
      </c>
      <c r="W38" s="108"/>
      <c r="X38" s="108"/>
      <c r="Y38" s="559"/>
      <c r="Z38" s="559"/>
      <c r="AA38" s="61">
        <f t="shared" si="8"/>
        <v>-96.969696969696997</v>
      </c>
      <c r="AB38" s="109">
        <f t="shared" si="9"/>
        <v>0.95959595959595956</v>
      </c>
      <c r="AC38" s="566"/>
    </row>
    <row r="39" spans="1:29">
      <c r="A39" s="583" t="s">
        <v>324</v>
      </c>
      <c r="B39" s="57" t="s">
        <v>15</v>
      </c>
      <c r="C39" s="560" t="s">
        <v>25</v>
      </c>
      <c r="D39" s="560"/>
      <c r="E39" s="57">
        <v>26.18</v>
      </c>
      <c r="F39" s="115">
        <v>3012</v>
      </c>
      <c r="G39" s="108">
        <f t="shared" si="27"/>
        <v>78854.16</v>
      </c>
      <c r="H39" s="72" t="s">
        <v>5</v>
      </c>
      <c r="I39" s="113">
        <v>19</v>
      </c>
      <c r="J39" s="58">
        <v>2400</v>
      </c>
      <c r="K39" s="59">
        <f t="shared" si="1"/>
        <v>126.31578947368421</v>
      </c>
      <c r="L39" s="113">
        <v>19</v>
      </c>
      <c r="M39" s="60">
        <f t="shared" si="28"/>
        <v>2287.594936708862</v>
      </c>
      <c r="N39" s="59">
        <f t="shared" si="3"/>
        <v>120.39973351099273</v>
      </c>
      <c r="O39" s="61">
        <f t="shared" si="4"/>
        <v>0</v>
      </c>
      <c r="P39" s="62">
        <f t="shared" si="5"/>
        <v>-5.9160559626914733</v>
      </c>
      <c r="Q39" s="109">
        <f t="shared" si="6"/>
        <v>0.95316455696202584</v>
      </c>
      <c r="R39" s="566"/>
      <c r="S39" s="63">
        <v>0.27430555555555552</v>
      </c>
      <c r="T39" s="63">
        <v>0.32916666666666661</v>
      </c>
      <c r="U39" s="108">
        <f t="shared" si="30"/>
        <v>7.9999999999999716</v>
      </c>
      <c r="V39" s="114">
        <f t="shared" si="29"/>
        <v>78.999999999999957</v>
      </c>
      <c r="W39" s="108"/>
      <c r="X39" s="108"/>
      <c r="Y39" s="559"/>
      <c r="Z39" s="559"/>
      <c r="AA39" s="61">
        <f t="shared" si="8"/>
        <v>-112.40506329113805</v>
      </c>
      <c r="AB39" s="109">
        <f t="shared" si="9"/>
        <v>0.95316455696202584</v>
      </c>
      <c r="AC39" s="566"/>
    </row>
    <row r="40" spans="1:29">
      <c r="A40" s="583" t="s">
        <v>324</v>
      </c>
      <c r="B40" s="57" t="s">
        <v>15</v>
      </c>
      <c r="C40" s="560" t="s">
        <v>28</v>
      </c>
      <c r="D40" s="560"/>
      <c r="E40" s="57">
        <v>26.39</v>
      </c>
      <c r="F40" s="115">
        <v>6516</v>
      </c>
      <c r="G40" s="108">
        <f t="shared" si="27"/>
        <v>171957.24</v>
      </c>
      <c r="H40" s="72" t="s">
        <v>5</v>
      </c>
      <c r="I40" s="113">
        <v>19</v>
      </c>
      <c r="J40" s="58">
        <v>2400</v>
      </c>
      <c r="K40" s="59">
        <f t="shared" si="1"/>
        <v>126.31578947368421</v>
      </c>
      <c r="L40" s="113">
        <v>19</v>
      </c>
      <c r="M40" s="60">
        <f t="shared" si="28"/>
        <v>2286.3157894736842</v>
      </c>
      <c r="N40" s="59">
        <f t="shared" si="3"/>
        <v>120.33240997229916</v>
      </c>
      <c r="O40" s="61">
        <f t="shared" si="4"/>
        <v>0</v>
      </c>
      <c r="P40" s="62">
        <f t="shared" si="5"/>
        <v>-5.9833795013850448</v>
      </c>
      <c r="Q40" s="109">
        <f t="shared" si="6"/>
        <v>0.95263157894736838</v>
      </c>
      <c r="R40" s="566"/>
      <c r="S40" s="63">
        <v>0.3340277777777777</v>
      </c>
      <c r="T40" s="63">
        <v>0.45277777777777772</v>
      </c>
      <c r="U40" s="108">
        <f t="shared" si="30"/>
        <v>6.9999999999999751</v>
      </c>
      <c r="V40" s="114">
        <f t="shared" si="29"/>
        <v>171.00000000000003</v>
      </c>
      <c r="W40" s="64"/>
      <c r="X40" s="64"/>
      <c r="Y40" s="559"/>
      <c r="Z40" s="559"/>
      <c r="AA40" s="61">
        <f t="shared" si="8"/>
        <v>-113.68421052631584</v>
      </c>
      <c r="AB40" s="109">
        <f t="shared" si="9"/>
        <v>0.95263157894736838</v>
      </c>
      <c r="AC40" s="566"/>
    </row>
    <row r="41" spans="1:29">
      <c r="A41" s="583" t="s">
        <v>324</v>
      </c>
      <c r="B41" s="57" t="s">
        <v>15</v>
      </c>
      <c r="C41" s="560" t="s">
        <v>100</v>
      </c>
      <c r="D41" s="560"/>
      <c r="E41" s="57">
        <v>28.51</v>
      </c>
      <c r="F41" s="115">
        <v>2647</v>
      </c>
      <c r="G41" s="108">
        <f t="shared" si="27"/>
        <v>75465.97</v>
      </c>
      <c r="H41" s="72" t="s">
        <v>5</v>
      </c>
      <c r="I41" s="113">
        <v>16</v>
      </c>
      <c r="J41" s="58">
        <v>2400</v>
      </c>
      <c r="K41" s="59">
        <f t="shared" si="1"/>
        <v>150</v>
      </c>
      <c r="L41" s="113">
        <v>16</v>
      </c>
      <c r="M41" s="60">
        <f t="shared" si="28"/>
        <v>2301.7391304347802</v>
      </c>
      <c r="N41" s="59">
        <f t="shared" si="3"/>
        <v>143.85869565217376</v>
      </c>
      <c r="O41" s="61">
        <f t="shared" si="4"/>
        <v>0</v>
      </c>
      <c r="P41" s="62">
        <f t="shared" si="5"/>
        <v>-6.1413043478262352</v>
      </c>
      <c r="Q41" s="109">
        <f t="shared" si="6"/>
        <v>0.95905797101449175</v>
      </c>
      <c r="R41" s="566"/>
      <c r="S41" s="63">
        <v>0.45624999999999993</v>
      </c>
      <c r="T41" s="63">
        <v>0.50416666666666665</v>
      </c>
      <c r="U41" s="108">
        <f t="shared" si="30"/>
        <v>4.9999999999999822</v>
      </c>
      <c r="V41" s="114">
        <f t="shared" si="29"/>
        <v>69.000000000000071</v>
      </c>
      <c r="W41" s="64">
        <f>T41</f>
        <v>0.50416666666666665</v>
      </c>
      <c r="X41" s="64">
        <f>S42</f>
        <v>0.54513888888888884</v>
      </c>
      <c r="Y41" s="559"/>
      <c r="Z41" s="559"/>
      <c r="AA41" s="61">
        <f t="shared" si="8"/>
        <v>-98.260869565219764</v>
      </c>
      <c r="AB41" s="109">
        <f t="shared" si="9"/>
        <v>0.95905797101449175</v>
      </c>
      <c r="AC41" s="566"/>
    </row>
    <row r="42" spans="1:29">
      <c r="A42" s="583" t="s">
        <v>324</v>
      </c>
      <c r="B42" s="57" t="s">
        <v>15</v>
      </c>
      <c r="C42" s="560" t="s">
        <v>44</v>
      </c>
      <c r="D42" s="560"/>
      <c r="E42" s="57">
        <v>19.02</v>
      </c>
      <c r="F42" s="115">
        <v>4199</v>
      </c>
      <c r="G42" s="108">
        <f t="shared" si="27"/>
        <v>79864.98</v>
      </c>
      <c r="H42" s="72" t="s">
        <v>5</v>
      </c>
      <c r="I42" s="113">
        <v>15</v>
      </c>
      <c r="J42" s="58">
        <v>2400</v>
      </c>
      <c r="K42" s="59">
        <f t="shared" si="1"/>
        <v>160</v>
      </c>
      <c r="L42" s="113">
        <v>15</v>
      </c>
      <c r="M42" s="60">
        <f t="shared" si="28"/>
        <v>2290.3636363636379</v>
      </c>
      <c r="N42" s="59">
        <f t="shared" si="3"/>
        <v>152.6909090909092</v>
      </c>
      <c r="O42" s="61">
        <f t="shared" si="4"/>
        <v>0</v>
      </c>
      <c r="P42" s="62">
        <f t="shared" si="5"/>
        <v>-7.3090909090907985</v>
      </c>
      <c r="Q42" s="109">
        <f t="shared" si="6"/>
        <v>0.95431818181818251</v>
      </c>
      <c r="R42" s="566"/>
      <c r="S42" s="63">
        <v>0.54513888888888884</v>
      </c>
      <c r="T42" s="63">
        <v>0.62152777777777768</v>
      </c>
      <c r="U42" s="108">
        <f t="shared" si="30"/>
        <v>58.99999999999995</v>
      </c>
      <c r="V42" s="114">
        <f t="shared" si="29"/>
        <v>109.99999999999993</v>
      </c>
      <c r="W42" s="64"/>
      <c r="X42" s="64"/>
      <c r="Y42" s="559"/>
      <c r="Z42" s="559"/>
      <c r="AA42" s="61">
        <f t="shared" si="8"/>
        <v>-109.63636363636215</v>
      </c>
      <c r="AB42" s="109">
        <f t="shared" si="9"/>
        <v>0.9543181818181824</v>
      </c>
      <c r="AC42" s="566"/>
    </row>
    <row r="43" spans="1:29">
      <c r="A43" s="583" t="s">
        <v>324</v>
      </c>
      <c r="B43" s="57" t="s">
        <v>15</v>
      </c>
      <c r="C43" s="560" t="s">
        <v>27</v>
      </c>
      <c r="D43" s="560"/>
      <c r="E43" s="57">
        <v>26.2</v>
      </c>
      <c r="F43" s="115">
        <v>2876</v>
      </c>
      <c r="G43" s="108">
        <f t="shared" si="27"/>
        <v>75351.199999999997</v>
      </c>
      <c r="H43" s="72" t="s">
        <v>5</v>
      </c>
      <c r="I43" s="113">
        <v>18</v>
      </c>
      <c r="J43" s="58">
        <v>2400</v>
      </c>
      <c r="K43" s="59">
        <f t="shared" si="1"/>
        <v>133.33333333333334</v>
      </c>
      <c r="L43" s="113">
        <v>18</v>
      </c>
      <c r="M43" s="60">
        <f t="shared" si="28"/>
        <v>2300.7999999999984</v>
      </c>
      <c r="N43" s="59">
        <f t="shared" si="3"/>
        <v>127.82222222222214</v>
      </c>
      <c r="O43" s="61">
        <f t="shared" si="4"/>
        <v>0</v>
      </c>
      <c r="P43" s="62">
        <f t="shared" si="5"/>
        <v>-5.5111111111112052</v>
      </c>
      <c r="Q43" s="109">
        <f t="shared" si="6"/>
        <v>0.958666666666666</v>
      </c>
      <c r="R43" s="566"/>
      <c r="S43" s="63">
        <v>0.62499999999999989</v>
      </c>
      <c r="T43" s="63">
        <v>0.67708333333333326</v>
      </c>
      <c r="U43" s="108">
        <f t="shared" si="30"/>
        <v>4.9999999999999822</v>
      </c>
      <c r="V43" s="114">
        <f t="shared" si="29"/>
        <v>75.000000000000057</v>
      </c>
      <c r="W43" s="64"/>
      <c r="X43" s="64"/>
      <c r="Y43" s="569"/>
      <c r="Z43" s="570"/>
      <c r="AA43" s="61">
        <f t="shared" si="8"/>
        <v>-99.200000000001637</v>
      </c>
      <c r="AB43" s="109">
        <f t="shared" si="9"/>
        <v>0.958666666666666</v>
      </c>
      <c r="AC43" s="566"/>
    </row>
    <row r="44" spans="1:29">
      <c r="A44" s="583" t="s">
        <v>324</v>
      </c>
      <c r="B44" s="66" t="s">
        <v>319</v>
      </c>
      <c r="C44" s="571"/>
      <c r="D44" s="571"/>
      <c r="E44" s="110"/>
      <c r="F44" s="66"/>
      <c r="G44" s="59"/>
      <c r="H44" s="115"/>
      <c r="I44" s="67">
        <v>17.142857142857142</v>
      </c>
      <c r="J44" s="58">
        <v>2400</v>
      </c>
      <c r="K44" s="59">
        <f t="shared" si="1"/>
        <v>140</v>
      </c>
      <c r="L44" s="67">
        <v>17.142857142857142</v>
      </c>
      <c r="M44" s="60">
        <f>AVERAGE(M37:M43)</f>
        <v>2295.3880194909711</v>
      </c>
      <c r="N44" s="59">
        <f t="shared" si="3"/>
        <v>133.89763447030666</v>
      </c>
      <c r="O44" s="61">
        <f t="shared" si="4"/>
        <v>0</v>
      </c>
      <c r="P44" s="62">
        <f t="shared" si="5"/>
        <v>-6.1023655296933441</v>
      </c>
      <c r="Q44" s="109">
        <f t="shared" si="6"/>
        <v>0.95641167478790468</v>
      </c>
      <c r="R44" s="566"/>
      <c r="S44" s="63"/>
      <c r="T44" s="63"/>
      <c r="U44" s="59"/>
      <c r="V44" s="114"/>
      <c r="W44" s="59"/>
      <c r="X44" s="59"/>
      <c r="Y44" s="559"/>
      <c r="Z44" s="559"/>
      <c r="AA44" s="61">
        <f t="shared" si="8"/>
        <v>-104.61198050902885</v>
      </c>
      <c r="AB44" s="109">
        <f t="shared" si="9"/>
        <v>0.95641167478790468</v>
      </c>
      <c r="AC44" s="566"/>
    </row>
    <row r="45" spans="1:29" ht="15.75" customHeight="1">
      <c r="A45" s="576" t="s">
        <v>325</v>
      </c>
      <c r="B45" s="57" t="s">
        <v>31</v>
      </c>
      <c r="C45" s="567" t="s">
        <v>32</v>
      </c>
      <c r="D45" s="568"/>
      <c r="E45" s="57">
        <v>21.13</v>
      </c>
      <c r="F45" s="115">
        <v>5479</v>
      </c>
      <c r="G45" s="108">
        <f t="shared" ref="G45:G52" si="31">E45*F45</f>
        <v>115771.26999999999</v>
      </c>
      <c r="H45" s="72" t="s">
        <v>5</v>
      </c>
      <c r="I45" s="113">
        <v>10</v>
      </c>
      <c r="J45" s="58">
        <v>3000</v>
      </c>
      <c r="K45" s="59">
        <f t="shared" si="1"/>
        <v>300</v>
      </c>
      <c r="L45" s="113">
        <v>10</v>
      </c>
      <c r="M45" s="60">
        <f t="shared" ref="M45:M52" si="32">F45/V45*60</f>
        <v>2858.6086956521735</v>
      </c>
      <c r="N45" s="60">
        <f t="shared" si="3"/>
        <v>285.86086956521734</v>
      </c>
      <c r="O45" s="61">
        <f t="shared" si="4"/>
        <v>0</v>
      </c>
      <c r="P45" s="62">
        <f t="shared" si="5"/>
        <v>-14.139130434782658</v>
      </c>
      <c r="Q45" s="109">
        <f t="shared" si="6"/>
        <v>0.95286956521739119</v>
      </c>
      <c r="R45" s="579">
        <f>Q53</f>
        <v>0.95922870126217563</v>
      </c>
      <c r="S45" s="63">
        <v>8.3333333333333329E-2</v>
      </c>
      <c r="T45" s="63">
        <v>0.16319444444444445</v>
      </c>
      <c r="U45" s="68"/>
      <c r="V45" s="114">
        <f t="shared" ref="V45:V52" si="33">(T45-S45)*24*60</f>
        <v>115.00000000000001</v>
      </c>
      <c r="W45" s="64">
        <f>T45</f>
        <v>0.16319444444444445</v>
      </c>
      <c r="X45" s="64">
        <f>S46</f>
        <v>0.18263888888888888</v>
      </c>
      <c r="Y45" s="569"/>
      <c r="Z45" s="570"/>
      <c r="AA45" s="61">
        <f t="shared" si="8"/>
        <v>-141.39130434782646</v>
      </c>
      <c r="AB45" s="109">
        <f t="shared" si="9"/>
        <v>0.95286956521739119</v>
      </c>
      <c r="AC45" s="579">
        <f>AB53</f>
        <v>0.95922870126217574</v>
      </c>
    </row>
    <row r="46" spans="1:29" ht="15.75" customHeight="1">
      <c r="A46" s="577" t="s">
        <v>325</v>
      </c>
      <c r="B46" s="57" t="s">
        <v>31</v>
      </c>
      <c r="C46" s="567" t="s">
        <v>33</v>
      </c>
      <c r="D46" s="568"/>
      <c r="E46" s="57">
        <v>27.17</v>
      </c>
      <c r="F46" s="115">
        <v>3500</v>
      </c>
      <c r="G46" s="108">
        <f t="shared" si="31"/>
        <v>95095</v>
      </c>
      <c r="H46" s="72">
        <v>2</v>
      </c>
      <c r="I46" s="113">
        <v>10</v>
      </c>
      <c r="J46" s="58">
        <v>3000</v>
      </c>
      <c r="K46" s="59">
        <f t="shared" si="1"/>
        <v>300</v>
      </c>
      <c r="L46" s="113">
        <v>10</v>
      </c>
      <c r="M46" s="60">
        <f t="shared" si="32"/>
        <v>2876.7123287671238</v>
      </c>
      <c r="N46" s="60">
        <f t="shared" si="3"/>
        <v>287.67123287671239</v>
      </c>
      <c r="O46" s="61">
        <f t="shared" si="4"/>
        <v>0</v>
      </c>
      <c r="P46" s="62">
        <f t="shared" si="5"/>
        <v>-12.328767123287605</v>
      </c>
      <c r="Q46" s="109">
        <f t="shared" si="6"/>
        <v>0.95890410958904126</v>
      </c>
      <c r="R46" s="580"/>
      <c r="S46" s="63">
        <v>0.18263888888888888</v>
      </c>
      <c r="T46" s="63">
        <v>0.23333333333333331</v>
      </c>
      <c r="U46" s="108">
        <f t="shared" ref="U46:U52" si="34">(S46-T45)*24*60</f>
        <v>27.999999999999979</v>
      </c>
      <c r="V46" s="114">
        <f t="shared" si="33"/>
        <v>72.999999999999986</v>
      </c>
      <c r="W46" s="64"/>
      <c r="X46" s="64"/>
      <c r="Y46" s="569"/>
      <c r="Z46" s="570"/>
      <c r="AA46" s="61">
        <f t="shared" si="8"/>
        <v>-123.28767123287616</v>
      </c>
      <c r="AB46" s="109">
        <f t="shared" si="9"/>
        <v>0.95890410958904126</v>
      </c>
      <c r="AC46" s="580"/>
    </row>
    <row r="47" spans="1:29" ht="15.75" customHeight="1">
      <c r="A47" s="577" t="s">
        <v>325</v>
      </c>
      <c r="B47" s="57" t="s">
        <v>31</v>
      </c>
      <c r="C47" s="567" t="s">
        <v>34</v>
      </c>
      <c r="D47" s="568"/>
      <c r="E47" s="57">
        <v>35.119999999999997</v>
      </c>
      <c r="F47" s="115">
        <v>4489</v>
      </c>
      <c r="G47" s="108">
        <f t="shared" si="31"/>
        <v>157653.68</v>
      </c>
      <c r="H47" s="72" t="s">
        <v>5</v>
      </c>
      <c r="I47" s="113">
        <v>10</v>
      </c>
      <c r="J47" s="58">
        <v>3000</v>
      </c>
      <c r="K47" s="59">
        <f t="shared" si="1"/>
        <v>300</v>
      </c>
      <c r="L47" s="113">
        <v>10</v>
      </c>
      <c r="M47" s="60">
        <f t="shared" si="32"/>
        <v>2865.3191489361693</v>
      </c>
      <c r="N47" s="60">
        <f t="shared" si="3"/>
        <v>286.53191489361694</v>
      </c>
      <c r="O47" s="61">
        <f t="shared" si="4"/>
        <v>0</v>
      </c>
      <c r="P47" s="62">
        <f t="shared" si="5"/>
        <v>-13.468085106383057</v>
      </c>
      <c r="Q47" s="109">
        <f t="shared" si="6"/>
        <v>0.95510638297872319</v>
      </c>
      <c r="R47" s="580"/>
      <c r="S47" s="63">
        <v>0.23680555555555552</v>
      </c>
      <c r="T47" s="63">
        <v>0.30208333333333331</v>
      </c>
      <c r="U47" s="108">
        <f t="shared" si="34"/>
        <v>4.9999999999999822</v>
      </c>
      <c r="V47" s="114">
        <f t="shared" si="33"/>
        <v>94.000000000000028</v>
      </c>
      <c r="W47" s="64"/>
      <c r="X47" s="64"/>
      <c r="Y47" s="569"/>
      <c r="Z47" s="570"/>
      <c r="AA47" s="61">
        <f t="shared" si="8"/>
        <v>-134.68085106383069</v>
      </c>
      <c r="AB47" s="109">
        <f t="shared" si="9"/>
        <v>0.95510638297872308</v>
      </c>
      <c r="AC47" s="580"/>
    </row>
    <row r="48" spans="1:29" ht="15.75" customHeight="1">
      <c r="A48" s="577" t="s">
        <v>325</v>
      </c>
      <c r="B48" s="57" t="s">
        <v>31</v>
      </c>
      <c r="C48" s="567" t="s">
        <v>35</v>
      </c>
      <c r="D48" s="568"/>
      <c r="E48" s="57">
        <v>35.869999999999997</v>
      </c>
      <c r="F48" s="115">
        <v>3016</v>
      </c>
      <c r="G48" s="108">
        <f t="shared" si="31"/>
        <v>108183.92</v>
      </c>
      <c r="H48" s="72" t="s">
        <v>5</v>
      </c>
      <c r="I48" s="113">
        <v>9</v>
      </c>
      <c r="J48" s="58">
        <v>3000</v>
      </c>
      <c r="K48" s="59">
        <f t="shared" si="1"/>
        <v>333.33333333333331</v>
      </c>
      <c r="L48" s="113">
        <v>9</v>
      </c>
      <c r="M48" s="60">
        <f t="shared" si="32"/>
        <v>2872.3809523809514</v>
      </c>
      <c r="N48" s="60">
        <f t="shared" si="3"/>
        <v>319.15343915343902</v>
      </c>
      <c r="O48" s="61">
        <f t="shared" si="4"/>
        <v>0</v>
      </c>
      <c r="P48" s="62">
        <f t="shared" si="5"/>
        <v>-14.179894179894291</v>
      </c>
      <c r="Q48" s="109">
        <f t="shared" si="6"/>
        <v>0.95746031746031712</v>
      </c>
      <c r="R48" s="580"/>
      <c r="S48" s="63">
        <v>0.30555555555555552</v>
      </c>
      <c r="T48" s="63">
        <v>0.34930555555555554</v>
      </c>
      <c r="U48" s="108">
        <f t="shared" si="34"/>
        <v>4.9999999999999822</v>
      </c>
      <c r="V48" s="114">
        <f t="shared" si="33"/>
        <v>63.000000000000014</v>
      </c>
      <c r="W48" s="64"/>
      <c r="X48" s="64"/>
      <c r="Y48" s="569"/>
      <c r="Z48" s="570"/>
      <c r="AA48" s="61">
        <f t="shared" si="8"/>
        <v>-127.61904761904862</v>
      </c>
      <c r="AB48" s="109">
        <f t="shared" si="9"/>
        <v>0.95746031746031712</v>
      </c>
      <c r="AC48" s="580"/>
    </row>
    <row r="49" spans="1:29" ht="15.75" customHeight="1">
      <c r="A49" s="577" t="s">
        <v>325</v>
      </c>
      <c r="B49" s="57" t="s">
        <v>31</v>
      </c>
      <c r="C49" s="567" t="s">
        <v>36</v>
      </c>
      <c r="D49" s="568"/>
      <c r="E49" s="57">
        <v>36.14</v>
      </c>
      <c r="F49" s="115">
        <v>1277</v>
      </c>
      <c r="G49" s="108">
        <f t="shared" si="31"/>
        <v>46150.78</v>
      </c>
      <c r="H49" s="72" t="s">
        <v>5</v>
      </c>
      <c r="I49" s="113">
        <v>9</v>
      </c>
      <c r="J49" s="58">
        <v>3000</v>
      </c>
      <c r="K49" s="59">
        <f t="shared" si="1"/>
        <v>333.33333333333331</v>
      </c>
      <c r="L49" s="113">
        <v>9</v>
      </c>
      <c r="M49" s="60">
        <f t="shared" si="32"/>
        <v>2946.9230769230785</v>
      </c>
      <c r="N49" s="60">
        <f t="shared" si="3"/>
        <v>327.43589743589763</v>
      </c>
      <c r="O49" s="61">
        <f t="shared" si="4"/>
        <v>0</v>
      </c>
      <c r="P49" s="62">
        <f t="shared" si="5"/>
        <v>-5.8974358974356846</v>
      </c>
      <c r="Q49" s="109">
        <f t="shared" si="6"/>
        <v>0.98230769230769299</v>
      </c>
      <c r="R49" s="580"/>
      <c r="S49" s="63">
        <v>0.35416666666666663</v>
      </c>
      <c r="T49" s="63">
        <v>0.37222222222222218</v>
      </c>
      <c r="U49" s="108">
        <f t="shared" si="34"/>
        <v>6.9999999999999751</v>
      </c>
      <c r="V49" s="114">
        <f t="shared" si="33"/>
        <v>25.999999999999986</v>
      </c>
      <c r="W49" s="64"/>
      <c r="X49" s="64"/>
      <c r="Y49" s="569"/>
      <c r="Z49" s="570"/>
      <c r="AA49" s="61">
        <f t="shared" si="8"/>
        <v>-53.076923076921503</v>
      </c>
      <c r="AB49" s="109">
        <f t="shared" si="9"/>
        <v>0.98230769230769288</v>
      </c>
      <c r="AC49" s="580"/>
    </row>
    <row r="50" spans="1:29" ht="15.75" customHeight="1">
      <c r="A50" s="577" t="s">
        <v>325</v>
      </c>
      <c r="B50" s="57" t="s">
        <v>31</v>
      </c>
      <c r="C50" s="567" t="s">
        <v>63</v>
      </c>
      <c r="D50" s="568"/>
      <c r="E50" s="57">
        <v>34.36</v>
      </c>
      <c r="F50" s="115">
        <v>2340</v>
      </c>
      <c r="G50" s="108">
        <f t="shared" si="31"/>
        <v>80402.399999999994</v>
      </c>
      <c r="H50" s="72" t="s">
        <v>5</v>
      </c>
      <c r="I50" s="113">
        <v>10</v>
      </c>
      <c r="J50" s="58">
        <v>3000</v>
      </c>
      <c r="K50" s="59">
        <f t="shared" si="1"/>
        <v>300</v>
      </c>
      <c r="L50" s="113">
        <v>10</v>
      </c>
      <c r="M50" s="60">
        <f t="shared" si="32"/>
        <v>2865.3061224489802</v>
      </c>
      <c r="N50" s="60">
        <f t="shared" si="3"/>
        <v>286.53061224489801</v>
      </c>
      <c r="O50" s="61">
        <f t="shared" si="4"/>
        <v>0</v>
      </c>
      <c r="P50" s="62">
        <f t="shared" si="5"/>
        <v>-13.469387755101991</v>
      </c>
      <c r="Q50" s="109">
        <f t="shared" si="6"/>
        <v>0.95510204081632666</v>
      </c>
      <c r="R50" s="580"/>
      <c r="S50" s="63">
        <v>0.37638888888888883</v>
      </c>
      <c r="T50" s="63">
        <v>0.4104166666666666</v>
      </c>
      <c r="U50" s="108">
        <f t="shared" si="34"/>
        <v>5.9999999999999787</v>
      </c>
      <c r="V50" s="114">
        <f t="shared" si="33"/>
        <v>48.999999999999986</v>
      </c>
      <c r="W50" s="64"/>
      <c r="X50" s="64"/>
      <c r="Y50" s="569"/>
      <c r="Z50" s="570"/>
      <c r="AA50" s="61">
        <f t="shared" si="8"/>
        <v>-134.6938775510198</v>
      </c>
      <c r="AB50" s="109">
        <f t="shared" si="9"/>
        <v>0.95510204081632677</v>
      </c>
      <c r="AC50" s="580"/>
    </row>
    <row r="51" spans="1:29" ht="15.75" customHeight="1">
      <c r="A51" s="577" t="s">
        <v>325</v>
      </c>
      <c r="B51" s="57" t="s">
        <v>31</v>
      </c>
      <c r="C51" s="567" t="s">
        <v>71</v>
      </c>
      <c r="D51" s="568"/>
      <c r="E51" s="57">
        <v>31</v>
      </c>
      <c r="F51" s="115">
        <v>3249</v>
      </c>
      <c r="G51" s="108">
        <f t="shared" si="31"/>
        <v>100719</v>
      </c>
      <c r="H51" s="72" t="s">
        <v>5</v>
      </c>
      <c r="I51" s="113">
        <v>13</v>
      </c>
      <c r="J51" s="58">
        <v>2000</v>
      </c>
      <c r="K51" s="59">
        <f t="shared" si="1"/>
        <v>153.84615384615384</v>
      </c>
      <c r="L51" s="113">
        <v>13</v>
      </c>
      <c r="M51" s="60">
        <f t="shared" si="32"/>
        <v>1911.1764705882347</v>
      </c>
      <c r="N51" s="60">
        <f t="shared" si="3"/>
        <v>147.01357466063342</v>
      </c>
      <c r="O51" s="61">
        <f t="shared" si="4"/>
        <v>0</v>
      </c>
      <c r="P51" s="62">
        <f t="shared" si="5"/>
        <v>-6.8325791855204159</v>
      </c>
      <c r="Q51" s="109">
        <f t="shared" si="6"/>
        <v>0.95558823529411729</v>
      </c>
      <c r="R51" s="580"/>
      <c r="S51" s="63">
        <v>0.41597222222222213</v>
      </c>
      <c r="T51" s="63">
        <v>0.48680555555555549</v>
      </c>
      <c r="U51" s="108">
        <f t="shared" si="34"/>
        <v>7.9999999999999716</v>
      </c>
      <c r="V51" s="114">
        <f t="shared" si="33"/>
        <v>102.00000000000004</v>
      </c>
      <c r="W51" s="64">
        <f>T51</f>
        <v>0.48680555555555549</v>
      </c>
      <c r="X51" s="64">
        <f>S52</f>
        <v>0.5263888888888888</v>
      </c>
      <c r="Y51" s="569"/>
      <c r="Z51" s="570"/>
      <c r="AA51" s="61">
        <f t="shared" si="8"/>
        <v>-88.823529411765321</v>
      </c>
      <c r="AB51" s="109">
        <f t="shared" si="9"/>
        <v>0.95558823529411729</v>
      </c>
      <c r="AC51" s="580"/>
    </row>
    <row r="52" spans="1:29" ht="15.75" customHeight="1">
      <c r="A52" s="577" t="s">
        <v>325</v>
      </c>
      <c r="B52" s="57" t="s">
        <v>31</v>
      </c>
      <c r="C52" s="567" t="s">
        <v>33</v>
      </c>
      <c r="D52" s="568"/>
      <c r="E52" s="57">
        <v>27.17</v>
      </c>
      <c r="F52" s="115">
        <v>3439</v>
      </c>
      <c r="G52" s="108">
        <f t="shared" si="31"/>
        <v>93437.63</v>
      </c>
      <c r="H52" s="72" t="s">
        <v>5</v>
      </c>
      <c r="I52" s="113">
        <v>10</v>
      </c>
      <c r="J52" s="58">
        <v>3000</v>
      </c>
      <c r="K52" s="59">
        <f t="shared" si="1"/>
        <v>300</v>
      </c>
      <c r="L52" s="113">
        <v>10</v>
      </c>
      <c r="M52" s="60">
        <f t="shared" si="32"/>
        <v>2865.8333333333312</v>
      </c>
      <c r="N52" s="60">
        <f t="shared" si="3"/>
        <v>286.58333333333314</v>
      </c>
      <c r="O52" s="61">
        <f t="shared" si="4"/>
        <v>0</v>
      </c>
      <c r="P52" s="62">
        <f t="shared" si="5"/>
        <v>-13.416666666666856</v>
      </c>
      <c r="Q52" s="109">
        <f t="shared" si="6"/>
        <v>0.95527777777777712</v>
      </c>
      <c r="R52" s="580"/>
      <c r="S52" s="63">
        <v>0.5263888888888888</v>
      </c>
      <c r="T52" s="63">
        <v>0.57638888888888884</v>
      </c>
      <c r="U52" s="108">
        <f t="shared" si="34"/>
        <v>56.999999999999957</v>
      </c>
      <c r="V52" s="114">
        <f t="shared" si="33"/>
        <v>72.000000000000057</v>
      </c>
      <c r="W52" s="64"/>
      <c r="X52" s="64"/>
      <c r="Y52" s="569"/>
      <c r="Z52" s="570"/>
      <c r="AA52" s="61">
        <f t="shared" si="8"/>
        <v>-134.16666666666879</v>
      </c>
      <c r="AB52" s="109">
        <f t="shared" si="9"/>
        <v>0.95527777777777712</v>
      </c>
      <c r="AC52" s="580"/>
    </row>
    <row r="53" spans="1:29" ht="15.75" customHeight="1">
      <c r="A53" s="578" t="s">
        <v>325</v>
      </c>
      <c r="B53" s="57" t="s">
        <v>319</v>
      </c>
      <c r="C53" s="561"/>
      <c r="D53" s="562"/>
      <c r="E53" s="107"/>
      <c r="F53" s="115"/>
      <c r="G53" s="108"/>
      <c r="H53" s="115"/>
      <c r="I53" s="67">
        <v>10.125</v>
      </c>
      <c r="J53" s="58">
        <v>2875</v>
      </c>
      <c r="K53" s="59">
        <f t="shared" si="1"/>
        <v>283.95061728395063</v>
      </c>
      <c r="L53" s="67">
        <v>10.125</v>
      </c>
      <c r="M53" s="60">
        <f>AVERAGE(M45:M52)</f>
        <v>2757.7825161287551</v>
      </c>
      <c r="N53" s="59">
        <f t="shared" si="3"/>
        <v>272.37358183987703</v>
      </c>
      <c r="O53" s="61">
        <f t="shared" si="4"/>
        <v>0</v>
      </c>
      <c r="P53" s="62">
        <f t="shared" si="5"/>
        <v>-11.577035444073601</v>
      </c>
      <c r="Q53" s="109">
        <f t="shared" si="6"/>
        <v>0.95922870126217563</v>
      </c>
      <c r="R53" s="581"/>
      <c r="S53" s="63"/>
      <c r="T53" s="63"/>
      <c r="U53" s="108"/>
      <c r="V53" s="114"/>
      <c r="W53" s="64"/>
      <c r="X53" s="64"/>
      <c r="Y53" s="569"/>
      <c r="Z53" s="570"/>
      <c r="AA53" s="61">
        <f t="shared" si="8"/>
        <v>-117.21748387124489</v>
      </c>
      <c r="AB53" s="109">
        <f t="shared" si="9"/>
        <v>0.95922870126217574</v>
      </c>
      <c r="AC53" s="581"/>
    </row>
    <row r="54" spans="1:29" ht="15.75" customHeight="1">
      <c r="A54" s="574" t="s">
        <v>326</v>
      </c>
      <c r="B54" s="57" t="s">
        <v>10</v>
      </c>
      <c r="C54" s="560" t="s">
        <v>37</v>
      </c>
      <c r="D54" s="560"/>
      <c r="E54" s="57">
        <v>46</v>
      </c>
      <c r="F54" s="69">
        <v>2378</v>
      </c>
      <c r="G54" s="108">
        <f t="shared" ref="G54:G59" si="35">E54*F54</f>
        <v>109388</v>
      </c>
      <c r="H54" s="72" t="s">
        <v>5</v>
      </c>
      <c r="I54" s="113">
        <v>17</v>
      </c>
      <c r="J54" s="58">
        <v>2000</v>
      </c>
      <c r="K54" s="59">
        <f t="shared" si="1"/>
        <v>117.64705882352941</v>
      </c>
      <c r="L54" s="113">
        <v>17</v>
      </c>
      <c r="M54" s="60">
        <f t="shared" ref="M54:M59" si="36">F54/V54*60</f>
        <v>1902.3999999999996</v>
      </c>
      <c r="N54" s="60">
        <f t="shared" si="3"/>
        <v>111.90588235294115</v>
      </c>
      <c r="O54" s="61">
        <f t="shared" si="4"/>
        <v>0</v>
      </c>
      <c r="P54" s="62">
        <f t="shared" si="5"/>
        <v>-5.7411764705882575</v>
      </c>
      <c r="Q54" s="109">
        <f t="shared" si="6"/>
        <v>0.95119999999999982</v>
      </c>
      <c r="R54" s="566">
        <f>Q60</f>
        <v>0.95891658974142768</v>
      </c>
      <c r="S54" s="63">
        <v>0.20833333333333334</v>
      </c>
      <c r="T54" s="63">
        <v>0.26041666666666669</v>
      </c>
      <c r="U54" s="68"/>
      <c r="V54" s="114">
        <f t="shared" ref="V54:V59" si="37">(T54-S54)*24*60</f>
        <v>75.000000000000014</v>
      </c>
      <c r="W54" s="68"/>
      <c r="X54" s="68"/>
      <c r="Y54" s="559"/>
      <c r="Z54" s="559"/>
      <c r="AA54" s="61">
        <f t="shared" si="8"/>
        <v>-97.600000000000364</v>
      </c>
      <c r="AB54" s="109">
        <f t="shared" si="9"/>
        <v>0.95119999999999982</v>
      </c>
      <c r="AC54" s="566">
        <f>AB60</f>
        <v>0.95891658974142768</v>
      </c>
    </row>
    <row r="55" spans="1:29" ht="15.75" customHeight="1">
      <c r="A55" s="574" t="s">
        <v>326</v>
      </c>
      <c r="B55" s="57" t="s">
        <v>10</v>
      </c>
      <c r="C55" s="560" t="s">
        <v>38</v>
      </c>
      <c r="D55" s="560"/>
      <c r="E55" s="57">
        <v>46</v>
      </c>
      <c r="F55" s="69">
        <v>2491</v>
      </c>
      <c r="G55" s="108">
        <f t="shared" si="35"/>
        <v>114586</v>
      </c>
      <c r="H55" s="72" t="s">
        <v>5</v>
      </c>
      <c r="I55" s="113">
        <v>17</v>
      </c>
      <c r="J55" s="58">
        <v>2000</v>
      </c>
      <c r="K55" s="59">
        <f t="shared" si="1"/>
        <v>117.64705882352941</v>
      </c>
      <c r="L55" s="113">
        <v>17</v>
      </c>
      <c r="M55" s="60">
        <f t="shared" si="36"/>
        <v>1916.1538461538471</v>
      </c>
      <c r="N55" s="60">
        <f t="shared" si="3"/>
        <v>112.71493212669689</v>
      </c>
      <c r="O55" s="61">
        <f t="shared" si="4"/>
        <v>0</v>
      </c>
      <c r="P55" s="62">
        <f t="shared" si="5"/>
        <v>-4.9321266968325119</v>
      </c>
      <c r="Q55" s="109">
        <f t="shared" si="6"/>
        <v>0.9580769230769236</v>
      </c>
      <c r="R55" s="566"/>
      <c r="S55" s="63">
        <v>0.26458333333333334</v>
      </c>
      <c r="T55" s="63">
        <v>0.31874999999999998</v>
      </c>
      <c r="U55" s="108">
        <f t="shared" ref="U55:U59" si="38">IF(S55=TIME(17,0,0),"",(S55-T54)*24*60)</f>
        <v>5.9999999999999787</v>
      </c>
      <c r="V55" s="114">
        <f t="shared" si="37"/>
        <v>77.999999999999957</v>
      </c>
      <c r="W55" s="64"/>
      <c r="X55" s="64"/>
      <c r="Y55" s="559"/>
      <c r="Z55" s="559"/>
      <c r="AA55" s="61">
        <f t="shared" si="8"/>
        <v>-83.846153846152902</v>
      </c>
      <c r="AB55" s="109">
        <f t="shared" si="9"/>
        <v>0.9580769230769236</v>
      </c>
      <c r="AC55" s="566"/>
    </row>
    <row r="56" spans="1:29" ht="15.75" customHeight="1">
      <c r="A56" s="574" t="s">
        <v>326</v>
      </c>
      <c r="B56" s="57" t="s">
        <v>6</v>
      </c>
      <c r="C56" s="567" t="s">
        <v>39</v>
      </c>
      <c r="D56" s="568"/>
      <c r="E56" s="57">
        <v>55.56</v>
      </c>
      <c r="F56" s="69">
        <v>2051</v>
      </c>
      <c r="G56" s="108">
        <f t="shared" si="35"/>
        <v>113953.56</v>
      </c>
      <c r="H56" s="72" t="s">
        <v>5</v>
      </c>
      <c r="I56" s="113">
        <v>17</v>
      </c>
      <c r="J56" s="58">
        <v>2000</v>
      </c>
      <c r="K56" s="59">
        <f t="shared" si="1"/>
        <v>117.64705882352941</v>
      </c>
      <c r="L56" s="113">
        <v>17</v>
      </c>
      <c r="M56" s="60">
        <f t="shared" si="36"/>
        <v>1922.812500000002</v>
      </c>
      <c r="N56" s="60">
        <f t="shared" si="3"/>
        <v>113.10661764705894</v>
      </c>
      <c r="O56" s="61">
        <f t="shared" si="4"/>
        <v>0</v>
      </c>
      <c r="P56" s="62">
        <f t="shared" si="5"/>
        <v>-4.5404411764704662</v>
      </c>
      <c r="Q56" s="109">
        <f t="shared" si="6"/>
        <v>0.96140625000000102</v>
      </c>
      <c r="R56" s="566"/>
      <c r="S56" s="63">
        <v>0.70833333333333337</v>
      </c>
      <c r="T56" s="63">
        <v>0.75277777777777777</v>
      </c>
      <c r="U56" s="108" t="str">
        <f t="shared" si="38"/>
        <v/>
      </c>
      <c r="V56" s="114">
        <f t="shared" si="37"/>
        <v>63.999999999999929</v>
      </c>
      <c r="W56" s="64"/>
      <c r="X56" s="64"/>
      <c r="Y56" s="105"/>
      <c r="Z56" s="106"/>
      <c r="AA56" s="61">
        <f t="shared" si="8"/>
        <v>-77.187499999997954</v>
      </c>
      <c r="AB56" s="109">
        <f t="shared" si="9"/>
        <v>0.96140625000000102</v>
      </c>
      <c r="AC56" s="566"/>
    </row>
    <row r="57" spans="1:29" ht="15.75" customHeight="1">
      <c r="A57" s="574" t="s">
        <v>326</v>
      </c>
      <c r="B57" s="57" t="s">
        <v>6</v>
      </c>
      <c r="C57" s="111" t="s">
        <v>40</v>
      </c>
      <c r="D57" s="112"/>
      <c r="E57" s="57">
        <v>55.32</v>
      </c>
      <c r="F57" s="69">
        <v>1579</v>
      </c>
      <c r="G57" s="108">
        <f t="shared" si="35"/>
        <v>87350.28</v>
      </c>
      <c r="H57" s="72" t="s">
        <v>5</v>
      </c>
      <c r="I57" s="113">
        <v>15</v>
      </c>
      <c r="J57" s="58">
        <v>2000</v>
      </c>
      <c r="K57" s="59">
        <f t="shared" si="1"/>
        <v>133.33333333333334</v>
      </c>
      <c r="L57" s="113">
        <v>15</v>
      </c>
      <c r="M57" s="60">
        <f t="shared" si="36"/>
        <v>1933.4693877551024</v>
      </c>
      <c r="N57" s="60">
        <f t="shared" si="3"/>
        <v>128.89795918367349</v>
      </c>
      <c r="O57" s="61">
        <f t="shared" si="4"/>
        <v>0</v>
      </c>
      <c r="P57" s="62">
        <f t="shared" si="5"/>
        <v>-4.4353741496598502</v>
      </c>
      <c r="Q57" s="109">
        <f t="shared" si="6"/>
        <v>0.96673469387755118</v>
      </c>
      <c r="R57" s="566"/>
      <c r="S57" s="63">
        <v>0.7583333333333333</v>
      </c>
      <c r="T57" s="63">
        <v>0.79236111111111107</v>
      </c>
      <c r="U57" s="108">
        <f t="shared" si="38"/>
        <v>7.9999999999999716</v>
      </c>
      <c r="V57" s="114">
        <f t="shared" si="37"/>
        <v>48.999999999999986</v>
      </c>
      <c r="W57" s="64"/>
      <c r="X57" s="64"/>
      <c r="Y57" s="105"/>
      <c r="Z57" s="106"/>
      <c r="AA57" s="61">
        <f t="shared" si="8"/>
        <v>-66.530612244897611</v>
      </c>
      <c r="AB57" s="109">
        <f t="shared" si="9"/>
        <v>0.96673469387755118</v>
      </c>
      <c r="AC57" s="566"/>
    </row>
    <row r="58" spans="1:29" ht="15.75" customHeight="1">
      <c r="A58" s="574" t="s">
        <v>326</v>
      </c>
      <c r="B58" s="57" t="s">
        <v>6</v>
      </c>
      <c r="C58" s="111" t="s">
        <v>99</v>
      </c>
      <c r="D58" s="112"/>
      <c r="E58" s="57">
        <v>53.68</v>
      </c>
      <c r="F58" s="69">
        <v>1000</v>
      </c>
      <c r="G58" s="108">
        <f t="shared" si="35"/>
        <v>53680</v>
      </c>
      <c r="H58" s="72">
        <v>2</v>
      </c>
      <c r="I58" s="113">
        <v>16</v>
      </c>
      <c r="J58" s="58">
        <v>1500</v>
      </c>
      <c r="K58" s="59">
        <f t="shared" si="1"/>
        <v>93.75</v>
      </c>
      <c r="L58" s="113">
        <v>16</v>
      </c>
      <c r="M58" s="60">
        <f t="shared" si="36"/>
        <v>1428.5714285714282</v>
      </c>
      <c r="N58" s="60">
        <f t="shared" si="3"/>
        <v>89.285714285714263</v>
      </c>
      <c r="O58" s="61">
        <f t="shared" si="4"/>
        <v>0</v>
      </c>
      <c r="P58" s="62">
        <f t="shared" si="5"/>
        <v>-4.4642857142857366</v>
      </c>
      <c r="Q58" s="109">
        <f t="shared" si="6"/>
        <v>0.95238095238095211</v>
      </c>
      <c r="R58" s="566"/>
      <c r="S58" s="63">
        <v>0.79583333333333328</v>
      </c>
      <c r="T58" s="63">
        <v>0.82499999999999996</v>
      </c>
      <c r="U58" s="108">
        <f t="shared" si="38"/>
        <v>4.9999999999999822</v>
      </c>
      <c r="V58" s="114">
        <f t="shared" si="37"/>
        <v>42.000000000000014</v>
      </c>
      <c r="W58" s="64">
        <f>T58</f>
        <v>0.82499999999999996</v>
      </c>
      <c r="X58" s="64">
        <f>S59</f>
        <v>0.8652777777777777</v>
      </c>
      <c r="Y58" s="105"/>
      <c r="Z58" s="106"/>
      <c r="AA58" s="61">
        <f t="shared" si="8"/>
        <v>-71.428571428571786</v>
      </c>
      <c r="AB58" s="109">
        <f t="shared" si="9"/>
        <v>0.95238095238095211</v>
      </c>
      <c r="AC58" s="566"/>
    </row>
    <row r="59" spans="1:29" ht="15.75" customHeight="1">
      <c r="A59" s="574" t="s">
        <v>326</v>
      </c>
      <c r="B59" s="57" t="s">
        <v>6</v>
      </c>
      <c r="C59" s="567" t="s">
        <v>99</v>
      </c>
      <c r="D59" s="568"/>
      <c r="E59" s="57">
        <v>53.68</v>
      </c>
      <c r="F59" s="69">
        <v>1854</v>
      </c>
      <c r="G59" s="108">
        <f t="shared" si="35"/>
        <v>99522.72</v>
      </c>
      <c r="H59" s="72" t="s">
        <v>5</v>
      </c>
      <c r="I59" s="113">
        <v>16</v>
      </c>
      <c r="J59" s="58">
        <v>1500</v>
      </c>
      <c r="K59" s="59">
        <f t="shared" si="1"/>
        <v>93.75</v>
      </c>
      <c r="L59" s="113">
        <v>16</v>
      </c>
      <c r="M59" s="60">
        <f t="shared" si="36"/>
        <v>1444.675324675324</v>
      </c>
      <c r="N59" s="60">
        <f t="shared" si="3"/>
        <v>90.292207792207748</v>
      </c>
      <c r="O59" s="61">
        <f t="shared" si="4"/>
        <v>0</v>
      </c>
      <c r="P59" s="62">
        <f t="shared" si="5"/>
        <v>-3.4577922077922523</v>
      </c>
      <c r="Q59" s="109">
        <f t="shared" si="6"/>
        <v>0.96311688311688259</v>
      </c>
      <c r="R59" s="566"/>
      <c r="S59" s="63">
        <v>0.8652777777777777</v>
      </c>
      <c r="T59" s="63">
        <v>0.91874999999999996</v>
      </c>
      <c r="U59" s="108">
        <f t="shared" si="38"/>
        <v>57.999999999999957</v>
      </c>
      <c r="V59" s="114">
        <f t="shared" si="37"/>
        <v>77.000000000000043</v>
      </c>
      <c r="W59" s="64"/>
      <c r="X59" s="64"/>
      <c r="Y59" s="569"/>
      <c r="Z59" s="570"/>
      <c r="AA59" s="61">
        <f t="shared" si="8"/>
        <v>-55.324675324676036</v>
      </c>
      <c r="AB59" s="109">
        <f t="shared" si="9"/>
        <v>0.96311688311688259</v>
      </c>
      <c r="AC59" s="566"/>
    </row>
    <row r="60" spans="1:29">
      <c r="A60" s="575" t="s">
        <v>326</v>
      </c>
      <c r="B60" s="57" t="s">
        <v>319</v>
      </c>
      <c r="C60" s="571"/>
      <c r="D60" s="571"/>
      <c r="E60" s="110"/>
      <c r="F60" s="66"/>
      <c r="G60" s="59"/>
      <c r="H60" s="115"/>
      <c r="I60" s="67">
        <v>16.333333333333332</v>
      </c>
      <c r="J60" s="58">
        <v>1833.3333333333333</v>
      </c>
      <c r="K60" s="59">
        <f t="shared" si="1"/>
        <v>112.24489795918367</v>
      </c>
      <c r="L60" s="67">
        <v>16.333333333333332</v>
      </c>
      <c r="M60" s="60">
        <f>AVERAGE(M54:M59)</f>
        <v>1758.013747859284</v>
      </c>
      <c r="N60" s="59">
        <f t="shared" si="3"/>
        <v>107.63349476689494</v>
      </c>
      <c r="O60" s="61">
        <f t="shared" si="4"/>
        <v>0</v>
      </c>
      <c r="P60" s="62">
        <f t="shared" si="5"/>
        <v>-4.6114031922887335</v>
      </c>
      <c r="Q60" s="109">
        <f t="shared" si="6"/>
        <v>0.95891658974142768</v>
      </c>
      <c r="R60" s="566"/>
      <c r="S60" s="70"/>
      <c r="T60" s="63"/>
      <c r="U60" s="59"/>
      <c r="V60" s="114"/>
      <c r="W60" s="59"/>
      <c r="X60" s="59"/>
      <c r="Y60" s="559"/>
      <c r="Z60" s="559"/>
      <c r="AA60" s="61">
        <f t="shared" si="8"/>
        <v>-75.31958547404929</v>
      </c>
      <c r="AB60" s="109">
        <f t="shared" si="9"/>
        <v>0.95891658974142768</v>
      </c>
      <c r="AC60" s="566"/>
    </row>
    <row r="61" spans="1:29" ht="15.75" customHeight="1">
      <c r="A61" s="572" t="s">
        <v>327</v>
      </c>
      <c r="B61" s="115" t="s">
        <v>10</v>
      </c>
      <c r="C61" s="560" t="s">
        <v>42</v>
      </c>
      <c r="D61" s="560"/>
      <c r="E61" s="57">
        <v>26.97</v>
      </c>
      <c r="F61" s="69">
        <v>3067</v>
      </c>
      <c r="G61" s="108">
        <f t="shared" ref="G61:G64" si="39">E61*F61</f>
        <v>82716.989999999991</v>
      </c>
      <c r="H61" s="72" t="s">
        <v>5</v>
      </c>
      <c r="I61" s="113">
        <v>8</v>
      </c>
      <c r="J61" s="58">
        <v>1500</v>
      </c>
      <c r="K61" s="59">
        <f t="shared" si="1"/>
        <v>187.5</v>
      </c>
      <c r="L61" s="113">
        <v>8</v>
      </c>
      <c r="M61" s="60">
        <f t="shared" ref="M61:M64" si="40">F61/V61*60</f>
        <v>1426.5116279069771</v>
      </c>
      <c r="N61" s="59">
        <f t="shared" si="3"/>
        <v>178.31395348837214</v>
      </c>
      <c r="O61" s="61">
        <f t="shared" si="4"/>
        <v>0</v>
      </c>
      <c r="P61" s="62">
        <f t="shared" si="5"/>
        <v>-9.1860465116278647</v>
      </c>
      <c r="Q61" s="109">
        <f t="shared" si="6"/>
        <v>0.9510077519379847</v>
      </c>
      <c r="R61" s="566">
        <f>Q65</f>
        <v>0.95635406650133092</v>
      </c>
      <c r="S61" s="63">
        <v>0.20833333333333334</v>
      </c>
      <c r="T61" s="63">
        <v>0.29791666666666666</v>
      </c>
      <c r="U61" s="108"/>
      <c r="V61" s="114">
        <f t="shared" ref="V61:V64" si="41">(T61-S61)*24*60</f>
        <v>128.99999999999997</v>
      </c>
      <c r="W61" s="68"/>
      <c r="X61" s="68"/>
      <c r="Y61" s="559"/>
      <c r="Z61" s="559"/>
      <c r="AA61" s="61">
        <f t="shared" si="8"/>
        <v>-73.488372093022917</v>
      </c>
      <c r="AB61" s="109">
        <f t="shared" si="9"/>
        <v>0.9510077519379847</v>
      </c>
      <c r="AC61" s="566">
        <f>AB65</f>
        <v>0.95635406650133103</v>
      </c>
    </row>
    <row r="62" spans="1:29" ht="15.75" customHeight="1">
      <c r="A62" s="572" t="s">
        <v>327</v>
      </c>
      <c r="B62" s="115" t="s">
        <v>31</v>
      </c>
      <c r="C62" s="560" t="s">
        <v>41</v>
      </c>
      <c r="D62" s="560"/>
      <c r="E62" s="57">
        <v>26.78</v>
      </c>
      <c r="F62" s="69">
        <v>2791</v>
      </c>
      <c r="G62" s="108">
        <f t="shared" si="39"/>
        <v>74742.98</v>
      </c>
      <c r="H62" s="72" t="s">
        <v>5</v>
      </c>
      <c r="I62" s="113">
        <v>10</v>
      </c>
      <c r="J62" s="58">
        <v>3000</v>
      </c>
      <c r="K62" s="59">
        <f t="shared" si="1"/>
        <v>300</v>
      </c>
      <c r="L62" s="113">
        <v>10</v>
      </c>
      <c r="M62" s="60">
        <f t="shared" si="40"/>
        <v>2887.2413793103433</v>
      </c>
      <c r="N62" s="59">
        <f t="shared" si="3"/>
        <v>288.72413793103431</v>
      </c>
      <c r="O62" s="61">
        <f t="shared" si="4"/>
        <v>0</v>
      </c>
      <c r="P62" s="62">
        <f t="shared" si="5"/>
        <v>-11.275862068965694</v>
      </c>
      <c r="Q62" s="109">
        <f t="shared" si="6"/>
        <v>0.96241379310344766</v>
      </c>
      <c r="R62" s="566"/>
      <c r="S62" s="63">
        <v>0.30208333333333331</v>
      </c>
      <c r="T62" s="63">
        <v>0.34236111111111112</v>
      </c>
      <c r="U62" s="108">
        <f t="shared" ref="U62:U64" si="42">(S62-T61)*24*60</f>
        <v>5.9999999999999787</v>
      </c>
      <c r="V62" s="114">
        <f t="shared" si="41"/>
        <v>58.000000000000036</v>
      </c>
      <c r="W62" s="108"/>
      <c r="X62" s="108"/>
      <c r="Y62" s="559"/>
      <c r="Z62" s="559"/>
      <c r="AA62" s="61">
        <f t="shared" si="8"/>
        <v>-112.75862068965671</v>
      </c>
      <c r="AB62" s="109">
        <f t="shared" si="9"/>
        <v>0.96241379310344777</v>
      </c>
      <c r="AC62" s="566"/>
    </row>
    <row r="63" spans="1:29" ht="15.75" customHeight="1">
      <c r="A63" s="572" t="s">
        <v>327</v>
      </c>
      <c r="B63" s="115" t="s">
        <v>31</v>
      </c>
      <c r="C63" s="560" t="s">
        <v>64</v>
      </c>
      <c r="D63" s="560"/>
      <c r="E63" s="57">
        <v>37.880000000000003</v>
      </c>
      <c r="F63" s="69">
        <v>3113</v>
      </c>
      <c r="G63" s="108">
        <f t="shared" si="39"/>
        <v>117920.44</v>
      </c>
      <c r="H63" s="72" t="s">
        <v>5</v>
      </c>
      <c r="I63" s="113">
        <v>10</v>
      </c>
      <c r="J63" s="58">
        <v>3000</v>
      </c>
      <c r="K63" s="59">
        <f t="shared" si="1"/>
        <v>300</v>
      </c>
      <c r="L63" s="113">
        <v>10</v>
      </c>
      <c r="M63" s="60">
        <f t="shared" si="40"/>
        <v>2873.538461538461</v>
      </c>
      <c r="N63" s="59">
        <f t="shared" si="3"/>
        <v>287.35384615384612</v>
      </c>
      <c r="O63" s="61">
        <f t="shared" si="4"/>
        <v>0</v>
      </c>
      <c r="P63" s="62">
        <f t="shared" si="5"/>
        <v>-12.646153846153879</v>
      </c>
      <c r="Q63" s="109">
        <f t="shared" si="6"/>
        <v>0.95784615384615368</v>
      </c>
      <c r="R63" s="566"/>
      <c r="S63" s="63">
        <v>0.34722222222222221</v>
      </c>
      <c r="T63" s="63">
        <v>0.3923611111111111</v>
      </c>
      <c r="U63" s="108">
        <f t="shared" si="42"/>
        <v>6.9999999999999751</v>
      </c>
      <c r="V63" s="114">
        <f t="shared" si="41"/>
        <v>65.000000000000014</v>
      </c>
      <c r="W63" s="108"/>
      <c r="X63" s="108"/>
      <c r="Y63" s="559"/>
      <c r="Z63" s="559"/>
      <c r="AA63" s="61">
        <f t="shared" si="8"/>
        <v>-126.46153846153902</v>
      </c>
      <c r="AB63" s="109">
        <f t="shared" si="9"/>
        <v>0.95784615384615368</v>
      </c>
      <c r="AC63" s="566"/>
    </row>
    <row r="64" spans="1:29" ht="15.75" customHeight="1">
      <c r="A64" s="572" t="s">
        <v>327</v>
      </c>
      <c r="B64" s="115" t="s">
        <v>31</v>
      </c>
      <c r="C64" s="560" t="s">
        <v>72</v>
      </c>
      <c r="D64" s="560"/>
      <c r="E64" s="57">
        <v>40.51</v>
      </c>
      <c r="F64" s="69">
        <v>2902</v>
      </c>
      <c r="G64" s="108">
        <f t="shared" si="39"/>
        <v>117560.01999999999</v>
      </c>
      <c r="H64" s="72" t="s">
        <v>5</v>
      </c>
      <c r="I64" s="113">
        <v>8</v>
      </c>
      <c r="J64" s="58">
        <v>3000</v>
      </c>
      <c r="K64" s="59">
        <f t="shared" si="1"/>
        <v>375</v>
      </c>
      <c r="L64" s="113">
        <v>8</v>
      </c>
      <c r="M64" s="60">
        <f t="shared" si="40"/>
        <v>2854.4262295081953</v>
      </c>
      <c r="N64" s="59">
        <f t="shared" si="3"/>
        <v>356.80327868852441</v>
      </c>
      <c r="O64" s="61">
        <f t="shared" si="4"/>
        <v>0</v>
      </c>
      <c r="P64" s="62">
        <f t="shared" si="5"/>
        <v>-18.196721311475585</v>
      </c>
      <c r="Q64" s="109">
        <f t="shared" si="6"/>
        <v>0.95147540983606516</v>
      </c>
      <c r="R64" s="566"/>
      <c r="S64" s="63">
        <v>0.3972222222222222</v>
      </c>
      <c r="T64" s="63">
        <v>0.43958333333333333</v>
      </c>
      <c r="U64" s="108">
        <f t="shared" si="42"/>
        <v>6.9999999999999751</v>
      </c>
      <c r="V64" s="114">
        <f t="shared" si="41"/>
        <v>61.000000000000021</v>
      </c>
      <c r="W64" s="108"/>
      <c r="X64" s="108"/>
      <c r="Y64" s="559"/>
      <c r="Z64" s="559"/>
      <c r="AA64" s="61">
        <f t="shared" si="8"/>
        <v>-145.57377049180468</v>
      </c>
      <c r="AB64" s="109">
        <f t="shared" si="9"/>
        <v>0.95147540983606516</v>
      </c>
      <c r="AC64" s="566"/>
    </row>
    <row r="65" spans="1:29">
      <c r="A65" s="573" t="s">
        <v>327</v>
      </c>
      <c r="B65" s="57" t="s">
        <v>319</v>
      </c>
      <c r="C65" s="571"/>
      <c r="D65" s="571"/>
      <c r="E65" s="110"/>
      <c r="F65" s="66"/>
      <c r="G65" s="59"/>
      <c r="H65" s="115"/>
      <c r="I65" s="67">
        <v>9</v>
      </c>
      <c r="J65" s="58">
        <v>2625</v>
      </c>
      <c r="K65" s="59">
        <f t="shared" si="1"/>
        <v>291.66666666666669</v>
      </c>
      <c r="L65" s="67">
        <v>9</v>
      </c>
      <c r="M65" s="60">
        <f>AVERAGE(M61:M64)</f>
        <v>2510.4294245659939</v>
      </c>
      <c r="N65" s="59">
        <f t="shared" si="3"/>
        <v>278.93660272955486</v>
      </c>
      <c r="O65" s="61">
        <f t="shared" si="4"/>
        <v>0</v>
      </c>
      <c r="P65" s="62">
        <f t="shared" si="5"/>
        <v>-12.730063937111822</v>
      </c>
      <c r="Q65" s="109">
        <f t="shared" si="6"/>
        <v>0.95635406650133092</v>
      </c>
      <c r="R65" s="566"/>
      <c r="S65" s="63"/>
      <c r="T65" s="63"/>
      <c r="U65" s="59"/>
      <c r="V65" s="114"/>
      <c r="W65" s="59"/>
      <c r="X65" s="59"/>
      <c r="Y65" s="559"/>
      <c r="Z65" s="559"/>
      <c r="AA65" s="61">
        <f t="shared" si="8"/>
        <v>-114.57057543400606</v>
      </c>
      <c r="AB65" s="109">
        <f t="shared" si="9"/>
        <v>0.95635406650133103</v>
      </c>
      <c r="AC65" s="566"/>
    </row>
    <row r="66" spans="1:29" ht="15.75" customHeight="1">
      <c r="A66" s="563" t="s">
        <v>328</v>
      </c>
      <c r="B66" s="115" t="s">
        <v>15</v>
      </c>
      <c r="C66" s="560" t="s">
        <v>43</v>
      </c>
      <c r="D66" s="560"/>
      <c r="E66" s="57">
        <v>20.2</v>
      </c>
      <c r="F66" s="115">
        <v>2450</v>
      </c>
      <c r="G66" s="108">
        <f t="shared" ref="G66:G73" si="43">E66*F66</f>
        <v>49490</v>
      </c>
      <c r="H66" s="72" t="s">
        <v>5</v>
      </c>
      <c r="I66" s="113">
        <v>19</v>
      </c>
      <c r="J66" s="58">
        <v>2400</v>
      </c>
      <c r="K66" s="59">
        <f t="shared" si="1"/>
        <v>126.31578947368421</v>
      </c>
      <c r="L66" s="113">
        <v>19</v>
      </c>
      <c r="M66" s="60">
        <f t="shared" ref="M66:M73" si="44">F66/V66*60</f>
        <v>2296.8750000000005</v>
      </c>
      <c r="N66" s="59">
        <f t="shared" si="3"/>
        <v>120.88815789473686</v>
      </c>
      <c r="O66" s="61">
        <f t="shared" si="4"/>
        <v>0</v>
      </c>
      <c r="P66" s="62">
        <f t="shared" si="5"/>
        <v>-5.4276315789473415</v>
      </c>
      <c r="Q66" s="109">
        <f t="shared" si="6"/>
        <v>0.95703125000000022</v>
      </c>
      <c r="R66" s="566">
        <f>Q74</f>
        <v>0.95554067938951415</v>
      </c>
      <c r="S66" s="63">
        <v>8.3333333333333329E-2</v>
      </c>
      <c r="T66" s="63">
        <v>0.12777777777777777</v>
      </c>
      <c r="U66" s="68"/>
      <c r="V66" s="114">
        <f t="shared" ref="V66:V73" si="45">(T66-S66)*24*60</f>
        <v>63.999999999999986</v>
      </c>
      <c r="W66" s="64">
        <f>T66</f>
        <v>0.12777777777777777</v>
      </c>
      <c r="X66" s="64">
        <f>S67</f>
        <v>0.14583333333333331</v>
      </c>
      <c r="Y66" s="559"/>
      <c r="Z66" s="559"/>
      <c r="AA66" s="61">
        <f t="shared" si="8"/>
        <v>-103.12499999999955</v>
      </c>
      <c r="AB66" s="109">
        <f t="shared" si="9"/>
        <v>0.95703125000000022</v>
      </c>
      <c r="AC66" s="566">
        <f>AB74</f>
        <v>0.95554067938951426</v>
      </c>
    </row>
    <row r="67" spans="1:29" ht="15.75" customHeight="1">
      <c r="A67" s="564" t="s">
        <v>328</v>
      </c>
      <c r="B67" s="115" t="s">
        <v>15</v>
      </c>
      <c r="C67" s="560" t="s">
        <v>16</v>
      </c>
      <c r="D67" s="560"/>
      <c r="E67" s="57">
        <v>24.45</v>
      </c>
      <c r="F67" s="115">
        <v>2609</v>
      </c>
      <c r="G67" s="108">
        <f t="shared" si="43"/>
        <v>63790.049999999996</v>
      </c>
      <c r="H67" s="72" t="s">
        <v>5</v>
      </c>
      <c r="I67" s="113">
        <v>20</v>
      </c>
      <c r="J67" s="58">
        <v>2400</v>
      </c>
      <c r="K67" s="59">
        <f t="shared" si="1"/>
        <v>120</v>
      </c>
      <c r="L67" s="113">
        <v>20</v>
      </c>
      <c r="M67" s="60">
        <f t="shared" si="44"/>
        <v>2302.0588235294117</v>
      </c>
      <c r="N67" s="59">
        <f t="shared" si="3"/>
        <v>115.10294117647058</v>
      </c>
      <c r="O67" s="61">
        <f t="shared" si="4"/>
        <v>0</v>
      </c>
      <c r="P67" s="62">
        <f t="shared" si="5"/>
        <v>-4.8970588235294201</v>
      </c>
      <c r="Q67" s="109">
        <f t="shared" si="6"/>
        <v>0.95919117647058816</v>
      </c>
      <c r="R67" s="566"/>
      <c r="S67" s="63">
        <v>0.14583333333333331</v>
      </c>
      <c r="T67" s="63">
        <v>0.19305555555555554</v>
      </c>
      <c r="U67" s="108">
        <f t="shared" ref="U67:U73" si="46">(S67-T66)*24*60</f>
        <v>25.999999999999986</v>
      </c>
      <c r="V67" s="114">
        <f t="shared" si="45"/>
        <v>68</v>
      </c>
      <c r="W67" s="64"/>
      <c r="X67" s="64"/>
      <c r="Y67" s="559"/>
      <c r="Z67" s="559"/>
      <c r="AA67" s="61">
        <f t="shared" si="8"/>
        <v>-97.941176470588289</v>
      </c>
      <c r="AB67" s="109">
        <f t="shared" si="9"/>
        <v>0.95919117647058816</v>
      </c>
      <c r="AC67" s="566"/>
    </row>
    <row r="68" spans="1:29" ht="15.75" customHeight="1">
      <c r="A68" s="564" t="s">
        <v>328</v>
      </c>
      <c r="B68" s="115" t="s">
        <v>15</v>
      </c>
      <c r="C68" s="560" t="s">
        <v>17</v>
      </c>
      <c r="D68" s="560"/>
      <c r="E68" s="57">
        <v>22.35</v>
      </c>
      <c r="F68" s="115">
        <v>2030</v>
      </c>
      <c r="G68" s="108">
        <f t="shared" si="43"/>
        <v>45370.5</v>
      </c>
      <c r="H68" s="72" t="s">
        <v>5</v>
      </c>
      <c r="I68" s="113">
        <v>16</v>
      </c>
      <c r="J68" s="58">
        <v>2400</v>
      </c>
      <c r="K68" s="59">
        <f t="shared" si="1"/>
        <v>150</v>
      </c>
      <c r="L68" s="113">
        <v>16</v>
      </c>
      <c r="M68" s="60">
        <f t="shared" si="44"/>
        <v>2298.1132075471692</v>
      </c>
      <c r="N68" s="59">
        <f t="shared" si="3"/>
        <v>143.63207547169807</v>
      </c>
      <c r="O68" s="61">
        <f t="shared" si="4"/>
        <v>0</v>
      </c>
      <c r="P68" s="62">
        <f t="shared" si="5"/>
        <v>-6.367924528301927</v>
      </c>
      <c r="Q68" s="109">
        <f t="shared" si="6"/>
        <v>0.95754716981132049</v>
      </c>
      <c r="R68" s="566"/>
      <c r="S68" s="63">
        <v>0.19652777777777775</v>
      </c>
      <c r="T68" s="63">
        <v>0.23333333333333331</v>
      </c>
      <c r="U68" s="108">
        <f t="shared" si="46"/>
        <v>4.9999999999999822</v>
      </c>
      <c r="V68" s="114">
        <f t="shared" si="45"/>
        <v>53.000000000000014</v>
      </c>
      <c r="W68" s="64"/>
      <c r="X68" s="64"/>
      <c r="Y68" s="559"/>
      <c r="Z68" s="559"/>
      <c r="AA68" s="61">
        <f t="shared" si="8"/>
        <v>-101.88679245283083</v>
      </c>
      <c r="AB68" s="109">
        <f t="shared" si="9"/>
        <v>0.95754716981132049</v>
      </c>
      <c r="AC68" s="566"/>
    </row>
    <row r="69" spans="1:29" ht="15.75" customHeight="1">
      <c r="A69" s="564" t="s">
        <v>328</v>
      </c>
      <c r="B69" s="115" t="s">
        <v>15</v>
      </c>
      <c r="C69" s="560" t="s">
        <v>30</v>
      </c>
      <c r="D69" s="560"/>
      <c r="E69" s="57">
        <v>24.25</v>
      </c>
      <c r="F69" s="115">
        <v>2720</v>
      </c>
      <c r="G69" s="108">
        <f t="shared" si="43"/>
        <v>65960</v>
      </c>
      <c r="H69" s="72" t="s">
        <v>5</v>
      </c>
      <c r="I69" s="113">
        <v>13</v>
      </c>
      <c r="J69" s="58">
        <v>2400</v>
      </c>
      <c r="K69" s="59">
        <f t="shared" ref="K69:K74" si="47">J69/I69</f>
        <v>184.61538461538461</v>
      </c>
      <c r="L69" s="113">
        <v>13</v>
      </c>
      <c r="M69" s="60">
        <f t="shared" si="44"/>
        <v>2298.5915492957752</v>
      </c>
      <c r="N69" s="59">
        <f t="shared" ref="N69:N74" si="48">M69/L69</f>
        <v>176.81473456121347</v>
      </c>
      <c r="O69" s="61">
        <f t="shared" ref="O69:O74" si="49">L69-I69</f>
        <v>0</v>
      </c>
      <c r="P69" s="62">
        <f t="shared" ref="P69:P74" si="50">N69-K69</f>
        <v>-7.8006500541711432</v>
      </c>
      <c r="Q69" s="109">
        <f t="shared" ref="Q69:Q74" si="51">N69/K69</f>
        <v>0.9577464788732396</v>
      </c>
      <c r="R69" s="566"/>
      <c r="S69" s="63">
        <v>0.23819444444444443</v>
      </c>
      <c r="T69" s="63">
        <v>0.28749999999999998</v>
      </c>
      <c r="U69" s="108">
        <f t="shared" si="46"/>
        <v>7.0000000000000151</v>
      </c>
      <c r="V69" s="114">
        <f t="shared" si="45"/>
        <v>70.999999999999986</v>
      </c>
      <c r="W69" s="64"/>
      <c r="X69" s="64"/>
      <c r="Y69" s="559"/>
      <c r="Z69" s="559"/>
      <c r="AA69" s="61">
        <f t="shared" ref="AA69:AA74" si="52">M69-J69</f>
        <v>-101.40845070422483</v>
      </c>
      <c r="AB69" s="109">
        <f t="shared" ref="AB69:AB74" si="53">M69/J69</f>
        <v>0.9577464788732396</v>
      </c>
      <c r="AC69" s="566"/>
    </row>
    <row r="70" spans="1:29" ht="15.75" customHeight="1">
      <c r="A70" s="564" t="s">
        <v>328</v>
      </c>
      <c r="B70" s="115" t="s">
        <v>15</v>
      </c>
      <c r="C70" s="560" t="s">
        <v>24</v>
      </c>
      <c r="D70" s="560"/>
      <c r="E70" s="57">
        <v>20.52</v>
      </c>
      <c r="F70" s="115">
        <v>3550</v>
      </c>
      <c r="G70" s="108">
        <f t="shared" si="43"/>
        <v>72846</v>
      </c>
      <c r="H70" s="72" t="s">
        <v>5</v>
      </c>
      <c r="I70" s="113">
        <v>18</v>
      </c>
      <c r="J70" s="58">
        <v>2400</v>
      </c>
      <c r="K70" s="59">
        <f t="shared" si="47"/>
        <v>133.33333333333334</v>
      </c>
      <c r="L70" s="113">
        <v>18</v>
      </c>
      <c r="M70" s="60">
        <f t="shared" si="44"/>
        <v>2290.3225806451619</v>
      </c>
      <c r="N70" s="59">
        <f t="shared" si="48"/>
        <v>127.24014336917566</v>
      </c>
      <c r="O70" s="61">
        <f t="shared" si="49"/>
        <v>0</v>
      </c>
      <c r="P70" s="62">
        <f t="shared" si="50"/>
        <v>-6.0931899641576877</v>
      </c>
      <c r="Q70" s="109">
        <f t="shared" si="51"/>
        <v>0.95430107526881736</v>
      </c>
      <c r="R70" s="566"/>
      <c r="S70" s="63">
        <v>0.29305555555555551</v>
      </c>
      <c r="T70" s="63">
        <v>0.35763888888888884</v>
      </c>
      <c r="U70" s="108">
        <f t="shared" si="46"/>
        <v>7.9999999999999716</v>
      </c>
      <c r="V70" s="114">
        <f t="shared" si="45"/>
        <v>92.999999999999986</v>
      </c>
      <c r="W70" s="64"/>
      <c r="X70" s="64"/>
      <c r="Y70" s="559"/>
      <c r="Z70" s="559"/>
      <c r="AA70" s="61">
        <f t="shared" si="52"/>
        <v>-109.67741935483809</v>
      </c>
      <c r="AB70" s="109">
        <f t="shared" si="53"/>
        <v>0.95430107526881747</v>
      </c>
      <c r="AC70" s="566"/>
    </row>
    <row r="71" spans="1:29" ht="15.75" customHeight="1">
      <c r="A71" s="564" t="s">
        <v>328</v>
      </c>
      <c r="B71" s="115" t="s">
        <v>15</v>
      </c>
      <c r="C71" s="560" t="s">
        <v>101</v>
      </c>
      <c r="D71" s="560"/>
      <c r="E71" s="57">
        <v>22.69</v>
      </c>
      <c r="F71" s="115">
        <v>3599</v>
      </c>
      <c r="G71" s="108">
        <f t="shared" si="43"/>
        <v>81661.31</v>
      </c>
      <c r="H71" s="72" t="s">
        <v>5</v>
      </c>
      <c r="I71" s="113">
        <v>15</v>
      </c>
      <c r="J71" s="58">
        <v>2400</v>
      </c>
      <c r="K71" s="59">
        <f t="shared" si="47"/>
        <v>160</v>
      </c>
      <c r="L71" s="113">
        <v>15</v>
      </c>
      <c r="M71" s="60">
        <f t="shared" si="44"/>
        <v>2297.2340425531916</v>
      </c>
      <c r="N71" s="59">
        <f t="shared" si="48"/>
        <v>153.14893617021278</v>
      </c>
      <c r="O71" s="61">
        <f t="shared" si="49"/>
        <v>0</v>
      </c>
      <c r="P71" s="62">
        <f t="shared" si="50"/>
        <v>-6.8510638297872219</v>
      </c>
      <c r="Q71" s="109">
        <f t="shared" si="51"/>
        <v>0.95718085106382989</v>
      </c>
      <c r="R71" s="566"/>
      <c r="S71" s="63">
        <v>0.36319444444444438</v>
      </c>
      <c r="T71" s="63">
        <v>0.42847222222222214</v>
      </c>
      <c r="U71" s="108">
        <f t="shared" si="46"/>
        <v>7.9999999999999716</v>
      </c>
      <c r="V71" s="114">
        <f t="shared" si="45"/>
        <v>93.999999999999986</v>
      </c>
      <c r="W71" s="64"/>
      <c r="X71" s="64"/>
      <c r="Y71" s="559"/>
      <c r="Z71" s="559"/>
      <c r="AA71" s="61">
        <f t="shared" si="52"/>
        <v>-102.76595744680844</v>
      </c>
      <c r="AB71" s="109">
        <f t="shared" si="53"/>
        <v>0.95718085106382977</v>
      </c>
      <c r="AC71" s="566"/>
    </row>
    <row r="72" spans="1:29" ht="15.75" customHeight="1">
      <c r="A72" s="564" t="s">
        <v>328</v>
      </c>
      <c r="B72" s="115" t="s">
        <v>15</v>
      </c>
      <c r="C72" s="560" t="s">
        <v>29</v>
      </c>
      <c r="D72" s="560"/>
      <c r="E72" s="57">
        <v>24.43</v>
      </c>
      <c r="F72" s="115">
        <v>4300</v>
      </c>
      <c r="G72" s="108">
        <f t="shared" si="43"/>
        <v>105049</v>
      </c>
      <c r="H72" s="72">
        <v>2</v>
      </c>
      <c r="I72" s="113">
        <v>14</v>
      </c>
      <c r="J72" s="58">
        <v>2400</v>
      </c>
      <c r="K72" s="59">
        <f t="shared" si="47"/>
        <v>171.42857142857142</v>
      </c>
      <c r="L72" s="113">
        <v>14</v>
      </c>
      <c r="M72" s="60">
        <f t="shared" si="44"/>
        <v>2283.1858407079626</v>
      </c>
      <c r="N72" s="59">
        <f t="shared" si="48"/>
        <v>163.0847029077116</v>
      </c>
      <c r="O72" s="61">
        <f t="shared" si="49"/>
        <v>0</v>
      </c>
      <c r="P72" s="62">
        <f t="shared" si="50"/>
        <v>-8.3438685208598145</v>
      </c>
      <c r="Q72" s="109">
        <f t="shared" si="51"/>
        <v>0.95132743362831773</v>
      </c>
      <c r="R72" s="566"/>
      <c r="S72" s="63">
        <v>0.43402777777777768</v>
      </c>
      <c r="T72" s="63">
        <v>0.51249999999999996</v>
      </c>
      <c r="U72" s="108">
        <f t="shared" si="46"/>
        <v>7.9999999999999716</v>
      </c>
      <c r="V72" s="114">
        <f t="shared" si="45"/>
        <v>113.00000000000009</v>
      </c>
      <c r="W72" s="64">
        <f>T72</f>
        <v>0.51249999999999996</v>
      </c>
      <c r="X72" s="64">
        <f>S73</f>
        <v>0.55347222222222214</v>
      </c>
      <c r="Y72" s="569"/>
      <c r="Z72" s="570"/>
      <c r="AA72" s="61">
        <f t="shared" si="52"/>
        <v>-116.8141592920374</v>
      </c>
      <c r="AB72" s="109">
        <f t="shared" si="53"/>
        <v>0.95132743362831773</v>
      </c>
      <c r="AC72" s="566"/>
    </row>
    <row r="73" spans="1:29" ht="15.75" customHeight="1">
      <c r="A73" s="564" t="s">
        <v>90</v>
      </c>
      <c r="B73" s="115" t="s">
        <v>15</v>
      </c>
      <c r="C73" s="560" t="s">
        <v>29</v>
      </c>
      <c r="D73" s="560"/>
      <c r="E73" s="57">
        <v>24.43</v>
      </c>
      <c r="F73" s="115">
        <v>3344</v>
      </c>
      <c r="G73" s="108">
        <f t="shared" si="43"/>
        <v>81693.919999999998</v>
      </c>
      <c r="H73" s="72" t="s">
        <v>5</v>
      </c>
      <c r="I73" s="113">
        <v>14</v>
      </c>
      <c r="J73" s="58">
        <v>2400</v>
      </c>
      <c r="K73" s="59">
        <f t="shared" si="47"/>
        <v>171.42857142857142</v>
      </c>
      <c r="L73" s="113">
        <v>14</v>
      </c>
      <c r="M73" s="60">
        <f t="shared" si="44"/>
        <v>2280</v>
      </c>
      <c r="N73" s="59">
        <f t="shared" si="48"/>
        <v>162.85714285714286</v>
      </c>
      <c r="O73" s="61">
        <f t="shared" si="49"/>
        <v>0</v>
      </c>
      <c r="P73" s="62">
        <f t="shared" si="50"/>
        <v>-8.5714285714285552</v>
      </c>
      <c r="Q73" s="109">
        <f t="shared" si="51"/>
        <v>0.95000000000000007</v>
      </c>
      <c r="R73" s="566"/>
      <c r="S73" s="63">
        <v>0.55347222222222214</v>
      </c>
      <c r="T73" s="63">
        <v>0.61458333333333326</v>
      </c>
      <c r="U73" s="108">
        <f t="shared" si="46"/>
        <v>58.99999999999995</v>
      </c>
      <c r="V73" s="114">
        <f t="shared" si="45"/>
        <v>88</v>
      </c>
      <c r="W73" s="64"/>
      <c r="X73" s="64"/>
      <c r="Y73" s="569"/>
      <c r="Z73" s="570"/>
      <c r="AA73" s="61">
        <f t="shared" si="52"/>
        <v>-120</v>
      </c>
      <c r="AB73" s="109">
        <f t="shared" si="53"/>
        <v>0.95</v>
      </c>
      <c r="AC73" s="566"/>
    </row>
    <row r="74" spans="1:29" ht="16.5" customHeight="1">
      <c r="A74" s="565" t="s">
        <v>328</v>
      </c>
      <c r="B74" s="57" t="s">
        <v>319</v>
      </c>
      <c r="C74" s="561"/>
      <c r="D74" s="562"/>
      <c r="E74" s="110"/>
      <c r="F74" s="66"/>
      <c r="G74" s="59"/>
      <c r="H74" s="115"/>
      <c r="I74" s="67">
        <v>16.125</v>
      </c>
      <c r="J74" s="58">
        <v>2400</v>
      </c>
      <c r="K74" s="59">
        <f t="shared" si="47"/>
        <v>148.83720930232559</v>
      </c>
      <c r="L74" s="67">
        <v>16.125</v>
      </c>
      <c r="M74" s="60">
        <f>AVERAGE(M66:M73)</f>
        <v>2293.2976305348343</v>
      </c>
      <c r="N74" s="59">
        <f t="shared" si="48"/>
        <v>142.22000809518352</v>
      </c>
      <c r="O74" s="61">
        <f t="shared" si="49"/>
        <v>0</v>
      </c>
      <c r="P74" s="62">
        <f t="shared" si="50"/>
        <v>-6.6172012071420738</v>
      </c>
      <c r="Q74" s="109">
        <f t="shared" si="51"/>
        <v>0.95554067938951415</v>
      </c>
      <c r="R74" s="566"/>
      <c r="S74" s="63"/>
      <c r="T74" s="63"/>
      <c r="U74" s="59"/>
      <c r="V74" s="114"/>
      <c r="W74" s="59"/>
      <c r="X74" s="59"/>
      <c r="Y74" s="559"/>
      <c r="Z74" s="559"/>
      <c r="AA74" s="61">
        <f t="shared" si="52"/>
        <v>-106.7023694651657</v>
      </c>
      <c r="AB74" s="109">
        <f t="shared" si="53"/>
        <v>0.95554067938951426</v>
      </c>
      <c r="AC74" s="566"/>
    </row>
    <row r="75" spans="1:29">
      <c r="D75" s="122"/>
      <c r="E75" s="122"/>
    </row>
  </sheetData>
  <mergeCells count="196">
    <mergeCell ref="AC66:AC74"/>
    <mergeCell ref="C67:D67"/>
    <mergeCell ref="Y67:Z67"/>
    <mergeCell ref="C68:D68"/>
    <mergeCell ref="Y68:Z68"/>
    <mergeCell ref="C69:D69"/>
    <mergeCell ref="Y69:Z69"/>
    <mergeCell ref="C70:D70"/>
    <mergeCell ref="Y70:Z70"/>
    <mergeCell ref="C71:D71"/>
    <mergeCell ref="A66:A74"/>
    <mergeCell ref="C66:D66"/>
    <mergeCell ref="R66:R74"/>
    <mergeCell ref="Y66:Z66"/>
    <mergeCell ref="Y71:Z71"/>
    <mergeCell ref="C72:D72"/>
    <mergeCell ref="Y72:Z72"/>
    <mergeCell ref="A61:A65"/>
    <mergeCell ref="C61:D61"/>
    <mergeCell ref="R61:R65"/>
    <mergeCell ref="Y61:Z61"/>
    <mergeCell ref="C73:D73"/>
    <mergeCell ref="Y73:Z73"/>
    <mergeCell ref="C74:D74"/>
    <mergeCell ref="Y74:Z74"/>
    <mergeCell ref="AC61:AC65"/>
    <mergeCell ref="C62:D62"/>
    <mergeCell ref="Y62:Z62"/>
    <mergeCell ref="C63:D63"/>
    <mergeCell ref="Y63:Z63"/>
    <mergeCell ref="C64:D64"/>
    <mergeCell ref="AC54:AC60"/>
    <mergeCell ref="C55:D55"/>
    <mergeCell ref="Y55:Z55"/>
    <mergeCell ref="C56:D56"/>
    <mergeCell ref="C59:D59"/>
    <mergeCell ref="Y59:Z59"/>
    <mergeCell ref="C60:D60"/>
    <mergeCell ref="Y60:Z60"/>
    <mergeCell ref="Y64:Z64"/>
    <mergeCell ref="C65:D65"/>
    <mergeCell ref="Y65:Z65"/>
    <mergeCell ref="A54:A60"/>
    <mergeCell ref="C54:D54"/>
    <mergeCell ref="R54:R60"/>
    <mergeCell ref="Y54:Z54"/>
    <mergeCell ref="AC45:AC53"/>
    <mergeCell ref="C46:D46"/>
    <mergeCell ref="Y46:Z46"/>
    <mergeCell ref="C47:D47"/>
    <mergeCell ref="Y47:Z47"/>
    <mergeCell ref="C48:D48"/>
    <mergeCell ref="Y48:Z48"/>
    <mergeCell ref="C49:D49"/>
    <mergeCell ref="Y49:Z49"/>
    <mergeCell ref="C50:D50"/>
    <mergeCell ref="A37:A44"/>
    <mergeCell ref="C37:D37"/>
    <mergeCell ref="R37:R44"/>
    <mergeCell ref="Y37:Z37"/>
    <mergeCell ref="C44:D44"/>
    <mergeCell ref="Y44:Z44"/>
    <mergeCell ref="A45:A53"/>
    <mergeCell ref="C45:D45"/>
    <mergeCell ref="R45:R53"/>
    <mergeCell ref="Y45:Z45"/>
    <mergeCell ref="Y50:Z50"/>
    <mergeCell ref="C51:D51"/>
    <mergeCell ref="Y51:Z51"/>
    <mergeCell ref="C52:D52"/>
    <mergeCell ref="Y52:Z52"/>
    <mergeCell ref="C53:D53"/>
    <mergeCell ref="Y53:Z53"/>
    <mergeCell ref="C32:D32"/>
    <mergeCell ref="Y32:Z32"/>
    <mergeCell ref="C33:D33"/>
    <mergeCell ref="Y40:Z40"/>
    <mergeCell ref="C41:D41"/>
    <mergeCell ref="Y41:Z41"/>
    <mergeCell ref="C42:D42"/>
    <mergeCell ref="Y42:Z42"/>
    <mergeCell ref="C43:D43"/>
    <mergeCell ref="Y43:Z43"/>
    <mergeCell ref="A28:A36"/>
    <mergeCell ref="C28:D28"/>
    <mergeCell ref="R28:R36"/>
    <mergeCell ref="Y28:Z28"/>
    <mergeCell ref="Y33:Z33"/>
    <mergeCell ref="AC37:AC44"/>
    <mergeCell ref="C38:D38"/>
    <mergeCell ref="Y38:Z38"/>
    <mergeCell ref="C39:D39"/>
    <mergeCell ref="Y39:Z39"/>
    <mergeCell ref="C40:D40"/>
    <mergeCell ref="C34:D34"/>
    <mergeCell ref="Y34:Z34"/>
    <mergeCell ref="C35:D35"/>
    <mergeCell ref="Y35:Z35"/>
    <mergeCell ref="C36:D36"/>
    <mergeCell ref="Y36:Z36"/>
    <mergeCell ref="AC28:AC36"/>
    <mergeCell ref="C29:D29"/>
    <mergeCell ref="Y29:Z29"/>
    <mergeCell ref="C30:D30"/>
    <mergeCell ref="Y30:Z30"/>
    <mergeCell ref="C31:D31"/>
    <mergeCell ref="Y31:Z31"/>
    <mergeCell ref="A19:A27"/>
    <mergeCell ref="C19:D19"/>
    <mergeCell ref="R19:R27"/>
    <mergeCell ref="Y19:Z19"/>
    <mergeCell ref="Y24:Z24"/>
    <mergeCell ref="C25:D25"/>
    <mergeCell ref="A13:A18"/>
    <mergeCell ref="AC19:AC27"/>
    <mergeCell ref="C20:D20"/>
    <mergeCell ref="Y20:Z20"/>
    <mergeCell ref="C21:D21"/>
    <mergeCell ref="Y21:Z21"/>
    <mergeCell ref="C22:D22"/>
    <mergeCell ref="Y22:Z22"/>
    <mergeCell ref="C23:D23"/>
    <mergeCell ref="Y23:Z23"/>
    <mergeCell ref="C24:D24"/>
    <mergeCell ref="Y25:Z25"/>
    <mergeCell ref="C26:D26"/>
    <mergeCell ref="Y26:Z26"/>
    <mergeCell ref="C27:D27"/>
    <mergeCell ref="Y27:Z27"/>
    <mergeCell ref="C14:D14"/>
    <mergeCell ref="Y14:Z14"/>
    <mergeCell ref="C15:D15"/>
    <mergeCell ref="Y15:Z15"/>
    <mergeCell ref="C16:D16"/>
    <mergeCell ref="Y16:Z16"/>
    <mergeCell ref="AC10:AC12"/>
    <mergeCell ref="C11:D11"/>
    <mergeCell ref="Y11:Z11"/>
    <mergeCell ref="C12:D12"/>
    <mergeCell ref="Y12:Z12"/>
    <mergeCell ref="C13:D13"/>
    <mergeCell ref="R13:R18"/>
    <mergeCell ref="Y13:Z13"/>
    <mergeCell ref="AC13:AC18"/>
    <mergeCell ref="C17:D17"/>
    <mergeCell ref="Y17:Z17"/>
    <mergeCell ref="C18:D18"/>
    <mergeCell ref="Y18:Z18"/>
    <mergeCell ref="C8:D8"/>
    <mergeCell ref="Y8:Z8"/>
    <mergeCell ref="C9:D9"/>
    <mergeCell ref="Y9:Z9"/>
    <mergeCell ref="A10:A12"/>
    <mergeCell ref="C10:D10"/>
    <mergeCell ref="R10:R12"/>
    <mergeCell ref="Y10:Z10"/>
    <mergeCell ref="AC3:AC4"/>
    <mergeCell ref="A5:A9"/>
    <mergeCell ref="C5:D5"/>
    <mergeCell ref="R5:R9"/>
    <mergeCell ref="Y5:Z5"/>
    <mergeCell ref="AC5:AC9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</mergeCells>
  <phoneticPr fontId="3" type="noConversion"/>
  <conditionalFormatting sqref="O64:O71 O74 O5:O10 O12:O14 O53:O61 O18:O50">
    <cfRule type="cellIs" dxfId="273" priority="61" operator="greaterThan">
      <formula>0</formula>
    </cfRule>
  </conditionalFormatting>
  <conditionalFormatting sqref="P5:P8 P64 AA64 P66:P71 P28:P35 P61 P10 P12:P14 P19:P26 P54:P59 P37:P50 AA5:AA61 AA66:AA74">
    <cfRule type="cellIs" dxfId="272" priority="65" operator="lessThan">
      <formula>0</formula>
    </cfRule>
  </conditionalFormatting>
  <conditionalFormatting sqref="AB64 Q64:Q71 Q74 Q5:Q10 Q12:Q14 Q53:Q61 Q18:Q50 AB5:AB61 AB66:AB74">
    <cfRule type="cellIs" dxfId="271" priority="62" operator="greaterThan">
      <formula>1</formula>
    </cfRule>
    <cfRule type="cellIs" dxfId="270" priority="63" operator="lessThan">
      <formula>0.8</formula>
    </cfRule>
  </conditionalFormatting>
  <conditionalFormatting sqref="AC13:AC14 R13:R14 AC64 R64:R71 R18:R24 AC18:AC24 R74 AC5:AC10 R5:R10 R27:R50 AC27:AC50 AC53:AC61 R53:R61">
    <cfRule type="cellIs" dxfId="269" priority="67" operator="lessThan">
      <formula>0.8</formula>
    </cfRule>
  </conditionalFormatting>
  <conditionalFormatting sqref="AC45">
    <cfRule type="cellIs" dxfId="268" priority="69" operator="lessThan">
      <formula>0.8</formula>
    </cfRule>
  </conditionalFormatting>
  <conditionalFormatting sqref="AC19:AC24">
    <cfRule type="cellIs" dxfId="267" priority="66" operator="lessThan">
      <formula>0.8</formula>
    </cfRule>
  </conditionalFormatting>
  <conditionalFormatting sqref="AC28">
    <cfRule type="cellIs" dxfId="266" priority="68" operator="lessThan">
      <formula>0.8</formula>
    </cfRule>
  </conditionalFormatting>
  <conditionalFormatting sqref="AC37:AC43">
    <cfRule type="cellIs" dxfId="265" priority="64" operator="lessThan">
      <formula>0.8</formula>
    </cfRule>
  </conditionalFormatting>
  <conditionalFormatting sqref="AA65">
    <cfRule type="cellIs" dxfId="264" priority="60" operator="lessThan">
      <formula>0</formula>
    </cfRule>
  </conditionalFormatting>
  <conditionalFormatting sqref="AB65">
    <cfRule type="cellIs" dxfId="263" priority="58" operator="greaterThan">
      <formula>1</formula>
    </cfRule>
    <cfRule type="cellIs" dxfId="262" priority="59" operator="lessThan">
      <formula>0.8</formula>
    </cfRule>
  </conditionalFormatting>
  <conditionalFormatting sqref="O15:O16">
    <cfRule type="cellIs" dxfId="261" priority="53" operator="greaterThan">
      <formula>0</formula>
    </cfRule>
  </conditionalFormatting>
  <conditionalFormatting sqref="P15:P16">
    <cfRule type="cellIs" dxfId="260" priority="56" operator="lessThan">
      <formula>0</formula>
    </cfRule>
  </conditionalFormatting>
  <conditionalFormatting sqref="Q15:Q16">
    <cfRule type="cellIs" dxfId="259" priority="54" operator="greaterThan">
      <formula>1</formula>
    </cfRule>
    <cfRule type="cellIs" dxfId="258" priority="55" operator="lessThan">
      <formula>0.8</formula>
    </cfRule>
  </conditionalFormatting>
  <conditionalFormatting sqref="R15:R16 AC15:AC16">
    <cfRule type="cellIs" dxfId="257" priority="57" operator="lessThan">
      <formula>0.8</formula>
    </cfRule>
  </conditionalFormatting>
  <conditionalFormatting sqref="O11">
    <cfRule type="cellIs" dxfId="256" priority="49" operator="greaterThan">
      <formula>0</formula>
    </cfRule>
  </conditionalFormatting>
  <conditionalFormatting sqref="P11">
    <cfRule type="cellIs" dxfId="255" priority="52" operator="lessThan">
      <formula>0</formula>
    </cfRule>
  </conditionalFormatting>
  <conditionalFormatting sqref="Q11">
    <cfRule type="cellIs" dxfId="254" priority="50" operator="greaterThan">
      <formula>1</formula>
    </cfRule>
    <cfRule type="cellIs" dxfId="253" priority="51" operator="lessThan">
      <formula>0.8</formula>
    </cfRule>
  </conditionalFormatting>
  <conditionalFormatting sqref="AC26 R26">
    <cfRule type="cellIs" dxfId="252" priority="48" operator="lessThan">
      <formula>0.8</formula>
    </cfRule>
  </conditionalFormatting>
  <conditionalFormatting sqref="O63">
    <cfRule type="cellIs" dxfId="251" priority="43" operator="greaterThan">
      <formula>0</formula>
    </cfRule>
  </conditionalFormatting>
  <conditionalFormatting sqref="P63 AA63">
    <cfRule type="cellIs" dxfId="250" priority="46" operator="lessThan">
      <formula>0</formula>
    </cfRule>
  </conditionalFormatting>
  <conditionalFormatting sqref="Q63 AB63">
    <cfRule type="cellIs" dxfId="249" priority="44" operator="greaterThan">
      <formula>1</formula>
    </cfRule>
    <cfRule type="cellIs" dxfId="248" priority="45" operator="lessThan">
      <formula>0.8</formula>
    </cfRule>
  </conditionalFormatting>
  <conditionalFormatting sqref="R63 AC63">
    <cfRule type="cellIs" dxfId="247" priority="47" operator="lessThan">
      <formula>0.8</formula>
    </cfRule>
  </conditionalFormatting>
  <conditionalFormatting sqref="O72">
    <cfRule type="cellIs" dxfId="246" priority="38" operator="greaterThan">
      <formula>0</formula>
    </cfRule>
  </conditionalFormatting>
  <conditionalFormatting sqref="P72">
    <cfRule type="cellIs" dxfId="245" priority="41" operator="lessThan">
      <formula>0</formula>
    </cfRule>
  </conditionalFormatting>
  <conditionalFormatting sqref="Q72">
    <cfRule type="cellIs" dxfId="244" priority="39" operator="greaterThan">
      <formula>1</formula>
    </cfRule>
    <cfRule type="cellIs" dxfId="243" priority="40" operator="lessThan">
      <formula>0.8</formula>
    </cfRule>
  </conditionalFormatting>
  <conditionalFormatting sqref="R72">
    <cfRule type="cellIs" dxfId="242" priority="42" operator="lessThan">
      <formula>0.8</formula>
    </cfRule>
  </conditionalFormatting>
  <conditionalFormatting sqref="O17">
    <cfRule type="cellIs" dxfId="241" priority="33" operator="greaterThan">
      <formula>0</formula>
    </cfRule>
  </conditionalFormatting>
  <conditionalFormatting sqref="P17">
    <cfRule type="cellIs" dxfId="240" priority="36" operator="lessThan">
      <formula>0</formula>
    </cfRule>
  </conditionalFormatting>
  <conditionalFormatting sqref="Q17">
    <cfRule type="cellIs" dxfId="239" priority="34" operator="greaterThan">
      <formula>1</formula>
    </cfRule>
    <cfRule type="cellIs" dxfId="238" priority="35" operator="lessThan">
      <formula>0.8</formula>
    </cfRule>
  </conditionalFormatting>
  <conditionalFormatting sqref="R17 AC17">
    <cfRule type="cellIs" dxfId="237" priority="37" operator="lessThan">
      <formula>0.8</formula>
    </cfRule>
  </conditionalFormatting>
  <conditionalFormatting sqref="O51">
    <cfRule type="cellIs" dxfId="236" priority="27" operator="greaterThan">
      <formula>0</formula>
    </cfRule>
  </conditionalFormatting>
  <conditionalFormatting sqref="P51">
    <cfRule type="cellIs" dxfId="235" priority="31" operator="lessThan">
      <formula>0</formula>
    </cfRule>
  </conditionalFormatting>
  <conditionalFormatting sqref="Q51">
    <cfRule type="cellIs" dxfId="234" priority="28" operator="greaterThan">
      <formula>1</formula>
    </cfRule>
    <cfRule type="cellIs" dxfId="233" priority="29" operator="lessThan">
      <formula>0.8</formula>
    </cfRule>
  </conditionalFormatting>
  <conditionalFormatting sqref="R51 AC51">
    <cfRule type="cellIs" dxfId="232" priority="32" operator="lessThan">
      <formula>0.8</formula>
    </cfRule>
  </conditionalFormatting>
  <conditionalFormatting sqref="AC51">
    <cfRule type="cellIs" dxfId="231" priority="30" operator="lessThan">
      <formula>0.8</formula>
    </cfRule>
  </conditionalFormatting>
  <conditionalFormatting sqref="O52">
    <cfRule type="cellIs" dxfId="230" priority="21" operator="greaterThan">
      <formula>0</formula>
    </cfRule>
  </conditionalFormatting>
  <conditionalFormatting sqref="P52">
    <cfRule type="cellIs" dxfId="229" priority="25" operator="lessThan">
      <formula>0</formula>
    </cfRule>
  </conditionalFormatting>
  <conditionalFormatting sqref="Q52">
    <cfRule type="cellIs" dxfId="228" priority="22" operator="greaterThan">
      <formula>1</formula>
    </cfRule>
    <cfRule type="cellIs" dxfId="227" priority="23" operator="lessThan">
      <formula>0.8</formula>
    </cfRule>
  </conditionalFormatting>
  <conditionalFormatting sqref="R52 AC52">
    <cfRule type="cellIs" dxfId="226" priority="26" operator="lessThan">
      <formula>0.8</formula>
    </cfRule>
  </conditionalFormatting>
  <conditionalFormatting sqref="AC52">
    <cfRule type="cellIs" dxfId="225" priority="24" operator="lessThan">
      <formula>0.8</formula>
    </cfRule>
  </conditionalFormatting>
  <conditionalFormatting sqref="R25 AC25">
    <cfRule type="cellIs" dxfId="224" priority="20" operator="lessThan">
      <formula>0.8</formula>
    </cfRule>
  </conditionalFormatting>
  <conditionalFormatting sqref="AC25">
    <cfRule type="cellIs" dxfId="223" priority="19" operator="lessThan">
      <formula>0.8</formula>
    </cfRule>
  </conditionalFormatting>
  <conditionalFormatting sqref="O62">
    <cfRule type="cellIs" dxfId="222" priority="14" operator="greaterThan">
      <formula>0</formula>
    </cfRule>
  </conditionalFormatting>
  <conditionalFormatting sqref="P62 AA62">
    <cfRule type="cellIs" dxfId="221" priority="17" operator="lessThan">
      <formula>0</formula>
    </cfRule>
  </conditionalFormatting>
  <conditionalFormatting sqref="Q62 AB62">
    <cfRule type="cellIs" dxfId="220" priority="15" operator="greaterThan">
      <formula>1</formula>
    </cfRule>
    <cfRule type="cellIs" dxfId="219" priority="16" operator="lessThan">
      <formula>0.8</formula>
    </cfRule>
  </conditionalFormatting>
  <conditionalFormatting sqref="R62 AC62">
    <cfRule type="cellIs" dxfId="218" priority="18" operator="lessThan">
      <formula>0.8</formula>
    </cfRule>
  </conditionalFormatting>
  <conditionalFormatting sqref="P9">
    <cfRule type="cellIs" dxfId="217" priority="13" operator="lessThan">
      <formula>0</formula>
    </cfRule>
  </conditionalFormatting>
  <conditionalFormatting sqref="P18">
    <cfRule type="cellIs" dxfId="216" priority="12" operator="lessThan">
      <formula>0</formula>
    </cfRule>
  </conditionalFormatting>
  <conditionalFormatting sqref="P27">
    <cfRule type="cellIs" dxfId="215" priority="11" operator="lessThan">
      <formula>0</formula>
    </cfRule>
  </conditionalFormatting>
  <conditionalFormatting sqref="P36">
    <cfRule type="cellIs" dxfId="214" priority="10" operator="lessThan">
      <formula>0</formula>
    </cfRule>
  </conditionalFormatting>
  <conditionalFormatting sqref="P53">
    <cfRule type="cellIs" dxfId="213" priority="9" operator="lessThan">
      <formula>0</formula>
    </cfRule>
  </conditionalFormatting>
  <conditionalFormatting sqref="P60">
    <cfRule type="cellIs" dxfId="212" priority="8" operator="lessThan">
      <formula>0</formula>
    </cfRule>
  </conditionalFormatting>
  <conditionalFormatting sqref="P65">
    <cfRule type="cellIs" dxfId="211" priority="7" operator="lessThan">
      <formula>0</formula>
    </cfRule>
  </conditionalFormatting>
  <conditionalFormatting sqref="P74">
    <cfRule type="cellIs" dxfId="210" priority="6" operator="lessThan">
      <formula>0</formula>
    </cfRule>
  </conditionalFormatting>
  <conditionalFormatting sqref="O73">
    <cfRule type="cellIs" dxfId="209" priority="1" operator="greaterThan">
      <formula>0</formula>
    </cfRule>
  </conditionalFormatting>
  <conditionalFormatting sqref="P73">
    <cfRule type="cellIs" dxfId="208" priority="4" operator="lessThan">
      <formula>0</formula>
    </cfRule>
  </conditionalFormatting>
  <conditionalFormatting sqref="Q73">
    <cfRule type="cellIs" dxfId="207" priority="2" operator="greaterThan">
      <formula>1</formula>
    </cfRule>
    <cfRule type="cellIs" dxfId="206" priority="3" operator="lessThan">
      <formula>0.8</formula>
    </cfRule>
  </conditionalFormatting>
  <conditionalFormatting sqref="R73">
    <cfRule type="cellIs" dxfId="205" priority="5" operator="lessThan">
      <formula>0.8</formula>
    </cfRule>
  </conditionalFormatting>
  <dataValidations count="1">
    <dataValidation type="list" allowBlank="1" showInputMessage="1" showErrorMessage="1" sqref="Z9 Y5:Z8 Y9:Y64 Z11:Z61 Y65:Z74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="85" zoomScaleNormal="85" workbookViewId="0">
      <selection activeCell="E7" sqref="E7:F7"/>
    </sheetView>
  </sheetViews>
  <sheetFormatPr defaultColWidth="8.75" defaultRowHeight="15.75"/>
  <cols>
    <col min="1" max="1" width="8.75" style="2"/>
    <col min="2" max="2" width="17.875" style="2" customWidth="1"/>
    <col min="3" max="3" width="9.25" style="9" customWidth="1"/>
    <col min="4" max="13" width="12.625" style="2" customWidth="1"/>
    <col min="14" max="14" width="11" style="2" bestFit="1" customWidth="1"/>
    <col min="15" max="15" width="17.75" style="2" bestFit="1" customWidth="1"/>
    <col min="16" max="16" width="12.25" style="2" bestFit="1" customWidth="1"/>
    <col min="17" max="22" width="9.25" style="2" customWidth="1"/>
    <col min="23" max="23" width="10.75" style="2" customWidth="1"/>
    <col min="24" max="24" width="11" style="2" customWidth="1"/>
    <col min="25" max="16384" width="8.75" style="2"/>
  </cols>
  <sheetData>
    <row r="1" spans="2:17" ht="27.75" customHeight="1">
      <c r="B1" s="546" t="s">
        <v>173</v>
      </c>
      <c r="C1" s="546"/>
      <c r="D1" s="546"/>
      <c r="E1" s="546"/>
      <c r="F1" s="546"/>
      <c r="G1" s="546"/>
      <c r="H1" s="546"/>
      <c r="I1" s="546"/>
      <c r="J1" s="546"/>
      <c r="K1" s="1"/>
      <c r="L1" s="1"/>
      <c r="M1" s="1"/>
      <c r="N1" s="1"/>
      <c r="O1" s="1"/>
      <c r="P1" s="1"/>
    </row>
    <row r="2" spans="2:17" ht="27.75" customHeight="1">
      <c r="B2" s="547"/>
      <c r="C2" s="547"/>
      <c r="D2" s="547"/>
      <c r="E2" s="547"/>
      <c r="F2" s="547"/>
      <c r="G2" s="547"/>
      <c r="H2" s="547"/>
      <c r="I2" s="547"/>
      <c r="J2" s="547"/>
      <c r="K2" s="3"/>
      <c r="L2" s="3"/>
      <c r="M2" s="3"/>
      <c r="N2" s="1"/>
      <c r="O2" s="1"/>
      <c r="P2" s="1"/>
    </row>
    <row r="3" spans="2:17" ht="46.5" customHeight="1">
      <c r="B3" s="4" t="s">
        <v>103</v>
      </c>
      <c r="C3" s="548" t="str">
        <f>TEXT('1202 4度C'!A2,"yyyy.mm.ddaaaa")</f>
        <v>2025.12.02星期二</v>
      </c>
      <c r="D3" s="549"/>
      <c r="E3" s="4" t="s">
        <v>174</v>
      </c>
      <c r="F3" s="550">
        <f>'1202 4度C'!D1</f>
        <v>184309</v>
      </c>
      <c r="G3" s="551"/>
      <c r="H3" s="4" t="s">
        <v>175</v>
      </c>
      <c r="I3" s="552">
        <f>'1202 4度C'!F1</f>
        <v>6351521.6499999994</v>
      </c>
      <c r="J3" s="553"/>
      <c r="K3" s="5"/>
      <c r="L3" s="6"/>
      <c r="M3" s="7"/>
      <c r="N3" s="7"/>
    </row>
    <row r="4" spans="2:17" ht="28.5" customHeight="1">
      <c r="B4" s="554" t="s">
        <v>176</v>
      </c>
      <c r="C4" s="536" t="s">
        <v>177</v>
      </c>
      <c r="D4" s="537"/>
      <c r="E4" s="557" t="s">
        <v>178</v>
      </c>
      <c r="F4" s="558"/>
      <c r="G4" s="557" t="s">
        <v>179</v>
      </c>
      <c r="H4" s="558"/>
      <c r="I4" s="557" t="s">
        <v>180</v>
      </c>
      <c r="J4" s="558"/>
      <c r="L4" s="7"/>
      <c r="M4" s="7"/>
      <c r="N4" s="7"/>
    </row>
    <row r="5" spans="2:17" ht="28.5" customHeight="1">
      <c r="B5" s="555"/>
      <c r="C5" s="536" t="s">
        <v>181</v>
      </c>
      <c r="D5" s="537"/>
      <c r="E5" s="536" t="s">
        <v>182</v>
      </c>
      <c r="F5" s="537"/>
      <c r="G5" s="538" t="s">
        <v>183</v>
      </c>
      <c r="H5" s="539"/>
      <c r="I5" s="540" t="s">
        <v>184</v>
      </c>
      <c r="J5" s="541"/>
      <c r="K5" s="7"/>
      <c r="L5" s="7"/>
      <c r="M5" s="7"/>
      <c r="N5" s="7"/>
    </row>
    <row r="6" spans="2:17" ht="28.5" customHeight="1">
      <c r="B6" s="555"/>
      <c r="C6" s="536" t="s">
        <v>46</v>
      </c>
      <c r="D6" s="537"/>
      <c r="E6" s="542">
        <f>AVERAGE(D13:M13)</f>
        <v>154.54180267558752</v>
      </c>
      <c r="F6" s="543">
        <f>AVERAGE(D27:O27,D13:J13)</f>
        <v>160.9068941877164</v>
      </c>
      <c r="G6" s="544">
        <f>AVERAGE(D13:J13)</f>
        <v>160.9068941877164</v>
      </c>
      <c r="H6" s="545"/>
      <c r="I6" s="544">
        <f>AVERAGE(K13:M13)</f>
        <v>139.68992248062014</v>
      </c>
      <c r="J6" s="545"/>
      <c r="K6" s="7"/>
      <c r="L6" s="7"/>
      <c r="M6" s="7"/>
      <c r="N6" s="7"/>
    </row>
    <row r="7" spans="2:17" ht="28.5" customHeight="1">
      <c r="B7" s="555"/>
      <c r="C7" s="526" t="s">
        <v>47</v>
      </c>
      <c r="D7" s="527"/>
      <c r="E7" s="528">
        <f>AVERAGE(D14:M14)</f>
        <v>147.88327703165891</v>
      </c>
      <c r="F7" s="529">
        <f>AVERAGE(D28:O28,D14:J14)</f>
        <v>153.97821289750851</v>
      </c>
      <c r="G7" s="530">
        <f>AVERAGE(D14:J14)</f>
        <v>153.97821289750851</v>
      </c>
      <c r="H7" s="531"/>
      <c r="I7" s="530">
        <f>AVERAGE(K14:M14)</f>
        <v>133.66176001134303</v>
      </c>
      <c r="J7" s="531"/>
      <c r="K7" s="7"/>
      <c r="L7" s="7"/>
      <c r="M7" s="7"/>
      <c r="N7" s="7"/>
    </row>
    <row r="8" spans="2:17" ht="28.5" customHeight="1">
      <c r="B8" s="556"/>
      <c r="C8" s="526" t="s">
        <v>48</v>
      </c>
      <c r="D8" s="527"/>
      <c r="E8" s="532">
        <f>AVERAGE(D15:M15)</f>
        <v>0.95677385841057949</v>
      </c>
      <c r="F8" s="533">
        <f>AVERAGE(D15:J15,D29:O29)</f>
        <v>0.9567297061825959</v>
      </c>
      <c r="G8" s="534">
        <f>AVERAGE(D15:J15)</f>
        <v>0.9567297061825959</v>
      </c>
      <c r="H8" s="535"/>
      <c r="I8" s="534">
        <f>AVERAGE(K15:M15)</f>
        <v>0.95687688027587481</v>
      </c>
      <c r="J8" s="535"/>
      <c r="K8" s="8" t="s">
        <v>185</v>
      </c>
      <c r="L8" s="7"/>
      <c r="M8" s="7"/>
      <c r="N8" s="7"/>
    </row>
    <row r="9" spans="2:17" ht="28.5" customHeight="1" thickBot="1">
      <c r="H9" s="10"/>
      <c r="N9" s="7"/>
      <c r="O9" s="7"/>
      <c r="P9" s="7"/>
      <c r="Q9" s="7"/>
    </row>
    <row r="10" spans="2:17" ht="30" customHeight="1">
      <c r="B10" s="509" t="s">
        <v>186</v>
      </c>
      <c r="C10" s="510"/>
      <c r="D10" s="511" t="s">
        <v>127</v>
      </c>
      <c r="E10" s="512"/>
      <c r="F10" s="512"/>
      <c r="G10" s="512"/>
      <c r="H10" s="512"/>
      <c r="I10" s="512"/>
      <c r="J10" s="513"/>
      <c r="K10" s="514" t="s">
        <v>187</v>
      </c>
      <c r="L10" s="515"/>
      <c r="M10" s="516"/>
      <c r="P10" s="11"/>
      <c r="Q10" s="11"/>
    </row>
    <row r="11" spans="2:17" ht="17.25" customHeight="1">
      <c r="B11" s="517" t="s">
        <v>188</v>
      </c>
      <c r="C11" s="518"/>
      <c r="D11" s="12">
        <v>1</v>
      </c>
      <c r="E11" s="13">
        <v>2</v>
      </c>
      <c r="F11" s="13">
        <v>3</v>
      </c>
      <c r="G11" s="13">
        <v>4</v>
      </c>
      <c r="H11" s="13">
        <v>5</v>
      </c>
      <c r="I11" s="13">
        <v>6</v>
      </c>
      <c r="J11" s="14">
        <v>7</v>
      </c>
      <c r="K11" s="12">
        <v>1</v>
      </c>
      <c r="L11" s="13">
        <v>2</v>
      </c>
      <c r="M11" s="14">
        <v>3</v>
      </c>
      <c r="P11" s="11"/>
      <c r="Q11" s="11"/>
    </row>
    <row r="12" spans="2:17" ht="34.15" customHeight="1">
      <c r="B12" s="519"/>
      <c r="C12" s="520"/>
      <c r="D12" s="15" t="s">
        <v>49</v>
      </c>
      <c r="E12" s="16" t="s">
        <v>50</v>
      </c>
      <c r="F12" s="16" t="s">
        <v>51</v>
      </c>
      <c r="G12" s="16" t="s">
        <v>52</v>
      </c>
      <c r="H12" s="16" t="s">
        <v>53</v>
      </c>
      <c r="I12" s="16" t="s">
        <v>54</v>
      </c>
      <c r="J12" s="17" t="s">
        <v>55</v>
      </c>
      <c r="K12" s="15" t="s">
        <v>56</v>
      </c>
      <c r="L12" s="16" t="s">
        <v>57</v>
      </c>
      <c r="M12" s="17" t="s">
        <v>58</v>
      </c>
    </row>
    <row r="13" spans="2:17" ht="40.15" customHeight="1">
      <c r="B13" s="521" t="s">
        <v>66</v>
      </c>
      <c r="C13" s="18" t="s">
        <v>131</v>
      </c>
      <c r="D13" s="19">
        <f>SUMIFS('1202 4度C'!$K:$K,'1202 4度C'!$A:$A,"新豐6線",'1202 4度C'!$B:$B,"平均")</f>
        <v>137.93103448275863</v>
      </c>
      <c r="E13" s="20">
        <f>SUMIFS('1202 4度C'!$K:$K,'1202 4度C'!$A:$A,"新豐2線",'1202 4度C'!$B:$B,"平均")</f>
        <v>83.333333333333329</v>
      </c>
      <c r="F13" s="21">
        <f>SUMIFS('1202 4度C'!$K:$K,'1202 4度C'!$A:$A,"新豐5線",'1202 4度C'!$B:$B,"平均")</f>
        <v>98.901098901098905</v>
      </c>
      <c r="G13" s="21">
        <f>SUMIFS('1202 4度C'!$K:$K,'1202 4度C'!$A:$A,"新豐7線",'1202 4度C'!$B:$B,"平均")</f>
        <v>118.32061068702291</v>
      </c>
      <c r="H13" s="21">
        <f>SUMIFS('1202 4度C'!$K:$K,'1202 4度C'!$A:$A,"新豐3線",'1202 4度C'!$B:$B,"平均")</f>
        <v>283.95061728395063</v>
      </c>
      <c r="I13" s="21">
        <f>SUMIFS('1202 4度C'!$K:$K,'1202 4度C'!$A:$A,"新豐1線",'1202 4度C'!$B:$B,"平均")</f>
        <v>112.24489795918367</v>
      </c>
      <c r="J13" s="22">
        <f>SUMIFS('1202 4度C'!$K:$K,'1202 4度C'!$A:$A,"新豐10線",'1202 4度C'!$B:$B,"平均")</f>
        <v>291.66666666666669</v>
      </c>
      <c r="K13" s="23">
        <f>SUMIFS('1202 4度C'!$K:$K,'1202 4度C'!$A:$A,"新豐8線",'1202 4度C'!$B:$B,"平均")</f>
        <v>130.23255813953489</v>
      </c>
      <c r="L13" s="24">
        <f>SUMIFS('1202 4度C'!$K:$K,'1202 4度C'!$A:$A,"新豐9線",'1202 4度C'!$B:$B,"平均")</f>
        <v>140</v>
      </c>
      <c r="M13" s="22">
        <f>SUMIFS('1202 4度C'!$K:$K,'1202 4度C'!$A:$A,"新豐4線",'1202 4度C'!$B:$B,"平均")</f>
        <v>148.83720930232559</v>
      </c>
    </row>
    <row r="14" spans="2:17" ht="39.6" customHeight="1">
      <c r="B14" s="522"/>
      <c r="C14" s="25" t="s">
        <v>189</v>
      </c>
      <c r="D14" s="26">
        <f>SUMIFS('1202 4度C'!$N:$N,'1202 4度C'!$A:$A,"新豐6線",'1202 4度C'!$B:$B,"平均")</f>
        <v>132.15105535402344</v>
      </c>
      <c r="E14" s="27">
        <f>SUMIFS('1202 4度C'!$N:$N,'1202 4度C'!$A:$A,"新豐2線",'1202 4度C'!$B:$B,"平均")</f>
        <v>79.432330403425723</v>
      </c>
      <c r="F14" s="27">
        <f>SUMIFS('1202 4度C'!$N:$N,'1202 4度C'!$A:$A,"新豐5線",'1202 4度C'!$B:$B,"平均")</f>
        <v>94.681016114605768</v>
      </c>
      <c r="G14" s="27">
        <f>SUMIFS('1202 4度C'!$N:$N,'1202 4度C'!$A:$A,"新豐7線",'1202 4度C'!$B:$B,"平均")</f>
        <v>113.29502705582419</v>
      </c>
      <c r="H14" s="27">
        <f>SUMIFS('1202 4度C'!$N:$N,'1202 4度C'!$A:$A,"新豐3線",'1202 4度C'!$B:$B,"平均")</f>
        <v>271.69921011614809</v>
      </c>
      <c r="I14" s="27">
        <f>SUMIFS('1202 4度C'!$N:$N,'1202 4度C'!$A:$A,"新豐1線",'1202 4度C'!$B:$B,"平均")</f>
        <v>107.41091473059602</v>
      </c>
      <c r="J14" s="28">
        <f>SUMIFS('1202 4度C'!$N:$N,'1202 4度C'!$A:$A,"新豐10線",'1202 4度C'!$B:$B,"平均")</f>
        <v>279.17793650793647</v>
      </c>
      <c r="K14" s="29">
        <f>SUMIFS('1202 4度C'!$N:$N,'1202 4度C'!$A:$A,"新豐8線",'1202 4度C'!$B:$B,"平均")</f>
        <v>124.73889613177123</v>
      </c>
      <c r="L14" s="30">
        <f>SUMIFS('1202 4度C'!$N:$N,'1202 4度C'!$A:$A,"新豐9線",'1202 4度C'!$B:$B,"平均")</f>
        <v>133.89004658782457</v>
      </c>
      <c r="M14" s="28">
        <f>SUMIFS('1202 4度C'!$N:$N,'1202 4度C'!$A:$A,"新豐4線",'1202 4度C'!$B:$B,"平均")</f>
        <v>142.35633731443332</v>
      </c>
    </row>
    <row r="15" spans="2:17" ht="40.15" customHeight="1">
      <c r="B15" s="523"/>
      <c r="C15" s="31" t="s">
        <v>190</v>
      </c>
      <c r="D15" s="32">
        <f t="shared" ref="D15:M15" si="0">D14/D13</f>
        <v>0.95809515131666989</v>
      </c>
      <c r="E15" s="33">
        <f t="shared" si="0"/>
        <v>0.95318796484110868</v>
      </c>
      <c r="F15" s="33">
        <f t="shared" si="0"/>
        <v>0.95733027404768045</v>
      </c>
      <c r="G15" s="33">
        <f t="shared" si="0"/>
        <v>0.95752571253632057</v>
      </c>
      <c r="H15" s="33">
        <f t="shared" si="0"/>
        <v>0.9568537399742606</v>
      </c>
      <c r="I15" s="33">
        <f t="shared" si="0"/>
        <v>0.95693360396349181</v>
      </c>
      <c r="J15" s="34">
        <f t="shared" si="0"/>
        <v>0.95718149659863927</v>
      </c>
      <c r="K15" s="32">
        <f t="shared" si="0"/>
        <v>0.95781652386895766</v>
      </c>
      <c r="L15" s="33">
        <f t="shared" si="0"/>
        <v>0.95635747562731832</v>
      </c>
      <c r="M15" s="34">
        <f t="shared" si="0"/>
        <v>0.95645664133134878</v>
      </c>
    </row>
    <row r="16" spans="2:17" ht="17.25" customHeight="1">
      <c r="B16" s="524" t="s">
        <v>191</v>
      </c>
      <c r="C16" s="35" t="s">
        <v>192</v>
      </c>
      <c r="D16" s="49">
        <f>VLOOKUP("新豐6線",'1202 4度C'!$A:$T,19,0)</f>
        <v>0.70833333333333337</v>
      </c>
      <c r="E16" s="50">
        <f>VLOOKUP("新豐2線",'1202 4度C'!$A:$T,19,0)</f>
        <v>0.20833333333333334</v>
      </c>
      <c r="F16" s="50">
        <f>VLOOKUP("新豐5線",'1202 4度C'!$A:$T,19,0)</f>
        <v>0.125</v>
      </c>
      <c r="G16" s="50">
        <f>VLOOKUP("新豐7線",'1202 4度C'!$A:$T,19,0)</f>
        <v>0.20833333333333334</v>
      </c>
      <c r="H16" s="50">
        <f>VLOOKUP("新豐3線",'1202 4度C'!$A:$T,19,0)</f>
        <v>8.3333333333333329E-2</v>
      </c>
      <c r="I16" s="50">
        <f>VLOOKUP("新豐1線",'1202 4度C'!$A:$T,19,0)</f>
        <v>0.20833333333333334</v>
      </c>
      <c r="J16" s="51">
        <f>VLOOKUP("新豐10線",'1202 4度C'!$A:$T,19,0)</f>
        <v>0.20833333333333334</v>
      </c>
      <c r="K16" s="36">
        <f>VLOOKUP("新豐8線",'1202 4度C'!$A:$T,19,0)</f>
        <v>8.3333333333333329E-2</v>
      </c>
      <c r="L16" s="37">
        <f>VLOOKUP("新豐9線",'1202 4度C'!$A:$T,19,0)</f>
        <v>8.3333333333333329E-2</v>
      </c>
      <c r="M16" s="38">
        <f>VLOOKUP("新豐4線",'1202 4度C'!$A:$T,19,0)</f>
        <v>8.3333333333333329E-2</v>
      </c>
    </row>
    <row r="17" spans="2:13" ht="17.25" customHeight="1">
      <c r="B17" s="525"/>
      <c r="C17" s="35" t="s">
        <v>73</v>
      </c>
      <c r="D17" s="36">
        <f>LOOKUP(2,1/(('1202 4度C'!$A:$A="新豐6線")*('1202 4度C'!$T:$T&lt;&gt;"")),'1202 4度C'!$T:$T)</f>
        <v>0.91666666666666663</v>
      </c>
      <c r="E17" s="50">
        <f>LOOKUP(2,1/(('1202 4度C'!$A:$A="新豐2線")*('1202 4度C'!$T:$T&lt;&gt;"")),'1202 4度C'!$T:$T)</f>
        <v>0.52152777777777781</v>
      </c>
      <c r="F17" s="50">
        <f>LOOKUP(2,1/(('1202 4度C'!$A:$A="新豐5線")*('1202 4度C'!$T:$T&lt;&gt;"")),'1202 4度C'!$T:$T)</f>
        <v>0.87222222222222223</v>
      </c>
      <c r="G17" s="50">
        <f>LOOKUP(2,1/(('1202 4度C'!$A:$A="新豐7線")*('1202 4度C'!$T:$T&lt;&gt;"")),'1202 4度C'!$T:$T)</f>
        <v>0.85624999999999996</v>
      </c>
      <c r="H17" s="50">
        <f>LOOKUP(2,1/(('1202 4度C'!$A:$A="新豐3線")*('1202 4度C'!$T:$T&lt;&gt;"")),'1202 4度C'!$T:$T)</f>
        <v>0.59930555555555554</v>
      </c>
      <c r="I17" s="50">
        <f>LOOKUP(2,1/(('1202 4度C'!$A:$A="新豐1線")*('1202 4度C'!$T:$T&lt;&gt;"")),'1202 4度C'!$T:$T)</f>
        <v>0.93680555555555556</v>
      </c>
      <c r="J17" s="51">
        <f>LOOKUP(2,1/(('1202 4度C'!$A:$A="新豐10線")*('1202 4度C'!$T:$T&lt;&gt;"")),'1202 4度C'!$T:$T)</f>
        <v>0.44027777777777777</v>
      </c>
      <c r="K17" s="49">
        <f>LOOKUP(2,1/(('1202 4度C'!$A:$A="新豐8線")*('1202 4度C'!$T:$T&lt;&gt;"")),'1202 4度C'!$T:$T)</f>
        <v>0.71458333333333324</v>
      </c>
      <c r="L17" s="50">
        <f>LOOKUP(2,1/(('1202 4度C'!$A:$A="新豐9線")*('1202 4度C'!$T:$T&lt;&gt;"")),'1202 4度C'!$T:$T)</f>
        <v>0.69374999999999976</v>
      </c>
      <c r="M17" s="51">
        <f>LOOKUP(2,1/(('1202 4度C'!$A:$A="新豐4線")*('1202 4度C'!$T:$T&lt;&gt;"")),'1202 4度C'!$T:$T)</f>
        <v>0.61388888888888882</v>
      </c>
    </row>
    <row r="18" spans="2:13" ht="17.25" customHeight="1">
      <c r="B18" s="503" t="s">
        <v>193</v>
      </c>
      <c r="C18" s="504"/>
      <c r="D18" s="39">
        <f>SUMIFS('1202 4度C'!$I:$I,'1202 4度C'!$A:$A,"新豐6線",'1202 4度C'!$B:$B,"平均")</f>
        <v>14.5</v>
      </c>
      <c r="E18" s="40">
        <f>SUMIFS('1202 4度C'!$I:$I,'1202 4度C'!$A:$A,"新豐2線",'1202 4度C'!$B:$B,"平均")</f>
        <v>18</v>
      </c>
      <c r="F18" s="40">
        <f>SUMIFS('1202 4度C'!$I:$I,'1202 4度C'!$A:$A,"新豐5線",'1202 4度C'!$B:$B,"平均")</f>
        <v>18.2</v>
      </c>
      <c r="G18" s="40">
        <f>SUMIFS('1202 4度C'!$I:$I,'1202 4度C'!$A:$A,"新豐7線",'1202 4度C'!$B:$B,"平均")</f>
        <v>16.375</v>
      </c>
      <c r="H18" s="40">
        <f>SUMIFS('1202 4度C'!$I:$I,'1202 4度C'!$A:$A,"新豐3線",'1202 4度C'!$B:$B,"平均")</f>
        <v>10.125</v>
      </c>
      <c r="I18" s="40">
        <f>SUMIFS('1202 4度C'!$I:$I,'1202 4度C'!$A:$A,"新豐1線",'1202 4度C'!$B:$B,"平均")</f>
        <v>16.333333333333332</v>
      </c>
      <c r="J18" s="41">
        <f>SUMIFS('1202 4度C'!$I:$I,'1202 4度C'!$A:$A,"新豐10線",'1202 4度C'!$B:$B,"平均")</f>
        <v>9</v>
      </c>
      <c r="K18" s="39">
        <f>SUMIFS('1202 4度C'!$I:$I,'1202 4度C'!$A:$A,"新豐8線",'1202 4度C'!$B:$B,"平均")</f>
        <v>18.428571428571427</v>
      </c>
      <c r="L18" s="40">
        <f>SUMIFS('1202 4度C'!$I:$I,'1202 4度C'!$A:$A,"新豐9線",'1202 4度C'!$B:$B,"平均")</f>
        <v>17.142857142857142</v>
      </c>
      <c r="M18" s="41">
        <f>SUMIFS('1202 4度C'!$I:$I,'1202 4度C'!$A:$A,"新豐4線",'1202 4度C'!$B:$B,"平均")</f>
        <v>16.125</v>
      </c>
    </row>
    <row r="19" spans="2:13" ht="17.25" customHeight="1">
      <c r="B19" s="503" t="s">
        <v>194</v>
      </c>
      <c r="C19" s="504"/>
      <c r="D19" s="42" t="s">
        <v>59</v>
      </c>
      <c r="E19" s="43" t="s">
        <v>60</v>
      </c>
      <c r="F19" s="43" t="s">
        <v>137</v>
      </c>
      <c r="G19" s="43" t="s">
        <v>137</v>
      </c>
      <c r="H19" s="43" t="s">
        <v>61</v>
      </c>
      <c r="I19" s="43" t="s">
        <v>59</v>
      </c>
      <c r="J19" s="44" t="s">
        <v>61</v>
      </c>
      <c r="K19" s="42" t="s">
        <v>195</v>
      </c>
      <c r="L19" s="43" t="s">
        <v>195</v>
      </c>
      <c r="M19" s="44" t="s">
        <v>196</v>
      </c>
    </row>
    <row r="20" spans="2:13" ht="17.25" customHeight="1">
      <c r="B20" s="503" t="s">
        <v>197</v>
      </c>
      <c r="C20" s="504"/>
      <c r="D20" s="42"/>
      <c r="E20" s="43"/>
      <c r="F20" s="43" t="s">
        <v>198</v>
      </c>
      <c r="G20" s="43" t="s">
        <v>59</v>
      </c>
      <c r="H20" s="43"/>
      <c r="I20" s="43"/>
      <c r="J20" s="44"/>
      <c r="K20" s="42"/>
      <c r="L20" s="43"/>
      <c r="M20" s="44"/>
    </row>
    <row r="21" spans="2:13" ht="17.25" customHeight="1" thickBot="1">
      <c r="B21" s="505" t="s">
        <v>199</v>
      </c>
      <c r="C21" s="506"/>
      <c r="D21" s="45"/>
      <c r="E21" s="46" t="s">
        <v>143</v>
      </c>
      <c r="F21" s="507" t="s">
        <v>200</v>
      </c>
      <c r="G21" s="508"/>
      <c r="H21" s="46" t="s">
        <v>201</v>
      </c>
      <c r="I21" s="46" t="s">
        <v>145</v>
      </c>
      <c r="J21" s="47" t="s">
        <v>75</v>
      </c>
      <c r="K21" s="48"/>
      <c r="L21" s="46"/>
      <c r="M21" s="4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20:C20"/>
    <mergeCell ref="B21:C21"/>
    <mergeCell ref="F21:G21"/>
    <mergeCell ref="K10:M10"/>
    <mergeCell ref="B11:C12"/>
    <mergeCell ref="B13:B15"/>
    <mergeCell ref="B18:C18"/>
    <mergeCell ref="B19:C19"/>
  </mergeCells>
  <phoneticPr fontId="3" type="noConversion"/>
  <conditionalFormatting sqref="D15:M15">
    <cfRule type="cellIs" dxfId="204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C74"/>
  <sheetViews>
    <sheetView zoomScale="80" zoomScaleNormal="80" workbookViewId="0">
      <pane ySplit="4" topLeftCell="A11" activePane="bottomLeft" state="frozen"/>
      <selection activeCell="O3" sqref="O3"/>
      <selection pane="bottomLeft" activeCell="B15" sqref="B15"/>
    </sheetView>
  </sheetViews>
  <sheetFormatPr defaultColWidth="8" defaultRowHeight="15.75"/>
  <cols>
    <col min="1" max="1" width="15.125" style="54" customWidth="1"/>
    <col min="2" max="2" width="19.375" style="54" customWidth="1"/>
    <col min="3" max="3" width="15.25" style="54" customWidth="1"/>
    <col min="4" max="4" width="17.5" style="54" customWidth="1"/>
    <col min="5" max="5" width="7.5" style="54" bestFit="1" customWidth="1"/>
    <col min="6" max="6" width="14.375" style="54" bestFit="1" customWidth="1"/>
    <col min="7" max="7" width="14.375" style="54" customWidth="1"/>
    <col min="8" max="8" width="8" style="54" customWidth="1"/>
    <col min="9" max="9" width="5.875" style="54" customWidth="1"/>
    <col min="10" max="10" width="10.625" style="54" customWidth="1"/>
    <col min="11" max="11" width="14.625" style="54" customWidth="1"/>
    <col min="12" max="12" width="7.25" style="54" bestFit="1" customWidth="1"/>
    <col min="13" max="13" width="8" style="54" customWidth="1"/>
    <col min="14" max="14" width="12" style="54" customWidth="1"/>
    <col min="15" max="15" width="6" style="54" customWidth="1"/>
    <col min="16" max="16" width="9.25" style="54" customWidth="1"/>
    <col min="17" max="17" width="11.5" style="54" customWidth="1"/>
    <col min="18" max="18" width="8.5" style="54" customWidth="1"/>
    <col min="19" max="19" width="10.125" style="73" bestFit="1" customWidth="1"/>
    <col min="20" max="20" width="7.625" style="73" bestFit="1" customWidth="1"/>
    <col min="21" max="21" width="10.25" style="54" bestFit="1" customWidth="1"/>
    <col min="22" max="22" width="8.75" style="71" customWidth="1"/>
    <col min="23" max="23" width="7.375" style="54" customWidth="1"/>
    <col min="24" max="24" width="6.875" style="54" bestFit="1" customWidth="1"/>
    <col min="25" max="25" width="12.75" style="54" customWidth="1"/>
    <col min="26" max="26" width="18.875" style="54" customWidth="1"/>
    <col min="27" max="27" width="13.125" style="54" bestFit="1" customWidth="1"/>
    <col min="28" max="28" width="10.375" style="54" customWidth="1"/>
    <col min="29" max="29" width="9.375" style="54" customWidth="1"/>
    <col min="30" max="30" width="8" style="54"/>
    <col min="31" max="31" width="24.625" style="54" bestFit="1" customWidth="1"/>
    <col min="32" max="16384" width="8" style="54"/>
  </cols>
  <sheetData>
    <row r="1" spans="1:29" ht="26.25" customHeight="1">
      <c r="A1" s="52" t="s">
        <v>202</v>
      </c>
      <c r="B1" s="52"/>
      <c r="C1" s="117" t="s">
        <v>203</v>
      </c>
      <c r="D1" s="118">
        <f>SUM(F5:F73)</f>
        <v>184309</v>
      </c>
      <c r="E1" s="94" t="s">
        <v>204</v>
      </c>
      <c r="F1" s="52">
        <f>SUM(G5:G73)</f>
        <v>6351521.6499999994</v>
      </c>
      <c r="G1" s="52" t="s">
        <v>205</v>
      </c>
      <c r="H1" s="53">
        <f>L9+L12+L52+L59+L18+L64+L35+L43+L27+L73</f>
        <v>154.22976190476192</v>
      </c>
      <c r="I1" s="607" t="s">
        <v>206</v>
      </c>
      <c r="J1" s="607"/>
      <c r="K1" s="607"/>
      <c r="L1" s="607" t="s">
        <v>207</v>
      </c>
      <c r="M1" s="607"/>
      <c r="N1" s="607"/>
      <c r="O1" s="607" t="s">
        <v>208</v>
      </c>
      <c r="P1" s="607"/>
      <c r="Q1" s="607"/>
      <c r="R1" s="607"/>
      <c r="S1" s="607" t="s">
        <v>209</v>
      </c>
      <c r="T1" s="607"/>
      <c r="U1" s="607"/>
      <c r="V1" s="607"/>
      <c r="W1" s="607"/>
      <c r="X1" s="607"/>
      <c r="Y1" s="607" t="s">
        <v>210</v>
      </c>
      <c r="Z1" s="607"/>
      <c r="AA1" s="607" t="s">
        <v>211</v>
      </c>
      <c r="AB1" s="608"/>
      <c r="AC1" s="608"/>
    </row>
    <row r="2" spans="1:29" ht="26.25" customHeight="1">
      <c r="A2" s="55">
        <v>45993</v>
      </c>
      <c r="B2" s="56" t="s">
        <v>212</v>
      </c>
      <c r="C2" s="117" t="s">
        <v>213</v>
      </c>
      <c r="D2" s="119">
        <f>AVERAGE(N9,N12,N52,N59,N18,N64,N27,N35,N43,N73)</f>
        <v>147.88327703165891</v>
      </c>
      <c r="E2" s="120" t="s">
        <v>0</v>
      </c>
      <c r="F2" s="121">
        <f>F1/D1</f>
        <v>34.461266948439842</v>
      </c>
      <c r="G2" s="52" t="s">
        <v>214</v>
      </c>
      <c r="H2" s="93">
        <f>COUNT(H5:H73)</f>
        <v>8</v>
      </c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8"/>
      <c r="AB2" s="608"/>
      <c r="AC2" s="608"/>
    </row>
    <row r="3" spans="1:29" ht="23.25" customHeight="1">
      <c r="A3" s="559" t="s">
        <v>215</v>
      </c>
      <c r="B3" s="559" t="s">
        <v>216</v>
      </c>
      <c r="C3" s="559" t="s">
        <v>217</v>
      </c>
      <c r="D3" s="559"/>
      <c r="E3" s="605" t="s">
        <v>218</v>
      </c>
      <c r="F3" s="559" t="s">
        <v>219</v>
      </c>
      <c r="G3" s="605" t="s">
        <v>220</v>
      </c>
      <c r="H3" s="598" t="s">
        <v>221</v>
      </c>
      <c r="I3" s="596" t="s">
        <v>222</v>
      </c>
      <c r="J3" s="601" t="s">
        <v>223</v>
      </c>
      <c r="K3" s="603" t="s">
        <v>213</v>
      </c>
      <c r="L3" s="596" t="s">
        <v>222</v>
      </c>
      <c r="M3" s="601" t="s">
        <v>223</v>
      </c>
      <c r="N3" s="603" t="s">
        <v>213</v>
      </c>
      <c r="O3" s="596" t="s">
        <v>222</v>
      </c>
      <c r="P3" s="603" t="s">
        <v>213</v>
      </c>
      <c r="Q3" s="602" t="s">
        <v>224</v>
      </c>
      <c r="R3" s="574" t="s">
        <v>225</v>
      </c>
      <c r="S3" s="604" t="s">
        <v>1</v>
      </c>
      <c r="T3" s="604"/>
      <c r="U3" s="598" t="s">
        <v>2</v>
      </c>
      <c r="V3" s="598" t="s">
        <v>226</v>
      </c>
      <c r="W3" s="559" t="s">
        <v>227</v>
      </c>
      <c r="X3" s="559"/>
      <c r="Y3" s="599" t="s">
        <v>228</v>
      </c>
      <c r="Z3" s="600"/>
      <c r="AA3" s="601" t="s">
        <v>223</v>
      </c>
      <c r="AB3" s="602" t="s">
        <v>224</v>
      </c>
      <c r="AC3" s="574" t="s">
        <v>225</v>
      </c>
    </row>
    <row r="4" spans="1:29">
      <c r="A4" s="559"/>
      <c r="B4" s="559"/>
      <c r="C4" s="559"/>
      <c r="D4" s="559"/>
      <c r="E4" s="606"/>
      <c r="F4" s="559"/>
      <c r="G4" s="606"/>
      <c r="H4" s="598"/>
      <c r="I4" s="596"/>
      <c r="J4" s="601"/>
      <c r="K4" s="603"/>
      <c r="L4" s="596"/>
      <c r="M4" s="601"/>
      <c r="N4" s="603"/>
      <c r="O4" s="596"/>
      <c r="P4" s="603"/>
      <c r="Q4" s="602"/>
      <c r="R4" s="574"/>
      <c r="S4" s="95" t="s">
        <v>3</v>
      </c>
      <c r="T4" s="95" t="s">
        <v>4</v>
      </c>
      <c r="U4" s="598"/>
      <c r="V4" s="598"/>
      <c r="W4" s="94" t="s">
        <v>229</v>
      </c>
      <c r="X4" s="94" t="s">
        <v>230</v>
      </c>
      <c r="Y4" s="600"/>
      <c r="Z4" s="600"/>
      <c r="AA4" s="601"/>
      <c r="AB4" s="602"/>
      <c r="AC4" s="574"/>
    </row>
    <row r="5" spans="1:29">
      <c r="A5" s="595" t="s">
        <v>231</v>
      </c>
      <c r="B5" s="57" t="s">
        <v>6</v>
      </c>
      <c r="C5" s="597" t="s">
        <v>9</v>
      </c>
      <c r="D5" s="597"/>
      <c r="E5" s="57">
        <v>50.67</v>
      </c>
      <c r="F5" s="95">
        <v>1712</v>
      </c>
      <c r="G5" s="94">
        <f t="shared" ref="G5:G8" si="0">E5*F5</f>
        <v>86747.040000000008</v>
      </c>
      <c r="H5" s="72" t="s">
        <v>5</v>
      </c>
      <c r="I5" s="96">
        <v>17</v>
      </c>
      <c r="J5" s="58">
        <v>2000</v>
      </c>
      <c r="K5" s="59">
        <f t="shared" ref="K5:K68" si="1">J5/I5</f>
        <v>117.64705882352941</v>
      </c>
      <c r="L5" s="96">
        <v>17</v>
      </c>
      <c r="M5" s="60">
        <f t="shared" ref="M5:M8" si="2">F5/V5*60</f>
        <v>1938.113207547171</v>
      </c>
      <c r="N5" s="59">
        <f t="shared" ref="N5:N68" si="3">M5/L5</f>
        <v>114.00665926748064</v>
      </c>
      <c r="O5" s="61">
        <f t="shared" ref="O5:O68" si="4">L5-I5</f>
        <v>0</v>
      </c>
      <c r="P5" s="62">
        <f t="shared" ref="P5:P68" si="5">N5-K5</f>
        <v>-3.640399556048763</v>
      </c>
      <c r="Q5" s="101">
        <f t="shared" ref="Q5:Q68" si="6">N5/K5</f>
        <v>0.96905660377358549</v>
      </c>
      <c r="R5" s="566">
        <f>Q9</f>
        <v>0.95809515131666989</v>
      </c>
      <c r="S5" s="63">
        <v>0.70833333333333337</v>
      </c>
      <c r="T5" s="63">
        <v>0.74513888888888891</v>
      </c>
      <c r="U5" s="94"/>
      <c r="V5" s="97">
        <f t="shared" ref="V5:V8" si="7">(T5-S5)*24*60</f>
        <v>52.999999999999972</v>
      </c>
      <c r="W5" s="64"/>
      <c r="X5" s="65"/>
      <c r="Y5" s="559"/>
      <c r="Z5" s="559"/>
      <c r="AA5" s="61">
        <f t="shared" ref="AA5:AA68" si="8">M5-J5</f>
        <v>-61.886792452829013</v>
      </c>
      <c r="AB5" s="101">
        <f t="shared" ref="AB5:AB68" si="9">M5/J5</f>
        <v>0.96905660377358549</v>
      </c>
      <c r="AC5" s="566">
        <f>AB9</f>
        <v>0.95809515131666989</v>
      </c>
    </row>
    <row r="6" spans="1:29">
      <c r="A6" s="596" t="s">
        <v>232</v>
      </c>
      <c r="B6" s="57" t="s">
        <v>6</v>
      </c>
      <c r="C6" s="597" t="s">
        <v>8</v>
      </c>
      <c r="D6" s="597"/>
      <c r="E6" s="57">
        <v>50.49</v>
      </c>
      <c r="F6" s="95">
        <v>2284</v>
      </c>
      <c r="G6" s="94">
        <f t="shared" si="0"/>
        <v>115319.16</v>
      </c>
      <c r="H6" s="72" t="s">
        <v>5</v>
      </c>
      <c r="I6" s="96">
        <v>15</v>
      </c>
      <c r="J6" s="58">
        <v>2000</v>
      </c>
      <c r="K6" s="59">
        <f t="shared" si="1"/>
        <v>133.33333333333334</v>
      </c>
      <c r="L6" s="96">
        <v>15</v>
      </c>
      <c r="M6" s="60">
        <f t="shared" si="2"/>
        <v>1903.3333333333319</v>
      </c>
      <c r="N6" s="59">
        <f t="shared" si="3"/>
        <v>126.88888888888879</v>
      </c>
      <c r="O6" s="61">
        <f t="shared" si="4"/>
        <v>0</v>
      </c>
      <c r="P6" s="62">
        <f t="shared" si="5"/>
        <v>-6.4444444444445566</v>
      </c>
      <c r="Q6" s="101">
        <f t="shared" si="6"/>
        <v>0.95166666666666588</v>
      </c>
      <c r="R6" s="566"/>
      <c r="S6" s="63">
        <v>0.74930555555555556</v>
      </c>
      <c r="T6" s="63">
        <v>0.7993055555555556</v>
      </c>
      <c r="U6" s="94">
        <f t="shared" ref="U6:U8" si="10">IF(S6=TIME(17,0,0),"",(S6-T5)*24*60)</f>
        <v>5.9999999999999787</v>
      </c>
      <c r="V6" s="97">
        <f t="shared" si="7"/>
        <v>72.000000000000057</v>
      </c>
      <c r="W6" s="64"/>
      <c r="X6" s="64"/>
      <c r="Y6" s="559"/>
      <c r="Z6" s="559"/>
      <c r="AA6" s="61">
        <f t="shared" si="8"/>
        <v>-96.666666666668107</v>
      </c>
      <c r="AB6" s="101">
        <f t="shared" si="9"/>
        <v>0.95166666666666599</v>
      </c>
      <c r="AC6" s="566"/>
    </row>
    <row r="7" spans="1:29">
      <c r="A7" s="596" t="s">
        <v>232</v>
      </c>
      <c r="B7" s="57" t="s">
        <v>6</v>
      </c>
      <c r="C7" s="590" t="s">
        <v>94</v>
      </c>
      <c r="D7" s="591"/>
      <c r="E7" s="57">
        <v>57.3</v>
      </c>
      <c r="F7" s="95">
        <v>1500</v>
      </c>
      <c r="G7" s="94">
        <f t="shared" si="0"/>
        <v>85950</v>
      </c>
      <c r="H7" s="72">
        <v>2</v>
      </c>
      <c r="I7" s="96">
        <v>13</v>
      </c>
      <c r="J7" s="58">
        <v>2000</v>
      </c>
      <c r="K7" s="59">
        <f t="shared" si="1"/>
        <v>153.84615384615384</v>
      </c>
      <c r="L7" s="96">
        <v>13</v>
      </c>
      <c r="M7" s="60">
        <f t="shared" si="2"/>
        <v>1914.8936170212769</v>
      </c>
      <c r="N7" s="59">
        <f t="shared" si="3"/>
        <v>147.29950900163669</v>
      </c>
      <c r="O7" s="61">
        <f t="shared" si="4"/>
        <v>0</v>
      </c>
      <c r="P7" s="62">
        <f t="shared" si="5"/>
        <v>-6.5466448445171466</v>
      </c>
      <c r="Q7" s="101">
        <f t="shared" si="6"/>
        <v>0.95744680851063857</v>
      </c>
      <c r="R7" s="566"/>
      <c r="S7" s="63">
        <v>0.8041666666666667</v>
      </c>
      <c r="T7" s="63">
        <v>0.83680555555555558</v>
      </c>
      <c r="U7" s="94">
        <f t="shared" si="10"/>
        <v>6.9999999999999751</v>
      </c>
      <c r="V7" s="97">
        <f t="shared" si="7"/>
        <v>46.999999999999993</v>
      </c>
      <c r="W7" s="64">
        <f>T7</f>
        <v>0.83680555555555558</v>
      </c>
      <c r="X7" s="64">
        <f>S8</f>
        <v>0.87708333333333333</v>
      </c>
      <c r="Y7" s="569"/>
      <c r="Z7" s="570"/>
      <c r="AA7" s="61">
        <f t="shared" si="8"/>
        <v>-85.106382978723104</v>
      </c>
      <c r="AB7" s="101">
        <f t="shared" si="9"/>
        <v>0.95744680851063846</v>
      </c>
      <c r="AC7" s="566"/>
    </row>
    <row r="8" spans="1:29">
      <c r="A8" s="596" t="s">
        <v>232</v>
      </c>
      <c r="B8" s="57" t="s">
        <v>6</v>
      </c>
      <c r="C8" s="590" t="s">
        <v>94</v>
      </c>
      <c r="D8" s="591"/>
      <c r="E8" s="57">
        <v>57.3</v>
      </c>
      <c r="F8" s="95">
        <v>1813</v>
      </c>
      <c r="G8" s="94">
        <f t="shared" si="0"/>
        <v>103884.9</v>
      </c>
      <c r="H8" s="72" t="s">
        <v>5</v>
      </c>
      <c r="I8" s="96">
        <v>13</v>
      </c>
      <c r="J8" s="58">
        <v>2000</v>
      </c>
      <c r="K8" s="59">
        <f t="shared" si="1"/>
        <v>153.84615384615384</v>
      </c>
      <c r="L8" s="96">
        <v>13</v>
      </c>
      <c r="M8" s="60">
        <f t="shared" si="2"/>
        <v>1908.4210526315803</v>
      </c>
      <c r="N8" s="59">
        <f t="shared" si="3"/>
        <v>146.80161943319848</v>
      </c>
      <c r="O8" s="61">
        <f t="shared" si="4"/>
        <v>0</v>
      </c>
      <c r="P8" s="62">
        <f t="shared" si="5"/>
        <v>-7.0445344129553575</v>
      </c>
      <c r="Q8" s="101">
        <f t="shared" si="6"/>
        <v>0.95421052631579018</v>
      </c>
      <c r="R8" s="566"/>
      <c r="S8" s="63">
        <v>0.87708333333333333</v>
      </c>
      <c r="T8" s="63">
        <v>0.91666666666666663</v>
      </c>
      <c r="U8" s="94">
        <f t="shared" si="10"/>
        <v>57.999999999999957</v>
      </c>
      <c r="V8" s="97">
        <f t="shared" si="7"/>
        <v>56.999999999999957</v>
      </c>
      <c r="W8" s="68"/>
      <c r="X8" s="68"/>
      <c r="Y8" s="569"/>
      <c r="Z8" s="570"/>
      <c r="AA8" s="61">
        <f t="shared" si="8"/>
        <v>-91.578947368419676</v>
      </c>
      <c r="AB8" s="101">
        <f t="shared" si="9"/>
        <v>0.95421052631579018</v>
      </c>
      <c r="AC8" s="566"/>
    </row>
    <row r="9" spans="1:29">
      <c r="A9" s="596" t="s">
        <v>232</v>
      </c>
      <c r="B9" s="57" t="s">
        <v>233</v>
      </c>
      <c r="C9" s="571"/>
      <c r="D9" s="571"/>
      <c r="E9" s="100"/>
      <c r="F9" s="66"/>
      <c r="G9" s="59"/>
      <c r="H9" s="95"/>
      <c r="I9" s="67">
        <v>14.5</v>
      </c>
      <c r="J9" s="58">
        <v>2000</v>
      </c>
      <c r="K9" s="59">
        <f t="shared" si="1"/>
        <v>137.93103448275863</v>
      </c>
      <c r="L9" s="67">
        <v>14.5</v>
      </c>
      <c r="M9" s="60">
        <f>AVERAGE(M5:M8)</f>
        <v>1916.1903026333398</v>
      </c>
      <c r="N9" s="59">
        <f t="shared" si="3"/>
        <v>132.15105535402344</v>
      </c>
      <c r="O9" s="61">
        <f t="shared" si="4"/>
        <v>0</v>
      </c>
      <c r="P9" s="62">
        <f t="shared" si="5"/>
        <v>-5.7799791287351923</v>
      </c>
      <c r="Q9" s="101">
        <f t="shared" si="6"/>
        <v>0.95809515131666989</v>
      </c>
      <c r="R9" s="566"/>
      <c r="S9" s="63"/>
      <c r="T9" s="63"/>
      <c r="U9" s="94"/>
      <c r="V9" s="97"/>
      <c r="W9" s="59"/>
      <c r="X9" s="59"/>
      <c r="Y9" s="559"/>
      <c r="Z9" s="559"/>
      <c r="AA9" s="61">
        <f t="shared" si="8"/>
        <v>-83.809697366660203</v>
      </c>
      <c r="AB9" s="101">
        <f t="shared" si="9"/>
        <v>0.95809515131666989</v>
      </c>
      <c r="AC9" s="566"/>
    </row>
    <row r="10" spans="1:29" ht="15.75" customHeight="1">
      <c r="A10" s="594" t="s">
        <v>234</v>
      </c>
      <c r="B10" s="57" t="s">
        <v>10</v>
      </c>
      <c r="C10" s="590" t="s">
        <v>11</v>
      </c>
      <c r="D10" s="591"/>
      <c r="E10" s="57">
        <v>39.799999999999997</v>
      </c>
      <c r="F10" s="95">
        <v>6476</v>
      </c>
      <c r="G10" s="94">
        <f t="shared" ref="G10:G11" si="11">E10*F10</f>
        <v>257744.8</v>
      </c>
      <c r="H10" s="72" t="s">
        <v>5</v>
      </c>
      <c r="I10" s="96">
        <v>17</v>
      </c>
      <c r="J10" s="58">
        <v>1500</v>
      </c>
      <c r="K10" s="59">
        <f t="shared" si="1"/>
        <v>88.235294117647058</v>
      </c>
      <c r="L10" s="96">
        <v>17</v>
      </c>
      <c r="M10" s="60">
        <f t="shared" ref="M10:M11" si="12">F10/V10*60</f>
        <v>1428.5294117647056</v>
      </c>
      <c r="N10" s="59">
        <f t="shared" si="3"/>
        <v>84.031141868512094</v>
      </c>
      <c r="O10" s="61">
        <f t="shared" si="4"/>
        <v>0</v>
      </c>
      <c r="P10" s="62">
        <f t="shared" si="5"/>
        <v>-4.2041522491349639</v>
      </c>
      <c r="Q10" s="101">
        <f t="shared" si="6"/>
        <v>0.9523529411764704</v>
      </c>
      <c r="R10" s="566">
        <f>Q12</f>
        <v>0.95318796484110868</v>
      </c>
      <c r="S10" s="63">
        <v>0.20833333333333334</v>
      </c>
      <c r="T10" s="63">
        <v>0.39722222222222225</v>
      </c>
      <c r="U10" s="94"/>
      <c r="V10" s="97">
        <f t="shared" ref="V10:V11" si="13">(T10-S10)*24*60</f>
        <v>272.00000000000006</v>
      </c>
      <c r="W10" s="64"/>
      <c r="X10" s="64"/>
      <c r="Y10" s="559"/>
      <c r="Z10" s="559"/>
      <c r="AA10" s="61">
        <f t="shared" si="8"/>
        <v>-71.470588235294372</v>
      </c>
      <c r="AB10" s="101">
        <f t="shared" si="9"/>
        <v>0.9523529411764704</v>
      </c>
      <c r="AC10" s="566">
        <f>AB12</f>
        <v>0.95318796484110857</v>
      </c>
    </row>
    <row r="11" spans="1:29" ht="15.75" customHeight="1">
      <c r="A11" s="594" t="s">
        <v>234</v>
      </c>
      <c r="B11" s="57" t="s">
        <v>10</v>
      </c>
      <c r="C11" s="590" t="s">
        <v>14</v>
      </c>
      <c r="D11" s="591"/>
      <c r="E11" s="57">
        <v>39.619999999999997</v>
      </c>
      <c r="F11" s="95">
        <v>4150</v>
      </c>
      <c r="G11" s="94">
        <f t="shared" si="11"/>
        <v>164423</v>
      </c>
      <c r="H11" s="72" t="s">
        <v>5</v>
      </c>
      <c r="I11" s="96">
        <v>19</v>
      </c>
      <c r="J11" s="58">
        <v>1500</v>
      </c>
      <c r="K11" s="59">
        <f t="shared" si="1"/>
        <v>78.94736842105263</v>
      </c>
      <c r="L11" s="96">
        <v>19</v>
      </c>
      <c r="M11" s="60">
        <f t="shared" si="12"/>
        <v>1431.0344827586205</v>
      </c>
      <c r="N11" s="59">
        <f t="shared" si="3"/>
        <v>75.317604355716867</v>
      </c>
      <c r="O11" s="61">
        <f t="shared" si="4"/>
        <v>0</v>
      </c>
      <c r="P11" s="62">
        <f t="shared" si="5"/>
        <v>-3.6297640653357632</v>
      </c>
      <c r="Q11" s="101">
        <f t="shared" si="6"/>
        <v>0.95402298850574696</v>
      </c>
      <c r="R11" s="566"/>
      <c r="S11" s="63">
        <v>0.40069444444444446</v>
      </c>
      <c r="T11" s="63">
        <v>0.52152777777777781</v>
      </c>
      <c r="U11" s="94">
        <f t="shared" ref="U11" si="14">IF(S11=TIME(17,0,0),"",(S11-T10)*24*60)</f>
        <v>4.9999999999999822</v>
      </c>
      <c r="V11" s="97">
        <f t="shared" si="13"/>
        <v>174.00000000000003</v>
      </c>
      <c r="W11" s="64"/>
      <c r="X11" s="64"/>
      <c r="Y11" s="559"/>
      <c r="Z11" s="559"/>
      <c r="AA11" s="61">
        <f t="shared" si="8"/>
        <v>-68.96551724137953</v>
      </c>
      <c r="AB11" s="101">
        <f t="shared" si="9"/>
        <v>0.95402298850574696</v>
      </c>
      <c r="AC11" s="566"/>
    </row>
    <row r="12" spans="1:29" ht="16.5" customHeight="1">
      <c r="A12" s="594" t="s">
        <v>234</v>
      </c>
      <c r="B12" s="57" t="s">
        <v>233</v>
      </c>
      <c r="C12" s="571"/>
      <c r="D12" s="571"/>
      <c r="E12" s="100"/>
      <c r="F12" s="58"/>
      <c r="G12" s="60"/>
      <c r="H12" s="95"/>
      <c r="I12" s="67">
        <v>18</v>
      </c>
      <c r="J12" s="58">
        <v>1500</v>
      </c>
      <c r="K12" s="59">
        <f t="shared" si="1"/>
        <v>83.333333333333329</v>
      </c>
      <c r="L12" s="67">
        <v>18</v>
      </c>
      <c r="M12" s="60">
        <f>AVERAGE(M10:M11)</f>
        <v>1429.7819472616629</v>
      </c>
      <c r="N12" s="59">
        <f t="shared" si="3"/>
        <v>79.432330403425723</v>
      </c>
      <c r="O12" s="61">
        <f t="shared" si="4"/>
        <v>0</v>
      </c>
      <c r="P12" s="62">
        <f t="shared" si="5"/>
        <v>-3.9010029299076052</v>
      </c>
      <c r="Q12" s="101">
        <f t="shared" si="6"/>
        <v>0.95318796484110868</v>
      </c>
      <c r="R12" s="566"/>
      <c r="S12" s="63"/>
      <c r="T12" s="63"/>
      <c r="U12" s="59"/>
      <c r="V12" s="97"/>
      <c r="W12" s="59"/>
      <c r="X12" s="59"/>
      <c r="Y12" s="559"/>
      <c r="Z12" s="559"/>
      <c r="AA12" s="61">
        <f t="shared" si="8"/>
        <v>-70.218052738337065</v>
      </c>
      <c r="AB12" s="101">
        <f t="shared" si="9"/>
        <v>0.95318796484110857</v>
      </c>
      <c r="AC12" s="566"/>
    </row>
    <row r="13" spans="1:29" ht="16.5" customHeight="1">
      <c r="A13" s="592" t="s">
        <v>235</v>
      </c>
      <c r="B13" s="95" t="s">
        <v>12</v>
      </c>
      <c r="C13" s="584" t="s">
        <v>13</v>
      </c>
      <c r="D13" s="584"/>
      <c r="E13" s="57">
        <v>41</v>
      </c>
      <c r="F13" s="95">
        <v>2443</v>
      </c>
      <c r="G13" s="94">
        <f t="shared" ref="G13:G17" si="15">E13*F13</f>
        <v>100163</v>
      </c>
      <c r="H13" s="72" t="s">
        <v>5</v>
      </c>
      <c r="I13" s="96">
        <v>26</v>
      </c>
      <c r="J13" s="58">
        <v>1500</v>
      </c>
      <c r="K13" s="59">
        <f t="shared" si="1"/>
        <v>57.692307692307693</v>
      </c>
      <c r="L13" s="96">
        <v>26</v>
      </c>
      <c r="M13" s="60">
        <f t="shared" ref="M13:M17" si="16">F13/V13*60</f>
        <v>1437.0588235294117</v>
      </c>
      <c r="N13" s="59">
        <f t="shared" si="3"/>
        <v>55.271493212669682</v>
      </c>
      <c r="O13" s="61">
        <f t="shared" si="4"/>
        <v>0</v>
      </c>
      <c r="P13" s="62">
        <f t="shared" si="5"/>
        <v>-2.4208144796380111</v>
      </c>
      <c r="Q13" s="101">
        <f t="shared" si="6"/>
        <v>0.95803921568627448</v>
      </c>
      <c r="R13" s="566">
        <f>Q18</f>
        <v>0.95733027404768045</v>
      </c>
      <c r="S13" s="63">
        <v>0.125</v>
      </c>
      <c r="T13" s="63">
        <v>0.19583333333333333</v>
      </c>
      <c r="U13" s="94"/>
      <c r="V13" s="97">
        <f t="shared" ref="V13:V17" si="17">(T13-S13)*24*60</f>
        <v>102</v>
      </c>
      <c r="W13" s="64">
        <f>T13</f>
        <v>0.19583333333333333</v>
      </c>
      <c r="X13" s="64">
        <f>S14</f>
        <v>0.21597222222222223</v>
      </c>
      <c r="Y13" s="559"/>
      <c r="Z13" s="559"/>
      <c r="AA13" s="61">
        <f t="shared" si="8"/>
        <v>-62.941176470588289</v>
      </c>
      <c r="AB13" s="101">
        <f t="shared" si="9"/>
        <v>0.95803921568627448</v>
      </c>
      <c r="AC13" s="566">
        <f>AB18</f>
        <v>0.95733027404768045</v>
      </c>
    </row>
    <row r="14" spans="1:29" ht="16.5" customHeight="1">
      <c r="A14" s="593" t="s">
        <v>235</v>
      </c>
      <c r="B14" s="95" t="s">
        <v>655</v>
      </c>
      <c r="C14" s="584" t="s">
        <v>236</v>
      </c>
      <c r="D14" s="584"/>
      <c r="E14" s="57">
        <v>69.010000000000005</v>
      </c>
      <c r="F14" s="95">
        <v>5149</v>
      </c>
      <c r="G14" s="94">
        <f t="shared" si="15"/>
        <v>355332.49000000005</v>
      </c>
      <c r="H14" s="72" t="s">
        <v>5</v>
      </c>
      <c r="I14" s="96">
        <v>18</v>
      </c>
      <c r="J14" s="58">
        <v>1500</v>
      </c>
      <c r="K14" s="59">
        <f t="shared" si="1"/>
        <v>83.333333333333329</v>
      </c>
      <c r="L14" s="96">
        <v>18</v>
      </c>
      <c r="M14" s="60">
        <f t="shared" si="16"/>
        <v>1430.2777777777776</v>
      </c>
      <c r="N14" s="59">
        <f t="shared" si="3"/>
        <v>79.459876543209873</v>
      </c>
      <c r="O14" s="61">
        <f t="shared" si="4"/>
        <v>0</v>
      </c>
      <c r="P14" s="62">
        <f t="shared" si="5"/>
        <v>-3.8734567901234556</v>
      </c>
      <c r="Q14" s="101">
        <f t="shared" si="6"/>
        <v>0.95351851851851854</v>
      </c>
      <c r="R14" s="566"/>
      <c r="S14" s="63">
        <v>0.21597222222222223</v>
      </c>
      <c r="T14" s="63">
        <v>0.36597222222222225</v>
      </c>
      <c r="U14" s="94">
        <f t="shared" ref="U14:U17" si="18">IF(S14=TIME(17,0,0),"",(S14-T13)*24*60)</f>
        <v>29.000000000000018</v>
      </c>
      <c r="V14" s="97">
        <f t="shared" si="17"/>
        <v>216.00000000000003</v>
      </c>
      <c r="W14" s="64"/>
      <c r="X14" s="64"/>
      <c r="Y14" s="559"/>
      <c r="Z14" s="559"/>
      <c r="AA14" s="61">
        <f t="shared" si="8"/>
        <v>-69.722222222222399</v>
      </c>
      <c r="AB14" s="101">
        <f t="shared" si="9"/>
        <v>0.95351851851851843</v>
      </c>
      <c r="AC14" s="566"/>
    </row>
    <row r="15" spans="1:29" ht="16.5" customHeight="1">
      <c r="A15" s="593" t="s">
        <v>235</v>
      </c>
      <c r="B15" s="95" t="s">
        <v>6</v>
      </c>
      <c r="C15" s="584" t="s">
        <v>95</v>
      </c>
      <c r="D15" s="584"/>
      <c r="E15" s="57">
        <v>50.98</v>
      </c>
      <c r="F15" s="95">
        <v>3081</v>
      </c>
      <c r="G15" s="94">
        <f t="shared" si="15"/>
        <v>157069.38</v>
      </c>
      <c r="H15" s="72" t="s">
        <v>5</v>
      </c>
      <c r="I15" s="96">
        <v>16</v>
      </c>
      <c r="J15" s="58">
        <v>2000</v>
      </c>
      <c r="K15" s="59">
        <f t="shared" si="1"/>
        <v>125</v>
      </c>
      <c r="L15" s="96">
        <v>16</v>
      </c>
      <c r="M15" s="60">
        <f t="shared" si="16"/>
        <v>1905.773195876289</v>
      </c>
      <c r="N15" s="59">
        <f t="shared" si="3"/>
        <v>119.11082474226806</v>
      </c>
      <c r="O15" s="61">
        <f t="shared" si="4"/>
        <v>0</v>
      </c>
      <c r="P15" s="62">
        <f t="shared" si="5"/>
        <v>-5.8891752577319352</v>
      </c>
      <c r="Q15" s="101">
        <f t="shared" si="6"/>
        <v>0.95288659793814456</v>
      </c>
      <c r="R15" s="566"/>
      <c r="S15" s="63">
        <v>0.70833333333333337</v>
      </c>
      <c r="T15" s="63">
        <v>0.77569444444444446</v>
      </c>
      <c r="U15" s="94" t="str">
        <f t="shared" si="18"/>
        <v/>
      </c>
      <c r="V15" s="97">
        <f t="shared" si="17"/>
        <v>96.999999999999972</v>
      </c>
      <c r="W15" s="64"/>
      <c r="X15" s="64"/>
      <c r="Y15" s="559"/>
      <c r="Z15" s="559"/>
      <c r="AA15" s="61">
        <f t="shared" si="8"/>
        <v>-94.226804123710963</v>
      </c>
      <c r="AB15" s="101">
        <f t="shared" si="9"/>
        <v>0.95288659793814456</v>
      </c>
      <c r="AC15" s="566"/>
    </row>
    <row r="16" spans="1:29" ht="16.5" customHeight="1">
      <c r="A16" s="593" t="s">
        <v>235</v>
      </c>
      <c r="B16" s="95" t="s">
        <v>6</v>
      </c>
      <c r="C16" s="584" t="s">
        <v>18</v>
      </c>
      <c r="D16" s="584"/>
      <c r="E16" s="57">
        <v>50.92</v>
      </c>
      <c r="F16" s="95">
        <v>2984</v>
      </c>
      <c r="G16" s="94">
        <f t="shared" si="15"/>
        <v>151945.28</v>
      </c>
      <c r="H16" s="72" t="s">
        <v>5</v>
      </c>
      <c r="I16" s="96">
        <v>15</v>
      </c>
      <c r="J16" s="58">
        <v>2000</v>
      </c>
      <c r="K16" s="59">
        <f t="shared" si="1"/>
        <v>133.33333333333334</v>
      </c>
      <c r="L16" s="96">
        <v>15</v>
      </c>
      <c r="M16" s="60">
        <f t="shared" si="16"/>
        <v>1904.68085106383</v>
      </c>
      <c r="N16" s="59">
        <f t="shared" si="3"/>
        <v>126.97872340425533</v>
      </c>
      <c r="O16" s="61">
        <f t="shared" si="4"/>
        <v>0</v>
      </c>
      <c r="P16" s="62">
        <f t="shared" si="5"/>
        <v>-6.3546099290780091</v>
      </c>
      <c r="Q16" s="101">
        <f t="shared" si="6"/>
        <v>0.95234042553191489</v>
      </c>
      <c r="R16" s="566"/>
      <c r="S16" s="63">
        <v>0.78055555555555556</v>
      </c>
      <c r="T16" s="63">
        <v>0.84583333333333333</v>
      </c>
      <c r="U16" s="94">
        <f t="shared" si="18"/>
        <v>6.9999999999999751</v>
      </c>
      <c r="V16" s="97">
        <f t="shared" si="17"/>
        <v>93.999999999999986</v>
      </c>
      <c r="W16" s="64"/>
      <c r="X16" s="64"/>
      <c r="Y16" s="559"/>
      <c r="Z16" s="559"/>
      <c r="AA16" s="61">
        <f t="shared" si="8"/>
        <v>-95.319148936169995</v>
      </c>
      <c r="AB16" s="101">
        <f t="shared" si="9"/>
        <v>0.952340425531915</v>
      </c>
      <c r="AC16" s="566"/>
    </row>
    <row r="17" spans="1:29" ht="16.5" customHeight="1">
      <c r="A17" s="593" t="s">
        <v>235</v>
      </c>
      <c r="B17" s="95" t="s">
        <v>6</v>
      </c>
      <c r="C17" s="584" t="s">
        <v>7</v>
      </c>
      <c r="D17" s="584"/>
      <c r="E17" s="57">
        <v>46.93</v>
      </c>
      <c r="F17" s="95">
        <v>1066</v>
      </c>
      <c r="G17" s="94">
        <f t="shared" si="15"/>
        <v>50027.38</v>
      </c>
      <c r="H17" s="72" t="s">
        <v>5</v>
      </c>
      <c r="I17" s="96">
        <v>16</v>
      </c>
      <c r="J17" s="58">
        <v>2000</v>
      </c>
      <c r="K17" s="59">
        <f t="shared" si="1"/>
        <v>125</v>
      </c>
      <c r="L17" s="96">
        <v>16</v>
      </c>
      <c r="M17" s="60">
        <f t="shared" si="16"/>
        <v>1938.1818181818157</v>
      </c>
      <c r="N17" s="59">
        <f t="shared" si="3"/>
        <v>121.13636363636348</v>
      </c>
      <c r="O17" s="61">
        <f t="shared" si="4"/>
        <v>0</v>
      </c>
      <c r="P17" s="62">
        <f t="shared" si="5"/>
        <v>-3.8636363636365161</v>
      </c>
      <c r="Q17" s="101">
        <f t="shared" si="6"/>
        <v>0.96909090909090789</v>
      </c>
      <c r="R17" s="566"/>
      <c r="S17" s="63">
        <v>0.84930555555555554</v>
      </c>
      <c r="T17" s="63">
        <v>0.87222222222222223</v>
      </c>
      <c r="U17" s="94">
        <f t="shared" si="18"/>
        <v>4.9999999999999822</v>
      </c>
      <c r="V17" s="97">
        <f t="shared" si="17"/>
        <v>33.000000000000043</v>
      </c>
      <c r="W17" s="64"/>
      <c r="X17" s="64"/>
      <c r="Y17" s="559"/>
      <c r="Z17" s="559"/>
      <c r="AA17" s="61">
        <f t="shared" si="8"/>
        <v>-61.818181818184257</v>
      </c>
      <c r="AB17" s="101">
        <f t="shared" si="9"/>
        <v>0.96909090909090789</v>
      </c>
      <c r="AC17" s="566"/>
    </row>
    <row r="18" spans="1:29" ht="16.5" customHeight="1">
      <c r="A18" s="593" t="s">
        <v>235</v>
      </c>
      <c r="B18" s="57" t="s">
        <v>233</v>
      </c>
      <c r="C18" s="571"/>
      <c r="D18" s="571"/>
      <c r="E18" s="100"/>
      <c r="F18" s="66"/>
      <c r="G18" s="59"/>
      <c r="H18" s="95"/>
      <c r="I18" s="67">
        <v>18.2</v>
      </c>
      <c r="J18" s="58">
        <v>1800</v>
      </c>
      <c r="K18" s="59">
        <f t="shared" si="1"/>
        <v>98.901098901098905</v>
      </c>
      <c r="L18" s="67">
        <v>18.2</v>
      </c>
      <c r="M18" s="60">
        <f>AVERAGE(M13:M17)</f>
        <v>1723.1944932858248</v>
      </c>
      <c r="N18" s="59">
        <f t="shared" si="3"/>
        <v>94.681016114605768</v>
      </c>
      <c r="O18" s="61">
        <f t="shared" si="4"/>
        <v>0</v>
      </c>
      <c r="P18" s="62">
        <f t="shared" si="5"/>
        <v>-4.220082786493137</v>
      </c>
      <c r="Q18" s="101">
        <f t="shared" si="6"/>
        <v>0.95733027404768045</v>
      </c>
      <c r="R18" s="566"/>
      <c r="S18" s="63"/>
      <c r="T18" s="63"/>
      <c r="U18" s="94"/>
      <c r="V18" s="97"/>
      <c r="W18" s="59"/>
      <c r="X18" s="59"/>
      <c r="Y18" s="559"/>
      <c r="Z18" s="559"/>
      <c r="AA18" s="61">
        <f t="shared" si="8"/>
        <v>-76.805506714175181</v>
      </c>
      <c r="AB18" s="101">
        <f t="shared" si="9"/>
        <v>0.95733027404768045</v>
      </c>
      <c r="AC18" s="566"/>
    </row>
    <row r="19" spans="1:29" ht="15.75" customHeight="1">
      <c r="A19" s="588" t="s">
        <v>237</v>
      </c>
      <c r="B19" s="57" t="s">
        <v>12</v>
      </c>
      <c r="C19" s="584" t="s">
        <v>19</v>
      </c>
      <c r="D19" s="584"/>
      <c r="E19" s="57">
        <v>43.14</v>
      </c>
      <c r="F19" s="95">
        <v>1252</v>
      </c>
      <c r="G19" s="94">
        <f t="shared" ref="G19:G26" si="19">E19*F19</f>
        <v>54011.28</v>
      </c>
      <c r="H19" s="72" t="s">
        <v>5</v>
      </c>
      <c r="I19" s="96">
        <v>17</v>
      </c>
      <c r="J19" s="58">
        <v>2000</v>
      </c>
      <c r="K19" s="59">
        <f t="shared" si="1"/>
        <v>117.64705882352941</v>
      </c>
      <c r="L19" s="96">
        <v>17</v>
      </c>
      <c r="M19" s="60">
        <f t="shared" ref="M19:M26" si="20">F19/V19*60</f>
        <v>1926.1538461538473</v>
      </c>
      <c r="N19" s="59">
        <f t="shared" si="3"/>
        <v>113.30316742081455</v>
      </c>
      <c r="O19" s="61">
        <f t="shared" si="4"/>
        <v>0</v>
      </c>
      <c r="P19" s="62">
        <f t="shared" si="5"/>
        <v>-4.3438914027148599</v>
      </c>
      <c r="Q19" s="101">
        <f t="shared" si="6"/>
        <v>0.96307692307692372</v>
      </c>
      <c r="R19" s="566">
        <f>Q27</f>
        <v>0.95752571253632057</v>
      </c>
      <c r="S19" s="63">
        <v>0.20833333333333334</v>
      </c>
      <c r="T19" s="63">
        <v>0.23541666666666666</v>
      </c>
      <c r="U19" s="94"/>
      <c r="V19" s="97">
        <f t="shared" ref="V19:V26" si="21">(T19-S19)*24*60</f>
        <v>38.999999999999979</v>
      </c>
      <c r="W19" s="68"/>
      <c r="X19" s="68"/>
      <c r="Y19" s="559"/>
      <c r="Z19" s="559"/>
      <c r="AA19" s="61">
        <f t="shared" si="8"/>
        <v>-73.846153846152674</v>
      </c>
      <c r="AB19" s="101">
        <f t="shared" si="9"/>
        <v>0.96307692307692361</v>
      </c>
      <c r="AC19" s="566">
        <f>AB27</f>
        <v>0.95752571253632057</v>
      </c>
    </row>
    <row r="20" spans="1:29" ht="15.75" customHeight="1">
      <c r="A20" s="589" t="s">
        <v>238</v>
      </c>
      <c r="B20" s="57" t="s">
        <v>65</v>
      </c>
      <c r="C20" s="584" t="s">
        <v>97</v>
      </c>
      <c r="D20" s="584"/>
      <c r="E20" s="57">
        <v>49.9</v>
      </c>
      <c r="F20" s="95">
        <v>1912</v>
      </c>
      <c r="G20" s="94">
        <f t="shared" si="19"/>
        <v>95408.8</v>
      </c>
      <c r="H20" s="72" t="s">
        <v>5</v>
      </c>
      <c r="I20" s="96">
        <v>17</v>
      </c>
      <c r="J20" s="58">
        <v>2000</v>
      </c>
      <c r="K20" s="59">
        <f t="shared" si="1"/>
        <v>117.64705882352941</v>
      </c>
      <c r="L20" s="96">
        <v>17</v>
      </c>
      <c r="M20" s="60">
        <f t="shared" si="20"/>
        <v>1912.0000000000005</v>
      </c>
      <c r="N20" s="59">
        <f t="shared" si="3"/>
        <v>112.47058823529414</v>
      </c>
      <c r="O20" s="61">
        <f t="shared" si="4"/>
        <v>0</v>
      </c>
      <c r="P20" s="62">
        <f t="shared" si="5"/>
        <v>-5.1764705882352615</v>
      </c>
      <c r="Q20" s="101">
        <f t="shared" si="6"/>
        <v>0.95600000000000029</v>
      </c>
      <c r="R20" s="566"/>
      <c r="S20" s="63">
        <v>0.24097222222222223</v>
      </c>
      <c r="T20" s="63">
        <v>0.28263888888888888</v>
      </c>
      <c r="U20" s="94">
        <f t="shared" ref="U20:U26" si="22">IF(S20=TIME(17,0,0),"",(S20-T19)*24*60)</f>
        <v>8.0000000000000107</v>
      </c>
      <c r="V20" s="97">
        <f t="shared" si="21"/>
        <v>59.999999999999986</v>
      </c>
      <c r="W20" s="64"/>
      <c r="X20" s="94"/>
      <c r="Y20" s="559"/>
      <c r="Z20" s="559"/>
      <c r="AA20" s="61">
        <f t="shared" si="8"/>
        <v>-87.999999999999545</v>
      </c>
      <c r="AB20" s="101">
        <f t="shared" si="9"/>
        <v>0.95600000000000018</v>
      </c>
      <c r="AC20" s="566"/>
    </row>
    <row r="21" spans="1:29" ht="15.75" customHeight="1">
      <c r="A21" s="589" t="s">
        <v>238</v>
      </c>
      <c r="B21" s="57" t="s">
        <v>6</v>
      </c>
      <c r="C21" s="584" t="s">
        <v>20</v>
      </c>
      <c r="D21" s="584"/>
      <c r="E21" s="57">
        <v>57.73</v>
      </c>
      <c r="F21" s="95">
        <v>2747</v>
      </c>
      <c r="G21" s="94">
        <f t="shared" si="19"/>
        <v>158584.31</v>
      </c>
      <c r="H21" s="72" t="s">
        <v>5</v>
      </c>
      <c r="I21" s="96">
        <v>14</v>
      </c>
      <c r="J21" s="58">
        <v>2000</v>
      </c>
      <c r="K21" s="59">
        <f t="shared" si="1"/>
        <v>142.85714285714286</v>
      </c>
      <c r="L21" s="96">
        <v>14</v>
      </c>
      <c r="M21" s="60">
        <f t="shared" si="20"/>
        <v>1916.5116279069764</v>
      </c>
      <c r="N21" s="59">
        <f t="shared" si="3"/>
        <v>136.89368770764116</v>
      </c>
      <c r="O21" s="61">
        <f t="shared" si="4"/>
        <v>0</v>
      </c>
      <c r="P21" s="62">
        <f t="shared" si="5"/>
        <v>-5.9634551495016979</v>
      </c>
      <c r="Q21" s="101">
        <f t="shared" si="6"/>
        <v>0.95825581395348813</v>
      </c>
      <c r="R21" s="566"/>
      <c r="S21" s="63">
        <v>0.28749999999999998</v>
      </c>
      <c r="T21" s="63">
        <v>0.34722222222222221</v>
      </c>
      <c r="U21" s="94">
        <f t="shared" si="22"/>
        <v>6.9999999999999751</v>
      </c>
      <c r="V21" s="97">
        <f t="shared" si="21"/>
        <v>86.000000000000014</v>
      </c>
      <c r="W21" s="64"/>
      <c r="X21" s="94"/>
      <c r="Y21" s="559"/>
      <c r="Z21" s="559"/>
      <c r="AA21" s="61">
        <f t="shared" si="8"/>
        <v>-83.4883720930236</v>
      </c>
      <c r="AB21" s="101">
        <f t="shared" si="9"/>
        <v>0.95825581395348824</v>
      </c>
      <c r="AC21" s="566"/>
    </row>
    <row r="22" spans="1:29" ht="15.75" customHeight="1">
      <c r="A22" s="589" t="s">
        <v>238</v>
      </c>
      <c r="B22" s="57" t="s">
        <v>6</v>
      </c>
      <c r="C22" s="584" t="s">
        <v>21</v>
      </c>
      <c r="D22" s="584"/>
      <c r="E22" s="57">
        <v>53.68</v>
      </c>
      <c r="F22" s="95">
        <v>1695</v>
      </c>
      <c r="G22" s="94">
        <f t="shared" si="19"/>
        <v>90987.6</v>
      </c>
      <c r="H22" s="72" t="s">
        <v>5</v>
      </c>
      <c r="I22" s="96">
        <v>16</v>
      </c>
      <c r="J22" s="58">
        <v>2000</v>
      </c>
      <c r="K22" s="59">
        <f t="shared" si="1"/>
        <v>125</v>
      </c>
      <c r="L22" s="96">
        <v>16</v>
      </c>
      <c r="M22" s="60">
        <f t="shared" si="20"/>
        <v>1918.8679245283031</v>
      </c>
      <c r="N22" s="59">
        <f t="shared" si="3"/>
        <v>119.92924528301894</v>
      </c>
      <c r="O22" s="61">
        <f t="shared" si="4"/>
        <v>0</v>
      </c>
      <c r="P22" s="62">
        <f t="shared" si="5"/>
        <v>-5.0707547169810567</v>
      </c>
      <c r="Q22" s="101">
        <f t="shared" si="6"/>
        <v>0.95943396226415156</v>
      </c>
      <c r="R22" s="566"/>
      <c r="S22" s="63">
        <v>0.35138888888888886</v>
      </c>
      <c r="T22" s="63">
        <v>0.3881944444444444</v>
      </c>
      <c r="U22" s="94">
        <f t="shared" si="22"/>
        <v>5.9999999999999787</v>
      </c>
      <c r="V22" s="97">
        <f t="shared" si="21"/>
        <v>52.999999999999972</v>
      </c>
      <c r="W22" s="64"/>
      <c r="X22" s="94"/>
      <c r="Y22" s="559"/>
      <c r="Z22" s="559"/>
      <c r="AA22" s="61">
        <f t="shared" si="8"/>
        <v>-81.132075471696908</v>
      </c>
      <c r="AB22" s="101">
        <f t="shared" si="9"/>
        <v>0.95943396226415156</v>
      </c>
      <c r="AC22" s="566"/>
    </row>
    <row r="23" spans="1:29" ht="15.75" customHeight="1">
      <c r="A23" s="589" t="s">
        <v>238</v>
      </c>
      <c r="B23" s="57" t="s">
        <v>6</v>
      </c>
      <c r="C23" s="584" t="s">
        <v>96</v>
      </c>
      <c r="D23" s="584"/>
      <c r="E23" s="57">
        <v>49.91</v>
      </c>
      <c r="F23" s="95">
        <v>1653</v>
      </c>
      <c r="G23" s="94">
        <f t="shared" si="19"/>
        <v>82501.23</v>
      </c>
      <c r="H23" s="72" t="s">
        <v>5</v>
      </c>
      <c r="I23" s="96">
        <v>17</v>
      </c>
      <c r="J23" s="58">
        <v>2000</v>
      </c>
      <c r="K23" s="59">
        <f t="shared" si="1"/>
        <v>117.64705882352941</v>
      </c>
      <c r="L23" s="96">
        <v>17</v>
      </c>
      <c r="M23" s="60">
        <f t="shared" si="20"/>
        <v>1907.3076923076933</v>
      </c>
      <c r="N23" s="59">
        <f t="shared" si="3"/>
        <v>112.19457013574666</v>
      </c>
      <c r="O23" s="61">
        <f t="shared" si="4"/>
        <v>0</v>
      </c>
      <c r="P23" s="62">
        <f t="shared" si="5"/>
        <v>-5.452488687782747</v>
      </c>
      <c r="Q23" s="101">
        <f t="shared" si="6"/>
        <v>0.95365384615384663</v>
      </c>
      <c r="R23" s="566"/>
      <c r="S23" s="63">
        <v>0.39305555555555549</v>
      </c>
      <c r="T23" s="63">
        <v>0.42916666666666659</v>
      </c>
      <c r="U23" s="94">
        <f t="shared" si="22"/>
        <v>6.9999999999999751</v>
      </c>
      <c r="V23" s="97">
        <f t="shared" si="21"/>
        <v>51.999999999999972</v>
      </c>
      <c r="W23" s="64"/>
      <c r="X23" s="94"/>
      <c r="Y23" s="559"/>
      <c r="Z23" s="559"/>
      <c r="AA23" s="61">
        <f t="shared" si="8"/>
        <v>-92.692307692306713</v>
      </c>
      <c r="AB23" s="101">
        <f t="shared" si="9"/>
        <v>0.95365384615384663</v>
      </c>
      <c r="AC23" s="566"/>
    </row>
    <row r="24" spans="1:29" ht="15.75" customHeight="1">
      <c r="A24" s="589" t="s">
        <v>238</v>
      </c>
      <c r="B24" s="57" t="s">
        <v>6</v>
      </c>
      <c r="C24" s="584" t="s">
        <v>22</v>
      </c>
      <c r="D24" s="584"/>
      <c r="E24" s="57">
        <v>54.09</v>
      </c>
      <c r="F24" s="95">
        <v>1906</v>
      </c>
      <c r="G24" s="94">
        <f t="shared" si="19"/>
        <v>103095.54000000001</v>
      </c>
      <c r="H24" s="72" t="s">
        <v>5</v>
      </c>
      <c r="I24" s="96">
        <v>19</v>
      </c>
      <c r="J24" s="58">
        <v>2000</v>
      </c>
      <c r="K24" s="59">
        <f t="shared" si="1"/>
        <v>105.26315789473684</v>
      </c>
      <c r="L24" s="96">
        <v>19</v>
      </c>
      <c r="M24" s="60">
        <f t="shared" si="20"/>
        <v>1906.0000000000018</v>
      </c>
      <c r="N24" s="59">
        <f t="shared" si="3"/>
        <v>100.3157894736843</v>
      </c>
      <c r="O24" s="61">
        <f t="shared" si="4"/>
        <v>0</v>
      </c>
      <c r="P24" s="62">
        <f t="shared" si="5"/>
        <v>-4.9473684210525306</v>
      </c>
      <c r="Q24" s="101">
        <f t="shared" si="6"/>
        <v>0.95300000000000096</v>
      </c>
      <c r="R24" s="566"/>
      <c r="S24" s="63">
        <v>0.70833333333333337</v>
      </c>
      <c r="T24" s="63">
        <v>0.75</v>
      </c>
      <c r="U24" s="94" t="str">
        <f t="shared" si="22"/>
        <v/>
      </c>
      <c r="V24" s="97">
        <f t="shared" si="21"/>
        <v>59.999999999999943</v>
      </c>
      <c r="W24" s="64"/>
      <c r="X24" s="68"/>
      <c r="Y24" s="559"/>
      <c r="Z24" s="559"/>
      <c r="AA24" s="61">
        <f t="shared" si="8"/>
        <v>-93.999999999998181</v>
      </c>
      <c r="AB24" s="101">
        <f t="shared" si="9"/>
        <v>0.95300000000000096</v>
      </c>
      <c r="AC24" s="566"/>
    </row>
    <row r="25" spans="1:29" ht="15.75" customHeight="1">
      <c r="A25" s="589" t="s">
        <v>238</v>
      </c>
      <c r="B25" s="57" t="s">
        <v>6</v>
      </c>
      <c r="C25" s="584" t="s">
        <v>69</v>
      </c>
      <c r="D25" s="584"/>
      <c r="E25" s="57">
        <v>57.73</v>
      </c>
      <c r="F25" s="95">
        <v>1652</v>
      </c>
      <c r="G25" s="94">
        <f t="shared" si="19"/>
        <v>95369.959999999992</v>
      </c>
      <c r="H25" s="72" t="s">
        <v>5</v>
      </c>
      <c r="I25" s="96">
        <v>16</v>
      </c>
      <c r="J25" s="58">
        <v>1500</v>
      </c>
      <c r="K25" s="59">
        <f t="shared" si="1"/>
        <v>93.75</v>
      </c>
      <c r="L25" s="96">
        <v>16</v>
      </c>
      <c r="M25" s="60">
        <f t="shared" si="20"/>
        <v>1436.5217391304366</v>
      </c>
      <c r="N25" s="59">
        <f t="shared" si="3"/>
        <v>89.782608695652286</v>
      </c>
      <c r="O25" s="61">
        <f t="shared" si="4"/>
        <v>0</v>
      </c>
      <c r="P25" s="62">
        <f t="shared" si="5"/>
        <v>-3.9673913043477143</v>
      </c>
      <c r="Q25" s="101">
        <f t="shared" si="6"/>
        <v>0.95768115942029108</v>
      </c>
      <c r="R25" s="566"/>
      <c r="S25" s="63">
        <v>0.75555555555555554</v>
      </c>
      <c r="T25" s="63">
        <v>0.80347222222222214</v>
      </c>
      <c r="U25" s="94">
        <f t="shared" si="22"/>
        <v>7.9999999999999716</v>
      </c>
      <c r="V25" s="97">
        <f t="shared" si="21"/>
        <v>68.999999999999915</v>
      </c>
      <c r="W25" s="64"/>
      <c r="X25" s="68"/>
      <c r="Y25" s="569"/>
      <c r="Z25" s="570"/>
      <c r="AA25" s="61">
        <f t="shared" si="8"/>
        <v>-63.478260869563428</v>
      </c>
      <c r="AB25" s="101">
        <f t="shared" si="9"/>
        <v>0.95768115942029108</v>
      </c>
      <c r="AC25" s="566"/>
    </row>
    <row r="26" spans="1:29" ht="15.75" customHeight="1">
      <c r="A26" s="589" t="s">
        <v>238</v>
      </c>
      <c r="B26" s="57" t="s">
        <v>6</v>
      </c>
      <c r="C26" s="585" t="s">
        <v>68</v>
      </c>
      <c r="D26" s="586"/>
      <c r="E26" s="57">
        <v>50.67</v>
      </c>
      <c r="F26" s="95">
        <v>2238</v>
      </c>
      <c r="G26" s="94">
        <f t="shared" si="19"/>
        <v>113399.46</v>
      </c>
      <c r="H26" s="72" t="s">
        <v>5</v>
      </c>
      <c r="I26" s="96">
        <v>15</v>
      </c>
      <c r="J26" s="58">
        <v>2000</v>
      </c>
      <c r="K26" s="59">
        <f t="shared" si="1"/>
        <v>133.33333333333334</v>
      </c>
      <c r="L26" s="96">
        <v>15</v>
      </c>
      <c r="M26" s="60">
        <f t="shared" si="20"/>
        <v>1918.2857142857124</v>
      </c>
      <c r="N26" s="59">
        <f t="shared" si="3"/>
        <v>127.88571428571416</v>
      </c>
      <c r="O26" s="61">
        <f t="shared" si="4"/>
        <v>0</v>
      </c>
      <c r="P26" s="62">
        <f t="shared" si="5"/>
        <v>-5.4476190476191846</v>
      </c>
      <c r="Q26" s="101">
        <f t="shared" si="6"/>
        <v>0.95914285714285608</v>
      </c>
      <c r="R26" s="566"/>
      <c r="S26" s="63">
        <v>0.8076388888888888</v>
      </c>
      <c r="T26" s="63">
        <v>0.85624999999999996</v>
      </c>
      <c r="U26" s="94">
        <f t="shared" si="22"/>
        <v>5.9999999999999787</v>
      </c>
      <c r="V26" s="97">
        <f t="shared" si="21"/>
        <v>70.000000000000071</v>
      </c>
      <c r="W26" s="64"/>
      <c r="X26" s="64"/>
      <c r="Y26" s="569"/>
      <c r="Z26" s="570"/>
      <c r="AA26" s="61">
        <f t="shared" si="8"/>
        <v>-81.714285714287598</v>
      </c>
      <c r="AB26" s="101">
        <f t="shared" si="9"/>
        <v>0.95914285714285619</v>
      </c>
      <c r="AC26" s="566"/>
    </row>
    <row r="27" spans="1:29" ht="15.75" customHeight="1">
      <c r="A27" s="589" t="s">
        <v>238</v>
      </c>
      <c r="B27" s="57" t="s">
        <v>239</v>
      </c>
      <c r="C27" s="571"/>
      <c r="D27" s="571"/>
      <c r="E27" s="100"/>
      <c r="F27" s="95"/>
      <c r="G27" s="94"/>
      <c r="H27" s="95"/>
      <c r="I27" s="67">
        <v>16.375</v>
      </c>
      <c r="J27" s="58">
        <v>1937.5</v>
      </c>
      <c r="K27" s="59">
        <f t="shared" si="1"/>
        <v>118.32061068702291</v>
      </c>
      <c r="L27" s="67">
        <v>16.375</v>
      </c>
      <c r="M27" s="60">
        <f>AVERAGE(M19:M26)</f>
        <v>1855.2060680391212</v>
      </c>
      <c r="N27" s="59">
        <f t="shared" si="3"/>
        <v>113.29502705582419</v>
      </c>
      <c r="O27" s="61">
        <f t="shared" si="4"/>
        <v>0</v>
      </c>
      <c r="P27" s="62">
        <f t="shared" si="5"/>
        <v>-5.0255836311987139</v>
      </c>
      <c r="Q27" s="101">
        <f t="shared" si="6"/>
        <v>0.95752571253632057</v>
      </c>
      <c r="R27" s="566"/>
      <c r="S27" s="63"/>
      <c r="T27" s="63"/>
      <c r="U27" s="59"/>
      <c r="V27" s="97"/>
      <c r="W27" s="59"/>
      <c r="X27" s="59"/>
      <c r="Y27" s="559"/>
      <c r="Z27" s="559"/>
      <c r="AA27" s="61">
        <f t="shared" si="8"/>
        <v>-82.293931960878808</v>
      </c>
      <c r="AB27" s="101">
        <f t="shared" si="9"/>
        <v>0.95752571253632057</v>
      </c>
      <c r="AC27" s="566"/>
    </row>
    <row r="28" spans="1:29" ht="15.75" customHeight="1">
      <c r="A28" s="587" t="s">
        <v>240</v>
      </c>
      <c r="B28" s="57" t="s">
        <v>15</v>
      </c>
      <c r="C28" s="584" t="s">
        <v>26</v>
      </c>
      <c r="D28" s="584"/>
      <c r="E28" s="57">
        <v>31.29</v>
      </c>
      <c r="F28" s="95">
        <v>4000</v>
      </c>
      <c r="G28" s="94">
        <f t="shared" ref="G28:G34" si="23">E28*F28</f>
        <v>125160</v>
      </c>
      <c r="H28" s="72">
        <v>2</v>
      </c>
      <c r="I28" s="96">
        <v>18</v>
      </c>
      <c r="J28" s="58">
        <v>2400</v>
      </c>
      <c r="K28" s="59">
        <f t="shared" si="1"/>
        <v>133.33333333333334</v>
      </c>
      <c r="L28" s="96">
        <v>18</v>
      </c>
      <c r="M28" s="60">
        <f t="shared" ref="M28:M34" si="24">F28/V28*60</f>
        <v>2285.7142857142858</v>
      </c>
      <c r="N28" s="59">
        <f t="shared" si="3"/>
        <v>126.98412698412699</v>
      </c>
      <c r="O28" s="61">
        <f t="shared" si="4"/>
        <v>0</v>
      </c>
      <c r="P28" s="62">
        <f t="shared" si="5"/>
        <v>-6.3492063492063551</v>
      </c>
      <c r="Q28" s="101">
        <f t="shared" si="6"/>
        <v>0.95238095238095233</v>
      </c>
      <c r="R28" s="566">
        <f>Q35</f>
        <v>0.95781652386895766</v>
      </c>
      <c r="S28" s="63">
        <v>8.3333333333333329E-2</v>
      </c>
      <c r="T28" s="63">
        <v>0.15625</v>
      </c>
      <c r="U28" s="94"/>
      <c r="V28" s="97">
        <f t="shared" ref="V28:V34" si="25">(T28-S28)*24*60</f>
        <v>105</v>
      </c>
      <c r="W28" s="64">
        <f>T28</f>
        <v>0.15625</v>
      </c>
      <c r="X28" s="64">
        <f>S29</f>
        <v>0.17499999999999999</v>
      </c>
      <c r="Y28" s="559"/>
      <c r="Z28" s="559"/>
      <c r="AA28" s="61">
        <f t="shared" si="8"/>
        <v>-114.28571428571422</v>
      </c>
      <c r="AB28" s="101">
        <f t="shared" si="9"/>
        <v>0.95238095238095244</v>
      </c>
      <c r="AC28" s="566">
        <f>AB35</f>
        <v>0.95781652386895755</v>
      </c>
    </row>
    <row r="29" spans="1:29" ht="15.75" customHeight="1">
      <c r="A29" s="587" t="s">
        <v>241</v>
      </c>
      <c r="B29" s="57" t="s">
        <v>15</v>
      </c>
      <c r="C29" s="584" t="s">
        <v>23</v>
      </c>
      <c r="D29" s="584"/>
      <c r="E29" s="57">
        <v>26.2</v>
      </c>
      <c r="F29" s="95">
        <v>3500</v>
      </c>
      <c r="G29" s="94">
        <f t="shared" si="23"/>
        <v>91700</v>
      </c>
      <c r="H29" s="72">
        <v>2</v>
      </c>
      <c r="I29" s="96">
        <v>20</v>
      </c>
      <c r="J29" s="58">
        <v>2400</v>
      </c>
      <c r="K29" s="59">
        <f t="shared" si="1"/>
        <v>120</v>
      </c>
      <c r="L29" s="96">
        <v>20</v>
      </c>
      <c r="M29" s="60">
        <f t="shared" si="24"/>
        <v>2307.6923076923076</v>
      </c>
      <c r="N29" s="59">
        <f t="shared" si="3"/>
        <v>115.38461538461539</v>
      </c>
      <c r="O29" s="61">
        <f t="shared" si="4"/>
        <v>0</v>
      </c>
      <c r="P29" s="62">
        <f t="shared" si="5"/>
        <v>-4.6153846153846132</v>
      </c>
      <c r="Q29" s="101">
        <f t="shared" si="6"/>
        <v>0.96153846153846156</v>
      </c>
      <c r="R29" s="566"/>
      <c r="S29" s="63">
        <v>0.17499999999999999</v>
      </c>
      <c r="T29" s="63">
        <v>0.23819444444444443</v>
      </c>
      <c r="U29" s="94">
        <f t="shared" ref="U29:U34" si="26">(S29-T28)*24*60</f>
        <v>26.999999999999986</v>
      </c>
      <c r="V29" s="97">
        <f t="shared" si="25"/>
        <v>91</v>
      </c>
      <c r="W29" s="64"/>
      <c r="X29" s="64"/>
      <c r="Y29" s="559"/>
      <c r="Z29" s="559"/>
      <c r="AA29" s="61">
        <f t="shared" si="8"/>
        <v>-92.307692307692378</v>
      </c>
      <c r="AB29" s="101">
        <f t="shared" si="9"/>
        <v>0.96153846153846156</v>
      </c>
      <c r="AC29" s="566"/>
    </row>
    <row r="30" spans="1:29" ht="15.75" customHeight="1">
      <c r="A30" s="587" t="s">
        <v>241</v>
      </c>
      <c r="B30" s="57" t="s">
        <v>15</v>
      </c>
      <c r="C30" s="584" t="s">
        <v>70</v>
      </c>
      <c r="D30" s="584"/>
      <c r="E30" s="57">
        <v>25.99</v>
      </c>
      <c r="F30" s="95">
        <v>5212</v>
      </c>
      <c r="G30" s="94">
        <f t="shared" si="23"/>
        <v>135459.88</v>
      </c>
      <c r="H30" s="72" t="s">
        <v>5</v>
      </c>
      <c r="I30" s="96">
        <v>14</v>
      </c>
      <c r="J30" s="58">
        <v>2400</v>
      </c>
      <c r="K30" s="59">
        <f t="shared" si="1"/>
        <v>171.42857142857142</v>
      </c>
      <c r="L30" s="96">
        <v>14</v>
      </c>
      <c r="M30" s="60">
        <f t="shared" si="24"/>
        <v>2299.4117647058815</v>
      </c>
      <c r="N30" s="59">
        <f t="shared" si="3"/>
        <v>164.24369747899155</v>
      </c>
      <c r="O30" s="61">
        <f t="shared" si="4"/>
        <v>0</v>
      </c>
      <c r="P30" s="62">
        <f t="shared" si="5"/>
        <v>-7.1848739495798668</v>
      </c>
      <c r="Q30" s="101">
        <f t="shared" si="6"/>
        <v>0.95808823529411746</v>
      </c>
      <c r="R30" s="566"/>
      <c r="S30" s="63">
        <v>0.24374999999999999</v>
      </c>
      <c r="T30" s="63">
        <v>0.33819444444444446</v>
      </c>
      <c r="U30" s="94">
        <f t="shared" si="26"/>
        <v>8.0000000000000107</v>
      </c>
      <c r="V30" s="97">
        <f t="shared" si="25"/>
        <v>136.00000000000006</v>
      </c>
      <c r="W30" s="64"/>
      <c r="X30" s="64"/>
      <c r="Y30" s="559"/>
      <c r="Z30" s="559"/>
      <c r="AA30" s="61">
        <f t="shared" si="8"/>
        <v>-100.58823529411848</v>
      </c>
      <c r="AB30" s="101">
        <f t="shared" si="9"/>
        <v>0.95808823529411735</v>
      </c>
      <c r="AC30" s="566"/>
    </row>
    <row r="31" spans="1:29" ht="15.75" customHeight="1">
      <c r="A31" s="587" t="s">
        <v>241</v>
      </c>
      <c r="B31" s="57" t="s">
        <v>15</v>
      </c>
      <c r="C31" s="584" t="s">
        <v>45</v>
      </c>
      <c r="D31" s="584"/>
      <c r="E31" s="57">
        <v>20.52</v>
      </c>
      <c r="F31" s="95">
        <v>5130</v>
      </c>
      <c r="G31" s="94">
        <f t="shared" si="23"/>
        <v>105267.59999999999</v>
      </c>
      <c r="H31" s="72" t="s">
        <v>5</v>
      </c>
      <c r="I31" s="96">
        <v>18</v>
      </c>
      <c r="J31" s="58">
        <v>2400</v>
      </c>
      <c r="K31" s="59">
        <f t="shared" si="1"/>
        <v>133.33333333333334</v>
      </c>
      <c r="L31" s="96">
        <v>18</v>
      </c>
      <c r="M31" s="60">
        <f t="shared" si="24"/>
        <v>2297.0149253731342</v>
      </c>
      <c r="N31" s="59">
        <f t="shared" si="3"/>
        <v>127.61194029850746</v>
      </c>
      <c r="O31" s="61">
        <f t="shared" si="4"/>
        <v>0</v>
      </c>
      <c r="P31" s="62">
        <f t="shared" si="5"/>
        <v>-5.7213930348258799</v>
      </c>
      <c r="Q31" s="101">
        <f t="shared" si="6"/>
        <v>0.95708955223880587</v>
      </c>
      <c r="R31" s="566"/>
      <c r="S31" s="63">
        <v>0.34236111111111112</v>
      </c>
      <c r="T31" s="63">
        <v>0.43541666666666667</v>
      </c>
      <c r="U31" s="94">
        <f t="shared" si="26"/>
        <v>5.9999999999999787</v>
      </c>
      <c r="V31" s="97">
        <f t="shared" si="25"/>
        <v>134</v>
      </c>
      <c r="W31" s="64"/>
      <c r="X31" s="64"/>
      <c r="Y31" s="559"/>
      <c r="Z31" s="559"/>
      <c r="AA31" s="61">
        <f t="shared" si="8"/>
        <v>-102.98507462686575</v>
      </c>
      <c r="AB31" s="101">
        <f t="shared" si="9"/>
        <v>0.95708955223880599</v>
      </c>
      <c r="AC31" s="566"/>
    </row>
    <row r="32" spans="1:29" ht="15.75" customHeight="1">
      <c r="A32" s="587" t="s">
        <v>241</v>
      </c>
      <c r="B32" s="57" t="s">
        <v>15</v>
      </c>
      <c r="C32" s="584" t="s">
        <v>98</v>
      </c>
      <c r="D32" s="584"/>
      <c r="E32" s="57">
        <v>25.98</v>
      </c>
      <c r="F32" s="95">
        <v>4902</v>
      </c>
      <c r="G32" s="94">
        <f t="shared" si="23"/>
        <v>127353.96</v>
      </c>
      <c r="H32" s="72" t="s">
        <v>5</v>
      </c>
      <c r="I32" s="96">
        <v>21</v>
      </c>
      <c r="J32" s="58">
        <v>2400</v>
      </c>
      <c r="K32" s="59">
        <f t="shared" si="1"/>
        <v>114.28571428571429</v>
      </c>
      <c r="L32" s="96">
        <v>21</v>
      </c>
      <c r="M32" s="60">
        <f t="shared" si="24"/>
        <v>2297.8124999999995</v>
      </c>
      <c r="N32" s="59">
        <f t="shared" si="3"/>
        <v>109.41964285714283</v>
      </c>
      <c r="O32" s="61">
        <f t="shared" si="4"/>
        <v>0</v>
      </c>
      <c r="P32" s="62">
        <f t="shared" si="5"/>
        <v>-4.866071428571459</v>
      </c>
      <c r="Q32" s="101">
        <f t="shared" si="6"/>
        <v>0.95742187499999976</v>
      </c>
      <c r="R32" s="566"/>
      <c r="S32" s="63">
        <v>0.43958333333333333</v>
      </c>
      <c r="T32" s="63">
        <v>0.52847222222222223</v>
      </c>
      <c r="U32" s="94">
        <f t="shared" si="26"/>
        <v>5.9999999999999787</v>
      </c>
      <c r="V32" s="97">
        <f t="shared" si="25"/>
        <v>128.00000000000003</v>
      </c>
      <c r="W32" s="64">
        <f>T32</f>
        <v>0.52847222222222223</v>
      </c>
      <c r="X32" s="64">
        <f>S33</f>
        <v>0.56874999999999998</v>
      </c>
      <c r="Y32" s="559"/>
      <c r="Z32" s="559"/>
      <c r="AA32" s="61">
        <f t="shared" si="8"/>
        <v>-102.18750000000045</v>
      </c>
      <c r="AB32" s="101">
        <f t="shared" si="9"/>
        <v>0.95742187499999976</v>
      </c>
      <c r="AC32" s="566"/>
    </row>
    <row r="33" spans="1:29" ht="15.75" customHeight="1">
      <c r="A33" s="587" t="s">
        <v>241</v>
      </c>
      <c r="B33" s="57" t="s">
        <v>15</v>
      </c>
      <c r="C33" s="584" t="s">
        <v>26</v>
      </c>
      <c r="D33" s="584"/>
      <c r="E33" s="57">
        <v>31.29</v>
      </c>
      <c r="F33" s="95">
        <v>5778</v>
      </c>
      <c r="G33" s="94">
        <f t="shared" si="23"/>
        <v>180793.62</v>
      </c>
      <c r="H33" s="72" t="s">
        <v>5</v>
      </c>
      <c r="I33" s="96">
        <v>18</v>
      </c>
      <c r="J33" s="58">
        <v>2400</v>
      </c>
      <c r="K33" s="59">
        <f t="shared" si="1"/>
        <v>133.33333333333334</v>
      </c>
      <c r="L33" s="96">
        <v>18</v>
      </c>
      <c r="M33" s="60">
        <f t="shared" si="24"/>
        <v>2295.8940397351003</v>
      </c>
      <c r="N33" s="59">
        <f t="shared" si="3"/>
        <v>127.54966887417224</v>
      </c>
      <c r="O33" s="61">
        <f t="shared" si="4"/>
        <v>0</v>
      </c>
      <c r="P33" s="62">
        <f t="shared" si="5"/>
        <v>-5.7836644591611019</v>
      </c>
      <c r="Q33" s="101">
        <f t="shared" si="6"/>
        <v>0.95662251655629171</v>
      </c>
      <c r="R33" s="566"/>
      <c r="S33" s="63">
        <v>0.56874999999999998</v>
      </c>
      <c r="T33" s="63">
        <v>0.67361111111111105</v>
      </c>
      <c r="U33" s="94">
        <f t="shared" si="26"/>
        <v>57.999999999999957</v>
      </c>
      <c r="V33" s="97">
        <f t="shared" si="25"/>
        <v>150.99999999999994</v>
      </c>
      <c r="W33" s="64"/>
      <c r="X33" s="64"/>
      <c r="Y33" s="559"/>
      <c r="Z33" s="559"/>
      <c r="AA33" s="61">
        <f t="shared" si="8"/>
        <v>-104.10596026489975</v>
      </c>
      <c r="AB33" s="101">
        <f t="shared" si="9"/>
        <v>0.95662251655629182</v>
      </c>
      <c r="AC33" s="566"/>
    </row>
    <row r="34" spans="1:29" ht="15.75" customHeight="1">
      <c r="A34" s="587" t="s">
        <v>241</v>
      </c>
      <c r="B34" s="57" t="s">
        <v>15</v>
      </c>
      <c r="C34" s="584" t="s">
        <v>23</v>
      </c>
      <c r="D34" s="584"/>
      <c r="E34" s="57">
        <v>26.2</v>
      </c>
      <c r="F34" s="95">
        <v>2077</v>
      </c>
      <c r="G34" s="94">
        <f t="shared" si="23"/>
        <v>54417.4</v>
      </c>
      <c r="H34" s="72" t="s">
        <v>5</v>
      </c>
      <c r="I34" s="96">
        <v>20</v>
      </c>
      <c r="J34" s="58">
        <v>2400</v>
      </c>
      <c r="K34" s="59">
        <f t="shared" si="1"/>
        <v>120</v>
      </c>
      <c r="L34" s="96">
        <v>20</v>
      </c>
      <c r="M34" s="60">
        <f t="shared" si="24"/>
        <v>2307.7777777777792</v>
      </c>
      <c r="N34" s="59">
        <f t="shared" si="3"/>
        <v>115.38888888888896</v>
      </c>
      <c r="O34" s="61">
        <f t="shared" si="4"/>
        <v>0</v>
      </c>
      <c r="P34" s="62">
        <f t="shared" si="5"/>
        <v>-4.6111111111110432</v>
      </c>
      <c r="Q34" s="101">
        <f t="shared" si="6"/>
        <v>0.96157407407407469</v>
      </c>
      <c r="R34" s="566"/>
      <c r="S34" s="63">
        <v>0.67708333333333326</v>
      </c>
      <c r="T34" s="63">
        <v>0.71458333333333324</v>
      </c>
      <c r="U34" s="94">
        <f t="shared" si="26"/>
        <v>4.9999999999999822</v>
      </c>
      <c r="V34" s="97">
        <f t="shared" si="25"/>
        <v>53.999999999999972</v>
      </c>
      <c r="W34" s="64"/>
      <c r="X34" s="64"/>
      <c r="Y34" s="559"/>
      <c r="Z34" s="559"/>
      <c r="AA34" s="61">
        <f t="shared" si="8"/>
        <v>-92.222222222220807</v>
      </c>
      <c r="AB34" s="101">
        <f t="shared" si="9"/>
        <v>0.96157407407407469</v>
      </c>
      <c r="AC34" s="566"/>
    </row>
    <row r="35" spans="1:29" ht="15.75" customHeight="1">
      <c r="A35" s="587" t="s">
        <v>241</v>
      </c>
      <c r="B35" s="57" t="s">
        <v>242</v>
      </c>
      <c r="C35" s="571"/>
      <c r="D35" s="571"/>
      <c r="E35" s="100"/>
      <c r="F35" s="95"/>
      <c r="G35" s="94"/>
      <c r="H35" s="95"/>
      <c r="I35" s="67">
        <v>18.428571428571427</v>
      </c>
      <c r="J35" s="58">
        <v>2400</v>
      </c>
      <c r="K35" s="59">
        <f t="shared" si="1"/>
        <v>130.23255813953489</v>
      </c>
      <c r="L35" s="67">
        <v>18.428571428571427</v>
      </c>
      <c r="M35" s="60">
        <f>AVERAGE(M28:M34)</f>
        <v>2298.7596572854982</v>
      </c>
      <c r="N35" s="59">
        <f t="shared" si="3"/>
        <v>124.73889613177123</v>
      </c>
      <c r="O35" s="61">
        <f t="shared" si="4"/>
        <v>0</v>
      </c>
      <c r="P35" s="62">
        <f t="shared" si="5"/>
        <v>-5.4936620077636604</v>
      </c>
      <c r="Q35" s="101">
        <f t="shared" si="6"/>
        <v>0.95781652386895766</v>
      </c>
      <c r="R35" s="566"/>
      <c r="S35" s="63"/>
      <c r="T35" s="63"/>
      <c r="U35" s="94"/>
      <c r="V35" s="97"/>
      <c r="W35" s="94"/>
      <c r="X35" s="94"/>
      <c r="Y35" s="559"/>
      <c r="Z35" s="559"/>
      <c r="AA35" s="61">
        <f t="shared" si="8"/>
        <v>-101.24034271450182</v>
      </c>
      <c r="AB35" s="101">
        <f t="shared" si="9"/>
        <v>0.95781652386895755</v>
      </c>
      <c r="AC35" s="566"/>
    </row>
    <row r="36" spans="1:29" ht="15.75" customHeight="1">
      <c r="A36" s="582" t="s">
        <v>243</v>
      </c>
      <c r="B36" s="57" t="s">
        <v>15</v>
      </c>
      <c r="C36" s="560" t="s">
        <v>44</v>
      </c>
      <c r="D36" s="560"/>
      <c r="E36" s="57">
        <v>19.02</v>
      </c>
      <c r="F36" s="95">
        <v>4300</v>
      </c>
      <c r="G36" s="94">
        <f t="shared" ref="G36:G42" si="27">E36*F36</f>
        <v>81786</v>
      </c>
      <c r="H36" s="72">
        <v>2</v>
      </c>
      <c r="I36" s="96">
        <v>15</v>
      </c>
      <c r="J36" s="58">
        <v>2400</v>
      </c>
      <c r="K36" s="59">
        <f t="shared" si="1"/>
        <v>160</v>
      </c>
      <c r="L36" s="96">
        <v>15</v>
      </c>
      <c r="M36" s="60">
        <f t="shared" ref="M36:M42" si="28">F36/V36*60</f>
        <v>2283.1858407079653</v>
      </c>
      <c r="N36" s="59">
        <f t="shared" si="3"/>
        <v>152.21238938053102</v>
      </c>
      <c r="O36" s="61">
        <f t="shared" si="4"/>
        <v>0</v>
      </c>
      <c r="P36" s="62">
        <f t="shared" si="5"/>
        <v>-7.7876106194689783</v>
      </c>
      <c r="Q36" s="101">
        <f t="shared" si="6"/>
        <v>0.95132743362831884</v>
      </c>
      <c r="R36" s="566">
        <f>Q43</f>
        <v>0.95635747562731832</v>
      </c>
      <c r="S36" s="63">
        <v>8.3333333333333329E-2</v>
      </c>
      <c r="T36" s="63">
        <v>0.16180555555555554</v>
      </c>
      <c r="U36" s="94"/>
      <c r="V36" s="97">
        <f t="shared" ref="V36:V42" si="29">(T36-S36)*24*60</f>
        <v>112.99999999999997</v>
      </c>
      <c r="W36" s="68">
        <f>T36</f>
        <v>0.16180555555555554</v>
      </c>
      <c r="X36" s="68">
        <f>S37</f>
        <v>0.17986111111111108</v>
      </c>
      <c r="Y36" s="559"/>
      <c r="Z36" s="559"/>
      <c r="AA36" s="61">
        <f t="shared" si="8"/>
        <v>-116.81415929203467</v>
      </c>
      <c r="AB36" s="101">
        <f t="shared" si="9"/>
        <v>0.95132743362831884</v>
      </c>
      <c r="AC36" s="566">
        <f>AB43</f>
        <v>0.95635747562731832</v>
      </c>
    </row>
    <row r="37" spans="1:29" ht="15.75" customHeight="1">
      <c r="A37" s="582" t="s">
        <v>243</v>
      </c>
      <c r="B37" s="57" t="s">
        <v>15</v>
      </c>
      <c r="C37" s="560" t="s">
        <v>27</v>
      </c>
      <c r="D37" s="560"/>
      <c r="E37" s="57">
        <v>26.2</v>
      </c>
      <c r="F37" s="95">
        <v>5000</v>
      </c>
      <c r="G37" s="94">
        <f t="shared" si="27"/>
        <v>131000</v>
      </c>
      <c r="H37" s="72">
        <v>2</v>
      </c>
      <c r="I37" s="96">
        <v>18</v>
      </c>
      <c r="J37" s="58">
        <v>2400</v>
      </c>
      <c r="K37" s="59">
        <f t="shared" si="1"/>
        <v>133.33333333333334</v>
      </c>
      <c r="L37" s="96">
        <v>18</v>
      </c>
      <c r="M37" s="60">
        <f t="shared" si="28"/>
        <v>2290.0763358778627</v>
      </c>
      <c r="N37" s="59">
        <f t="shared" si="3"/>
        <v>127.2264631043257</v>
      </c>
      <c r="O37" s="61">
        <f t="shared" si="4"/>
        <v>0</v>
      </c>
      <c r="P37" s="62">
        <f t="shared" si="5"/>
        <v>-6.1068702290076402</v>
      </c>
      <c r="Q37" s="101">
        <f t="shared" si="6"/>
        <v>0.95419847328244267</v>
      </c>
      <c r="R37" s="566"/>
      <c r="S37" s="63">
        <v>0.17986111111111108</v>
      </c>
      <c r="T37" s="63">
        <v>0.27083333333333331</v>
      </c>
      <c r="U37" s="94">
        <f t="shared" ref="U37:U42" si="30">(S37-T36)*24*60</f>
        <v>25.999999999999986</v>
      </c>
      <c r="V37" s="97">
        <f t="shared" si="29"/>
        <v>131</v>
      </c>
      <c r="W37" s="94"/>
      <c r="X37" s="94"/>
      <c r="Y37" s="559"/>
      <c r="Z37" s="559"/>
      <c r="AA37" s="61">
        <f t="shared" si="8"/>
        <v>-109.92366412213732</v>
      </c>
      <c r="AB37" s="101">
        <f t="shared" si="9"/>
        <v>0.95419847328244278</v>
      </c>
      <c r="AC37" s="566"/>
    </row>
    <row r="38" spans="1:29">
      <c r="A38" s="583" t="s">
        <v>243</v>
      </c>
      <c r="B38" s="57" t="s">
        <v>15</v>
      </c>
      <c r="C38" s="560" t="s">
        <v>25</v>
      </c>
      <c r="D38" s="560"/>
      <c r="E38" s="57">
        <v>26.18</v>
      </c>
      <c r="F38" s="95">
        <v>2942</v>
      </c>
      <c r="G38" s="94">
        <f t="shared" si="27"/>
        <v>77021.56</v>
      </c>
      <c r="H38" s="72" t="s">
        <v>5</v>
      </c>
      <c r="I38" s="96">
        <v>19</v>
      </c>
      <c r="J38" s="58">
        <v>2400</v>
      </c>
      <c r="K38" s="59">
        <f t="shared" si="1"/>
        <v>126.31578947368421</v>
      </c>
      <c r="L38" s="96">
        <v>19</v>
      </c>
      <c r="M38" s="60">
        <f t="shared" si="28"/>
        <v>2292.4675324675336</v>
      </c>
      <c r="N38" s="59">
        <f t="shared" si="3"/>
        <v>120.65618591934387</v>
      </c>
      <c r="O38" s="61">
        <f t="shared" si="4"/>
        <v>0</v>
      </c>
      <c r="P38" s="62">
        <f t="shared" si="5"/>
        <v>-5.659603554340336</v>
      </c>
      <c r="Q38" s="101">
        <f t="shared" si="6"/>
        <v>0.95519480519480571</v>
      </c>
      <c r="R38" s="566"/>
      <c r="S38" s="63">
        <v>0.27569444444444441</v>
      </c>
      <c r="T38" s="63">
        <v>0.32916666666666661</v>
      </c>
      <c r="U38" s="94">
        <f t="shared" si="30"/>
        <v>6.9999999999999751</v>
      </c>
      <c r="V38" s="97">
        <f t="shared" si="29"/>
        <v>76.999999999999972</v>
      </c>
      <c r="W38" s="94"/>
      <c r="X38" s="94"/>
      <c r="Y38" s="559"/>
      <c r="Z38" s="559"/>
      <c r="AA38" s="61">
        <f t="shared" si="8"/>
        <v>-107.5324675324664</v>
      </c>
      <c r="AB38" s="101">
        <f t="shared" si="9"/>
        <v>0.95519480519480571</v>
      </c>
      <c r="AC38" s="566"/>
    </row>
    <row r="39" spans="1:29">
      <c r="A39" s="583" t="s">
        <v>243</v>
      </c>
      <c r="B39" s="57" t="s">
        <v>15</v>
      </c>
      <c r="C39" s="560" t="s">
        <v>28</v>
      </c>
      <c r="D39" s="560"/>
      <c r="E39" s="57">
        <v>26.39</v>
      </c>
      <c r="F39" s="95">
        <v>6906</v>
      </c>
      <c r="G39" s="94">
        <f t="shared" si="27"/>
        <v>182249.34</v>
      </c>
      <c r="H39" s="72" t="s">
        <v>5</v>
      </c>
      <c r="I39" s="96">
        <v>19</v>
      </c>
      <c r="J39" s="58">
        <v>2400</v>
      </c>
      <c r="K39" s="59">
        <f t="shared" si="1"/>
        <v>126.31578947368421</v>
      </c>
      <c r="L39" s="96">
        <v>19</v>
      </c>
      <c r="M39" s="60">
        <f t="shared" si="28"/>
        <v>2289.2817679558011</v>
      </c>
      <c r="N39" s="59">
        <f t="shared" si="3"/>
        <v>120.4885141029369</v>
      </c>
      <c r="O39" s="61">
        <f t="shared" si="4"/>
        <v>0</v>
      </c>
      <c r="P39" s="62">
        <f t="shared" si="5"/>
        <v>-5.8272753707473015</v>
      </c>
      <c r="Q39" s="101">
        <f t="shared" si="6"/>
        <v>0.95386740331491715</v>
      </c>
      <c r="R39" s="566"/>
      <c r="S39" s="63">
        <v>0.33333333333333326</v>
      </c>
      <c r="T39" s="63">
        <v>0.4590277777777777</v>
      </c>
      <c r="U39" s="94">
        <f t="shared" si="30"/>
        <v>5.9999999999999787</v>
      </c>
      <c r="V39" s="97">
        <f t="shared" si="29"/>
        <v>181</v>
      </c>
      <c r="W39" s="64"/>
      <c r="X39" s="64"/>
      <c r="Y39" s="559"/>
      <c r="Z39" s="559"/>
      <c r="AA39" s="61">
        <f t="shared" si="8"/>
        <v>-110.71823204419888</v>
      </c>
      <c r="AB39" s="101">
        <f t="shared" si="9"/>
        <v>0.95386740331491715</v>
      </c>
      <c r="AC39" s="566"/>
    </row>
    <row r="40" spans="1:29">
      <c r="A40" s="583" t="s">
        <v>243</v>
      </c>
      <c r="B40" s="57" t="s">
        <v>15</v>
      </c>
      <c r="C40" s="560" t="s">
        <v>100</v>
      </c>
      <c r="D40" s="560"/>
      <c r="E40" s="57">
        <v>28.51</v>
      </c>
      <c r="F40" s="95">
        <v>2005</v>
      </c>
      <c r="G40" s="94">
        <f t="shared" si="27"/>
        <v>57162.55</v>
      </c>
      <c r="H40" s="72" t="s">
        <v>5</v>
      </c>
      <c r="I40" s="96">
        <v>16</v>
      </c>
      <c r="J40" s="58">
        <v>2400</v>
      </c>
      <c r="K40" s="59">
        <f t="shared" si="1"/>
        <v>150</v>
      </c>
      <c r="L40" s="96">
        <v>16</v>
      </c>
      <c r="M40" s="60">
        <f t="shared" si="28"/>
        <v>2313.4615384615395</v>
      </c>
      <c r="N40" s="59">
        <f t="shared" si="3"/>
        <v>144.59134615384622</v>
      </c>
      <c r="O40" s="61">
        <f t="shared" si="4"/>
        <v>0</v>
      </c>
      <c r="P40" s="62">
        <f t="shared" si="5"/>
        <v>-5.4086538461537828</v>
      </c>
      <c r="Q40" s="101">
        <f t="shared" si="6"/>
        <v>0.96394230769230815</v>
      </c>
      <c r="R40" s="566"/>
      <c r="S40" s="63">
        <v>0.46458333333333324</v>
      </c>
      <c r="T40" s="63">
        <v>0.50069444444444433</v>
      </c>
      <c r="U40" s="94">
        <f t="shared" si="30"/>
        <v>7.9999999999999716</v>
      </c>
      <c r="V40" s="97">
        <f t="shared" si="29"/>
        <v>51.999999999999972</v>
      </c>
      <c r="W40" s="64">
        <f>T40</f>
        <v>0.50069444444444433</v>
      </c>
      <c r="X40" s="64">
        <f>S41</f>
        <v>0.54027777777777763</v>
      </c>
      <c r="Y40" s="559"/>
      <c r="Z40" s="559"/>
      <c r="AA40" s="61">
        <f t="shared" si="8"/>
        <v>-86.538461538460524</v>
      </c>
      <c r="AB40" s="101">
        <f t="shared" si="9"/>
        <v>0.96394230769230815</v>
      </c>
      <c r="AC40" s="566"/>
    </row>
    <row r="41" spans="1:29">
      <c r="A41" s="583" t="s">
        <v>167</v>
      </c>
      <c r="B41" s="57" t="s">
        <v>15</v>
      </c>
      <c r="C41" s="560" t="s">
        <v>44</v>
      </c>
      <c r="D41" s="560"/>
      <c r="E41" s="57">
        <v>19.02</v>
      </c>
      <c r="F41" s="95">
        <v>5985</v>
      </c>
      <c r="G41" s="94">
        <f t="shared" si="27"/>
        <v>113834.7</v>
      </c>
      <c r="H41" s="72" t="s">
        <v>5</v>
      </c>
      <c r="I41" s="96">
        <v>15</v>
      </c>
      <c r="J41" s="58">
        <v>2400</v>
      </c>
      <c r="K41" s="59">
        <f t="shared" si="1"/>
        <v>160</v>
      </c>
      <c r="L41" s="96">
        <v>15</v>
      </c>
      <c r="M41" s="60">
        <f t="shared" si="28"/>
        <v>2287.2611464968163</v>
      </c>
      <c r="N41" s="59">
        <f t="shared" si="3"/>
        <v>152.48407643312109</v>
      </c>
      <c r="O41" s="61">
        <f t="shared" si="4"/>
        <v>0</v>
      </c>
      <c r="P41" s="62">
        <f t="shared" si="5"/>
        <v>-7.5159235668789108</v>
      </c>
      <c r="Q41" s="101">
        <f t="shared" si="6"/>
        <v>0.95302547770700685</v>
      </c>
      <c r="R41" s="566"/>
      <c r="S41" s="63">
        <v>0.54027777777777763</v>
      </c>
      <c r="T41" s="63">
        <v>0.64930555555555536</v>
      </c>
      <c r="U41" s="94">
        <f t="shared" si="30"/>
        <v>56.999999999999957</v>
      </c>
      <c r="V41" s="97">
        <f t="shared" si="29"/>
        <v>156.99999999999991</v>
      </c>
      <c r="W41" s="64"/>
      <c r="X41" s="64"/>
      <c r="Y41" s="559"/>
      <c r="Z41" s="559"/>
      <c r="AA41" s="61">
        <f t="shared" si="8"/>
        <v>-112.73885350318369</v>
      </c>
      <c r="AB41" s="101">
        <f t="shared" si="9"/>
        <v>0.95302547770700674</v>
      </c>
      <c r="AC41" s="566"/>
    </row>
    <row r="42" spans="1:29">
      <c r="A42" s="583" t="s">
        <v>243</v>
      </c>
      <c r="B42" s="57" t="s">
        <v>15</v>
      </c>
      <c r="C42" s="560" t="s">
        <v>27</v>
      </c>
      <c r="D42" s="560"/>
      <c r="E42" s="57">
        <v>26.2</v>
      </c>
      <c r="F42" s="95">
        <v>2157</v>
      </c>
      <c r="G42" s="94">
        <f t="shared" si="27"/>
        <v>56513.4</v>
      </c>
      <c r="H42" s="72" t="s">
        <v>5</v>
      </c>
      <c r="I42" s="96">
        <v>18</v>
      </c>
      <c r="J42" s="58">
        <v>2400</v>
      </c>
      <c r="K42" s="59">
        <f t="shared" si="1"/>
        <v>133.33333333333334</v>
      </c>
      <c r="L42" s="96">
        <v>18</v>
      </c>
      <c r="M42" s="60">
        <f t="shared" si="28"/>
        <v>2311.0714285714303</v>
      </c>
      <c r="N42" s="59">
        <f t="shared" si="3"/>
        <v>128.39285714285722</v>
      </c>
      <c r="O42" s="61">
        <f t="shared" si="4"/>
        <v>0</v>
      </c>
      <c r="P42" s="62">
        <f t="shared" si="5"/>
        <v>-4.9404761904761187</v>
      </c>
      <c r="Q42" s="101">
        <f t="shared" si="6"/>
        <v>0.96294642857142909</v>
      </c>
      <c r="R42" s="566"/>
      <c r="S42" s="63">
        <v>0.65486111111111089</v>
      </c>
      <c r="T42" s="63">
        <v>0.69374999999999976</v>
      </c>
      <c r="U42" s="94">
        <f t="shared" si="30"/>
        <v>7.9999999999999716</v>
      </c>
      <c r="V42" s="97">
        <f t="shared" si="29"/>
        <v>55.999999999999957</v>
      </c>
      <c r="W42" s="64"/>
      <c r="X42" s="64"/>
      <c r="Y42" s="569"/>
      <c r="Z42" s="570"/>
      <c r="AA42" s="61">
        <f t="shared" si="8"/>
        <v>-88.92857142856974</v>
      </c>
      <c r="AB42" s="101">
        <f t="shared" si="9"/>
        <v>0.96294642857142931</v>
      </c>
      <c r="AC42" s="566"/>
    </row>
    <row r="43" spans="1:29">
      <c r="A43" s="583" t="s">
        <v>243</v>
      </c>
      <c r="B43" s="66" t="s">
        <v>242</v>
      </c>
      <c r="C43" s="571"/>
      <c r="D43" s="571"/>
      <c r="E43" s="100"/>
      <c r="F43" s="66"/>
      <c r="G43" s="59"/>
      <c r="H43" s="95"/>
      <c r="I43" s="67">
        <v>17.142857142857142</v>
      </c>
      <c r="J43" s="58">
        <v>2400</v>
      </c>
      <c r="K43" s="59">
        <f t="shared" si="1"/>
        <v>140</v>
      </c>
      <c r="L43" s="67">
        <v>17.142857142857142</v>
      </c>
      <c r="M43" s="60">
        <f>AVERAGE(M36:M42)</f>
        <v>2295.2579415055638</v>
      </c>
      <c r="N43" s="59">
        <f t="shared" si="3"/>
        <v>133.89004658782457</v>
      </c>
      <c r="O43" s="61">
        <f t="shared" si="4"/>
        <v>0</v>
      </c>
      <c r="P43" s="62">
        <f t="shared" si="5"/>
        <v>-6.1099534121754289</v>
      </c>
      <c r="Q43" s="101">
        <f t="shared" si="6"/>
        <v>0.95635747562731832</v>
      </c>
      <c r="R43" s="566"/>
      <c r="S43" s="63"/>
      <c r="T43" s="63"/>
      <c r="U43" s="59"/>
      <c r="V43" s="97"/>
      <c r="W43" s="59"/>
      <c r="X43" s="59"/>
      <c r="Y43" s="559"/>
      <c r="Z43" s="559"/>
      <c r="AA43" s="61">
        <f t="shared" si="8"/>
        <v>-104.74205849443615</v>
      </c>
      <c r="AB43" s="101">
        <f t="shared" si="9"/>
        <v>0.95635747562731832</v>
      </c>
      <c r="AC43" s="566"/>
    </row>
    <row r="44" spans="1:29" ht="15.75" customHeight="1">
      <c r="A44" s="576" t="s">
        <v>244</v>
      </c>
      <c r="B44" s="57" t="s">
        <v>31</v>
      </c>
      <c r="C44" s="567" t="s">
        <v>32</v>
      </c>
      <c r="D44" s="568"/>
      <c r="E44" s="57">
        <v>21.13</v>
      </c>
      <c r="F44" s="95">
        <v>5683</v>
      </c>
      <c r="G44" s="94">
        <f t="shared" ref="G44:G51" si="31">E44*F44</f>
        <v>120081.79</v>
      </c>
      <c r="H44" s="72" t="s">
        <v>5</v>
      </c>
      <c r="I44" s="96">
        <v>10</v>
      </c>
      <c r="J44" s="58">
        <v>3000</v>
      </c>
      <c r="K44" s="59">
        <f t="shared" si="1"/>
        <v>300</v>
      </c>
      <c r="L44" s="96">
        <v>10</v>
      </c>
      <c r="M44" s="60">
        <f t="shared" ref="M44:M51" si="32">F44/V44*60</f>
        <v>2865.3781512605042</v>
      </c>
      <c r="N44" s="60">
        <f t="shared" si="3"/>
        <v>286.53781512605042</v>
      </c>
      <c r="O44" s="61">
        <f t="shared" si="4"/>
        <v>0</v>
      </c>
      <c r="P44" s="62">
        <f t="shared" si="5"/>
        <v>-13.462184873949582</v>
      </c>
      <c r="Q44" s="101">
        <f t="shared" si="6"/>
        <v>0.95512605042016807</v>
      </c>
      <c r="R44" s="579">
        <f>Q52</f>
        <v>0.9568537399742606</v>
      </c>
      <c r="S44" s="63">
        <v>8.3333333333333329E-2</v>
      </c>
      <c r="T44" s="63">
        <v>0.16597222222222222</v>
      </c>
      <c r="U44" s="68"/>
      <c r="V44" s="97">
        <f t="shared" ref="V44:V51" si="33">(T44-S44)*24*60</f>
        <v>119</v>
      </c>
      <c r="W44" s="64">
        <f>T44</f>
        <v>0.16597222222222222</v>
      </c>
      <c r="X44" s="64">
        <f>S45</f>
        <v>0.18541666666666667</v>
      </c>
      <c r="Y44" s="569"/>
      <c r="Z44" s="570"/>
      <c r="AA44" s="61">
        <f t="shared" si="8"/>
        <v>-134.62184873949582</v>
      </c>
      <c r="AB44" s="101">
        <f t="shared" si="9"/>
        <v>0.95512605042016807</v>
      </c>
      <c r="AC44" s="579">
        <f>AB52</f>
        <v>0.9568537399742606</v>
      </c>
    </row>
    <row r="45" spans="1:29" ht="15.75" customHeight="1">
      <c r="A45" s="577" t="s">
        <v>244</v>
      </c>
      <c r="B45" s="57" t="s">
        <v>31</v>
      </c>
      <c r="C45" s="567" t="s">
        <v>33</v>
      </c>
      <c r="D45" s="568"/>
      <c r="E45" s="57">
        <v>27.17</v>
      </c>
      <c r="F45" s="95">
        <v>3500</v>
      </c>
      <c r="G45" s="94">
        <f t="shared" si="31"/>
        <v>95095</v>
      </c>
      <c r="H45" s="72">
        <v>2</v>
      </c>
      <c r="I45" s="96">
        <v>10</v>
      </c>
      <c r="J45" s="58">
        <v>3000</v>
      </c>
      <c r="K45" s="59">
        <f t="shared" si="1"/>
        <v>300</v>
      </c>
      <c r="L45" s="96">
        <v>10</v>
      </c>
      <c r="M45" s="60">
        <f t="shared" si="32"/>
        <v>2876.7123287671238</v>
      </c>
      <c r="N45" s="60">
        <f t="shared" si="3"/>
        <v>287.67123287671239</v>
      </c>
      <c r="O45" s="61">
        <f t="shared" si="4"/>
        <v>0</v>
      </c>
      <c r="P45" s="62">
        <f t="shared" si="5"/>
        <v>-12.328767123287605</v>
      </c>
      <c r="Q45" s="101">
        <f t="shared" si="6"/>
        <v>0.95890410958904126</v>
      </c>
      <c r="R45" s="580"/>
      <c r="S45" s="63">
        <v>0.18541666666666667</v>
      </c>
      <c r="T45" s="63">
        <v>0.2361111111111111</v>
      </c>
      <c r="U45" s="94">
        <f t="shared" ref="U45:U51" si="34">(S45-T44)*24*60</f>
        <v>28.000000000000021</v>
      </c>
      <c r="V45" s="97">
        <f t="shared" si="33"/>
        <v>72.999999999999986</v>
      </c>
      <c r="W45" s="64"/>
      <c r="X45" s="64"/>
      <c r="Y45" s="569"/>
      <c r="Z45" s="570"/>
      <c r="AA45" s="61">
        <f t="shared" si="8"/>
        <v>-123.28767123287616</v>
      </c>
      <c r="AB45" s="101">
        <f t="shared" si="9"/>
        <v>0.95890410958904126</v>
      </c>
      <c r="AC45" s="580"/>
    </row>
    <row r="46" spans="1:29" ht="15.75" customHeight="1">
      <c r="A46" s="577" t="s">
        <v>244</v>
      </c>
      <c r="B46" s="57" t="s">
        <v>31</v>
      </c>
      <c r="C46" s="567" t="s">
        <v>34</v>
      </c>
      <c r="D46" s="568"/>
      <c r="E46" s="57">
        <v>35.119999999999997</v>
      </c>
      <c r="F46" s="95">
        <v>4785</v>
      </c>
      <c r="G46" s="94">
        <f t="shared" si="31"/>
        <v>168049.19999999998</v>
      </c>
      <c r="H46" s="72" t="s">
        <v>5</v>
      </c>
      <c r="I46" s="96">
        <v>10</v>
      </c>
      <c r="J46" s="58">
        <v>3000</v>
      </c>
      <c r="K46" s="59">
        <f t="shared" si="1"/>
        <v>300</v>
      </c>
      <c r="L46" s="96">
        <v>10</v>
      </c>
      <c r="M46" s="60">
        <f t="shared" si="32"/>
        <v>2871</v>
      </c>
      <c r="N46" s="60">
        <f t="shared" si="3"/>
        <v>287.10000000000002</v>
      </c>
      <c r="O46" s="61">
        <f t="shared" si="4"/>
        <v>0</v>
      </c>
      <c r="P46" s="62">
        <f t="shared" si="5"/>
        <v>-12.899999999999977</v>
      </c>
      <c r="Q46" s="101">
        <f t="shared" si="6"/>
        <v>0.95700000000000007</v>
      </c>
      <c r="R46" s="580"/>
      <c r="S46" s="63">
        <v>0.24166666666666667</v>
      </c>
      <c r="T46" s="63">
        <v>0.31111111111111112</v>
      </c>
      <c r="U46" s="94">
        <f t="shared" si="34"/>
        <v>8.0000000000000107</v>
      </c>
      <c r="V46" s="97">
        <f t="shared" si="33"/>
        <v>100</v>
      </c>
      <c r="W46" s="64"/>
      <c r="X46" s="64"/>
      <c r="Y46" s="569"/>
      <c r="Z46" s="570"/>
      <c r="AA46" s="61">
        <f t="shared" si="8"/>
        <v>-129</v>
      </c>
      <c r="AB46" s="101">
        <f t="shared" si="9"/>
        <v>0.95699999999999996</v>
      </c>
      <c r="AC46" s="580"/>
    </row>
    <row r="47" spans="1:29" ht="15.75" customHeight="1">
      <c r="A47" s="577" t="s">
        <v>244</v>
      </c>
      <c r="B47" s="57" t="s">
        <v>31</v>
      </c>
      <c r="C47" s="567" t="s">
        <v>35</v>
      </c>
      <c r="D47" s="568"/>
      <c r="E47" s="57">
        <v>35.869999999999997</v>
      </c>
      <c r="F47" s="95">
        <v>2996</v>
      </c>
      <c r="G47" s="94">
        <f t="shared" si="31"/>
        <v>107466.51999999999</v>
      </c>
      <c r="H47" s="72" t="s">
        <v>5</v>
      </c>
      <c r="I47" s="96">
        <v>9</v>
      </c>
      <c r="J47" s="58">
        <v>3000</v>
      </c>
      <c r="K47" s="59">
        <f t="shared" si="1"/>
        <v>333.33333333333331</v>
      </c>
      <c r="L47" s="96">
        <v>9</v>
      </c>
      <c r="M47" s="60">
        <f t="shared" si="32"/>
        <v>2853.3333333333326</v>
      </c>
      <c r="N47" s="60">
        <f t="shared" si="3"/>
        <v>317.03703703703695</v>
      </c>
      <c r="O47" s="61">
        <f t="shared" si="4"/>
        <v>0</v>
      </c>
      <c r="P47" s="62">
        <f t="shared" si="5"/>
        <v>-16.296296296296362</v>
      </c>
      <c r="Q47" s="101">
        <f t="shared" si="6"/>
        <v>0.95111111111111091</v>
      </c>
      <c r="R47" s="580"/>
      <c r="S47" s="63">
        <v>0.31666666666666665</v>
      </c>
      <c r="T47" s="63">
        <v>0.36041666666666666</v>
      </c>
      <c r="U47" s="94">
        <f t="shared" si="34"/>
        <v>7.9999999999999716</v>
      </c>
      <c r="V47" s="97">
        <f t="shared" si="33"/>
        <v>63.000000000000014</v>
      </c>
      <c r="W47" s="64"/>
      <c r="X47" s="64"/>
      <c r="Y47" s="569"/>
      <c r="Z47" s="570"/>
      <c r="AA47" s="61">
        <f t="shared" si="8"/>
        <v>-146.66666666666742</v>
      </c>
      <c r="AB47" s="101">
        <f t="shared" si="9"/>
        <v>0.95111111111111091</v>
      </c>
      <c r="AC47" s="580"/>
    </row>
    <row r="48" spans="1:29" ht="15.75" customHeight="1">
      <c r="A48" s="577" t="s">
        <v>244</v>
      </c>
      <c r="B48" s="57" t="s">
        <v>31</v>
      </c>
      <c r="C48" s="567" t="s">
        <v>36</v>
      </c>
      <c r="D48" s="568"/>
      <c r="E48" s="57">
        <v>36.14</v>
      </c>
      <c r="F48" s="95">
        <v>1287</v>
      </c>
      <c r="G48" s="94">
        <f t="shared" si="31"/>
        <v>46512.18</v>
      </c>
      <c r="H48" s="72" t="s">
        <v>5</v>
      </c>
      <c r="I48" s="96">
        <v>9</v>
      </c>
      <c r="J48" s="58">
        <v>3000</v>
      </c>
      <c r="K48" s="59">
        <f t="shared" si="1"/>
        <v>333.33333333333331</v>
      </c>
      <c r="L48" s="96">
        <v>9</v>
      </c>
      <c r="M48" s="60">
        <f t="shared" si="32"/>
        <v>2860.0000000000014</v>
      </c>
      <c r="N48" s="60">
        <f t="shared" si="3"/>
        <v>317.77777777777794</v>
      </c>
      <c r="O48" s="61">
        <f t="shared" si="4"/>
        <v>0</v>
      </c>
      <c r="P48" s="62">
        <f t="shared" si="5"/>
        <v>-15.555555555555372</v>
      </c>
      <c r="Q48" s="101">
        <f t="shared" si="6"/>
        <v>0.95333333333333392</v>
      </c>
      <c r="R48" s="580"/>
      <c r="S48" s="63">
        <v>0.36527777777777776</v>
      </c>
      <c r="T48" s="63">
        <v>0.38402777777777775</v>
      </c>
      <c r="U48" s="94">
        <f t="shared" si="34"/>
        <v>6.9999999999999751</v>
      </c>
      <c r="V48" s="97">
        <f t="shared" si="33"/>
        <v>26.999999999999986</v>
      </c>
      <c r="W48" s="64"/>
      <c r="X48" s="64"/>
      <c r="Y48" s="569"/>
      <c r="Z48" s="570"/>
      <c r="AA48" s="61">
        <f t="shared" si="8"/>
        <v>-139.99999999999864</v>
      </c>
      <c r="AB48" s="101">
        <f t="shared" si="9"/>
        <v>0.95333333333333381</v>
      </c>
      <c r="AC48" s="580"/>
    </row>
    <row r="49" spans="1:29" ht="15.75" customHeight="1">
      <c r="A49" s="577" t="s">
        <v>244</v>
      </c>
      <c r="B49" s="57" t="s">
        <v>31</v>
      </c>
      <c r="C49" s="567" t="s">
        <v>63</v>
      </c>
      <c r="D49" s="568"/>
      <c r="E49" s="57">
        <v>34.36</v>
      </c>
      <c r="F49" s="95">
        <v>2262</v>
      </c>
      <c r="G49" s="94">
        <f t="shared" si="31"/>
        <v>77722.319999999992</v>
      </c>
      <c r="H49" s="72" t="s">
        <v>5</v>
      </c>
      <c r="I49" s="96">
        <v>10</v>
      </c>
      <c r="J49" s="58">
        <v>3000</v>
      </c>
      <c r="K49" s="59">
        <f t="shared" si="1"/>
        <v>300</v>
      </c>
      <c r="L49" s="96">
        <v>10</v>
      </c>
      <c r="M49" s="60">
        <f t="shared" si="32"/>
        <v>2887.6595744680853</v>
      </c>
      <c r="N49" s="60">
        <f t="shared" si="3"/>
        <v>288.76595744680856</v>
      </c>
      <c r="O49" s="61">
        <f t="shared" si="4"/>
        <v>0</v>
      </c>
      <c r="P49" s="62">
        <f t="shared" si="5"/>
        <v>-11.234042553191443</v>
      </c>
      <c r="Q49" s="101">
        <f t="shared" si="6"/>
        <v>0.9625531914893618</v>
      </c>
      <c r="R49" s="580"/>
      <c r="S49" s="63">
        <v>0.38749999999999996</v>
      </c>
      <c r="T49" s="63">
        <v>0.42013888888888884</v>
      </c>
      <c r="U49" s="94">
        <f t="shared" si="34"/>
        <v>4.9999999999999822</v>
      </c>
      <c r="V49" s="97">
        <f t="shared" si="33"/>
        <v>46.999999999999993</v>
      </c>
      <c r="W49" s="64"/>
      <c r="X49" s="64"/>
      <c r="Y49" s="569"/>
      <c r="Z49" s="570"/>
      <c r="AA49" s="61">
        <f t="shared" si="8"/>
        <v>-112.34042553191466</v>
      </c>
      <c r="AB49" s="101">
        <f t="shared" si="9"/>
        <v>0.9625531914893618</v>
      </c>
      <c r="AC49" s="580"/>
    </row>
    <row r="50" spans="1:29" ht="15.75" customHeight="1">
      <c r="A50" s="577" t="s">
        <v>244</v>
      </c>
      <c r="B50" s="57" t="s">
        <v>31</v>
      </c>
      <c r="C50" s="567" t="s">
        <v>71</v>
      </c>
      <c r="D50" s="568"/>
      <c r="E50" s="57">
        <v>31</v>
      </c>
      <c r="F50" s="95">
        <v>3650</v>
      </c>
      <c r="G50" s="94">
        <f t="shared" si="31"/>
        <v>113150</v>
      </c>
      <c r="H50" s="72" t="s">
        <v>5</v>
      </c>
      <c r="I50" s="96">
        <v>13</v>
      </c>
      <c r="J50" s="58">
        <v>2000</v>
      </c>
      <c r="K50" s="59">
        <f t="shared" si="1"/>
        <v>153.84615384615384</v>
      </c>
      <c r="L50" s="96">
        <v>13</v>
      </c>
      <c r="M50" s="60">
        <f t="shared" si="32"/>
        <v>1921.0526315789461</v>
      </c>
      <c r="N50" s="60">
        <f t="shared" si="3"/>
        <v>147.77327935222664</v>
      </c>
      <c r="O50" s="61">
        <f t="shared" si="4"/>
        <v>0</v>
      </c>
      <c r="P50" s="62">
        <f t="shared" si="5"/>
        <v>-6.0728744939272019</v>
      </c>
      <c r="Q50" s="101">
        <f t="shared" si="6"/>
        <v>0.96052631578947323</v>
      </c>
      <c r="R50" s="580"/>
      <c r="S50" s="63">
        <v>0.42499999999999993</v>
      </c>
      <c r="T50" s="63">
        <v>0.50416666666666665</v>
      </c>
      <c r="U50" s="94">
        <f t="shared" si="34"/>
        <v>6.9999999999999751</v>
      </c>
      <c r="V50" s="97">
        <f t="shared" si="33"/>
        <v>114.00000000000007</v>
      </c>
      <c r="W50" s="64">
        <f>T50</f>
        <v>0.50416666666666665</v>
      </c>
      <c r="X50" s="64">
        <f>S51</f>
        <v>0.54374999999999996</v>
      </c>
      <c r="Y50" s="569"/>
      <c r="Z50" s="570"/>
      <c r="AA50" s="61">
        <f t="shared" si="8"/>
        <v>-78.947368421053852</v>
      </c>
      <c r="AB50" s="101">
        <f t="shared" si="9"/>
        <v>0.96052631578947312</v>
      </c>
      <c r="AC50" s="580"/>
    </row>
    <row r="51" spans="1:29" ht="15.75" customHeight="1">
      <c r="A51" s="577" t="s">
        <v>244</v>
      </c>
      <c r="B51" s="57" t="s">
        <v>31</v>
      </c>
      <c r="C51" s="567" t="s">
        <v>33</v>
      </c>
      <c r="D51" s="568"/>
      <c r="E51" s="57">
        <v>27.17</v>
      </c>
      <c r="F51" s="95">
        <v>3830</v>
      </c>
      <c r="G51" s="94">
        <f t="shared" si="31"/>
        <v>104061.1</v>
      </c>
      <c r="H51" s="72" t="s">
        <v>5</v>
      </c>
      <c r="I51" s="96">
        <v>10</v>
      </c>
      <c r="J51" s="58">
        <v>3000</v>
      </c>
      <c r="K51" s="59">
        <f t="shared" si="1"/>
        <v>300</v>
      </c>
      <c r="L51" s="96">
        <v>10</v>
      </c>
      <c r="M51" s="60">
        <f t="shared" si="32"/>
        <v>2872.4999999999991</v>
      </c>
      <c r="N51" s="60">
        <f t="shared" si="3"/>
        <v>287.24999999999989</v>
      </c>
      <c r="O51" s="61">
        <f t="shared" si="4"/>
        <v>0</v>
      </c>
      <c r="P51" s="62">
        <f t="shared" si="5"/>
        <v>-12.750000000000114</v>
      </c>
      <c r="Q51" s="101">
        <f t="shared" si="6"/>
        <v>0.95749999999999957</v>
      </c>
      <c r="R51" s="580"/>
      <c r="S51" s="63">
        <v>0.54374999999999996</v>
      </c>
      <c r="T51" s="63">
        <v>0.59930555555555554</v>
      </c>
      <c r="U51" s="94">
        <f t="shared" si="34"/>
        <v>56.999999999999957</v>
      </c>
      <c r="V51" s="97">
        <f t="shared" si="33"/>
        <v>80.000000000000028</v>
      </c>
      <c r="W51" s="64"/>
      <c r="X51" s="64"/>
      <c r="Y51" s="569"/>
      <c r="Z51" s="570"/>
      <c r="AA51" s="61">
        <f t="shared" si="8"/>
        <v>-127.50000000000091</v>
      </c>
      <c r="AB51" s="101">
        <f t="shared" si="9"/>
        <v>0.95749999999999968</v>
      </c>
      <c r="AC51" s="580"/>
    </row>
    <row r="52" spans="1:29" ht="15.75" customHeight="1">
      <c r="A52" s="578" t="s">
        <v>244</v>
      </c>
      <c r="B52" s="57" t="s">
        <v>242</v>
      </c>
      <c r="C52" s="561"/>
      <c r="D52" s="562"/>
      <c r="E52" s="104"/>
      <c r="F52" s="95"/>
      <c r="G52" s="94"/>
      <c r="H52" s="95"/>
      <c r="I52" s="67">
        <v>10.125</v>
      </c>
      <c r="J52" s="58">
        <v>2875</v>
      </c>
      <c r="K52" s="59">
        <f t="shared" si="1"/>
        <v>283.95061728395063</v>
      </c>
      <c r="L52" s="67">
        <v>10.125</v>
      </c>
      <c r="M52" s="60">
        <f>AVERAGE(M44:M51)</f>
        <v>2750.9545024259992</v>
      </c>
      <c r="N52" s="59">
        <f t="shared" si="3"/>
        <v>271.69921011614809</v>
      </c>
      <c r="O52" s="61">
        <f t="shared" si="4"/>
        <v>0</v>
      </c>
      <c r="P52" s="62">
        <f t="shared" si="5"/>
        <v>-12.25140716780254</v>
      </c>
      <c r="Q52" s="101">
        <f t="shared" si="6"/>
        <v>0.9568537399742606</v>
      </c>
      <c r="R52" s="581"/>
      <c r="S52" s="63"/>
      <c r="T52" s="63"/>
      <c r="U52" s="94"/>
      <c r="V52" s="97"/>
      <c r="W52" s="64"/>
      <c r="X52" s="64"/>
      <c r="Y52" s="569"/>
      <c r="Z52" s="570"/>
      <c r="AA52" s="61">
        <f t="shared" si="8"/>
        <v>-124.04549757400082</v>
      </c>
      <c r="AB52" s="101">
        <f t="shared" si="9"/>
        <v>0.9568537399742606</v>
      </c>
      <c r="AC52" s="581"/>
    </row>
    <row r="53" spans="1:29" ht="15.75" customHeight="1">
      <c r="A53" s="574" t="s">
        <v>245</v>
      </c>
      <c r="B53" s="57" t="s">
        <v>10</v>
      </c>
      <c r="C53" s="560" t="s">
        <v>37</v>
      </c>
      <c r="D53" s="560"/>
      <c r="E53" s="57">
        <v>46</v>
      </c>
      <c r="F53" s="69">
        <v>2312</v>
      </c>
      <c r="G53" s="94">
        <f t="shared" ref="G53:G58" si="35">E53*F53</f>
        <v>106352</v>
      </c>
      <c r="H53" s="72" t="s">
        <v>5</v>
      </c>
      <c r="I53" s="96">
        <v>17</v>
      </c>
      <c r="J53" s="58">
        <v>2000</v>
      </c>
      <c r="K53" s="59">
        <f t="shared" si="1"/>
        <v>117.64705882352941</v>
      </c>
      <c r="L53" s="96">
        <v>17</v>
      </c>
      <c r="M53" s="60">
        <f t="shared" ref="M53:M58" si="36">F53/V53*60</f>
        <v>1900.2739726027394</v>
      </c>
      <c r="N53" s="60">
        <f t="shared" si="3"/>
        <v>111.7808219178082</v>
      </c>
      <c r="O53" s="61">
        <f t="shared" si="4"/>
        <v>0</v>
      </c>
      <c r="P53" s="62">
        <f t="shared" si="5"/>
        <v>-5.8662369057212089</v>
      </c>
      <c r="Q53" s="101">
        <f t="shared" si="6"/>
        <v>0.95013698630136967</v>
      </c>
      <c r="R53" s="566">
        <f>Q59</f>
        <v>0.95693360396349181</v>
      </c>
      <c r="S53" s="63">
        <v>0.20833333333333334</v>
      </c>
      <c r="T53" s="63">
        <v>0.2590277777777778</v>
      </c>
      <c r="U53" s="68"/>
      <c r="V53" s="97">
        <f t="shared" ref="V53:V58" si="37">(T53-S53)*24*60</f>
        <v>73.000000000000014</v>
      </c>
      <c r="W53" s="68"/>
      <c r="X53" s="68"/>
      <c r="Y53" s="559"/>
      <c r="Z53" s="559"/>
      <c r="AA53" s="61">
        <f t="shared" si="8"/>
        <v>-99.726027397260623</v>
      </c>
      <c r="AB53" s="101">
        <f t="shared" si="9"/>
        <v>0.95013698630136967</v>
      </c>
      <c r="AC53" s="566">
        <f>AB59</f>
        <v>0.95693360396349181</v>
      </c>
    </row>
    <row r="54" spans="1:29" ht="15.75" customHeight="1">
      <c r="A54" s="574" t="s">
        <v>245</v>
      </c>
      <c r="B54" s="57" t="s">
        <v>10</v>
      </c>
      <c r="C54" s="560" t="s">
        <v>38</v>
      </c>
      <c r="D54" s="560"/>
      <c r="E54" s="57">
        <v>46</v>
      </c>
      <c r="F54" s="69">
        <v>2410</v>
      </c>
      <c r="G54" s="94">
        <f t="shared" si="35"/>
        <v>110860</v>
      </c>
      <c r="H54" s="72" t="s">
        <v>5</v>
      </c>
      <c r="I54" s="96">
        <v>17</v>
      </c>
      <c r="J54" s="58">
        <v>2000</v>
      </c>
      <c r="K54" s="59">
        <f t="shared" si="1"/>
        <v>117.64705882352941</v>
      </c>
      <c r="L54" s="96">
        <v>17</v>
      </c>
      <c r="M54" s="60">
        <f t="shared" si="36"/>
        <v>1928.0000000000009</v>
      </c>
      <c r="N54" s="60">
        <f t="shared" si="3"/>
        <v>113.4117647058824</v>
      </c>
      <c r="O54" s="61">
        <f t="shared" si="4"/>
        <v>0</v>
      </c>
      <c r="P54" s="62">
        <f t="shared" si="5"/>
        <v>-4.2352941176470011</v>
      </c>
      <c r="Q54" s="101">
        <f t="shared" si="6"/>
        <v>0.96400000000000052</v>
      </c>
      <c r="R54" s="566"/>
      <c r="S54" s="63">
        <v>0.26250000000000001</v>
      </c>
      <c r="T54" s="63">
        <v>0.31458333333333333</v>
      </c>
      <c r="U54" s="94">
        <f t="shared" ref="U54:U58" si="38">IF(S54=TIME(17,0,0),"",(S54-T53)*24*60)</f>
        <v>4.9999999999999822</v>
      </c>
      <c r="V54" s="97">
        <f t="shared" si="37"/>
        <v>74.999999999999972</v>
      </c>
      <c r="W54" s="64"/>
      <c r="X54" s="64"/>
      <c r="Y54" s="559"/>
      <c r="Z54" s="559"/>
      <c r="AA54" s="61">
        <f t="shared" si="8"/>
        <v>-71.999999999999091</v>
      </c>
      <c r="AB54" s="101">
        <f t="shared" si="9"/>
        <v>0.96400000000000041</v>
      </c>
      <c r="AC54" s="566"/>
    </row>
    <row r="55" spans="1:29" ht="15.75" customHeight="1">
      <c r="A55" s="574" t="s">
        <v>245</v>
      </c>
      <c r="B55" s="57" t="s">
        <v>6</v>
      </c>
      <c r="C55" s="567" t="s">
        <v>39</v>
      </c>
      <c r="D55" s="568"/>
      <c r="E55" s="57">
        <v>55.56</v>
      </c>
      <c r="F55" s="69">
        <v>2290</v>
      </c>
      <c r="G55" s="94">
        <f t="shared" si="35"/>
        <v>127232.40000000001</v>
      </c>
      <c r="H55" s="72" t="s">
        <v>5</v>
      </c>
      <c r="I55" s="96">
        <v>17</v>
      </c>
      <c r="J55" s="58">
        <v>2000</v>
      </c>
      <c r="K55" s="59">
        <f t="shared" si="1"/>
        <v>117.64705882352941</v>
      </c>
      <c r="L55" s="96">
        <v>17</v>
      </c>
      <c r="M55" s="60">
        <f t="shared" si="36"/>
        <v>1908.3333333333317</v>
      </c>
      <c r="N55" s="60">
        <f t="shared" si="3"/>
        <v>112.25490196078421</v>
      </c>
      <c r="O55" s="61">
        <f t="shared" si="4"/>
        <v>0</v>
      </c>
      <c r="P55" s="62">
        <f t="shared" si="5"/>
        <v>-5.3921568627451961</v>
      </c>
      <c r="Q55" s="101">
        <f t="shared" si="6"/>
        <v>0.95416666666666583</v>
      </c>
      <c r="R55" s="566"/>
      <c r="S55" s="63">
        <v>0.70833333333333337</v>
      </c>
      <c r="T55" s="63">
        <v>0.75833333333333341</v>
      </c>
      <c r="U55" s="94" t="str">
        <f t="shared" si="38"/>
        <v/>
      </c>
      <c r="V55" s="97">
        <f t="shared" si="37"/>
        <v>72.000000000000057</v>
      </c>
      <c r="W55" s="64"/>
      <c r="X55" s="64"/>
      <c r="Y55" s="98"/>
      <c r="Z55" s="99"/>
      <c r="AA55" s="61">
        <f t="shared" si="8"/>
        <v>-91.666666666668334</v>
      </c>
      <c r="AB55" s="101">
        <f t="shared" si="9"/>
        <v>0.95416666666666583</v>
      </c>
      <c r="AC55" s="566"/>
    </row>
    <row r="56" spans="1:29" ht="15.75" customHeight="1">
      <c r="A56" s="574" t="s">
        <v>245</v>
      </c>
      <c r="B56" s="57" t="s">
        <v>6</v>
      </c>
      <c r="C56" s="102" t="s">
        <v>40</v>
      </c>
      <c r="D56" s="103"/>
      <c r="E56" s="57">
        <v>55.32</v>
      </c>
      <c r="F56" s="69">
        <v>1761</v>
      </c>
      <c r="G56" s="94">
        <f t="shared" si="35"/>
        <v>97418.52</v>
      </c>
      <c r="H56" s="72" t="s">
        <v>5</v>
      </c>
      <c r="I56" s="96">
        <v>15</v>
      </c>
      <c r="J56" s="58">
        <v>2000</v>
      </c>
      <c r="K56" s="59">
        <f t="shared" si="1"/>
        <v>133.33333333333334</v>
      </c>
      <c r="L56" s="96">
        <v>15</v>
      </c>
      <c r="M56" s="60">
        <f t="shared" si="36"/>
        <v>1921.0909090909101</v>
      </c>
      <c r="N56" s="60">
        <f t="shared" si="3"/>
        <v>128.07272727272735</v>
      </c>
      <c r="O56" s="61">
        <f t="shared" si="4"/>
        <v>0</v>
      </c>
      <c r="P56" s="62">
        <f t="shared" si="5"/>
        <v>-5.2606060606059941</v>
      </c>
      <c r="Q56" s="101">
        <f t="shared" si="6"/>
        <v>0.96054545454545504</v>
      </c>
      <c r="R56" s="566"/>
      <c r="S56" s="63">
        <v>0.76319444444444451</v>
      </c>
      <c r="T56" s="63">
        <v>0.80138888888888893</v>
      </c>
      <c r="U56" s="94">
        <f t="shared" si="38"/>
        <v>6.9999999999999751</v>
      </c>
      <c r="V56" s="97">
        <f t="shared" si="37"/>
        <v>54.999999999999964</v>
      </c>
      <c r="W56" s="64"/>
      <c r="X56" s="64"/>
      <c r="Y56" s="98"/>
      <c r="Z56" s="99"/>
      <c r="AA56" s="61">
        <f t="shared" si="8"/>
        <v>-78.909090909089855</v>
      </c>
      <c r="AB56" s="101">
        <f t="shared" si="9"/>
        <v>0.96054545454545504</v>
      </c>
      <c r="AC56" s="566"/>
    </row>
    <row r="57" spans="1:29" ht="15.75" customHeight="1">
      <c r="A57" s="574" t="s">
        <v>245</v>
      </c>
      <c r="B57" s="57" t="s">
        <v>6</v>
      </c>
      <c r="C57" s="102" t="s">
        <v>99</v>
      </c>
      <c r="D57" s="103"/>
      <c r="E57" s="57">
        <v>53.68</v>
      </c>
      <c r="F57" s="69">
        <v>1000</v>
      </c>
      <c r="G57" s="94">
        <f t="shared" si="35"/>
        <v>53680</v>
      </c>
      <c r="H57" s="72">
        <v>2</v>
      </c>
      <c r="I57" s="96">
        <v>16</v>
      </c>
      <c r="J57" s="58">
        <v>1500</v>
      </c>
      <c r="K57" s="59">
        <f t="shared" si="1"/>
        <v>93.75</v>
      </c>
      <c r="L57" s="96">
        <v>16</v>
      </c>
      <c r="M57" s="60">
        <f t="shared" si="36"/>
        <v>1428.5714285714282</v>
      </c>
      <c r="N57" s="60">
        <f t="shared" si="3"/>
        <v>89.285714285714263</v>
      </c>
      <c r="O57" s="61">
        <f t="shared" si="4"/>
        <v>0</v>
      </c>
      <c r="P57" s="62">
        <f t="shared" si="5"/>
        <v>-4.4642857142857366</v>
      </c>
      <c r="Q57" s="101">
        <f t="shared" si="6"/>
        <v>0.95238095238095211</v>
      </c>
      <c r="R57" s="566"/>
      <c r="S57" s="63">
        <v>0.80694444444444446</v>
      </c>
      <c r="T57" s="63">
        <v>0.83611111111111114</v>
      </c>
      <c r="U57" s="94">
        <f t="shared" si="38"/>
        <v>7.9999999999999716</v>
      </c>
      <c r="V57" s="97">
        <f t="shared" si="37"/>
        <v>42.000000000000014</v>
      </c>
      <c r="W57" s="64">
        <f>T57</f>
        <v>0.83611111111111114</v>
      </c>
      <c r="X57" s="64">
        <f>S58</f>
        <v>0.87638888888888888</v>
      </c>
      <c r="Y57" s="98"/>
      <c r="Z57" s="99"/>
      <c r="AA57" s="61">
        <f t="shared" si="8"/>
        <v>-71.428571428571786</v>
      </c>
      <c r="AB57" s="101">
        <f t="shared" si="9"/>
        <v>0.95238095238095211</v>
      </c>
      <c r="AC57" s="566"/>
    </row>
    <row r="58" spans="1:29" ht="15.75" customHeight="1">
      <c r="A58" s="574" t="s">
        <v>245</v>
      </c>
      <c r="B58" s="57" t="s">
        <v>6</v>
      </c>
      <c r="C58" s="567" t="s">
        <v>99</v>
      </c>
      <c r="D58" s="568"/>
      <c r="E58" s="57">
        <v>53.68</v>
      </c>
      <c r="F58" s="69">
        <v>2088</v>
      </c>
      <c r="G58" s="94">
        <f t="shared" si="35"/>
        <v>112083.84</v>
      </c>
      <c r="H58" s="72" t="s">
        <v>5</v>
      </c>
      <c r="I58" s="96">
        <v>16</v>
      </c>
      <c r="J58" s="58">
        <v>1500</v>
      </c>
      <c r="K58" s="59">
        <f t="shared" si="1"/>
        <v>93.75</v>
      </c>
      <c r="L58" s="96">
        <v>16</v>
      </c>
      <c r="M58" s="60">
        <f t="shared" si="36"/>
        <v>1439.9999999999998</v>
      </c>
      <c r="N58" s="60">
        <f t="shared" si="3"/>
        <v>89.999999999999986</v>
      </c>
      <c r="O58" s="61">
        <f t="shared" si="4"/>
        <v>0</v>
      </c>
      <c r="P58" s="62">
        <f t="shared" si="5"/>
        <v>-3.7500000000000142</v>
      </c>
      <c r="Q58" s="101">
        <f t="shared" si="6"/>
        <v>0.95999999999999985</v>
      </c>
      <c r="R58" s="566"/>
      <c r="S58" s="63">
        <v>0.87638888888888888</v>
      </c>
      <c r="T58" s="63">
        <v>0.93680555555555556</v>
      </c>
      <c r="U58" s="94">
        <f t="shared" si="38"/>
        <v>57.999999999999957</v>
      </c>
      <c r="V58" s="97">
        <f t="shared" si="37"/>
        <v>87.000000000000014</v>
      </c>
      <c r="W58" s="64"/>
      <c r="X58" s="64"/>
      <c r="Y58" s="569"/>
      <c r="Z58" s="570"/>
      <c r="AA58" s="61">
        <f t="shared" si="8"/>
        <v>-60.000000000000227</v>
      </c>
      <c r="AB58" s="101">
        <f t="shared" si="9"/>
        <v>0.95999999999999985</v>
      </c>
      <c r="AC58" s="566"/>
    </row>
    <row r="59" spans="1:29">
      <c r="A59" s="575" t="s">
        <v>245</v>
      </c>
      <c r="B59" s="57" t="s">
        <v>242</v>
      </c>
      <c r="C59" s="571"/>
      <c r="D59" s="571"/>
      <c r="E59" s="100"/>
      <c r="F59" s="66"/>
      <c r="G59" s="59"/>
      <c r="H59" s="95"/>
      <c r="I59" s="67">
        <v>16.333333333333332</v>
      </c>
      <c r="J59" s="58">
        <v>1833.3333333333333</v>
      </c>
      <c r="K59" s="59">
        <f t="shared" si="1"/>
        <v>112.24489795918367</v>
      </c>
      <c r="L59" s="67">
        <v>16.333333333333332</v>
      </c>
      <c r="M59" s="60">
        <f>AVERAGE(M53:M58)</f>
        <v>1754.3782739330682</v>
      </c>
      <c r="N59" s="59">
        <f t="shared" si="3"/>
        <v>107.41091473059602</v>
      </c>
      <c r="O59" s="61">
        <f t="shared" si="4"/>
        <v>0</v>
      </c>
      <c r="P59" s="62">
        <f t="shared" si="5"/>
        <v>-4.8339832285876554</v>
      </c>
      <c r="Q59" s="101">
        <f t="shared" si="6"/>
        <v>0.95693360396349181</v>
      </c>
      <c r="R59" s="566"/>
      <c r="S59" s="70"/>
      <c r="T59" s="63"/>
      <c r="U59" s="59"/>
      <c r="V59" s="97"/>
      <c r="W59" s="59"/>
      <c r="X59" s="59"/>
      <c r="Y59" s="559"/>
      <c r="Z59" s="559"/>
      <c r="AA59" s="61">
        <f t="shared" si="8"/>
        <v>-78.9550594002651</v>
      </c>
      <c r="AB59" s="101">
        <f t="shared" si="9"/>
        <v>0.95693360396349181</v>
      </c>
      <c r="AC59" s="566"/>
    </row>
    <row r="60" spans="1:29" ht="15.75" customHeight="1">
      <c r="A60" s="572" t="s">
        <v>246</v>
      </c>
      <c r="B60" s="95" t="s">
        <v>10</v>
      </c>
      <c r="C60" s="560" t="s">
        <v>42</v>
      </c>
      <c r="D60" s="560"/>
      <c r="E60" s="57">
        <v>26.97</v>
      </c>
      <c r="F60" s="69">
        <v>2994</v>
      </c>
      <c r="G60" s="94">
        <f t="shared" ref="G60:G63" si="39">E60*F60</f>
        <v>80748.179999999993</v>
      </c>
      <c r="H60" s="72" t="s">
        <v>5</v>
      </c>
      <c r="I60" s="96">
        <v>8</v>
      </c>
      <c r="J60" s="58">
        <v>1500</v>
      </c>
      <c r="K60" s="59">
        <f t="shared" si="1"/>
        <v>187.5</v>
      </c>
      <c r="L60" s="96">
        <v>8</v>
      </c>
      <c r="M60" s="60">
        <f t="shared" ref="M60:M63" si="40">F60/V60*60</f>
        <v>1437.1200000000001</v>
      </c>
      <c r="N60" s="59">
        <f t="shared" si="3"/>
        <v>179.64000000000001</v>
      </c>
      <c r="O60" s="61">
        <f t="shared" si="4"/>
        <v>0</v>
      </c>
      <c r="P60" s="62">
        <f t="shared" si="5"/>
        <v>-7.8599999999999852</v>
      </c>
      <c r="Q60" s="101">
        <f t="shared" si="6"/>
        <v>0.95808000000000004</v>
      </c>
      <c r="R60" s="566">
        <f>Q64</f>
        <v>0.95718149659863927</v>
      </c>
      <c r="S60" s="63">
        <v>0.20833333333333334</v>
      </c>
      <c r="T60" s="63">
        <v>0.2951388888888889</v>
      </c>
      <c r="U60" s="94"/>
      <c r="V60" s="97">
        <f t="shared" ref="V60:V63" si="41">(T60-S60)*24*60</f>
        <v>124.99999999999999</v>
      </c>
      <c r="W60" s="68"/>
      <c r="X60" s="68"/>
      <c r="Y60" s="559"/>
      <c r="Z60" s="559"/>
      <c r="AA60" s="61">
        <f t="shared" si="8"/>
        <v>-62.879999999999882</v>
      </c>
      <c r="AB60" s="101">
        <f t="shared" si="9"/>
        <v>0.95808000000000004</v>
      </c>
      <c r="AC60" s="566">
        <f>AB64</f>
        <v>0.95718149659863927</v>
      </c>
    </row>
    <row r="61" spans="1:29" ht="15.75" customHeight="1">
      <c r="A61" s="572" t="s">
        <v>246</v>
      </c>
      <c r="B61" s="95" t="s">
        <v>31</v>
      </c>
      <c r="C61" s="560" t="s">
        <v>41</v>
      </c>
      <c r="D61" s="560"/>
      <c r="E61" s="57">
        <v>26.78</v>
      </c>
      <c r="F61" s="69">
        <v>2867</v>
      </c>
      <c r="G61" s="94">
        <f t="shared" si="39"/>
        <v>76778.260000000009</v>
      </c>
      <c r="H61" s="72" t="s">
        <v>5</v>
      </c>
      <c r="I61" s="96">
        <v>10</v>
      </c>
      <c r="J61" s="58">
        <v>3000</v>
      </c>
      <c r="K61" s="59">
        <f t="shared" si="1"/>
        <v>300</v>
      </c>
      <c r="L61" s="96">
        <v>10</v>
      </c>
      <c r="M61" s="60">
        <f t="shared" si="40"/>
        <v>2866.9999999999986</v>
      </c>
      <c r="N61" s="59">
        <f t="shared" si="3"/>
        <v>286.69999999999987</v>
      </c>
      <c r="O61" s="61">
        <f t="shared" si="4"/>
        <v>0</v>
      </c>
      <c r="P61" s="62">
        <f t="shared" si="5"/>
        <v>-13.300000000000125</v>
      </c>
      <c r="Q61" s="101">
        <f t="shared" si="6"/>
        <v>0.95566666666666622</v>
      </c>
      <c r="R61" s="566"/>
      <c r="S61" s="63">
        <v>0.29930555555555555</v>
      </c>
      <c r="T61" s="63">
        <v>0.34097222222222223</v>
      </c>
      <c r="U61" s="94">
        <f t="shared" ref="U61:U63" si="42">(S61-T60)*24*60</f>
        <v>5.9999999999999787</v>
      </c>
      <c r="V61" s="97">
        <f t="shared" si="41"/>
        <v>60.000000000000028</v>
      </c>
      <c r="W61" s="94"/>
      <c r="X61" s="94"/>
      <c r="Y61" s="559"/>
      <c r="Z61" s="559"/>
      <c r="AA61" s="61">
        <f t="shared" si="8"/>
        <v>-133.00000000000136</v>
      </c>
      <c r="AB61" s="101">
        <f t="shared" si="9"/>
        <v>0.95566666666666622</v>
      </c>
      <c r="AC61" s="566"/>
    </row>
    <row r="62" spans="1:29" ht="15.75" customHeight="1">
      <c r="A62" s="572" t="s">
        <v>246</v>
      </c>
      <c r="B62" s="95" t="s">
        <v>31</v>
      </c>
      <c r="C62" s="560" t="s">
        <v>64</v>
      </c>
      <c r="D62" s="560"/>
      <c r="E62" s="57">
        <v>37.880000000000003</v>
      </c>
      <c r="F62" s="69">
        <v>3133</v>
      </c>
      <c r="G62" s="94">
        <f t="shared" si="39"/>
        <v>118678.04000000001</v>
      </c>
      <c r="H62" s="72" t="s">
        <v>5</v>
      </c>
      <c r="I62" s="96">
        <v>10</v>
      </c>
      <c r="J62" s="58">
        <v>3000</v>
      </c>
      <c r="K62" s="59">
        <f t="shared" si="1"/>
        <v>300</v>
      </c>
      <c r="L62" s="96">
        <v>10</v>
      </c>
      <c r="M62" s="60">
        <f t="shared" si="40"/>
        <v>2891.9999999999991</v>
      </c>
      <c r="N62" s="59">
        <f t="shared" si="3"/>
        <v>289.19999999999993</v>
      </c>
      <c r="O62" s="61">
        <f t="shared" si="4"/>
        <v>0</v>
      </c>
      <c r="P62" s="62">
        <f t="shared" si="5"/>
        <v>-10.800000000000068</v>
      </c>
      <c r="Q62" s="101">
        <f t="shared" si="6"/>
        <v>0.96399999999999975</v>
      </c>
      <c r="R62" s="566"/>
      <c r="S62" s="63">
        <v>0.34652777777777777</v>
      </c>
      <c r="T62" s="63">
        <v>0.39166666666666666</v>
      </c>
      <c r="U62" s="94">
        <f t="shared" si="42"/>
        <v>7.9999999999999716</v>
      </c>
      <c r="V62" s="97">
        <f t="shared" si="41"/>
        <v>65.000000000000014</v>
      </c>
      <c r="W62" s="94"/>
      <c r="X62" s="94"/>
      <c r="Y62" s="559"/>
      <c r="Z62" s="559"/>
      <c r="AA62" s="61">
        <f t="shared" si="8"/>
        <v>-108.00000000000091</v>
      </c>
      <c r="AB62" s="101">
        <f t="shared" si="9"/>
        <v>0.96399999999999975</v>
      </c>
      <c r="AC62" s="566"/>
    </row>
    <row r="63" spans="1:29" ht="15.75" customHeight="1">
      <c r="A63" s="572" t="s">
        <v>246</v>
      </c>
      <c r="B63" s="95" t="s">
        <v>31</v>
      </c>
      <c r="C63" s="560" t="s">
        <v>72</v>
      </c>
      <c r="D63" s="560"/>
      <c r="E63" s="57">
        <v>40.51</v>
      </c>
      <c r="F63" s="69">
        <v>2997</v>
      </c>
      <c r="G63" s="94">
        <f t="shared" si="39"/>
        <v>121408.47</v>
      </c>
      <c r="H63" s="72" t="s">
        <v>5</v>
      </c>
      <c r="I63" s="96">
        <v>8</v>
      </c>
      <c r="J63" s="58">
        <v>3000</v>
      </c>
      <c r="K63" s="59">
        <f t="shared" si="1"/>
        <v>375</v>
      </c>
      <c r="L63" s="96">
        <v>8</v>
      </c>
      <c r="M63" s="60">
        <f t="shared" si="40"/>
        <v>2854.2857142857138</v>
      </c>
      <c r="N63" s="59">
        <f t="shared" si="3"/>
        <v>356.78571428571422</v>
      </c>
      <c r="O63" s="61">
        <f t="shared" si="4"/>
        <v>0</v>
      </c>
      <c r="P63" s="62">
        <f t="shared" si="5"/>
        <v>-18.214285714285779</v>
      </c>
      <c r="Q63" s="101">
        <f t="shared" si="6"/>
        <v>0.95142857142857129</v>
      </c>
      <c r="R63" s="566"/>
      <c r="S63" s="63">
        <v>0.39652777777777776</v>
      </c>
      <c r="T63" s="63">
        <v>0.44027777777777777</v>
      </c>
      <c r="U63" s="94">
        <f t="shared" si="42"/>
        <v>6.9999999999999751</v>
      </c>
      <c r="V63" s="97">
        <f t="shared" si="41"/>
        <v>63.000000000000014</v>
      </c>
      <c r="W63" s="94"/>
      <c r="X63" s="94"/>
      <c r="Y63" s="559"/>
      <c r="Z63" s="559"/>
      <c r="AA63" s="61">
        <f t="shared" si="8"/>
        <v>-145.71428571428623</v>
      </c>
      <c r="AB63" s="101">
        <f t="shared" si="9"/>
        <v>0.95142857142857129</v>
      </c>
      <c r="AC63" s="566"/>
    </row>
    <row r="64" spans="1:29">
      <c r="A64" s="573" t="s">
        <v>246</v>
      </c>
      <c r="B64" s="57" t="s">
        <v>67</v>
      </c>
      <c r="C64" s="571"/>
      <c r="D64" s="571"/>
      <c r="E64" s="100"/>
      <c r="F64" s="66"/>
      <c r="G64" s="59"/>
      <c r="H64" s="95"/>
      <c r="I64" s="67">
        <v>9</v>
      </c>
      <c r="J64" s="58">
        <v>2625</v>
      </c>
      <c r="K64" s="59">
        <f t="shared" si="1"/>
        <v>291.66666666666669</v>
      </c>
      <c r="L64" s="67">
        <v>9</v>
      </c>
      <c r="M64" s="60">
        <f>AVERAGE(M60:M63)</f>
        <v>2512.6014285714282</v>
      </c>
      <c r="N64" s="59">
        <f t="shared" si="3"/>
        <v>279.17793650793647</v>
      </c>
      <c r="O64" s="61">
        <f t="shared" si="4"/>
        <v>0</v>
      </c>
      <c r="P64" s="62">
        <f t="shared" si="5"/>
        <v>-12.48873015873022</v>
      </c>
      <c r="Q64" s="101">
        <f t="shared" si="6"/>
        <v>0.95718149659863927</v>
      </c>
      <c r="R64" s="566"/>
      <c r="S64" s="63"/>
      <c r="T64" s="63"/>
      <c r="U64" s="59"/>
      <c r="V64" s="97"/>
      <c r="W64" s="59"/>
      <c r="X64" s="59"/>
      <c r="Y64" s="559"/>
      <c r="Z64" s="559"/>
      <c r="AA64" s="61">
        <f t="shared" si="8"/>
        <v>-112.39857142857181</v>
      </c>
      <c r="AB64" s="101">
        <f t="shared" si="9"/>
        <v>0.95718149659863927</v>
      </c>
      <c r="AC64" s="566"/>
    </row>
    <row r="65" spans="1:29" ht="15.75" customHeight="1">
      <c r="A65" s="563" t="s">
        <v>247</v>
      </c>
      <c r="B65" s="95" t="s">
        <v>15</v>
      </c>
      <c r="C65" s="560" t="s">
        <v>43</v>
      </c>
      <c r="D65" s="560"/>
      <c r="E65" s="57">
        <v>20.2</v>
      </c>
      <c r="F65" s="95">
        <v>2489</v>
      </c>
      <c r="G65" s="94">
        <f t="shared" ref="G65:G72" si="43">E65*F65</f>
        <v>50277.799999999996</v>
      </c>
      <c r="H65" s="72" t="s">
        <v>5</v>
      </c>
      <c r="I65" s="96">
        <v>19</v>
      </c>
      <c r="J65" s="58">
        <v>2400</v>
      </c>
      <c r="K65" s="59">
        <f t="shared" si="1"/>
        <v>126.31578947368421</v>
      </c>
      <c r="L65" s="96">
        <v>19</v>
      </c>
      <c r="M65" s="60">
        <f t="shared" ref="M65:M72" si="44">F65/V65*60</f>
        <v>2297.5384615384619</v>
      </c>
      <c r="N65" s="59">
        <f t="shared" si="3"/>
        <v>120.92307692307695</v>
      </c>
      <c r="O65" s="61">
        <f t="shared" si="4"/>
        <v>0</v>
      </c>
      <c r="P65" s="62">
        <f t="shared" si="5"/>
        <v>-5.3927125506072571</v>
      </c>
      <c r="Q65" s="101">
        <f t="shared" si="6"/>
        <v>0.95730769230769253</v>
      </c>
      <c r="R65" s="566">
        <f>Q73</f>
        <v>0.95645664133134878</v>
      </c>
      <c r="S65" s="63">
        <v>8.3333333333333329E-2</v>
      </c>
      <c r="T65" s="63">
        <v>0.12847222222222221</v>
      </c>
      <c r="U65" s="68"/>
      <c r="V65" s="97">
        <f t="shared" ref="V65:V72" si="45">(T65-S65)*24*60</f>
        <v>64.999999999999986</v>
      </c>
      <c r="W65" s="64">
        <f>T65</f>
        <v>0.12847222222222221</v>
      </c>
      <c r="X65" s="64">
        <f>S66</f>
        <v>0.14652777777777776</v>
      </c>
      <c r="Y65" s="559"/>
      <c r="Z65" s="559"/>
      <c r="AA65" s="61">
        <f t="shared" si="8"/>
        <v>-102.46153846153811</v>
      </c>
      <c r="AB65" s="101">
        <f t="shared" si="9"/>
        <v>0.95730769230769241</v>
      </c>
      <c r="AC65" s="566">
        <f>AB73</f>
        <v>0.95645664133134878</v>
      </c>
    </row>
    <row r="66" spans="1:29" ht="15.75" customHeight="1">
      <c r="A66" s="564" t="s">
        <v>247</v>
      </c>
      <c r="B66" s="95" t="s">
        <v>15</v>
      </c>
      <c r="C66" s="560" t="s">
        <v>16</v>
      </c>
      <c r="D66" s="560"/>
      <c r="E66" s="57">
        <v>24.45</v>
      </c>
      <c r="F66" s="95">
        <v>2747</v>
      </c>
      <c r="G66" s="94">
        <f t="shared" si="43"/>
        <v>67164.149999999994</v>
      </c>
      <c r="H66" s="72" t="s">
        <v>5</v>
      </c>
      <c r="I66" s="96">
        <v>20</v>
      </c>
      <c r="J66" s="58">
        <v>2400</v>
      </c>
      <c r="K66" s="59">
        <f t="shared" si="1"/>
        <v>120</v>
      </c>
      <c r="L66" s="96">
        <v>20</v>
      </c>
      <c r="M66" s="60">
        <f t="shared" si="44"/>
        <v>2289.166666666667</v>
      </c>
      <c r="N66" s="59">
        <f t="shared" si="3"/>
        <v>114.45833333333334</v>
      </c>
      <c r="O66" s="61">
        <f t="shared" si="4"/>
        <v>0</v>
      </c>
      <c r="P66" s="62">
        <f t="shared" si="5"/>
        <v>-5.5416666666666572</v>
      </c>
      <c r="Q66" s="101">
        <f t="shared" si="6"/>
        <v>0.95381944444444455</v>
      </c>
      <c r="R66" s="566"/>
      <c r="S66" s="63">
        <v>0.14652777777777776</v>
      </c>
      <c r="T66" s="63">
        <v>0.19652777777777775</v>
      </c>
      <c r="U66" s="94">
        <f t="shared" ref="U66:U72" si="46">(S66-T65)*24*60</f>
        <v>25.999999999999986</v>
      </c>
      <c r="V66" s="97">
        <f t="shared" si="45"/>
        <v>71.999999999999986</v>
      </c>
      <c r="W66" s="64"/>
      <c r="X66" s="64"/>
      <c r="Y66" s="559"/>
      <c r="Z66" s="559"/>
      <c r="AA66" s="61">
        <f t="shared" si="8"/>
        <v>-110.83333333333303</v>
      </c>
      <c r="AB66" s="101">
        <f t="shared" si="9"/>
        <v>0.95381944444444455</v>
      </c>
      <c r="AC66" s="566"/>
    </row>
    <row r="67" spans="1:29" ht="15.75" customHeight="1">
      <c r="A67" s="564" t="s">
        <v>247</v>
      </c>
      <c r="B67" s="95" t="s">
        <v>15</v>
      </c>
      <c r="C67" s="560" t="s">
        <v>17</v>
      </c>
      <c r="D67" s="560"/>
      <c r="E67" s="57">
        <v>22.35</v>
      </c>
      <c r="F67" s="95">
        <v>2000</v>
      </c>
      <c r="G67" s="94">
        <f t="shared" si="43"/>
        <v>44700</v>
      </c>
      <c r="H67" s="72" t="s">
        <v>5</v>
      </c>
      <c r="I67" s="96">
        <v>16</v>
      </c>
      <c r="J67" s="58">
        <v>2400</v>
      </c>
      <c r="K67" s="59">
        <f t="shared" si="1"/>
        <v>150</v>
      </c>
      <c r="L67" s="96">
        <v>16</v>
      </c>
      <c r="M67" s="60">
        <f t="shared" si="44"/>
        <v>2307.6923076923072</v>
      </c>
      <c r="N67" s="59">
        <f t="shared" si="3"/>
        <v>144.2307692307692</v>
      </c>
      <c r="O67" s="61">
        <f t="shared" si="4"/>
        <v>0</v>
      </c>
      <c r="P67" s="62">
        <f t="shared" si="5"/>
        <v>-5.769230769230802</v>
      </c>
      <c r="Q67" s="101">
        <f t="shared" si="6"/>
        <v>0.96153846153846134</v>
      </c>
      <c r="R67" s="566"/>
      <c r="S67" s="63">
        <v>0.20138888888888887</v>
      </c>
      <c r="T67" s="63">
        <v>0.23749999999999999</v>
      </c>
      <c r="U67" s="94">
        <f t="shared" si="46"/>
        <v>7.0000000000000151</v>
      </c>
      <c r="V67" s="97">
        <f t="shared" si="45"/>
        <v>52.000000000000014</v>
      </c>
      <c r="W67" s="64"/>
      <c r="X67" s="64"/>
      <c r="Y67" s="559"/>
      <c r="Z67" s="559"/>
      <c r="AA67" s="61">
        <f t="shared" si="8"/>
        <v>-92.307692307692832</v>
      </c>
      <c r="AB67" s="101">
        <f t="shared" si="9"/>
        <v>0.96153846153846134</v>
      </c>
      <c r="AC67" s="566"/>
    </row>
    <row r="68" spans="1:29" ht="15.75" customHeight="1">
      <c r="A68" s="564" t="s">
        <v>247</v>
      </c>
      <c r="B68" s="95" t="s">
        <v>15</v>
      </c>
      <c r="C68" s="560" t="s">
        <v>30</v>
      </c>
      <c r="D68" s="560"/>
      <c r="E68" s="57">
        <v>24.25</v>
      </c>
      <c r="F68" s="95">
        <v>2709</v>
      </c>
      <c r="G68" s="94">
        <f t="shared" si="43"/>
        <v>65693.25</v>
      </c>
      <c r="H68" s="72" t="s">
        <v>5</v>
      </c>
      <c r="I68" s="96">
        <v>13</v>
      </c>
      <c r="J68" s="58">
        <v>2400</v>
      </c>
      <c r="K68" s="59">
        <f t="shared" si="1"/>
        <v>184.61538461538461</v>
      </c>
      <c r="L68" s="96">
        <v>13</v>
      </c>
      <c r="M68" s="60">
        <f t="shared" si="44"/>
        <v>2289.295774647886</v>
      </c>
      <c r="N68" s="59">
        <f t="shared" si="3"/>
        <v>176.0996749729143</v>
      </c>
      <c r="O68" s="61">
        <f t="shared" si="4"/>
        <v>0</v>
      </c>
      <c r="P68" s="62">
        <f t="shared" si="5"/>
        <v>-8.5157096424703127</v>
      </c>
      <c r="Q68" s="101">
        <f t="shared" si="6"/>
        <v>0.95387323943661917</v>
      </c>
      <c r="R68" s="566"/>
      <c r="S68" s="63">
        <v>0.24166666666666667</v>
      </c>
      <c r="T68" s="63">
        <v>0.29097222222222224</v>
      </c>
      <c r="U68" s="94">
        <f t="shared" si="46"/>
        <v>6.0000000000000187</v>
      </c>
      <c r="V68" s="97">
        <f t="shared" si="45"/>
        <v>71.000000000000028</v>
      </c>
      <c r="W68" s="64"/>
      <c r="X68" s="64"/>
      <c r="Y68" s="559"/>
      <c r="Z68" s="559"/>
      <c r="AA68" s="61">
        <f t="shared" si="8"/>
        <v>-110.70422535211401</v>
      </c>
      <c r="AB68" s="101">
        <f t="shared" si="9"/>
        <v>0.95387323943661917</v>
      </c>
      <c r="AC68" s="566"/>
    </row>
    <row r="69" spans="1:29" ht="15.75" customHeight="1">
      <c r="A69" s="564" t="s">
        <v>247</v>
      </c>
      <c r="B69" s="95" t="s">
        <v>15</v>
      </c>
      <c r="C69" s="560" t="s">
        <v>24</v>
      </c>
      <c r="D69" s="560"/>
      <c r="E69" s="57">
        <v>20.52</v>
      </c>
      <c r="F69" s="95">
        <v>3695</v>
      </c>
      <c r="G69" s="94">
        <f t="shared" si="43"/>
        <v>75821.399999999994</v>
      </c>
      <c r="H69" s="72" t="s">
        <v>5</v>
      </c>
      <c r="I69" s="96">
        <v>18</v>
      </c>
      <c r="J69" s="58">
        <v>2400</v>
      </c>
      <c r="K69" s="59">
        <f t="shared" ref="K69:K73" si="47">J69/I69</f>
        <v>133.33333333333334</v>
      </c>
      <c r="L69" s="96">
        <v>18</v>
      </c>
      <c r="M69" s="60">
        <f t="shared" si="44"/>
        <v>2285.5670103092789</v>
      </c>
      <c r="N69" s="59">
        <f t="shared" ref="N69:N73" si="48">M69/L69</f>
        <v>126.97594501718216</v>
      </c>
      <c r="O69" s="61">
        <f t="shared" ref="O69:O73" si="49">L69-I69</f>
        <v>0</v>
      </c>
      <c r="P69" s="62">
        <f t="shared" ref="P69:P73" si="50">N69-K69</f>
        <v>-6.3573883161511873</v>
      </c>
      <c r="Q69" s="101">
        <f t="shared" ref="Q69:Q73" si="51">N69/K69</f>
        <v>0.95231958762886615</v>
      </c>
      <c r="R69" s="566"/>
      <c r="S69" s="63">
        <v>0.2951388888888889</v>
      </c>
      <c r="T69" s="63">
        <v>0.36249999999999999</v>
      </c>
      <c r="U69" s="94">
        <f t="shared" si="46"/>
        <v>5.9999999999999787</v>
      </c>
      <c r="V69" s="97">
        <f t="shared" si="45"/>
        <v>96.999999999999972</v>
      </c>
      <c r="W69" s="64"/>
      <c r="X69" s="64"/>
      <c r="Y69" s="559"/>
      <c r="Z69" s="559"/>
      <c r="AA69" s="61">
        <f t="shared" ref="AA69:AA73" si="52">M69-J69</f>
        <v>-114.43298969072112</v>
      </c>
      <c r="AB69" s="101">
        <f t="shared" ref="AB69:AB73" si="53">M69/J69</f>
        <v>0.95231958762886615</v>
      </c>
      <c r="AC69" s="566"/>
    </row>
    <row r="70" spans="1:29" ht="15.75" customHeight="1">
      <c r="A70" s="564" t="s">
        <v>247</v>
      </c>
      <c r="B70" s="95" t="s">
        <v>15</v>
      </c>
      <c r="C70" s="560" t="s">
        <v>101</v>
      </c>
      <c r="D70" s="560"/>
      <c r="E70" s="57">
        <v>22.69</v>
      </c>
      <c r="F70" s="95">
        <v>3005</v>
      </c>
      <c r="G70" s="94">
        <f t="shared" si="43"/>
        <v>68183.45</v>
      </c>
      <c r="H70" s="72" t="s">
        <v>5</v>
      </c>
      <c r="I70" s="96">
        <v>15</v>
      </c>
      <c r="J70" s="58">
        <v>2400</v>
      </c>
      <c r="K70" s="59">
        <f t="shared" si="47"/>
        <v>160</v>
      </c>
      <c r="L70" s="96">
        <v>15</v>
      </c>
      <c r="M70" s="60">
        <f t="shared" si="44"/>
        <v>2311.5384615384628</v>
      </c>
      <c r="N70" s="59">
        <f t="shared" si="48"/>
        <v>154.10256410256417</v>
      </c>
      <c r="O70" s="61">
        <f t="shared" si="49"/>
        <v>0</v>
      </c>
      <c r="P70" s="62">
        <f t="shared" si="50"/>
        <v>-5.8974358974358267</v>
      </c>
      <c r="Q70" s="101">
        <f t="shared" si="51"/>
        <v>0.96314102564102611</v>
      </c>
      <c r="R70" s="566"/>
      <c r="S70" s="63">
        <v>0.36666666666666664</v>
      </c>
      <c r="T70" s="63">
        <v>0.42083333333333328</v>
      </c>
      <c r="U70" s="94">
        <f t="shared" si="46"/>
        <v>5.9999999999999787</v>
      </c>
      <c r="V70" s="97">
        <f t="shared" si="45"/>
        <v>77.999999999999957</v>
      </c>
      <c r="W70" s="64"/>
      <c r="X70" s="64"/>
      <c r="Y70" s="559"/>
      <c r="Z70" s="559"/>
      <c r="AA70" s="61">
        <f t="shared" si="52"/>
        <v>-88.461538461537202</v>
      </c>
      <c r="AB70" s="101">
        <f t="shared" si="53"/>
        <v>0.96314102564102622</v>
      </c>
      <c r="AC70" s="566"/>
    </row>
    <row r="71" spans="1:29" ht="15.75" customHeight="1">
      <c r="A71" s="564" t="s">
        <v>90</v>
      </c>
      <c r="B71" s="95" t="s">
        <v>15</v>
      </c>
      <c r="C71" s="560" t="s">
        <v>29</v>
      </c>
      <c r="D71" s="560"/>
      <c r="E71" s="57">
        <v>24.43</v>
      </c>
      <c r="F71" s="95">
        <v>4000</v>
      </c>
      <c r="G71" s="94">
        <f t="shared" si="43"/>
        <v>97720</v>
      </c>
      <c r="H71" s="72">
        <v>2</v>
      </c>
      <c r="I71" s="96">
        <v>14</v>
      </c>
      <c r="J71" s="58">
        <v>2400</v>
      </c>
      <c r="K71" s="59">
        <f t="shared" si="47"/>
        <v>171.42857142857142</v>
      </c>
      <c r="L71" s="96">
        <v>14</v>
      </c>
      <c r="M71" s="60">
        <f t="shared" si="44"/>
        <v>2285.7142857142853</v>
      </c>
      <c r="N71" s="59">
        <f t="shared" si="48"/>
        <v>163.26530612244895</v>
      </c>
      <c r="O71" s="61">
        <f t="shared" si="49"/>
        <v>0</v>
      </c>
      <c r="P71" s="62">
        <f t="shared" si="50"/>
        <v>-8.1632653061224687</v>
      </c>
      <c r="Q71" s="101">
        <f t="shared" si="51"/>
        <v>0.95238095238095222</v>
      </c>
      <c r="R71" s="566"/>
      <c r="S71" s="63">
        <v>0.42430555555555549</v>
      </c>
      <c r="T71" s="63">
        <v>0.49722222222222218</v>
      </c>
      <c r="U71" s="94">
        <f t="shared" si="46"/>
        <v>4.9999999999999822</v>
      </c>
      <c r="V71" s="97">
        <f t="shared" si="45"/>
        <v>105.00000000000003</v>
      </c>
      <c r="W71" s="64">
        <f>T71</f>
        <v>0.49722222222222218</v>
      </c>
      <c r="X71" s="64">
        <f>S72</f>
        <v>0.53749999999999998</v>
      </c>
      <c r="Y71" s="569"/>
      <c r="Z71" s="570"/>
      <c r="AA71" s="61">
        <f t="shared" si="52"/>
        <v>-114.28571428571468</v>
      </c>
      <c r="AB71" s="101">
        <f t="shared" si="53"/>
        <v>0.95238095238095222</v>
      </c>
      <c r="AC71" s="566"/>
    </row>
    <row r="72" spans="1:29" ht="15.75" customHeight="1">
      <c r="A72" s="564" t="s">
        <v>247</v>
      </c>
      <c r="B72" s="95" t="s">
        <v>15</v>
      </c>
      <c r="C72" s="560" t="s">
        <v>29</v>
      </c>
      <c r="D72" s="560"/>
      <c r="E72" s="57">
        <v>24.43</v>
      </c>
      <c r="F72" s="95">
        <v>4212</v>
      </c>
      <c r="G72" s="94">
        <f t="shared" si="43"/>
        <v>102899.16</v>
      </c>
      <c r="H72" s="72" t="s">
        <v>5</v>
      </c>
      <c r="I72" s="96">
        <v>14</v>
      </c>
      <c r="J72" s="58">
        <v>2400</v>
      </c>
      <c r="K72" s="59">
        <f t="shared" si="47"/>
        <v>171.42857142857142</v>
      </c>
      <c r="L72" s="96">
        <v>14</v>
      </c>
      <c r="M72" s="60">
        <f t="shared" si="44"/>
        <v>2297.4545454545469</v>
      </c>
      <c r="N72" s="59">
        <f t="shared" si="48"/>
        <v>164.1038961038962</v>
      </c>
      <c r="O72" s="61">
        <f t="shared" si="49"/>
        <v>0</v>
      </c>
      <c r="P72" s="62">
        <f t="shared" si="50"/>
        <v>-7.3246753246752121</v>
      </c>
      <c r="Q72" s="101">
        <f t="shared" si="51"/>
        <v>0.95727272727272794</v>
      </c>
      <c r="R72" s="566"/>
      <c r="S72" s="63">
        <v>0.53749999999999998</v>
      </c>
      <c r="T72" s="63">
        <v>0.61388888888888882</v>
      </c>
      <c r="U72" s="94">
        <f t="shared" si="46"/>
        <v>58.000000000000036</v>
      </c>
      <c r="V72" s="97">
        <f t="shared" si="45"/>
        <v>109.99999999999993</v>
      </c>
      <c r="W72" s="64"/>
      <c r="X72" s="64"/>
      <c r="Y72" s="569"/>
      <c r="Z72" s="570"/>
      <c r="AA72" s="61">
        <f t="shared" si="52"/>
        <v>-102.54545454545314</v>
      </c>
      <c r="AB72" s="101">
        <f t="shared" si="53"/>
        <v>0.95727272727272783</v>
      </c>
      <c r="AC72" s="566"/>
    </row>
    <row r="73" spans="1:29" ht="16.5" customHeight="1">
      <c r="A73" s="565" t="s">
        <v>90</v>
      </c>
      <c r="B73" s="57" t="s">
        <v>67</v>
      </c>
      <c r="C73" s="561"/>
      <c r="D73" s="562"/>
      <c r="E73" s="100"/>
      <c r="F73" s="66"/>
      <c r="G73" s="59"/>
      <c r="H73" s="95"/>
      <c r="I73" s="67">
        <v>16.125</v>
      </c>
      <c r="J73" s="58">
        <v>2400</v>
      </c>
      <c r="K73" s="59">
        <f t="shared" si="47"/>
        <v>148.83720930232559</v>
      </c>
      <c r="L73" s="67">
        <v>16.125</v>
      </c>
      <c r="M73" s="60">
        <f>AVERAGE(M65:M72)</f>
        <v>2295.495939195237</v>
      </c>
      <c r="N73" s="59">
        <f t="shared" si="48"/>
        <v>142.35633731443332</v>
      </c>
      <c r="O73" s="61">
        <f t="shared" si="49"/>
        <v>0</v>
      </c>
      <c r="P73" s="62">
        <f t="shared" si="50"/>
        <v>-6.4808719878922716</v>
      </c>
      <c r="Q73" s="101">
        <f t="shared" si="51"/>
        <v>0.95645664133134878</v>
      </c>
      <c r="R73" s="566"/>
      <c r="S73" s="63"/>
      <c r="T73" s="63"/>
      <c r="U73" s="59"/>
      <c r="V73" s="97"/>
      <c r="W73" s="59"/>
      <c r="X73" s="59"/>
      <c r="Y73" s="559"/>
      <c r="Z73" s="559"/>
      <c r="AA73" s="61">
        <f t="shared" si="52"/>
        <v>-104.50406080476296</v>
      </c>
      <c r="AB73" s="101">
        <f t="shared" si="53"/>
        <v>0.95645664133134878</v>
      </c>
      <c r="AC73" s="566"/>
    </row>
    <row r="74" spans="1:29">
      <c r="D74" s="122"/>
      <c r="E74" s="122"/>
    </row>
  </sheetData>
  <mergeCells count="194"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C8:D8"/>
    <mergeCell ref="Y8:Z8"/>
    <mergeCell ref="C9:D9"/>
    <mergeCell ref="Y9:Z9"/>
    <mergeCell ref="A10:A12"/>
    <mergeCell ref="C10:D10"/>
    <mergeCell ref="R10:R12"/>
    <mergeCell ref="Y10:Z10"/>
    <mergeCell ref="AC3:AC4"/>
    <mergeCell ref="A5:A9"/>
    <mergeCell ref="C5:D5"/>
    <mergeCell ref="R5:R9"/>
    <mergeCell ref="Y5:Z5"/>
    <mergeCell ref="AC5:AC9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C15:D15"/>
    <mergeCell ref="Y15:Z15"/>
    <mergeCell ref="C16:D16"/>
    <mergeCell ref="Y16:Z16"/>
    <mergeCell ref="AC10:AC12"/>
    <mergeCell ref="C11:D11"/>
    <mergeCell ref="Y11:Z11"/>
    <mergeCell ref="C12:D12"/>
    <mergeCell ref="Y12:Z12"/>
    <mergeCell ref="C13:D13"/>
    <mergeCell ref="R13:R18"/>
    <mergeCell ref="Y13:Z13"/>
    <mergeCell ref="AC13:AC18"/>
    <mergeCell ref="C17:D17"/>
    <mergeCell ref="Y17:Z17"/>
    <mergeCell ref="C18:D18"/>
    <mergeCell ref="Y18:Z18"/>
    <mergeCell ref="A19:A27"/>
    <mergeCell ref="C19:D19"/>
    <mergeCell ref="R19:R27"/>
    <mergeCell ref="Y19:Z19"/>
    <mergeCell ref="Y24:Z24"/>
    <mergeCell ref="C25:D25"/>
    <mergeCell ref="A13:A18"/>
    <mergeCell ref="AC19:AC27"/>
    <mergeCell ref="C20:D20"/>
    <mergeCell ref="Y20:Z20"/>
    <mergeCell ref="C21:D21"/>
    <mergeCell ref="Y21:Z21"/>
    <mergeCell ref="C22:D22"/>
    <mergeCell ref="Y22:Z22"/>
    <mergeCell ref="C23:D23"/>
    <mergeCell ref="Y23:Z23"/>
    <mergeCell ref="C24:D24"/>
    <mergeCell ref="Y25:Z25"/>
    <mergeCell ref="C26:D26"/>
    <mergeCell ref="Y26:Z26"/>
    <mergeCell ref="C27:D27"/>
    <mergeCell ref="Y27:Z27"/>
    <mergeCell ref="C14:D14"/>
    <mergeCell ref="Y14:Z14"/>
    <mergeCell ref="A28:A35"/>
    <mergeCell ref="C28:D28"/>
    <mergeCell ref="R28:R35"/>
    <mergeCell ref="Y28:Z28"/>
    <mergeCell ref="Y33:Z33"/>
    <mergeCell ref="AC28:AC35"/>
    <mergeCell ref="C29:D29"/>
    <mergeCell ref="Y29:Z29"/>
    <mergeCell ref="C30:D30"/>
    <mergeCell ref="Y30:Z30"/>
    <mergeCell ref="C31:D31"/>
    <mergeCell ref="Y31:Z31"/>
    <mergeCell ref="C32:D32"/>
    <mergeCell ref="Y32:Z32"/>
    <mergeCell ref="C33:D33"/>
    <mergeCell ref="C34:D34"/>
    <mergeCell ref="Y34:Z34"/>
    <mergeCell ref="C35:D35"/>
    <mergeCell ref="Y35:Z35"/>
    <mergeCell ref="Y52:Z52"/>
    <mergeCell ref="A36:A43"/>
    <mergeCell ref="C36:D36"/>
    <mergeCell ref="R36:R43"/>
    <mergeCell ref="Y36:Z36"/>
    <mergeCell ref="Y41:Z41"/>
    <mergeCell ref="C42:D42"/>
    <mergeCell ref="AC36:AC43"/>
    <mergeCell ref="C37:D37"/>
    <mergeCell ref="Y37:Z37"/>
    <mergeCell ref="C38:D38"/>
    <mergeCell ref="Y38:Z38"/>
    <mergeCell ref="C39:D39"/>
    <mergeCell ref="Y39:Z39"/>
    <mergeCell ref="C40:D40"/>
    <mergeCell ref="Y40:Z40"/>
    <mergeCell ref="C41:D41"/>
    <mergeCell ref="Y42:Z42"/>
    <mergeCell ref="C43:D43"/>
    <mergeCell ref="Y43:Z43"/>
    <mergeCell ref="A53:A59"/>
    <mergeCell ref="C53:D53"/>
    <mergeCell ref="R53:R59"/>
    <mergeCell ref="Y53:Z53"/>
    <mergeCell ref="AC44:AC52"/>
    <mergeCell ref="C45:D45"/>
    <mergeCell ref="Y45:Z45"/>
    <mergeCell ref="C46:D46"/>
    <mergeCell ref="Y46:Z46"/>
    <mergeCell ref="C47:D47"/>
    <mergeCell ref="Y47:Z47"/>
    <mergeCell ref="C48:D48"/>
    <mergeCell ref="Y48:Z48"/>
    <mergeCell ref="C49:D49"/>
    <mergeCell ref="A44:A52"/>
    <mergeCell ref="C44:D44"/>
    <mergeCell ref="R44:R52"/>
    <mergeCell ref="Y44:Z44"/>
    <mergeCell ref="Y49:Z49"/>
    <mergeCell ref="C50:D50"/>
    <mergeCell ref="Y50:Z50"/>
    <mergeCell ref="C51:D51"/>
    <mergeCell ref="Y51:Z51"/>
    <mergeCell ref="C52:D52"/>
    <mergeCell ref="AC60:AC64"/>
    <mergeCell ref="C61:D61"/>
    <mergeCell ref="Y61:Z61"/>
    <mergeCell ref="C62:D62"/>
    <mergeCell ref="Y62:Z62"/>
    <mergeCell ref="C63:D63"/>
    <mergeCell ref="AC53:AC59"/>
    <mergeCell ref="C54:D54"/>
    <mergeCell ref="Y54:Z54"/>
    <mergeCell ref="C55:D55"/>
    <mergeCell ref="C58:D58"/>
    <mergeCell ref="Y58:Z58"/>
    <mergeCell ref="C59:D59"/>
    <mergeCell ref="Y59:Z59"/>
    <mergeCell ref="Y63:Z63"/>
    <mergeCell ref="C64:D64"/>
    <mergeCell ref="Y64:Z64"/>
    <mergeCell ref="A65:A73"/>
    <mergeCell ref="C65:D65"/>
    <mergeCell ref="R65:R73"/>
    <mergeCell ref="Y65:Z65"/>
    <mergeCell ref="Y70:Z70"/>
    <mergeCell ref="C71:D71"/>
    <mergeCell ref="Y71:Z71"/>
    <mergeCell ref="A60:A64"/>
    <mergeCell ref="C60:D60"/>
    <mergeCell ref="R60:R64"/>
    <mergeCell ref="Y60:Z60"/>
    <mergeCell ref="C72:D72"/>
    <mergeCell ref="Y72:Z72"/>
    <mergeCell ref="C73:D73"/>
    <mergeCell ref="Y73:Z73"/>
    <mergeCell ref="AC65:AC73"/>
    <mergeCell ref="C66:D66"/>
    <mergeCell ref="Y66:Z66"/>
    <mergeCell ref="C67:D67"/>
    <mergeCell ref="Y67:Z67"/>
    <mergeCell ref="C68:D68"/>
    <mergeCell ref="Y68:Z68"/>
    <mergeCell ref="C69:D69"/>
    <mergeCell ref="Y69:Z69"/>
    <mergeCell ref="C70:D70"/>
  </mergeCells>
  <phoneticPr fontId="3" type="noConversion"/>
  <conditionalFormatting sqref="O63:O70 O73 O5:O10 O12:O14 O52:O60 O18:O49">
    <cfRule type="cellIs" dxfId="203" priority="61" operator="greaterThan">
      <formula>0</formula>
    </cfRule>
  </conditionalFormatting>
  <conditionalFormatting sqref="P5:P8 P63 AA63 P65:P70 P28:P34 P60 P10 P12:P14 P19:P26 P53:P58 P36:P49 AA5:AA60 AA65:AA73">
    <cfRule type="cellIs" dxfId="202" priority="65" operator="lessThan">
      <formula>0</formula>
    </cfRule>
  </conditionalFormatting>
  <conditionalFormatting sqref="AB63 Q63:Q70 Q73 Q5:Q10 Q12:Q14 Q52:Q60 Q18:Q49 AB5:AB60 AB65:AB73">
    <cfRule type="cellIs" dxfId="201" priority="62" operator="greaterThan">
      <formula>1</formula>
    </cfRule>
    <cfRule type="cellIs" dxfId="200" priority="63" operator="lessThan">
      <formula>0.8</formula>
    </cfRule>
  </conditionalFormatting>
  <conditionalFormatting sqref="AC13:AC14 R13:R14 AC63 R63:R70 R18:R24 AC18:AC24 R73 AC5:AC10 R5:R10 R27:R49 AC27:AC49 AC52:AC60 R52:R60">
    <cfRule type="cellIs" dxfId="199" priority="67" operator="lessThan">
      <formula>0.8</formula>
    </cfRule>
  </conditionalFormatting>
  <conditionalFormatting sqref="AC44">
    <cfRule type="cellIs" dxfId="198" priority="69" operator="lessThan">
      <formula>0.8</formula>
    </cfRule>
  </conditionalFormatting>
  <conditionalFormatting sqref="AC19:AC24">
    <cfRule type="cellIs" dxfId="197" priority="66" operator="lessThan">
      <formula>0.8</formula>
    </cfRule>
  </conditionalFormatting>
  <conditionalFormatting sqref="AC28">
    <cfRule type="cellIs" dxfId="196" priority="68" operator="lessThan">
      <formula>0.8</formula>
    </cfRule>
  </conditionalFormatting>
  <conditionalFormatting sqref="AC36:AC42">
    <cfRule type="cellIs" dxfId="195" priority="64" operator="lessThan">
      <formula>0.8</formula>
    </cfRule>
  </conditionalFormatting>
  <conditionalFormatting sqref="AA64">
    <cfRule type="cellIs" dxfId="194" priority="60" operator="lessThan">
      <formula>0</formula>
    </cfRule>
  </conditionalFormatting>
  <conditionalFormatting sqref="AB64">
    <cfRule type="cellIs" dxfId="193" priority="58" operator="greaterThan">
      <formula>1</formula>
    </cfRule>
    <cfRule type="cellIs" dxfId="192" priority="59" operator="lessThan">
      <formula>0.8</formula>
    </cfRule>
  </conditionalFormatting>
  <conditionalFormatting sqref="O15:O16">
    <cfRule type="cellIs" dxfId="191" priority="53" operator="greaterThan">
      <formula>0</formula>
    </cfRule>
  </conditionalFormatting>
  <conditionalFormatting sqref="P15:P16">
    <cfRule type="cellIs" dxfId="190" priority="56" operator="lessThan">
      <formula>0</formula>
    </cfRule>
  </conditionalFormatting>
  <conditionalFormatting sqref="Q15:Q16">
    <cfRule type="cellIs" dxfId="189" priority="54" operator="greaterThan">
      <formula>1</formula>
    </cfRule>
    <cfRule type="cellIs" dxfId="188" priority="55" operator="lessThan">
      <formula>0.8</formula>
    </cfRule>
  </conditionalFormatting>
  <conditionalFormatting sqref="R15:R16 AC15:AC16">
    <cfRule type="cellIs" dxfId="187" priority="57" operator="lessThan">
      <formula>0.8</formula>
    </cfRule>
  </conditionalFormatting>
  <conditionalFormatting sqref="O11">
    <cfRule type="cellIs" dxfId="186" priority="49" operator="greaterThan">
      <formula>0</formula>
    </cfRule>
  </conditionalFormatting>
  <conditionalFormatting sqref="P11">
    <cfRule type="cellIs" dxfId="185" priority="52" operator="lessThan">
      <formula>0</formula>
    </cfRule>
  </conditionalFormatting>
  <conditionalFormatting sqref="Q11">
    <cfRule type="cellIs" dxfId="184" priority="50" operator="greaterThan">
      <formula>1</formula>
    </cfRule>
    <cfRule type="cellIs" dxfId="183" priority="51" operator="lessThan">
      <formula>0.8</formula>
    </cfRule>
  </conditionalFormatting>
  <conditionalFormatting sqref="AC26 R26">
    <cfRule type="cellIs" dxfId="182" priority="48" operator="lessThan">
      <formula>0.8</formula>
    </cfRule>
  </conditionalFormatting>
  <conditionalFormatting sqref="O62">
    <cfRule type="cellIs" dxfId="181" priority="43" operator="greaterThan">
      <formula>0</formula>
    </cfRule>
  </conditionalFormatting>
  <conditionalFormatting sqref="P62 AA62">
    <cfRule type="cellIs" dxfId="180" priority="46" operator="lessThan">
      <formula>0</formula>
    </cfRule>
  </conditionalFormatting>
  <conditionalFormatting sqref="Q62 AB62">
    <cfRule type="cellIs" dxfId="179" priority="44" operator="greaterThan">
      <formula>1</formula>
    </cfRule>
    <cfRule type="cellIs" dxfId="178" priority="45" operator="lessThan">
      <formula>0.8</formula>
    </cfRule>
  </conditionalFormatting>
  <conditionalFormatting sqref="R62 AC62">
    <cfRule type="cellIs" dxfId="177" priority="47" operator="lessThan">
      <formula>0.8</formula>
    </cfRule>
  </conditionalFormatting>
  <conditionalFormatting sqref="O71">
    <cfRule type="cellIs" dxfId="176" priority="38" operator="greaterThan">
      <formula>0</formula>
    </cfRule>
  </conditionalFormatting>
  <conditionalFormatting sqref="P71">
    <cfRule type="cellIs" dxfId="175" priority="41" operator="lessThan">
      <formula>0</formula>
    </cfRule>
  </conditionalFormatting>
  <conditionalFormatting sqref="Q71">
    <cfRule type="cellIs" dxfId="174" priority="39" operator="greaterThan">
      <formula>1</formula>
    </cfRule>
    <cfRule type="cellIs" dxfId="173" priority="40" operator="lessThan">
      <formula>0.8</formula>
    </cfRule>
  </conditionalFormatting>
  <conditionalFormatting sqref="R71">
    <cfRule type="cellIs" dxfId="172" priority="42" operator="lessThan">
      <formula>0.8</formula>
    </cfRule>
  </conditionalFormatting>
  <conditionalFormatting sqref="O17">
    <cfRule type="cellIs" dxfId="171" priority="33" operator="greaterThan">
      <formula>0</formula>
    </cfRule>
  </conditionalFormatting>
  <conditionalFormatting sqref="P17">
    <cfRule type="cellIs" dxfId="170" priority="36" operator="lessThan">
      <formula>0</formula>
    </cfRule>
  </conditionalFormatting>
  <conditionalFormatting sqref="Q17">
    <cfRule type="cellIs" dxfId="169" priority="34" operator="greaterThan">
      <formula>1</formula>
    </cfRule>
    <cfRule type="cellIs" dxfId="168" priority="35" operator="lessThan">
      <formula>0.8</formula>
    </cfRule>
  </conditionalFormatting>
  <conditionalFormatting sqref="R17 AC17">
    <cfRule type="cellIs" dxfId="167" priority="37" operator="lessThan">
      <formula>0.8</formula>
    </cfRule>
  </conditionalFormatting>
  <conditionalFormatting sqref="O50">
    <cfRule type="cellIs" dxfId="166" priority="27" operator="greaterThan">
      <formula>0</formula>
    </cfRule>
  </conditionalFormatting>
  <conditionalFormatting sqref="P50">
    <cfRule type="cellIs" dxfId="165" priority="31" operator="lessThan">
      <formula>0</formula>
    </cfRule>
  </conditionalFormatting>
  <conditionalFormatting sqref="Q50">
    <cfRule type="cellIs" dxfId="164" priority="28" operator="greaterThan">
      <formula>1</formula>
    </cfRule>
    <cfRule type="cellIs" dxfId="163" priority="29" operator="lessThan">
      <formula>0.8</formula>
    </cfRule>
  </conditionalFormatting>
  <conditionalFormatting sqref="R50 AC50">
    <cfRule type="cellIs" dxfId="162" priority="32" operator="lessThan">
      <formula>0.8</formula>
    </cfRule>
  </conditionalFormatting>
  <conditionalFormatting sqref="AC50">
    <cfRule type="cellIs" dxfId="161" priority="30" operator="lessThan">
      <formula>0.8</formula>
    </cfRule>
  </conditionalFormatting>
  <conditionalFormatting sqref="O51">
    <cfRule type="cellIs" dxfId="160" priority="21" operator="greaterThan">
      <formula>0</formula>
    </cfRule>
  </conditionalFormatting>
  <conditionalFormatting sqref="P51">
    <cfRule type="cellIs" dxfId="159" priority="25" operator="lessThan">
      <formula>0</formula>
    </cfRule>
  </conditionalFormatting>
  <conditionalFormatting sqref="Q51">
    <cfRule type="cellIs" dxfId="158" priority="22" operator="greaterThan">
      <formula>1</formula>
    </cfRule>
    <cfRule type="cellIs" dxfId="157" priority="23" operator="lessThan">
      <formula>0.8</formula>
    </cfRule>
  </conditionalFormatting>
  <conditionalFormatting sqref="R51 AC51">
    <cfRule type="cellIs" dxfId="156" priority="26" operator="lessThan">
      <formula>0.8</formula>
    </cfRule>
  </conditionalFormatting>
  <conditionalFormatting sqref="AC51">
    <cfRule type="cellIs" dxfId="155" priority="24" operator="lessThan">
      <formula>0.8</formula>
    </cfRule>
  </conditionalFormatting>
  <conditionalFormatting sqref="R25 AC25">
    <cfRule type="cellIs" dxfId="154" priority="20" operator="lessThan">
      <formula>0.8</formula>
    </cfRule>
  </conditionalFormatting>
  <conditionalFormatting sqref="AC25">
    <cfRule type="cellIs" dxfId="153" priority="19" operator="lessThan">
      <formula>0.8</formula>
    </cfRule>
  </conditionalFormatting>
  <conditionalFormatting sqref="O61">
    <cfRule type="cellIs" dxfId="152" priority="14" operator="greaterThan">
      <formula>0</formula>
    </cfRule>
  </conditionalFormatting>
  <conditionalFormatting sqref="P61 AA61">
    <cfRule type="cellIs" dxfId="151" priority="17" operator="lessThan">
      <formula>0</formula>
    </cfRule>
  </conditionalFormatting>
  <conditionalFormatting sqref="Q61 AB61">
    <cfRule type="cellIs" dxfId="150" priority="15" operator="greaterThan">
      <formula>1</formula>
    </cfRule>
    <cfRule type="cellIs" dxfId="149" priority="16" operator="lessThan">
      <formula>0.8</formula>
    </cfRule>
  </conditionalFormatting>
  <conditionalFormatting sqref="R61 AC61">
    <cfRule type="cellIs" dxfId="148" priority="18" operator="lessThan">
      <formula>0.8</formula>
    </cfRule>
  </conditionalFormatting>
  <conditionalFormatting sqref="P9">
    <cfRule type="cellIs" dxfId="147" priority="13" operator="lessThan">
      <formula>0</formula>
    </cfRule>
  </conditionalFormatting>
  <conditionalFormatting sqref="P18">
    <cfRule type="cellIs" dxfId="146" priority="12" operator="lessThan">
      <formula>0</formula>
    </cfRule>
  </conditionalFormatting>
  <conditionalFormatting sqref="P27">
    <cfRule type="cellIs" dxfId="145" priority="11" operator="lessThan">
      <formula>0</formula>
    </cfRule>
  </conditionalFormatting>
  <conditionalFormatting sqref="P35">
    <cfRule type="cellIs" dxfId="144" priority="10" operator="lessThan">
      <formula>0</formula>
    </cfRule>
  </conditionalFormatting>
  <conditionalFormatting sqref="P52">
    <cfRule type="cellIs" dxfId="143" priority="9" operator="lessThan">
      <formula>0</formula>
    </cfRule>
  </conditionalFormatting>
  <conditionalFormatting sqref="P59">
    <cfRule type="cellIs" dxfId="142" priority="8" operator="lessThan">
      <formula>0</formula>
    </cfRule>
  </conditionalFormatting>
  <conditionalFormatting sqref="P64">
    <cfRule type="cellIs" dxfId="141" priority="7" operator="lessThan">
      <formula>0</formula>
    </cfRule>
  </conditionalFormatting>
  <conditionalFormatting sqref="P73">
    <cfRule type="cellIs" dxfId="140" priority="6" operator="lessThan">
      <formula>0</formula>
    </cfRule>
  </conditionalFormatting>
  <conditionalFormatting sqref="O72">
    <cfRule type="cellIs" dxfId="139" priority="1" operator="greaterThan">
      <formula>0</formula>
    </cfRule>
  </conditionalFormatting>
  <conditionalFormatting sqref="P72">
    <cfRule type="cellIs" dxfId="138" priority="4" operator="lessThan">
      <formula>0</formula>
    </cfRule>
  </conditionalFormatting>
  <conditionalFormatting sqref="Q72">
    <cfRule type="cellIs" dxfId="137" priority="2" operator="greaterThan">
      <formula>1</formula>
    </cfRule>
    <cfRule type="cellIs" dxfId="136" priority="3" operator="lessThan">
      <formula>0.8</formula>
    </cfRule>
  </conditionalFormatting>
  <conditionalFormatting sqref="R72">
    <cfRule type="cellIs" dxfId="135" priority="5" operator="lessThan">
      <formula>0.8</formula>
    </cfRule>
  </conditionalFormatting>
  <dataValidations count="1">
    <dataValidation type="list" allowBlank="1" showInputMessage="1" showErrorMessage="1" sqref="Z9 Y5:Z8 Y9:Y63 Z11:Z60 Y64:Z73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8"/>
  <sheetViews>
    <sheetView zoomScale="85" zoomScaleNormal="85" workbookViewId="0">
      <selection activeCell="P7" sqref="P7"/>
    </sheetView>
  </sheetViews>
  <sheetFormatPr defaultColWidth="8.75" defaultRowHeight="15.75"/>
  <cols>
    <col min="1" max="1" width="8.75" style="2"/>
    <col min="2" max="2" width="17.875" style="2" customWidth="1"/>
    <col min="3" max="3" width="9.25" style="9" customWidth="1"/>
    <col min="4" max="13" width="12.625" style="2" customWidth="1"/>
    <col min="14" max="14" width="11" style="2" bestFit="1" customWidth="1"/>
    <col min="15" max="15" width="17.75" style="2" bestFit="1" customWidth="1"/>
    <col min="16" max="16" width="12.25" style="2" bestFit="1" customWidth="1"/>
    <col min="17" max="22" width="9.25" style="2" customWidth="1"/>
    <col min="23" max="23" width="10.75" style="2" customWidth="1"/>
    <col min="24" max="24" width="11" style="2" customWidth="1"/>
    <col min="25" max="16384" width="8.75" style="2"/>
  </cols>
  <sheetData>
    <row r="1" spans="2:17" ht="27.75" customHeight="1">
      <c r="B1" s="546" t="s">
        <v>102</v>
      </c>
      <c r="C1" s="546"/>
      <c r="D1" s="546"/>
      <c r="E1" s="546"/>
      <c r="F1" s="546"/>
      <c r="G1" s="546"/>
      <c r="H1" s="546"/>
      <c r="I1" s="546"/>
      <c r="J1" s="546"/>
      <c r="K1" s="1"/>
      <c r="L1" s="1"/>
      <c r="M1" s="1"/>
      <c r="N1" s="1"/>
      <c r="O1" s="1"/>
      <c r="P1" s="1"/>
    </row>
    <row r="2" spans="2:17" ht="27.75" customHeight="1">
      <c r="B2" s="547"/>
      <c r="C2" s="547"/>
      <c r="D2" s="547"/>
      <c r="E2" s="547"/>
      <c r="F2" s="547"/>
      <c r="G2" s="547"/>
      <c r="H2" s="547"/>
      <c r="I2" s="547"/>
      <c r="J2" s="547"/>
      <c r="K2" s="3"/>
      <c r="L2" s="3"/>
      <c r="M2" s="3"/>
      <c r="N2" s="1"/>
      <c r="O2" s="1"/>
      <c r="P2" s="1"/>
    </row>
    <row r="3" spans="2:17" ht="46.5" customHeight="1">
      <c r="B3" s="4" t="s">
        <v>103</v>
      </c>
      <c r="C3" s="548" t="str">
        <f>TEXT('1201 4度C'!A2,"yyyy.mm.ddaaaa")</f>
        <v>2025.12.01星期一</v>
      </c>
      <c r="D3" s="549"/>
      <c r="E3" s="4" t="s">
        <v>104</v>
      </c>
      <c r="F3" s="550">
        <f>'1201 4度C'!D1</f>
        <v>188803</v>
      </c>
      <c r="G3" s="551"/>
      <c r="H3" s="4" t="s">
        <v>105</v>
      </c>
      <c r="I3" s="552">
        <f>'1201 4度C'!F1</f>
        <v>6295451.7699999996</v>
      </c>
      <c r="J3" s="553"/>
      <c r="K3" s="5"/>
      <c r="L3" s="6"/>
      <c r="M3" s="7"/>
      <c r="N3" s="7"/>
    </row>
    <row r="4" spans="2:17" ht="28.5" customHeight="1">
      <c r="B4" s="554" t="s">
        <v>106</v>
      </c>
      <c r="C4" s="536" t="s">
        <v>107</v>
      </c>
      <c r="D4" s="537"/>
      <c r="E4" s="557" t="s">
        <v>118</v>
      </c>
      <c r="F4" s="558"/>
      <c r="G4" s="557" t="s">
        <v>119</v>
      </c>
      <c r="H4" s="558"/>
      <c r="I4" s="557" t="s">
        <v>120</v>
      </c>
      <c r="J4" s="558"/>
      <c r="L4" s="7"/>
      <c r="M4" s="7"/>
      <c r="N4" s="7"/>
    </row>
    <row r="5" spans="2:17" ht="28.5" customHeight="1">
      <c r="B5" s="555"/>
      <c r="C5" s="536" t="s">
        <v>121</v>
      </c>
      <c r="D5" s="537"/>
      <c r="E5" s="536" t="s">
        <v>122</v>
      </c>
      <c r="F5" s="537"/>
      <c r="G5" s="538" t="s">
        <v>123</v>
      </c>
      <c r="H5" s="539"/>
      <c r="I5" s="540" t="s">
        <v>124</v>
      </c>
      <c r="J5" s="541"/>
      <c r="K5" s="7"/>
      <c r="L5" s="7"/>
      <c r="M5" s="7"/>
      <c r="N5" s="7"/>
    </row>
    <row r="6" spans="2:17" ht="28.5" customHeight="1">
      <c r="B6" s="555"/>
      <c r="C6" s="536" t="s">
        <v>46</v>
      </c>
      <c r="D6" s="537"/>
      <c r="E6" s="542">
        <f>AVERAGE(D13:M13)</f>
        <v>155.32781517218112</v>
      </c>
      <c r="F6" s="543">
        <f>AVERAGE(D27:O27,D13:J13)</f>
        <v>161.45360116482161</v>
      </c>
      <c r="G6" s="544">
        <f>AVERAGE(D13:J13)</f>
        <v>161.45360116482161</v>
      </c>
      <c r="H6" s="545"/>
      <c r="I6" s="544">
        <f>AVERAGE(K13:M13)</f>
        <v>141.03431452268663</v>
      </c>
      <c r="J6" s="545"/>
      <c r="K6" s="7"/>
      <c r="L6" s="7"/>
      <c r="M6" s="7"/>
      <c r="N6" s="7"/>
    </row>
    <row r="7" spans="2:17" ht="28.5" customHeight="1">
      <c r="B7" s="555"/>
      <c r="C7" s="526" t="s">
        <v>47</v>
      </c>
      <c r="D7" s="527"/>
      <c r="E7" s="528">
        <f>AVERAGE(D14:M14)</f>
        <v>148.99378126769619</v>
      </c>
      <c r="F7" s="529">
        <f>AVERAGE(D28:O28,D14:J14)</f>
        <v>155.0103022533558</v>
      </c>
      <c r="G7" s="530">
        <f>AVERAGE(D14:J14)</f>
        <v>155.0103022533558</v>
      </c>
      <c r="H7" s="531"/>
      <c r="I7" s="530">
        <f>AVERAGE(K14:M14)</f>
        <v>134.95523230115705</v>
      </c>
      <c r="J7" s="531"/>
      <c r="K7" s="7"/>
      <c r="L7" s="7"/>
      <c r="M7" s="7"/>
      <c r="N7" s="7"/>
    </row>
    <row r="8" spans="2:17" ht="28.5" customHeight="1">
      <c r="B8" s="556"/>
      <c r="C8" s="526" t="s">
        <v>48</v>
      </c>
      <c r="D8" s="527"/>
      <c r="E8" s="532">
        <f>AVERAGE(D15:M15)</f>
        <v>0.95900023550549496</v>
      </c>
      <c r="F8" s="533">
        <f>AVERAGE(D15:J15,D29:O29)</f>
        <v>0.95991700333606644</v>
      </c>
      <c r="G8" s="534">
        <f>AVERAGE(D15:J15)</f>
        <v>0.95991700333606644</v>
      </c>
      <c r="H8" s="535"/>
      <c r="I8" s="534">
        <f>AVERAGE(K15:M15)</f>
        <v>0.95686111056749457</v>
      </c>
      <c r="J8" s="535"/>
      <c r="K8" s="8" t="s">
        <v>125</v>
      </c>
      <c r="L8" s="7"/>
      <c r="M8" s="7"/>
      <c r="N8" s="7"/>
    </row>
    <row r="9" spans="2:17" ht="28.5" customHeight="1" thickBot="1">
      <c r="H9" s="10"/>
      <c r="N9" s="7"/>
      <c r="O9" s="7"/>
      <c r="P9" s="7"/>
      <c r="Q9" s="7"/>
    </row>
    <row r="10" spans="2:17" ht="30" customHeight="1">
      <c r="B10" s="509" t="s">
        <v>126</v>
      </c>
      <c r="C10" s="510"/>
      <c r="D10" s="511" t="s">
        <v>127</v>
      </c>
      <c r="E10" s="512"/>
      <c r="F10" s="512"/>
      <c r="G10" s="512"/>
      <c r="H10" s="512"/>
      <c r="I10" s="512"/>
      <c r="J10" s="513"/>
      <c r="K10" s="514" t="s">
        <v>128</v>
      </c>
      <c r="L10" s="515"/>
      <c r="M10" s="516"/>
      <c r="P10" s="11"/>
      <c r="Q10" s="11"/>
    </row>
    <row r="11" spans="2:17" ht="17.25" customHeight="1">
      <c r="B11" s="517" t="s">
        <v>129</v>
      </c>
      <c r="C11" s="518"/>
      <c r="D11" s="12">
        <v>1</v>
      </c>
      <c r="E11" s="13">
        <v>2</v>
      </c>
      <c r="F11" s="13">
        <v>3</v>
      </c>
      <c r="G11" s="13">
        <v>4</v>
      </c>
      <c r="H11" s="13">
        <v>5</v>
      </c>
      <c r="I11" s="13">
        <v>6</v>
      </c>
      <c r="J11" s="14">
        <v>7</v>
      </c>
      <c r="K11" s="12">
        <v>1</v>
      </c>
      <c r="L11" s="13">
        <v>2</v>
      </c>
      <c r="M11" s="14">
        <v>3</v>
      </c>
      <c r="P11" s="11"/>
      <c r="Q11" s="11"/>
    </row>
    <row r="12" spans="2:17" ht="34.15" customHeight="1">
      <c r="B12" s="519"/>
      <c r="C12" s="520"/>
      <c r="D12" s="15" t="s">
        <v>49</v>
      </c>
      <c r="E12" s="16" t="s">
        <v>50</v>
      </c>
      <c r="F12" s="16" t="s">
        <v>51</v>
      </c>
      <c r="G12" s="16" t="s">
        <v>52</v>
      </c>
      <c r="H12" s="16" t="s">
        <v>53</v>
      </c>
      <c r="I12" s="16" t="s">
        <v>54</v>
      </c>
      <c r="J12" s="17" t="s">
        <v>55</v>
      </c>
      <c r="K12" s="15" t="s">
        <v>56</v>
      </c>
      <c r="L12" s="16" t="s">
        <v>57</v>
      </c>
      <c r="M12" s="17" t="s">
        <v>58</v>
      </c>
    </row>
    <row r="13" spans="2:17" ht="40.15" customHeight="1">
      <c r="B13" s="521" t="s">
        <v>130</v>
      </c>
      <c r="C13" s="18" t="s">
        <v>131</v>
      </c>
      <c r="D13" s="19">
        <f>SUMIFS('1201 4度C'!$K:$K,'1201 4度C'!$A:$A,"新豐6線",'1201 4度C'!$B:$B,"平均")</f>
        <v>137.93103448275863</v>
      </c>
      <c r="E13" s="20">
        <f>SUMIFS('1201 4度C'!$K:$K,'1201 4度C'!$A:$A,"新豐2線",'1201 4度C'!$B:$B,"平均")</f>
        <v>88.235294117647058</v>
      </c>
      <c r="F13" s="21">
        <f>SUMIFS('1201 4度C'!$K:$K,'1201 4度C'!$A:$A,"新豐5線",'1201 4度C'!$B:$B,"平均")</f>
        <v>97.826086956521749</v>
      </c>
      <c r="G13" s="21">
        <f>SUMIFS('1201 4度C'!$K:$K,'1201 4度C'!$A:$A,"新豐7線",'1201 4度C'!$B:$B,"平均")</f>
        <v>118.32061068702291</v>
      </c>
      <c r="H13" s="21">
        <f>SUMIFS('1201 4度C'!$K:$K,'1201 4度C'!$A:$A,"新豐3線",'1201 4度C'!$B:$B,"平均")</f>
        <v>283.95061728395063</v>
      </c>
      <c r="I13" s="21">
        <f>SUMIFS('1201 4度C'!$K:$K,'1201 4度C'!$A:$A,"新豐1線",'1201 4度C'!$B:$B,"平均")</f>
        <v>112.24489795918367</v>
      </c>
      <c r="J13" s="22">
        <f>SUMIFS('1201 4度C'!$K:$K,'1201 4度C'!$A:$A,"新豐10線",'1201 4度C'!$B:$B,"平均")</f>
        <v>291.66666666666669</v>
      </c>
      <c r="K13" s="23">
        <f>SUMIFS('1201 4度C'!$K:$K,'1201 4度C'!$A:$A,"新豐8線",'1201 4度C'!$B:$B,"平均")</f>
        <v>134.26573426573427</v>
      </c>
      <c r="L13" s="24">
        <f>SUMIFS('1201 4度C'!$K:$K,'1201 4度C'!$A:$A,"新豐9線",'1201 4度C'!$B:$B,"平均")</f>
        <v>140</v>
      </c>
      <c r="M13" s="22">
        <f>SUMIFS('1201 4度C'!$K:$K,'1201 4度C'!$A:$A,"新豐4線",'1201 4度C'!$B:$B,"平均")</f>
        <v>148.83720930232559</v>
      </c>
    </row>
    <row r="14" spans="2:17" ht="39.6" customHeight="1">
      <c r="B14" s="522"/>
      <c r="C14" s="25" t="s">
        <v>132</v>
      </c>
      <c r="D14" s="26">
        <f>SUMIFS('1201 4度C'!$N:$N,'1201 4度C'!$A:$A,"新豐6線",'1201 4度C'!$B:$B,"平均")</f>
        <v>132.46725664404769</v>
      </c>
      <c r="E14" s="27">
        <f>SUMIFS('1201 4度C'!$N:$N,'1201 4度C'!$A:$A,"新豐2線",'1201 4度C'!$B:$B,"平均")</f>
        <v>84.031862745098039</v>
      </c>
      <c r="F14" s="27">
        <f>SUMIFS('1201 4度C'!$N:$N,'1201 4度C'!$A:$A,"新豐5線",'1201 4度C'!$B:$B,"平均")</f>
        <v>94.386002912322354</v>
      </c>
      <c r="G14" s="27">
        <f>SUMIFS('1201 4度C'!$N:$N,'1201 4度C'!$A:$A,"新豐7線",'1201 4度C'!$B:$B,"平均")</f>
        <v>113.82619146674826</v>
      </c>
      <c r="H14" s="27">
        <f>SUMIFS('1201 4度C'!$N:$N,'1201 4度C'!$A:$A,"新豐3線",'1201 4度C'!$B:$B,"平均")</f>
        <v>271.93672622294486</v>
      </c>
      <c r="I14" s="27">
        <f>SUMIFS('1201 4度C'!$N:$N,'1201 4度C'!$A:$A,"新豐1線",'1201 4度C'!$B:$B,"平均")</f>
        <v>107.72533526608677</v>
      </c>
      <c r="J14" s="28">
        <f>SUMIFS('1201 4度C'!$N:$N,'1201 4度C'!$A:$A,"新豐10線",'1201 4度C'!$B:$B,"平均")</f>
        <v>280.69874051624288</v>
      </c>
      <c r="K14" s="29">
        <f>SUMIFS('1201 4度C'!$N:$N,'1201 4度C'!$A:$A,"新豐8線",'1201 4度C'!$B:$B,"平均")</f>
        <v>128.43300159771482</v>
      </c>
      <c r="L14" s="30">
        <f>SUMIFS('1201 4度C'!$N:$N,'1201 4度C'!$A:$A,"新豐9線",'1201 4度C'!$B:$B,"平均")</f>
        <v>133.79370737549667</v>
      </c>
      <c r="M14" s="28">
        <f>SUMIFS('1201 4度C'!$N:$N,'1201 4度C'!$A:$A,"新豐4線",'1201 4度C'!$B:$B,"平均")</f>
        <v>142.63898793025965</v>
      </c>
    </row>
    <row r="15" spans="2:17" ht="40.15" customHeight="1">
      <c r="B15" s="523"/>
      <c r="C15" s="31" t="s">
        <v>133</v>
      </c>
      <c r="D15" s="32">
        <f t="shared" ref="D15:M15" si="0">D14/D13</f>
        <v>0.96038761066934575</v>
      </c>
      <c r="E15" s="33">
        <f t="shared" si="0"/>
        <v>0.9523611111111111</v>
      </c>
      <c r="F15" s="33">
        <f t="shared" si="0"/>
        <v>0.96483469643707287</v>
      </c>
      <c r="G15" s="33">
        <f t="shared" si="0"/>
        <v>0.96201490852542071</v>
      </c>
      <c r="H15" s="33">
        <f t="shared" si="0"/>
        <v>0.95769020974167529</v>
      </c>
      <c r="I15" s="33">
        <f t="shared" si="0"/>
        <v>0.95973480509786402</v>
      </c>
      <c r="J15" s="34">
        <f t="shared" si="0"/>
        <v>0.96239568176997548</v>
      </c>
      <c r="K15" s="32">
        <f t="shared" si="0"/>
        <v>0.9565582931496468</v>
      </c>
      <c r="L15" s="33">
        <f t="shared" si="0"/>
        <v>0.95566933839640478</v>
      </c>
      <c r="M15" s="34">
        <f t="shared" si="0"/>
        <v>0.9583557001564319</v>
      </c>
    </row>
    <row r="16" spans="2:17" ht="17.25" customHeight="1">
      <c r="B16" s="524" t="s">
        <v>134</v>
      </c>
      <c r="C16" s="35" t="s">
        <v>135</v>
      </c>
      <c r="D16" s="49">
        <f>VLOOKUP("新豐6線",'1201 4度C'!$A:$T,19,0)</f>
        <v>0.70833333333333337</v>
      </c>
      <c r="E16" s="50">
        <f>VLOOKUP("新豐2線",'1201 4度C'!$A:$T,19,0)</f>
        <v>0.20833333333333334</v>
      </c>
      <c r="F16" s="50">
        <f>VLOOKUP("新豐5線",'1201 4度C'!$A:$T,19,0)</f>
        <v>0.125</v>
      </c>
      <c r="G16" s="50">
        <f>VLOOKUP("新豐7線",'1201 4度C'!$A:$T,19,0)</f>
        <v>0.20833333333333334</v>
      </c>
      <c r="H16" s="50">
        <f>VLOOKUP("新豐3線",'1201 4度C'!$A:$T,19,0)</f>
        <v>8.3333333333333329E-2</v>
      </c>
      <c r="I16" s="50">
        <f>VLOOKUP("新豐1線",'1201 4度C'!$A:$T,19,0)</f>
        <v>0.20833333333333334</v>
      </c>
      <c r="J16" s="51">
        <f>VLOOKUP("新豐10線",'1201 4度C'!$A:$T,19,0)</f>
        <v>0.20833333333333334</v>
      </c>
      <c r="K16" s="36">
        <f>VLOOKUP("新豐8線",'1201 4度C'!$A:$T,19,0)</f>
        <v>8.3333333333333329E-2</v>
      </c>
      <c r="L16" s="37">
        <f>VLOOKUP("新豐9線",'1201 4度C'!$A:$T,19,0)</f>
        <v>8.3333333333333329E-2</v>
      </c>
      <c r="M16" s="38">
        <f>VLOOKUP("新豐4線",'1201 4度C'!$A:$T,19,0)</f>
        <v>8.3333333333333329E-2</v>
      </c>
    </row>
    <row r="17" spans="2:13" ht="17.25" customHeight="1">
      <c r="B17" s="525"/>
      <c r="C17" s="35" t="s">
        <v>73</v>
      </c>
      <c r="D17" s="36">
        <f>LOOKUP(2,1/(('1201 4度C'!$A:$A="新豐6線")*('1201 4度C'!$T:$T&lt;&gt;"")),'1201 4度C'!$T:$T)</f>
        <v>0.91736111111111107</v>
      </c>
      <c r="E17" s="50">
        <f>LOOKUP(2,1/(('1201 4度C'!$A:$A="新豐2線")*('1201 4度C'!$T:$T&lt;&gt;"")),'1201 4度C'!$T:$T)</f>
        <v>0.40833333333333333</v>
      </c>
      <c r="F17" s="50">
        <f>LOOKUP(2,1/(('1201 4度C'!$A:$A="新豐5線")*('1201 4度C'!$T:$T&lt;&gt;"")),'1201 4度C'!$T:$T)</f>
        <v>0.86805555555555558</v>
      </c>
      <c r="G17" s="50">
        <f>LOOKUP(2,1/(('1201 4度C'!$A:$A="新豐7線")*('1201 4度C'!$T:$T&lt;&gt;"")),'1201 4度C'!$T:$T)</f>
        <v>0.85416666666666674</v>
      </c>
      <c r="H17" s="50">
        <f>LOOKUP(2,1/(('1201 4度C'!$A:$A="新豐3線")*('1201 4度C'!$T:$T&lt;&gt;"")),'1201 4度C'!$T:$T)</f>
        <v>0.61388888888888871</v>
      </c>
      <c r="I17" s="50">
        <f>LOOKUP(2,1/(('1201 4度C'!$A:$A="新豐1線")*('1201 4度C'!$T:$T&lt;&gt;"")),'1201 4度C'!$T:$T)</f>
        <v>0.94861111111111107</v>
      </c>
      <c r="J17" s="51">
        <f>LOOKUP(2,1/(('1201 4度C'!$A:$A="新豐10線")*('1201 4度C'!$T:$T&lt;&gt;"")),'1201 4度C'!$T:$T)</f>
        <v>0.44930555555555557</v>
      </c>
      <c r="K17" s="49">
        <f>LOOKUP(2,1/(('1201 4度C'!$A:$A="新豐8線")*('1201 4度C'!$T:$T&lt;&gt;"")),'1201 4度C'!$T:$T)</f>
        <v>0.74861111111111089</v>
      </c>
      <c r="L17" s="50">
        <f>LOOKUP(2,1/(('1201 4度C'!$A:$A="新豐9線")*('1201 4度C'!$T:$T&lt;&gt;"")),'1201 4度C'!$T:$T)</f>
        <v>0.73611111111111116</v>
      </c>
      <c r="M17" s="51">
        <f>LOOKUP(2,1/(('1201 4度C'!$A:$A="新豐4線")*('1201 4度C'!$T:$T&lt;&gt;"")),'1201 4度C'!$T:$T)</f>
        <v>0.66111111111111109</v>
      </c>
    </row>
    <row r="18" spans="2:13" ht="17.25" customHeight="1">
      <c r="B18" s="503" t="s">
        <v>74</v>
      </c>
      <c r="C18" s="504"/>
      <c r="D18" s="39">
        <f>SUMIFS('1201 4度C'!$I:$I,'1201 4度C'!$A:$A,"新豐6線",'1201 4度C'!$B:$B,"平均")</f>
        <v>14.5</v>
      </c>
      <c r="E18" s="40">
        <f>SUMIFS('1201 4度C'!$I:$I,'1201 4度C'!$A:$A,"新豐2線",'1201 4度C'!$B:$B,"平均")</f>
        <v>17</v>
      </c>
      <c r="F18" s="40">
        <f>SUMIFS('1201 4度C'!$I:$I,'1201 4度C'!$A:$A,"新豐5線",'1201 4度C'!$B:$B,"平均")</f>
        <v>18.399999999999999</v>
      </c>
      <c r="G18" s="40">
        <f>SUMIFS('1201 4度C'!$I:$I,'1201 4度C'!$A:$A,"新豐7線",'1201 4度C'!$B:$B,"平均")</f>
        <v>16.375</v>
      </c>
      <c r="H18" s="40">
        <f>SUMIFS('1201 4度C'!$I:$I,'1201 4度C'!$A:$A,"新豐3線",'1201 4度C'!$B:$B,"平均")</f>
        <v>10.125</v>
      </c>
      <c r="I18" s="40">
        <f>SUMIFS('1201 4度C'!$I:$I,'1201 4度C'!$A:$A,"新豐1線",'1201 4度C'!$B:$B,"平均")</f>
        <v>16.333333333333332</v>
      </c>
      <c r="J18" s="41">
        <f>SUMIFS('1201 4度C'!$I:$I,'1201 4度C'!$A:$A,"新豐10線",'1201 4度C'!$B:$B,"平均")</f>
        <v>9</v>
      </c>
      <c r="K18" s="39">
        <f>SUMIFS('1201 4度C'!$I:$I,'1201 4度C'!$A:$A,"新豐8線",'1201 4度C'!$B:$B,"平均")</f>
        <v>17.875</v>
      </c>
      <c r="L18" s="40">
        <f>SUMIFS('1201 4度C'!$I:$I,'1201 4度C'!$A:$A,"新豐9線",'1201 4度C'!$B:$B,"平均")</f>
        <v>17.142857142857142</v>
      </c>
      <c r="M18" s="41">
        <f>SUMIFS('1201 4度C'!$I:$I,'1201 4度C'!$A:$A,"新豐4線",'1201 4度C'!$B:$B,"平均")</f>
        <v>16.125</v>
      </c>
    </row>
    <row r="19" spans="2:13" ht="17.25" customHeight="1">
      <c r="B19" s="503" t="s">
        <v>136</v>
      </c>
      <c r="C19" s="504"/>
      <c r="D19" s="42" t="s">
        <v>59</v>
      </c>
      <c r="E19" s="43" t="s">
        <v>60</v>
      </c>
      <c r="F19" s="43" t="s">
        <v>137</v>
      </c>
      <c r="G19" s="43" t="s">
        <v>62</v>
      </c>
      <c r="H19" s="43" t="s">
        <v>61</v>
      </c>
      <c r="I19" s="43" t="s">
        <v>59</v>
      </c>
      <c r="J19" s="44" t="s">
        <v>61</v>
      </c>
      <c r="K19" s="42" t="s">
        <v>138</v>
      </c>
      <c r="L19" s="43" t="s">
        <v>138</v>
      </c>
      <c r="M19" s="44" t="s">
        <v>139</v>
      </c>
    </row>
    <row r="20" spans="2:13" ht="17.25" customHeight="1">
      <c r="B20" s="503" t="s">
        <v>140</v>
      </c>
      <c r="C20" s="504"/>
      <c r="D20" s="42"/>
      <c r="E20" s="43"/>
      <c r="F20" s="43" t="s">
        <v>141</v>
      </c>
      <c r="G20" s="43" t="s">
        <v>59</v>
      </c>
      <c r="H20" s="43"/>
      <c r="I20" s="43"/>
      <c r="J20" s="44"/>
      <c r="K20" s="42"/>
      <c r="L20" s="43"/>
      <c r="M20" s="44"/>
    </row>
    <row r="21" spans="2:13" ht="17.25" customHeight="1" thickBot="1">
      <c r="B21" s="505" t="s">
        <v>142</v>
      </c>
      <c r="C21" s="506"/>
      <c r="D21" s="45"/>
      <c r="E21" s="46" t="s">
        <v>143</v>
      </c>
      <c r="F21" s="507" t="s">
        <v>144</v>
      </c>
      <c r="G21" s="508"/>
      <c r="H21" s="46" t="s">
        <v>75</v>
      </c>
      <c r="I21" s="46" t="s">
        <v>145</v>
      </c>
      <c r="J21" s="47" t="s">
        <v>75</v>
      </c>
      <c r="K21" s="48"/>
      <c r="L21" s="46"/>
      <c r="M21" s="47"/>
    </row>
    <row r="22" spans="2:13" ht="17.25" customHeight="1"/>
    <row r="23" spans="2:13" ht="17.25" customHeight="1"/>
    <row r="24" spans="2:13" ht="17.25" customHeight="1"/>
    <row r="25" spans="2:13" ht="37.5" customHeight="1"/>
    <row r="26" spans="2:13" ht="35.25" customHeight="1"/>
    <row r="27" spans="2:13" ht="35.25" customHeight="1"/>
    <row r="28" spans="2:13" ht="39.75" customHeight="1"/>
  </sheetData>
  <mergeCells count="36">
    <mergeCell ref="B20:C20"/>
    <mergeCell ref="B21:C21"/>
    <mergeCell ref="F21:G21"/>
    <mergeCell ref="K10:M10"/>
    <mergeCell ref="B11:C12"/>
    <mergeCell ref="B13:B15"/>
    <mergeCell ref="B18:C18"/>
    <mergeCell ref="B19:C19"/>
    <mergeCell ref="I6:J6"/>
    <mergeCell ref="B16:B17"/>
    <mergeCell ref="C7:D7"/>
    <mergeCell ref="E7:F7"/>
    <mergeCell ref="G7:H7"/>
    <mergeCell ref="I7:J7"/>
    <mergeCell ref="C8:D8"/>
    <mergeCell ref="E8:F8"/>
    <mergeCell ref="G8:H8"/>
    <mergeCell ref="I8:J8"/>
    <mergeCell ref="B10:C10"/>
    <mergeCell ref="D10:J10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</mergeCells>
  <phoneticPr fontId="3" type="noConversion"/>
  <conditionalFormatting sqref="D15:M15">
    <cfRule type="cellIs" dxfId="134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C74"/>
  <sheetViews>
    <sheetView zoomScale="80" zoomScaleNormal="80" workbookViewId="0">
      <pane ySplit="4" topLeftCell="A5" activePane="bottomLeft" state="frozen"/>
      <selection activeCell="P7" sqref="P7"/>
      <selection pane="bottomLeft" activeCell="G27" sqref="G27"/>
    </sheetView>
  </sheetViews>
  <sheetFormatPr defaultColWidth="8" defaultRowHeight="15.75"/>
  <cols>
    <col min="1" max="1" width="15.125" style="54" customWidth="1"/>
    <col min="2" max="2" width="19.375" style="73" customWidth="1"/>
    <col min="3" max="3" width="15.25" style="73" customWidth="1"/>
    <col min="4" max="4" width="17.5" style="73" customWidth="1"/>
    <col min="5" max="5" width="7.5" style="73" bestFit="1" customWidth="1"/>
    <col min="6" max="6" width="14.375" style="73" bestFit="1" customWidth="1"/>
    <col min="7" max="7" width="14.375" style="54" customWidth="1"/>
    <col min="8" max="8" width="8" style="54" customWidth="1"/>
    <col min="9" max="9" width="5.875" style="54" customWidth="1"/>
    <col min="10" max="10" width="10.625" style="54" customWidth="1"/>
    <col min="11" max="11" width="14.625" style="54" customWidth="1"/>
    <col min="12" max="12" width="7.25" style="54" bestFit="1" customWidth="1"/>
    <col min="13" max="13" width="8" style="54" customWidth="1"/>
    <col min="14" max="14" width="12" style="54" customWidth="1"/>
    <col min="15" max="15" width="6" style="54" customWidth="1"/>
    <col min="16" max="16" width="9.25" style="54" customWidth="1"/>
    <col min="17" max="17" width="11.5" style="54" customWidth="1"/>
    <col min="18" max="18" width="8.5" style="54" customWidth="1"/>
    <col min="19" max="19" width="10.125" style="73" bestFit="1" customWidth="1"/>
    <col min="20" max="20" width="7.625" style="73" bestFit="1" customWidth="1"/>
    <col min="21" max="21" width="10.25" style="54" bestFit="1" customWidth="1"/>
    <col min="22" max="22" width="8.75" style="71" customWidth="1"/>
    <col min="23" max="23" width="7.375" style="54" customWidth="1"/>
    <col min="24" max="24" width="6.875" style="54" bestFit="1" customWidth="1"/>
    <col min="25" max="25" width="12.75" style="54" customWidth="1"/>
    <col min="26" max="26" width="18.875" style="54" customWidth="1"/>
    <col min="27" max="27" width="13.125" style="54" bestFit="1" customWidth="1"/>
    <col min="28" max="28" width="10.375" style="54" customWidth="1"/>
    <col min="29" max="29" width="9.375" style="54" customWidth="1"/>
    <col min="30" max="30" width="8" style="54"/>
    <col min="31" max="31" width="24.625" style="54" bestFit="1" customWidth="1"/>
    <col min="32" max="16384" width="8" style="54"/>
  </cols>
  <sheetData>
    <row r="1" spans="1:29" ht="26.25" customHeight="1">
      <c r="A1" s="52" t="s">
        <v>146</v>
      </c>
      <c r="B1" s="74"/>
      <c r="C1" s="75" t="s">
        <v>147</v>
      </c>
      <c r="D1" s="76">
        <v>188803</v>
      </c>
      <c r="E1" s="91" t="s">
        <v>148</v>
      </c>
      <c r="F1" s="74">
        <v>6295451.7699999996</v>
      </c>
      <c r="G1" s="52" t="s">
        <v>149</v>
      </c>
      <c r="H1" s="53">
        <f>L9+L11+L52+L59+L17+L64+L35+L43+L26+L73</f>
        <v>152.87619047619046</v>
      </c>
      <c r="I1" s="607" t="s">
        <v>76</v>
      </c>
      <c r="J1" s="607"/>
      <c r="K1" s="607"/>
      <c r="L1" s="607" t="s">
        <v>108</v>
      </c>
      <c r="M1" s="607"/>
      <c r="N1" s="607"/>
      <c r="O1" s="607" t="s">
        <v>91</v>
      </c>
      <c r="P1" s="607"/>
      <c r="Q1" s="607"/>
      <c r="R1" s="607"/>
      <c r="S1" s="607" t="s">
        <v>109</v>
      </c>
      <c r="T1" s="607"/>
      <c r="U1" s="607"/>
      <c r="V1" s="607"/>
      <c r="W1" s="607"/>
      <c r="X1" s="607"/>
      <c r="Y1" s="607" t="s">
        <v>77</v>
      </c>
      <c r="Z1" s="607"/>
      <c r="AA1" s="607" t="s">
        <v>110</v>
      </c>
      <c r="AB1" s="608"/>
      <c r="AC1" s="608"/>
    </row>
    <row r="2" spans="1:29" ht="26.25" customHeight="1">
      <c r="A2" s="55">
        <v>45992</v>
      </c>
      <c r="B2" s="56" t="s">
        <v>150</v>
      </c>
      <c r="C2" s="75" t="s">
        <v>66</v>
      </c>
      <c r="D2" s="77">
        <v>148.99378126769619</v>
      </c>
      <c r="E2" s="78" t="s">
        <v>0</v>
      </c>
      <c r="F2" s="79">
        <v>33.344024035635023</v>
      </c>
      <c r="G2" s="52" t="s">
        <v>92</v>
      </c>
      <c r="H2" s="92">
        <f>COUNT(H5:H73)</f>
        <v>9</v>
      </c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8"/>
      <c r="AB2" s="608"/>
      <c r="AC2" s="608"/>
    </row>
    <row r="3" spans="1:29" ht="23.25" customHeight="1">
      <c r="A3" s="559" t="s">
        <v>78</v>
      </c>
      <c r="B3" s="604" t="s">
        <v>151</v>
      </c>
      <c r="C3" s="604" t="s">
        <v>152</v>
      </c>
      <c r="D3" s="604"/>
      <c r="E3" s="609" t="s">
        <v>111</v>
      </c>
      <c r="F3" s="604" t="s">
        <v>79</v>
      </c>
      <c r="G3" s="605" t="s">
        <v>80</v>
      </c>
      <c r="H3" s="598" t="s">
        <v>81</v>
      </c>
      <c r="I3" s="596" t="s">
        <v>82</v>
      </c>
      <c r="J3" s="601" t="s">
        <v>83</v>
      </c>
      <c r="K3" s="603" t="s">
        <v>66</v>
      </c>
      <c r="L3" s="596" t="s">
        <v>82</v>
      </c>
      <c r="M3" s="601" t="s">
        <v>83</v>
      </c>
      <c r="N3" s="603" t="s">
        <v>66</v>
      </c>
      <c r="O3" s="596" t="s">
        <v>82</v>
      </c>
      <c r="P3" s="603" t="s">
        <v>66</v>
      </c>
      <c r="Q3" s="602" t="s">
        <v>84</v>
      </c>
      <c r="R3" s="574" t="s">
        <v>114</v>
      </c>
      <c r="S3" s="604" t="s">
        <v>1</v>
      </c>
      <c r="T3" s="604"/>
      <c r="U3" s="598" t="s">
        <v>2</v>
      </c>
      <c r="V3" s="598" t="s">
        <v>153</v>
      </c>
      <c r="W3" s="559" t="s">
        <v>112</v>
      </c>
      <c r="X3" s="559"/>
      <c r="Y3" s="599" t="s">
        <v>113</v>
      </c>
      <c r="Z3" s="600"/>
      <c r="AA3" s="601" t="s">
        <v>83</v>
      </c>
      <c r="AB3" s="602" t="s">
        <v>154</v>
      </c>
      <c r="AC3" s="574" t="s">
        <v>155</v>
      </c>
    </row>
    <row r="4" spans="1:29">
      <c r="A4" s="559"/>
      <c r="B4" s="604"/>
      <c r="C4" s="604"/>
      <c r="D4" s="604"/>
      <c r="E4" s="610"/>
      <c r="F4" s="604"/>
      <c r="G4" s="606"/>
      <c r="H4" s="598"/>
      <c r="I4" s="596"/>
      <c r="J4" s="601"/>
      <c r="K4" s="603"/>
      <c r="L4" s="596"/>
      <c r="M4" s="601"/>
      <c r="N4" s="603"/>
      <c r="O4" s="596"/>
      <c r="P4" s="603"/>
      <c r="Q4" s="602"/>
      <c r="R4" s="574"/>
      <c r="S4" s="91" t="s">
        <v>3</v>
      </c>
      <c r="T4" s="91" t="s">
        <v>4</v>
      </c>
      <c r="U4" s="598"/>
      <c r="V4" s="598"/>
      <c r="W4" s="82" t="s">
        <v>115</v>
      </c>
      <c r="X4" s="82" t="s">
        <v>156</v>
      </c>
      <c r="Y4" s="600"/>
      <c r="Z4" s="600"/>
      <c r="AA4" s="601"/>
      <c r="AB4" s="602"/>
      <c r="AC4" s="574"/>
    </row>
    <row r="5" spans="1:29">
      <c r="A5" s="595" t="s">
        <v>116</v>
      </c>
      <c r="B5" s="57" t="s">
        <v>6</v>
      </c>
      <c r="C5" s="597" t="s">
        <v>9</v>
      </c>
      <c r="D5" s="597"/>
      <c r="E5" s="57">
        <v>50.67</v>
      </c>
      <c r="F5" s="91">
        <v>1685</v>
      </c>
      <c r="G5" s="82">
        <f t="shared" ref="G5:G8" si="0">E5*F5</f>
        <v>85378.95</v>
      </c>
      <c r="H5" s="72" t="s">
        <v>5</v>
      </c>
      <c r="I5" s="89">
        <v>17</v>
      </c>
      <c r="J5" s="58">
        <v>2000</v>
      </c>
      <c r="K5" s="59">
        <f t="shared" ref="K5:K68" si="1">J5/I5</f>
        <v>117.64705882352941</v>
      </c>
      <c r="L5" s="89">
        <v>17</v>
      </c>
      <c r="M5" s="60">
        <f t="shared" ref="M5:M8" si="2">F5/V5*60</f>
        <v>1907.5471698113217</v>
      </c>
      <c r="N5" s="59">
        <f t="shared" ref="N5:N68" si="3">M5/L5</f>
        <v>112.20865704772481</v>
      </c>
      <c r="O5" s="61">
        <f t="shared" ref="O5:O68" si="4">L5-I5</f>
        <v>0</v>
      </c>
      <c r="P5" s="62">
        <f t="shared" ref="P5:P68" si="5">N5-K5</f>
        <v>-5.4384017758045928</v>
      </c>
      <c r="Q5" s="85">
        <f t="shared" ref="Q5:Q68" si="6">N5/K5</f>
        <v>0.953773584905661</v>
      </c>
      <c r="R5" s="566">
        <f>Q9</f>
        <v>0.96038761066934575</v>
      </c>
      <c r="S5" s="63">
        <v>0.70833333333333337</v>
      </c>
      <c r="T5" s="63">
        <v>0.74513888888888891</v>
      </c>
      <c r="U5" s="82"/>
      <c r="V5" s="90">
        <f t="shared" ref="V5:V8" si="7">(T5-S5)*24*60</f>
        <v>52.999999999999972</v>
      </c>
      <c r="W5" s="64"/>
      <c r="X5" s="65"/>
      <c r="Y5" s="559"/>
      <c r="Z5" s="559"/>
      <c r="AA5" s="61">
        <f t="shared" ref="AA5:AA68" si="8">M5-J5</f>
        <v>-92.452830188678263</v>
      </c>
      <c r="AB5" s="85">
        <f t="shared" ref="AB5:AB68" si="9">M5/J5</f>
        <v>0.95377358490566089</v>
      </c>
      <c r="AC5" s="566">
        <f>AB9</f>
        <v>0.96038761066934564</v>
      </c>
    </row>
    <row r="6" spans="1:29">
      <c r="A6" s="596" t="s">
        <v>116</v>
      </c>
      <c r="B6" s="57" t="s">
        <v>6</v>
      </c>
      <c r="C6" s="597" t="s">
        <v>8</v>
      </c>
      <c r="D6" s="597"/>
      <c r="E6" s="57">
        <v>50.49</v>
      </c>
      <c r="F6" s="91">
        <v>2246</v>
      </c>
      <c r="G6" s="82">
        <f t="shared" si="0"/>
        <v>113400.54000000001</v>
      </c>
      <c r="H6" s="72" t="s">
        <v>5</v>
      </c>
      <c r="I6" s="89">
        <v>15</v>
      </c>
      <c r="J6" s="58">
        <v>2000</v>
      </c>
      <c r="K6" s="59">
        <f t="shared" si="1"/>
        <v>133.33333333333334</v>
      </c>
      <c r="L6" s="89">
        <v>15</v>
      </c>
      <c r="M6" s="60">
        <f t="shared" si="2"/>
        <v>1925.1428571428553</v>
      </c>
      <c r="N6" s="59">
        <f t="shared" si="3"/>
        <v>128.34285714285701</v>
      </c>
      <c r="O6" s="61">
        <f t="shared" si="4"/>
        <v>0</v>
      </c>
      <c r="P6" s="62">
        <f t="shared" si="5"/>
        <v>-4.9904761904763291</v>
      </c>
      <c r="Q6" s="85">
        <f t="shared" si="6"/>
        <v>0.96257142857142752</v>
      </c>
      <c r="R6" s="566"/>
      <c r="S6" s="63">
        <v>0.75</v>
      </c>
      <c r="T6" s="63">
        <v>0.79861111111111116</v>
      </c>
      <c r="U6" s="82">
        <f t="shared" ref="U6:U8" si="10">IF(S6=TIME(17,0,0),"",(S6-T5)*24*60)</f>
        <v>6.9999999999999751</v>
      </c>
      <c r="V6" s="90">
        <f t="shared" si="7"/>
        <v>70.000000000000071</v>
      </c>
      <c r="W6" s="64"/>
      <c r="X6" s="64"/>
      <c r="Y6" s="559"/>
      <c r="Z6" s="559"/>
      <c r="AA6" s="61">
        <f t="shared" si="8"/>
        <v>-74.857142857144709</v>
      </c>
      <c r="AB6" s="85">
        <f t="shared" si="9"/>
        <v>0.96257142857142763</v>
      </c>
      <c r="AC6" s="566"/>
    </row>
    <row r="7" spans="1:29">
      <c r="A7" s="596" t="s">
        <v>116</v>
      </c>
      <c r="B7" s="57" t="s">
        <v>6</v>
      </c>
      <c r="C7" s="590" t="s">
        <v>94</v>
      </c>
      <c r="D7" s="591"/>
      <c r="E7" s="57">
        <v>57.3</v>
      </c>
      <c r="F7" s="91">
        <v>1500</v>
      </c>
      <c r="G7" s="82">
        <f t="shared" si="0"/>
        <v>85950</v>
      </c>
      <c r="H7" s="72">
        <v>2</v>
      </c>
      <c r="I7" s="89">
        <v>13</v>
      </c>
      <c r="J7" s="58">
        <v>2000</v>
      </c>
      <c r="K7" s="59">
        <f t="shared" si="1"/>
        <v>153.84615384615384</v>
      </c>
      <c r="L7" s="89">
        <v>13</v>
      </c>
      <c r="M7" s="60">
        <f t="shared" si="2"/>
        <v>1914.8936170212769</v>
      </c>
      <c r="N7" s="59">
        <f t="shared" si="3"/>
        <v>147.29950900163669</v>
      </c>
      <c r="O7" s="61">
        <f t="shared" si="4"/>
        <v>0</v>
      </c>
      <c r="P7" s="62">
        <f t="shared" si="5"/>
        <v>-6.5466448445171466</v>
      </c>
      <c r="Q7" s="85">
        <f t="shared" si="6"/>
        <v>0.95744680851063857</v>
      </c>
      <c r="R7" s="566"/>
      <c r="S7" s="63">
        <v>0.8041666666666667</v>
      </c>
      <c r="T7" s="63">
        <v>0.83680555555555558</v>
      </c>
      <c r="U7" s="82">
        <f t="shared" si="10"/>
        <v>7.9999999999999716</v>
      </c>
      <c r="V7" s="90">
        <f t="shared" si="7"/>
        <v>46.999999999999993</v>
      </c>
      <c r="W7" s="64">
        <f>T7</f>
        <v>0.83680555555555558</v>
      </c>
      <c r="X7" s="64">
        <f>S8</f>
        <v>0.87708333333333333</v>
      </c>
      <c r="Y7" s="569"/>
      <c r="Z7" s="570"/>
      <c r="AA7" s="61">
        <f t="shared" si="8"/>
        <v>-85.106382978723104</v>
      </c>
      <c r="AB7" s="85">
        <f t="shared" si="9"/>
        <v>0.95744680851063846</v>
      </c>
      <c r="AC7" s="566"/>
    </row>
    <row r="8" spans="1:29">
      <c r="A8" s="596" t="s">
        <v>157</v>
      </c>
      <c r="B8" s="57" t="s">
        <v>6</v>
      </c>
      <c r="C8" s="590" t="s">
        <v>94</v>
      </c>
      <c r="D8" s="591"/>
      <c r="E8" s="57">
        <v>57.3</v>
      </c>
      <c r="F8" s="91">
        <v>1871</v>
      </c>
      <c r="G8" s="82">
        <f t="shared" si="0"/>
        <v>107208.29999999999</v>
      </c>
      <c r="H8" s="72" t="s">
        <v>5</v>
      </c>
      <c r="I8" s="89">
        <v>13</v>
      </c>
      <c r="J8" s="58">
        <v>2000</v>
      </c>
      <c r="K8" s="59">
        <f t="shared" si="1"/>
        <v>153.84615384615384</v>
      </c>
      <c r="L8" s="89">
        <v>13</v>
      </c>
      <c r="M8" s="60">
        <f t="shared" si="2"/>
        <v>1935.5172413793118</v>
      </c>
      <c r="N8" s="59">
        <f t="shared" si="3"/>
        <v>148.88594164456245</v>
      </c>
      <c r="O8" s="61">
        <f t="shared" si="4"/>
        <v>0</v>
      </c>
      <c r="P8" s="62">
        <f t="shared" si="5"/>
        <v>-4.9602122015913892</v>
      </c>
      <c r="Q8" s="85">
        <f t="shared" si="6"/>
        <v>0.96775862068965601</v>
      </c>
      <c r="R8" s="566"/>
      <c r="S8" s="63">
        <v>0.87708333333333333</v>
      </c>
      <c r="T8" s="63">
        <v>0.91736111111111107</v>
      </c>
      <c r="U8" s="82">
        <f t="shared" si="10"/>
        <v>57.999999999999957</v>
      </c>
      <c r="V8" s="90">
        <f t="shared" si="7"/>
        <v>57.999999999999957</v>
      </c>
      <c r="W8" s="68"/>
      <c r="X8" s="68"/>
      <c r="Y8" s="569"/>
      <c r="Z8" s="570"/>
      <c r="AA8" s="61">
        <f t="shared" si="8"/>
        <v>-64.482758620688173</v>
      </c>
      <c r="AB8" s="85">
        <f t="shared" si="9"/>
        <v>0.9677586206896559</v>
      </c>
      <c r="AC8" s="566"/>
    </row>
    <row r="9" spans="1:29">
      <c r="A9" s="596" t="s">
        <v>158</v>
      </c>
      <c r="B9" s="57" t="s">
        <v>159</v>
      </c>
      <c r="C9" s="571"/>
      <c r="D9" s="571"/>
      <c r="E9" s="86"/>
      <c r="F9" s="66"/>
      <c r="G9" s="59"/>
      <c r="H9" s="91"/>
      <c r="I9" s="67">
        <v>14.5</v>
      </c>
      <c r="J9" s="58">
        <v>2000</v>
      </c>
      <c r="K9" s="59">
        <f t="shared" si="1"/>
        <v>137.93103448275863</v>
      </c>
      <c r="L9" s="67">
        <v>14.5</v>
      </c>
      <c r="M9" s="60">
        <f>AVERAGE(M5:M8)</f>
        <v>1920.7752213386914</v>
      </c>
      <c r="N9" s="59">
        <f t="shared" si="3"/>
        <v>132.46725664404769</v>
      </c>
      <c r="O9" s="61">
        <f t="shared" si="4"/>
        <v>0</v>
      </c>
      <c r="P9" s="62">
        <f t="shared" si="5"/>
        <v>-5.4637778387109392</v>
      </c>
      <c r="Q9" s="85">
        <f t="shared" si="6"/>
        <v>0.96038761066934575</v>
      </c>
      <c r="R9" s="566"/>
      <c r="S9" s="63"/>
      <c r="T9" s="63"/>
      <c r="U9" s="82"/>
      <c r="V9" s="90"/>
      <c r="W9" s="59"/>
      <c r="X9" s="59"/>
      <c r="Y9" s="559"/>
      <c r="Z9" s="559"/>
      <c r="AA9" s="61">
        <f t="shared" si="8"/>
        <v>-79.224778661308619</v>
      </c>
      <c r="AB9" s="85">
        <f t="shared" si="9"/>
        <v>0.96038761066934564</v>
      </c>
      <c r="AC9" s="566"/>
    </row>
    <row r="10" spans="1:29" ht="15.75" customHeight="1">
      <c r="A10" s="594" t="s">
        <v>85</v>
      </c>
      <c r="B10" s="57" t="s">
        <v>10</v>
      </c>
      <c r="C10" s="590" t="s">
        <v>11</v>
      </c>
      <c r="D10" s="591"/>
      <c r="E10" s="57">
        <v>39.799999999999997</v>
      </c>
      <c r="F10" s="91">
        <v>6857</v>
      </c>
      <c r="G10" s="82">
        <f t="shared" ref="G10" si="11">E10*F10</f>
        <v>272908.59999999998</v>
      </c>
      <c r="H10" s="72" t="s">
        <v>5</v>
      </c>
      <c r="I10" s="89">
        <v>17</v>
      </c>
      <c r="J10" s="58">
        <v>1500</v>
      </c>
      <c r="K10" s="59">
        <f t="shared" si="1"/>
        <v>88.235294117647058</v>
      </c>
      <c r="L10" s="89">
        <v>17</v>
      </c>
      <c r="M10" s="60">
        <f t="shared" ref="M10" si="12">F10/V10*60</f>
        <v>1428.5416666666667</v>
      </c>
      <c r="N10" s="59">
        <f t="shared" si="3"/>
        <v>84.031862745098039</v>
      </c>
      <c r="O10" s="61">
        <f t="shared" si="4"/>
        <v>0</v>
      </c>
      <c r="P10" s="62">
        <f t="shared" si="5"/>
        <v>-4.2034313725490193</v>
      </c>
      <c r="Q10" s="85">
        <f t="shared" si="6"/>
        <v>0.9523611111111111</v>
      </c>
      <c r="R10" s="566">
        <f>Q11</f>
        <v>0.9523611111111111</v>
      </c>
      <c r="S10" s="63">
        <v>0.20833333333333334</v>
      </c>
      <c r="T10" s="63">
        <v>0.40833333333333333</v>
      </c>
      <c r="U10" s="82"/>
      <c r="V10" s="90">
        <f t="shared" ref="V10" si="13">(T10-S10)*24*60</f>
        <v>288</v>
      </c>
      <c r="W10" s="64"/>
      <c r="X10" s="64"/>
      <c r="Y10" s="559"/>
      <c r="Z10" s="559"/>
      <c r="AA10" s="61">
        <f t="shared" si="8"/>
        <v>-71.458333333333258</v>
      </c>
      <c r="AB10" s="85">
        <f t="shared" si="9"/>
        <v>0.95236111111111121</v>
      </c>
      <c r="AC10" s="566">
        <f>AB11</f>
        <v>0.95236111111111121</v>
      </c>
    </row>
    <row r="11" spans="1:29" ht="16.5" customHeight="1">
      <c r="A11" s="594" t="s">
        <v>85</v>
      </c>
      <c r="B11" s="57" t="s">
        <v>67</v>
      </c>
      <c r="C11" s="571"/>
      <c r="D11" s="571"/>
      <c r="E11" s="86"/>
      <c r="F11" s="58"/>
      <c r="G11" s="60"/>
      <c r="H11" s="91"/>
      <c r="I11" s="67">
        <v>17</v>
      </c>
      <c r="J11" s="58">
        <v>1500</v>
      </c>
      <c r="K11" s="59">
        <f t="shared" si="1"/>
        <v>88.235294117647058</v>
      </c>
      <c r="L11" s="67">
        <v>17</v>
      </c>
      <c r="M11" s="60">
        <f>AVERAGE(M10:M10)</f>
        <v>1428.5416666666667</v>
      </c>
      <c r="N11" s="59">
        <f t="shared" si="3"/>
        <v>84.031862745098039</v>
      </c>
      <c r="O11" s="61">
        <f t="shared" si="4"/>
        <v>0</v>
      </c>
      <c r="P11" s="62">
        <f t="shared" si="5"/>
        <v>-4.2034313725490193</v>
      </c>
      <c r="Q11" s="85">
        <f t="shared" si="6"/>
        <v>0.9523611111111111</v>
      </c>
      <c r="R11" s="566"/>
      <c r="S11" s="63"/>
      <c r="T11" s="63"/>
      <c r="U11" s="59"/>
      <c r="V11" s="90"/>
      <c r="W11" s="59"/>
      <c r="X11" s="59"/>
      <c r="Y11" s="559"/>
      <c r="Z11" s="559"/>
      <c r="AA11" s="61">
        <f t="shared" si="8"/>
        <v>-71.458333333333258</v>
      </c>
      <c r="AB11" s="85">
        <f t="shared" si="9"/>
        <v>0.95236111111111121</v>
      </c>
      <c r="AC11" s="566"/>
    </row>
    <row r="12" spans="1:29" ht="16.5" customHeight="1">
      <c r="A12" s="592" t="s">
        <v>160</v>
      </c>
      <c r="B12" s="91" t="s">
        <v>12</v>
      </c>
      <c r="C12" s="584" t="s">
        <v>13</v>
      </c>
      <c r="D12" s="584"/>
      <c r="E12" s="57">
        <v>41</v>
      </c>
      <c r="F12" s="91">
        <v>2549</v>
      </c>
      <c r="G12" s="82">
        <f t="shared" ref="G12:G16" si="14">E12*F12</f>
        <v>104509</v>
      </c>
      <c r="H12" s="72" t="s">
        <v>5</v>
      </c>
      <c r="I12" s="89">
        <v>26</v>
      </c>
      <c r="J12" s="58">
        <v>1500</v>
      </c>
      <c r="K12" s="59">
        <f t="shared" si="1"/>
        <v>57.692307692307693</v>
      </c>
      <c r="L12" s="89">
        <v>26</v>
      </c>
      <c r="M12" s="60">
        <f t="shared" ref="M12:M16" si="15">F12/V12*60</f>
        <v>1442.8301886792449</v>
      </c>
      <c r="N12" s="59">
        <f t="shared" si="3"/>
        <v>55.493468795355575</v>
      </c>
      <c r="O12" s="61">
        <f t="shared" si="4"/>
        <v>0</v>
      </c>
      <c r="P12" s="62">
        <f t="shared" si="5"/>
        <v>-2.1988388969521182</v>
      </c>
      <c r="Q12" s="85">
        <f t="shared" si="6"/>
        <v>0.96188679245282993</v>
      </c>
      <c r="R12" s="566">
        <f>Q17</f>
        <v>0.96483469643707287</v>
      </c>
      <c r="S12" s="63">
        <v>0.125</v>
      </c>
      <c r="T12" s="63">
        <v>0.19861111111111113</v>
      </c>
      <c r="U12" s="82"/>
      <c r="V12" s="90">
        <f t="shared" ref="V12:V16" si="16">(T12-S12)*24*60</f>
        <v>106.00000000000003</v>
      </c>
      <c r="W12" s="64">
        <f>T12</f>
        <v>0.19861111111111113</v>
      </c>
      <c r="X12" s="64">
        <f>S13</f>
        <v>0.21944444444444447</v>
      </c>
      <c r="Y12" s="559"/>
      <c r="Z12" s="559"/>
      <c r="AA12" s="61">
        <f t="shared" si="8"/>
        <v>-57.169811320755116</v>
      </c>
      <c r="AB12" s="85">
        <f t="shared" si="9"/>
        <v>0.96188679245282993</v>
      </c>
      <c r="AC12" s="566">
        <f>AB17</f>
        <v>0.96483469643707298</v>
      </c>
    </row>
    <row r="13" spans="1:29" ht="16.5" customHeight="1">
      <c r="A13" s="593" t="s">
        <v>161</v>
      </c>
      <c r="B13" s="91" t="s">
        <v>10</v>
      </c>
      <c r="C13" s="584" t="s">
        <v>14</v>
      </c>
      <c r="D13" s="584"/>
      <c r="E13" s="57">
        <v>39.619999999999997</v>
      </c>
      <c r="F13" s="91">
        <v>4450</v>
      </c>
      <c r="G13" s="82">
        <f t="shared" si="14"/>
        <v>176309</v>
      </c>
      <c r="H13" s="72" t="s">
        <v>5</v>
      </c>
      <c r="I13" s="89">
        <v>19</v>
      </c>
      <c r="J13" s="58">
        <v>1500</v>
      </c>
      <c r="K13" s="59">
        <f t="shared" si="1"/>
        <v>78.94736842105263</v>
      </c>
      <c r="L13" s="89">
        <v>19</v>
      </c>
      <c r="M13" s="60">
        <f t="shared" si="15"/>
        <v>1435.4838709677417</v>
      </c>
      <c r="N13" s="59">
        <f t="shared" si="3"/>
        <v>75.551782682512723</v>
      </c>
      <c r="O13" s="61">
        <f t="shared" si="4"/>
        <v>0</v>
      </c>
      <c r="P13" s="62">
        <f t="shared" si="5"/>
        <v>-3.3955857385399071</v>
      </c>
      <c r="Q13" s="85">
        <f t="shared" si="6"/>
        <v>0.95698924731182788</v>
      </c>
      <c r="R13" s="566"/>
      <c r="S13" s="63">
        <v>0.21944444444444447</v>
      </c>
      <c r="T13" s="63">
        <v>0.34861111111111115</v>
      </c>
      <c r="U13" s="82">
        <f t="shared" ref="U13:U16" si="17">IF(S13=TIME(17,0,0),"",(S13-T12)*24*60)</f>
        <v>30.000000000000014</v>
      </c>
      <c r="V13" s="90">
        <f t="shared" si="16"/>
        <v>186.00000000000003</v>
      </c>
      <c r="W13" s="64"/>
      <c r="X13" s="64"/>
      <c r="Y13" s="559"/>
      <c r="Z13" s="559"/>
      <c r="AA13" s="61">
        <f t="shared" si="8"/>
        <v>-64.516129032258277</v>
      </c>
      <c r="AB13" s="85">
        <f t="shared" si="9"/>
        <v>0.95698924731182777</v>
      </c>
      <c r="AC13" s="566"/>
    </row>
    <row r="14" spans="1:29" ht="16.5" customHeight="1">
      <c r="A14" s="593" t="s">
        <v>160</v>
      </c>
      <c r="B14" s="91" t="s">
        <v>6</v>
      </c>
      <c r="C14" s="584" t="s">
        <v>95</v>
      </c>
      <c r="D14" s="584"/>
      <c r="E14" s="57">
        <v>50.98</v>
      </c>
      <c r="F14" s="91">
        <v>3014</v>
      </c>
      <c r="G14" s="82">
        <f t="shared" si="14"/>
        <v>153653.72</v>
      </c>
      <c r="H14" s="72" t="s">
        <v>5</v>
      </c>
      <c r="I14" s="89">
        <v>16</v>
      </c>
      <c r="J14" s="58">
        <v>2000</v>
      </c>
      <c r="K14" s="59">
        <f t="shared" si="1"/>
        <v>125</v>
      </c>
      <c r="L14" s="89">
        <v>16</v>
      </c>
      <c r="M14" s="60">
        <f t="shared" si="15"/>
        <v>1923.8297872340429</v>
      </c>
      <c r="N14" s="59">
        <f t="shared" si="3"/>
        <v>120.23936170212768</v>
      </c>
      <c r="O14" s="61">
        <f t="shared" si="4"/>
        <v>0</v>
      </c>
      <c r="P14" s="62">
        <f t="shared" si="5"/>
        <v>-4.760638297872319</v>
      </c>
      <c r="Q14" s="85">
        <f t="shared" si="6"/>
        <v>0.96191489361702143</v>
      </c>
      <c r="R14" s="566"/>
      <c r="S14" s="63">
        <v>0.70833333333333337</v>
      </c>
      <c r="T14" s="63">
        <v>0.77361111111111114</v>
      </c>
      <c r="U14" s="82" t="str">
        <f t="shared" si="17"/>
        <v/>
      </c>
      <c r="V14" s="90">
        <f t="shared" si="16"/>
        <v>93.999999999999986</v>
      </c>
      <c r="W14" s="64"/>
      <c r="X14" s="64"/>
      <c r="Y14" s="559"/>
      <c r="Z14" s="559"/>
      <c r="AA14" s="61">
        <f t="shared" si="8"/>
        <v>-76.170212765957103</v>
      </c>
      <c r="AB14" s="85">
        <f t="shared" si="9"/>
        <v>0.96191489361702143</v>
      </c>
      <c r="AC14" s="566"/>
    </row>
    <row r="15" spans="1:29" ht="16.5" customHeight="1">
      <c r="A15" s="593" t="s">
        <v>162</v>
      </c>
      <c r="B15" s="91" t="s">
        <v>6</v>
      </c>
      <c r="C15" s="584" t="s">
        <v>18</v>
      </c>
      <c r="D15" s="584"/>
      <c r="E15" s="57">
        <v>50.92</v>
      </c>
      <c r="F15" s="91">
        <v>3039</v>
      </c>
      <c r="G15" s="82">
        <f t="shared" si="14"/>
        <v>154745.88</v>
      </c>
      <c r="H15" s="72" t="s">
        <v>5</v>
      </c>
      <c r="I15" s="89">
        <v>15</v>
      </c>
      <c r="J15" s="58">
        <v>2000</v>
      </c>
      <c r="K15" s="59">
        <f t="shared" si="1"/>
        <v>133.33333333333334</v>
      </c>
      <c r="L15" s="89">
        <v>15</v>
      </c>
      <c r="M15" s="60">
        <f t="shared" si="15"/>
        <v>1919.3684210526319</v>
      </c>
      <c r="N15" s="59">
        <f t="shared" si="3"/>
        <v>127.95789473684212</v>
      </c>
      <c r="O15" s="61">
        <f t="shared" si="4"/>
        <v>0</v>
      </c>
      <c r="P15" s="62">
        <f t="shared" si="5"/>
        <v>-5.3754385964912217</v>
      </c>
      <c r="Q15" s="85">
        <f t="shared" si="6"/>
        <v>0.95968421052631581</v>
      </c>
      <c r="R15" s="566"/>
      <c r="S15" s="63">
        <v>0.77777777777777779</v>
      </c>
      <c r="T15" s="63">
        <v>0.84375</v>
      </c>
      <c r="U15" s="82">
        <f t="shared" si="17"/>
        <v>5.9999999999999787</v>
      </c>
      <c r="V15" s="90">
        <f t="shared" si="16"/>
        <v>94.999999999999986</v>
      </c>
      <c r="W15" s="64"/>
      <c r="X15" s="64"/>
      <c r="Y15" s="559"/>
      <c r="Z15" s="559"/>
      <c r="AA15" s="61">
        <f t="shared" si="8"/>
        <v>-80.631578947368098</v>
      </c>
      <c r="AB15" s="85">
        <f t="shared" si="9"/>
        <v>0.95968421052631592</v>
      </c>
      <c r="AC15" s="566"/>
    </row>
    <row r="16" spans="1:29" ht="16.5" customHeight="1">
      <c r="A16" s="593" t="s">
        <v>161</v>
      </c>
      <c r="B16" s="91" t="s">
        <v>6</v>
      </c>
      <c r="C16" s="584" t="s">
        <v>7</v>
      </c>
      <c r="D16" s="584"/>
      <c r="E16" s="57">
        <v>46.93</v>
      </c>
      <c r="F16" s="91">
        <v>981</v>
      </c>
      <c r="G16" s="82">
        <f t="shared" si="14"/>
        <v>46038.33</v>
      </c>
      <c r="H16" s="72" t="s">
        <v>5</v>
      </c>
      <c r="I16" s="89">
        <v>16</v>
      </c>
      <c r="J16" s="58">
        <v>2000</v>
      </c>
      <c r="K16" s="59">
        <f t="shared" si="1"/>
        <v>125</v>
      </c>
      <c r="L16" s="89">
        <v>16</v>
      </c>
      <c r="M16" s="60">
        <f t="shared" si="15"/>
        <v>1961.9999999999964</v>
      </c>
      <c r="N16" s="59">
        <f t="shared" si="3"/>
        <v>122.62499999999977</v>
      </c>
      <c r="O16" s="61">
        <f t="shared" si="4"/>
        <v>0</v>
      </c>
      <c r="P16" s="62">
        <f t="shared" si="5"/>
        <v>-2.3750000000002274</v>
      </c>
      <c r="Q16" s="85">
        <f t="shared" si="6"/>
        <v>0.98099999999999821</v>
      </c>
      <c r="R16" s="566"/>
      <c r="S16" s="63">
        <v>0.84722222222222221</v>
      </c>
      <c r="T16" s="63">
        <v>0.86805555555555558</v>
      </c>
      <c r="U16" s="82">
        <f t="shared" si="17"/>
        <v>4.9999999999999822</v>
      </c>
      <c r="V16" s="90">
        <f t="shared" si="16"/>
        <v>30.000000000000053</v>
      </c>
      <c r="W16" s="64"/>
      <c r="X16" s="64"/>
      <c r="Y16" s="559"/>
      <c r="Z16" s="559"/>
      <c r="AA16" s="61">
        <f t="shared" si="8"/>
        <v>-38.000000000003638</v>
      </c>
      <c r="AB16" s="85">
        <f t="shared" si="9"/>
        <v>0.98099999999999821</v>
      </c>
      <c r="AC16" s="566"/>
    </row>
    <row r="17" spans="1:29" ht="16.5" customHeight="1">
      <c r="A17" s="593" t="s">
        <v>161</v>
      </c>
      <c r="B17" s="57" t="s">
        <v>67</v>
      </c>
      <c r="C17" s="571"/>
      <c r="D17" s="571"/>
      <c r="E17" s="86"/>
      <c r="F17" s="66"/>
      <c r="G17" s="59"/>
      <c r="H17" s="91"/>
      <c r="I17" s="67">
        <v>18.399999999999999</v>
      </c>
      <c r="J17" s="58">
        <v>1800</v>
      </c>
      <c r="K17" s="59">
        <f t="shared" si="1"/>
        <v>97.826086956521749</v>
      </c>
      <c r="L17" s="67">
        <v>18.399999999999999</v>
      </c>
      <c r="M17" s="60">
        <f>AVERAGE(M12:M16)</f>
        <v>1736.7024535867313</v>
      </c>
      <c r="N17" s="59">
        <f t="shared" si="3"/>
        <v>94.386002912322354</v>
      </c>
      <c r="O17" s="61">
        <f t="shared" si="4"/>
        <v>0</v>
      </c>
      <c r="P17" s="62">
        <f t="shared" si="5"/>
        <v>-3.440084044199395</v>
      </c>
      <c r="Q17" s="85">
        <f t="shared" si="6"/>
        <v>0.96483469643707287</v>
      </c>
      <c r="R17" s="566"/>
      <c r="S17" s="63"/>
      <c r="T17" s="63"/>
      <c r="U17" s="82"/>
      <c r="V17" s="90"/>
      <c r="W17" s="59"/>
      <c r="X17" s="59"/>
      <c r="Y17" s="559"/>
      <c r="Z17" s="559"/>
      <c r="AA17" s="61">
        <f t="shared" si="8"/>
        <v>-63.297546413268719</v>
      </c>
      <c r="AB17" s="85">
        <f t="shared" si="9"/>
        <v>0.96483469643707298</v>
      </c>
      <c r="AC17" s="566"/>
    </row>
    <row r="18" spans="1:29" ht="15.75" customHeight="1">
      <c r="A18" s="588" t="s">
        <v>163</v>
      </c>
      <c r="B18" s="57" t="s">
        <v>12</v>
      </c>
      <c r="C18" s="584" t="s">
        <v>19</v>
      </c>
      <c r="D18" s="584"/>
      <c r="E18" s="57">
        <v>43.14</v>
      </c>
      <c r="F18" s="91">
        <v>1328</v>
      </c>
      <c r="G18" s="82">
        <f t="shared" ref="G18:G25" si="18">E18*F18</f>
        <v>57289.919999999998</v>
      </c>
      <c r="H18" s="72" t="s">
        <v>5</v>
      </c>
      <c r="I18" s="89">
        <v>17</v>
      </c>
      <c r="J18" s="58">
        <v>2000</v>
      </c>
      <c r="K18" s="59">
        <f t="shared" si="1"/>
        <v>117.64705882352941</v>
      </c>
      <c r="L18" s="89">
        <v>17</v>
      </c>
      <c r="M18" s="60">
        <f t="shared" ref="M18:M25" si="19">F18/V18*60</f>
        <v>1943.4146341463406</v>
      </c>
      <c r="N18" s="59">
        <f t="shared" si="3"/>
        <v>114.31850789096121</v>
      </c>
      <c r="O18" s="61">
        <f t="shared" si="4"/>
        <v>0</v>
      </c>
      <c r="P18" s="62">
        <f t="shared" si="5"/>
        <v>-3.3285509325681915</v>
      </c>
      <c r="Q18" s="85">
        <f t="shared" si="6"/>
        <v>0.97170731707317037</v>
      </c>
      <c r="R18" s="566">
        <f>Q26</f>
        <v>0.96201490852542071</v>
      </c>
      <c r="S18" s="63">
        <v>0.20833333333333334</v>
      </c>
      <c r="T18" s="63">
        <v>0.23680555555555557</v>
      </c>
      <c r="U18" s="82"/>
      <c r="V18" s="90">
        <f t="shared" ref="V18:V25" si="20">(T18-S18)*24*60</f>
        <v>41.000000000000014</v>
      </c>
      <c r="W18" s="68"/>
      <c r="X18" s="68"/>
      <c r="Y18" s="559"/>
      <c r="Z18" s="559"/>
      <c r="AA18" s="61">
        <f t="shared" si="8"/>
        <v>-56.585365853659368</v>
      </c>
      <c r="AB18" s="85">
        <f t="shared" si="9"/>
        <v>0.97170731707317026</v>
      </c>
      <c r="AC18" s="566">
        <f>AB26</f>
        <v>0.96201490852542082</v>
      </c>
    </row>
    <row r="19" spans="1:29" ht="15.75" customHeight="1">
      <c r="A19" s="589" t="s">
        <v>86</v>
      </c>
      <c r="B19" s="57" t="s">
        <v>65</v>
      </c>
      <c r="C19" s="584" t="s">
        <v>97</v>
      </c>
      <c r="D19" s="584"/>
      <c r="E19" s="57">
        <v>49.9</v>
      </c>
      <c r="F19" s="91">
        <v>1973</v>
      </c>
      <c r="G19" s="82">
        <f t="shared" si="18"/>
        <v>98452.7</v>
      </c>
      <c r="H19" s="72" t="s">
        <v>5</v>
      </c>
      <c r="I19" s="89">
        <v>17</v>
      </c>
      <c r="J19" s="58">
        <v>2000</v>
      </c>
      <c r="K19" s="59">
        <f t="shared" si="1"/>
        <v>117.64705882352941</v>
      </c>
      <c r="L19" s="89">
        <v>17</v>
      </c>
      <c r="M19" s="60">
        <f t="shared" si="19"/>
        <v>1909.3548387096769</v>
      </c>
      <c r="N19" s="59">
        <f t="shared" si="3"/>
        <v>112.31499051233394</v>
      </c>
      <c r="O19" s="61">
        <f t="shared" si="4"/>
        <v>0</v>
      </c>
      <c r="P19" s="62">
        <f t="shared" si="5"/>
        <v>-5.3320683111954708</v>
      </c>
      <c r="Q19" s="85">
        <f t="shared" si="6"/>
        <v>0.95467741935483852</v>
      </c>
      <c r="R19" s="566"/>
      <c r="S19" s="63">
        <v>0.2416666666666667</v>
      </c>
      <c r="T19" s="63">
        <v>0.28472222222222227</v>
      </c>
      <c r="U19" s="82">
        <f t="shared" ref="U19:U25" si="21">IF(S19=TIME(17,0,0),"",(S19-T18)*24*60)</f>
        <v>7.0000000000000151</v>
      </c>
      <c r="V19" s="90">
        <f t="shared" si="20"/>
        <v>62.000000000000021</v>
      </c>
      <c r="W19" s="64"/>
      <c r="X19" s="82"/>
      <c r="Y19" s="559"/>
      <c r="Z19" s="559"/>
      <c r="AA19" s="61">
        <f t="shared" si="8"/>
        <v>-90.645161290323131</v>
      </c>
      <c r="AB19" s="85">
        <f t="shared" si="9"/>
        <v>0.95467741935483841</v>
      </c>
      <c r="AC19" s="566"/>
    </row>
    <row r="20" spans="1:29" ht="15.75" customHeight="1">
      <c r="A20" s="589" t="s">
        <v>86</v>
      </c>
      <c r="B20" s="57" t="s">
        <v>6</v>
      </c>
      <c r="C20" s="584" t="s">
        <v>20</v>
      </c>
      <c r="D20" s="584"/>
      <c r="E20" s="57">
        <v>57.73</v>
      </c>
      <c r="F20" s="91">
        <v>2849</v>
      </c>
      <c r="G20" s="82">
        <f t="shared" si="18"/>
        <v>164472.76999999999</v>
      </c>
      <c r="H20" s="72" t="s">
        <v>5</v>
      </c>
      <c r="I20" s="89">
        <v>14</v>
      </c>
      <c r="J20" s="58">
        <v>2000</v>
      </c>
      <c r="K20" s="59">
        <f t="shared" si="1"/>
        <v>142.85714285714286</v>
      </c>
      <c r="L20" s="89">
        <v>14</v>
      </c>
      <c r="M20" s="60">
        <f t="shared" si="19"/>
        <v>1920.6741573033707</v>
      </c>
      <c r="N20" s="59">
        <f t="shared" si="3"/>
        <v>137.19101123595505</v>
      </c>
      <c r="O20" s="61">
        <f t="shared" si="4"/>
        <v>0</v>
      </c>
      <c r="P20" s="62">
        <f t="shared" si="5"/>
        <v>-5.6661316211878159</v>
      </c>
      <c r="Q20" s="85">
        <f t="shared" si="6"/>
        <v>0.96033707865168527</v>
      </c>
      <c r="R20" s="566"/>
      <c r="S20" s="63">
        <v>0.28819444444444448</v>
      </c>
      <c r="T20" s="63">
        <v>0.35000000000000003</v>
      </c>
      <c r="U20" s="82">
        <f t="shared" si="21"/>
        <v>4.9999999999999822</v>
      </c>
      <c r="V20" s="90">
        <f t="shared" si="20"/>
        <v>89</v>
      </c>
      <c r="W20" s="64"/>
      <c r="X20" s="82"/>
      <c r="Y20" s="559"/>
      <c r="Z20" s="559"/>
      <c r="AA20" s="61">
        <f t="shared" si="8"/>
        <v>-79.325842696629252</v>
      </c>
      <c r="AB20" s="85">
        <f t="shared" si="9"/>
        <v>0.96033707865168538</v>
      </c>
      <c r="AC20" s="566"/>
    </row>
    <row r="21" spans="1:29" ht="15.75" customHeight="1">
      <c r="A21" s="589" t="s">
        <v>163</v>
      </c>
      <c r="B21" s="57" t="s">
        <v>6</v>
      </c>
      <c r="C21" s="584" t="s">
        <v>21</v>
      </c>
      <c r="D21" s="584"/>
      <c r="E21" s="57">
        <v>53.68</v>
      </c>
      <c r="F21" s="91">
        <v>1806</v>
      </c>
      <c r="G21" s="82">
        <f t="shared" si="18"/>
        <v>96946.08</v>
      </c>
      <c r="H21" s="72" t="s">
        <v>5</v>
      </c>
      <c r="I21" s="89">
        <v>16</v>
      </c>
      <c r="J21" s="58">
        <v>2000</v>
      </c>
      <c r="K21" s="59">
        <f t="shared" si="1"/>
        <v>125</v>
      </c>
      <c r="L21" s="89">
        <v>16</v>
      </c>
      <c r="M21" s="60">
        <f t="shared" si="19"/>
        <v>1934.9999999999986</v>
      </c>
      <c r="N21" s="59">
        <f t="shared" si="3"/>
        <v>120.93749999999991</v>
      </c>
      <c r="O21" s="61">
        <f t="shared" si="4"/>
        <v>0</v>
      </c>
      <c r="P21" s="62">
        <f t="shared" si="5"/>
        <v>-4.0625000000000853</v>
      </c>
      <c r="Q21" s="85">
        <f t="shared" si="6"/>
        <v>0.96749999999999936</v>
      </c>
      <c r="R21" s="566"/>
      <c r="S21" s="63">
        <v>0.35555555555555557</v>
      </c>
      <c r="T21" s="63">
        <v>0.39444444444444449</v>
      </c>
      <c r="U21" s="82">
        <f t="shared" si="21"/>
        <v>7.9999999999999716</v>
      </c>
      <c r="V21" s="90">
        <f t="shared" si="20"/>
        <v>56.000000000000043</v>
      </c>
      <c r="W21" s="64"/>
      <c r="X21" s="82"/>
      <c r="Y21" s="559"/>
      <c r="Z21" s="559"/>
      <c r="AA21" s="61">
        <f t="shared" si="8"/>
        <v>-65.000000000001364</v>
      </c>
      <c r="AB21" s="85">
        <f t="shared" si="9"/>
        <v>0.96749999999999936</v>
      </c>
      <c r="AC21" s="566"/>
    </row>
    <row r="22" spans="1:29" ht="15.75" customHeight="1">
      <c r="A22" s="589" t="s">
        <v>86</v>
      </c>
      <c r="B22" s="57" t="s">
        <v>6</v>
      </c>
      <c r="C22" s="584" t="s">
        <v>96</v>
      </c>
      <c r="D22" s="584"/>
      <c r="E22" s="57">
        <v>49.91</v>
      </c>
      <c r="F22" s="91">
        <v>1751</v>
      </c>
      <c r="G22" s="82">
        <f t="shared" si="18"/>
        <v>87392.409999999989</v>
      </c>
      <c r="H22" s="72" t="s">
        <v>5</v>
      </c>
      <c r="I22" s="89">
        <v>17</v>
      </c>
      <c r="J22" s="58">
        <v>2000</v>
      </c>
      <c r="K22" s="59">
        <f t="shared" si="1"/>
        <v>117.64705882352941</v>
      </c>
      <c r="L22" s="89">
        <v>17</v>
      </c>
      <c r="M22" s="60">
        <f t="shared" si="19"/>
        <v>1910.1818181818194</v>
      </c>
      <c r="N22" s="59">
        <f t="shared" si="3"/>
        <v>112.36363636363643</v>
      </c>
      <c r="O22" s="61">
        <f t="shared" si="4"/>
        <v>0</v>
      </c>
      <c r="P22" s="62">
        <f t="shared" si="5"/>
        <v>-5.2834224598929751</v>
      </c>
      <c r="Q22" s="85">
        <f t="shared" si="6"/>
        <v>0.95509090909090966</v>
      </c>
      <c r="R22" s="566"/>
      <c r="S22" s="63">
        <v>0.39861111111111114</v>
      </c>
      <c r="T22" s="63">
        <v>0.43680555555555556</v>
      </c>
      <c r="U22" s="82">
        <f t="shared" si="21"/>
        <v>5.9999999999999787</v>
      </c>
      <c r="V22" s="90">
        <f t="shared" si="20"/>
        <v>54.999999999999964</v>
      </c>
      <c r="W22" s="64"/>
      <c r="X22" s="82"/>
      <c r="Y22" s="559"/>
      <c r="Z22" s="559"/>
      <c r="AA22" s="61">
        <f t="shared" si="8"/>
        <v>-89.818181818180619</v>
      </c>
      <c r="AB22" s="85">
        <f t="shared" si="9"/>
        <v>0.95509090909090966</v>
      </c>
      <c r="AC22" s="566"/>
    </row>
    <row r="23" spans="1:29" ht="15.75" customHeight="1">
      <c r="A23" s="589" t="s">
        <v>164</v>
      </c>
      <c r="B23" s="57" t="s">
        <v>6</v>
      </c>
      <c r="C23" s="584" t="s">
        <v>22</v>
      </c>
      <c r="D23" s="584"/>
      <c r="E23" s="57">
        <v>54.09</v>
      </c>
      <c r="F23" s="91">
        <v>1925</v>
      </c>
      <c r="G23" s="82">
        <f t="shared" si="18"/>
        <v>104123.25</v>
      </c>
      <c r="H23" s="72" t="s">
        <v>5</v>
      </c>
      <c r="I23" s="89">
        <v>19</v>
      </c>
      <c r="J23" s="58">
        <v>2000</v>
      </c>
      <c r="K23" s="59">
        <f t="shared" si="1"/>
        <v>105.26315789473684</v>
      </c>
      <c r="L23" s="89">
        <v>19</v>
      </c>
      <c r="M23" s="60">
        <f t="shared" si="19"/>
        <v>1925.0000000000018</v>
      </c>
      <c r="N23" s="59">
        <f t="shared" si="3"/>
        <v>101.3157894736843</v>
      </c>
      <c r="O23" s="61">
        <f t="shared" si="4"/>
        <v>0</v>
      </c>
      <c r="P23" s="62">
        <f t="shared" si="5"/>
        <v>-3.9473684210525306</v>
      </c>
      <c r="Q23" s="85">
        <f t="shared" si="6"/>
        <v>0.96250000000000091</v>
      </c>
      <c r="R23" s="566"/>
      <c r="S23" s="63">
        <v>0.70833333333333337</v>
      </c>
      <c r="T23" s="63">
        <v>0.75</v>
      </c>
      <c r="U23" s="82" t="str">
        <f t="shared" si="21"/>
        <v/>
      </c>
      <c r="V23" s="90">
        <f t="shared" si="20"/>
        <v>59.999999999999943</v>
      </c>
      <c r="W23" s="64"/>
      <c r="X23" s="68"/>
      <c r="Y23" s="559"/>
      <c r="Z23" s="559"/>
      <c r="AA23" s="61">
        <f t="shared" si="8"/>
        <v>-74.999999999998181</v>
      </c>
      <c r="AB23" s="85">
        <f t="shared" si="9"/>
        <v>0.96250000000000091</v>
      </c>
      <c r="AC23" s="566"/>
    </row>
    <row r="24" spans="1:29" ht="15.75" customHeight="1">
      <c r="A24" s="589" t="s">
        <v>164</v>
      </c>
      <c r="B24" s="57" t="s">
        <v>6</v>
      </c>
      <c r="C24" s="584" t="s">
        <v>69</v>
      </c>
      <c r="D24" s="584"/>
      <c r="E24" s="57">
        <v>57.73</v>
      </c>
      <c r="F24" s="91">
        <v>1713</v>
      </c>
      <c r="G24" s="82">
        <f t="shared" si="18"/>
        <v>98891.489999999991</v>
      </c>
      <c r="H24" s="72" t="s">
        <v>5</v>
      </c>
      <c r="I24" s="89">
        <v>16</v>
      </c>
      <c r="J24" s="58">
        <v>1500</v>
      </c>
      <c r="K24" s="59">
        <f t="shared" si="1"/>
        <v>93.75</v>
      </c>
      <c r="L24" s="89">
        <v>16</v>
      </c>
      <c r="M24" s="60">
        <f t="shared" si="19"/>
        <v>1447.6056338028156</v>
      </c>
      <c r="N24" s="59">
        <f t="shared" si="3"/>
        <v>90.475352112675978</v>
      </c>
      <c r="O24" s="61">
        <f t="shared" si="4"/>
        <v>0</v>
      </c>
      <c r="P24" s="62">
        <f t="shared" si="5"/>
        <v>-3.2746478873240221</v>
      </c>
      <c r="Q24" s="85">
        <f t="shared" si="6"/>
        <v>0.96507042253521047</v>
      </c>
      <c r="R24" s="566"/>
      <c r="S24" s="63">
        <v>0.75347222222222221</v>
      </c>
      <c r="T24" s="63">
        <v>0.80277777777777781</v>
      </c>
      <c r="U24" s="82">
        <f t="shared" si="21"/>
        <v>4.9999999999999822</v>
      </c>
      <c r="V24" s="90">
        <f t="shared" si="20"/>
        <v>71.000000000000071</v>
      </c>
      <c r="W24" s="64"/>
      <c r="X24" s="68"/>
      <c r="Y24" s="569"/>
      <c r="Z24" s="570"/>
      <c r="AA24" s="61">
        <f t="shared" si="8"/>
        <v>-52.394366197184354</v>
      </c>
      <c r="AB24" s="85">
        <f t="shared" si="9"/>
        <v>0.96507042253521047</v>
      </c>
      <c r="AC24" s="566"/>
    </row>
    <row r="25" spans="1:29" ht="15.75" customHeight="1">
      <c r="A25" s="589" t="s">
        <v>86</v>
      </c>
      <c r="B25" s="57" t="s">
        <v>6</v>
      </c>
      <c r="C25" s="585" t="s">
        <v>68</v>
      </c>
      <c r="D25" s="586"/>
      <c r="E25" s="57">
        <v>50.67</v>
      </c>
      <c r="F25" s="91">
        <v>2208</v>
      </c>
      <c r="G25" s="82">
        <f t="shared" si="18"/>
        <v>111879.36</v>
      </c>
      <c r="H25" s="72" t="s">
        <v>5</v>
      </c>
      <c r="I25" s="89">
        <v>15</v>
      </c>
      <c r="J25" s="58">
        <v>2000</v>
      </c>
      <c r="K25" s="59">
        <f t="shared" si="1"/>
        <v>133.33333333333334</v>
      </c>
      <c r="L25" s="89">
        <v>15</v>
      </c>
      <c r="M25" s="60">
        <f t="shared" si="19"/>
        <v>1919.9999999999982</v>
      </c>
      <c r="N25" s="59">
        <f t="shared" si="3"/>
        <v>127.99999999999987</v>
      </c>
      <c r="O25" s="61">
        <f t="shared" si="4"/>
        <v>0</v>
      </c>
      <c r="P25" s="62">
        <f t="shared" si="5"/>
        <v>-5.3333333333334707</v>
      </c>
      <c r="Q25" s="85">
        <f t="shared" si="6"/>
        <v>0.95999999999999897</v>
      </c>
      <c r="R25" s="566"/>
      <c r="S25" s="63">
        <v>0.80625000000000002</v>
      </c>
      <c r="T25" s="63">
        <v>0.85416666666666674</v>
      </c>
      <c r="U25" s="82">
        <f t="shared" si="21"/>
        <v>4.9999999999999822</v>
      </c>
      <c r="V25" s="90">
        <f t="shared" si="20"/>
        <v>69.000000000000071</v>
      </c>
      <c r="W25" s="64"/>
      <c r="X25" s="64"/>
      <c r="Y25" s="569"/>
      <c r="Z25" s="570"/>
      <c r="AA25" s="61">
        <f t="shared" si="8"/>
        <v>-80.000000000001819</v>
      </c>
      <c r="AB25" s="85">
        <f t="shared" si="9"/>
        <v>0.95999999999999908</v>
      </c>
      <c r="AC25" s="566"/>
    </row>
    <row r="26" spans="1:29" ht="15.75" customHeight="1">
      <c r="A26" s="589" t="s">
        <v>164</v>
      </c>
      <c r="B26" s="57" t="s">
        <v>67</v>
      </c>
      <c r="C26" s="571"/>
      <c r="D26" s="571"/>
      <c r="E26" s="86"/>
      <c r="F26" s="91"/>
      <c r="G26" s="82"/>
      <c r="H26" s="91"/>
      <c r="I26" s="67">
        <v>16.375</v>
      </c>
      <c r="J26" s="58">
        <v>1937.5</v>
      </c>
      <c r="K26" s="59">
        <f t="shared" si="1"/>
        <v>118.32061068702291</v>
      </c>
      <c r="L26" s="67">
        <v>16.375</v>
      </c>
      <c r="M26" s="60">
        <f>AVERAGE(M18:M25)</f>
        <v>1863.9038852680028</v>
      </c>
      <c r="N26" s="59">
        <f t="shared" si="3"/>
        <v>113.82619146674826</v>
      </c>
      <c r="O26" s="61">
        <f t="shared" si="4"/>
        <v>0</v>
      </c>
      <c r="P26" s="62">
        <f t="shared" si="5"/>
        <v>-4.4944192202746507</v>
      </c>
      <c r="Q26" s="85">
        <f t="shared" si="6"/>
        <v>0.96201490852542071</v>
      </c>
      <c r="R26" s="566"/>
      <c r="S26" s="63"/>
      <c r="T26" s="63"/>
      <c r="U26" s="59"/>
      <c r="V26" s="90"/>
      <c r="W26" s="59"/>
      <c r="X26" s="59"/>
      <c r="Y26" s="559"/>
      <c r="Z26" s="559"/>
      <c r="AA26" s="61">
        <f t="shared" si="8"/>
        <v>-73.596114731997204</v>
      </c>
      <c r="AB26" s="85">
        <f t="shared" si="9"/>
        <v>0.96201490852542082</v>
      </c>
      <c r="AC26" s="566"/>
    </row>
    <row r="27" spans="1:29" ht="15.75" customHeight="1">
      <c r="A27" s="587" t="s">
        <v>165</v>
      </c>
      <c r="B27" s="57" t="s">
        <v>15</v>
      </c>
      <c r="C27" s="584" t="s">
        <v>26</v>
      </c>
      <c r="D27" s="584"/>
      <c r="E27" s="57">
        <v>31.29</v>
      </c>
      <c r="F27" s="91">
        <v>4500</v>
      </c>
      <c r="G27" s="82">
        <f t="shared" ref="G27:G34" si="22">E27*F27</f>
        <v>140805</v>
      </c>
      <c r="H27" s="72">
        <v>2</v>
      </c>
      <c r="I27" s="89">
        <v>18</v>
      </c>
      <c r="J27" s="58">
        <v>2400</v>
      </c>
      <c r="K27" s="59">
        <f t="shared" si="1"/>
        <v>133.33333333333334</v>
      </c>
      <c r="L27" s="89">
        <v>18</v>
      </c>
      <c r="M27" s="60">
        <f t="shared" ref="M27:M34" si="23">F27/V27*60</f>
        <v>2288.1355932203392</v>
      </c>
      <c r="N27" s="59">
        <f t="shared" si="3"/>
        <v>127.11864406779662</v>
      </c>
      <c r="O27" s="61">
        <f t="shared" si="4"/>
        <v>0</v>
      </c>
      <c r="P27" s="62">
        <f t="shared" si="5"/>
        <v>-6.2146892655367196</v>
      </c>
      <c r="Q27" s="85">
        <f t="shared" si="6"/>
        <v>0.95338983050847459</v>
      </c>
      <c r="R27" s="566">
        <f>Q35</f>
        <v>0.9565582931496468</v>
      </c>
      <c r="S27" s="63">
        <v>8.3333333333333329E-2</v>
      </c>
      <c r="T27" s="63">
        <v>0.16527777777777777</v>
      </c>
      <c r="U27" s="82"/>
      <c r="V27" s="90">
        <f t="shared" ref="V27:V34" si="24">(T27-S27)*24*60</f>
        <v>118</v>
      </c>
      <c r="W27" s="64">
        <f>T27</f>
        <v>0.16527777777777777</v>
      </c>
      <c r="X27" s="64">
        <f>S28</f>
        <v>0.18333333333333332</v>
      </c>
      <c r="Y27" s="559"/>
      <c r="Z27" s="559"/>
      <c r="AA27" s="61">
        <f t="shared" si="8"/>
        <v>-111.86440677966084</v>
      </c>
      <c r="AB27" s="85">
        <f t="shared" si="9"/>
        <v>0.9533898305084747</v>
      </c>
      <c r="AC27" s="566">
        <f>AB35</f>
        <v>0.95655829314964691</v>
      </c>
    </row>
    <row r="28" spans="1:29" ht="15.75" customHeight="1">
      <c r="A28" s="587" t="s">
        <v>166</v>
      </c>
      <c r="B28" s="57" t="s">
        <v>15</v>
      </c>
      <c r="C28" s="584" t="s">
        <v>23</v>
      </c>
      <c r="D28" s="584"/>
      <c r="E28" s="57">
        <v>26.2</v>
      </c>
      <c r="F28" s="91">
        <v>3500</v>
      </c>
      <c r="G28" s="82">
        <f t="shared" si="22"/>
        <v>91700</v>
      </c>
      <c r="H28" s="72">
        <v>2</v>
      </c>
      <c r="I28" s="89">
        <v>20</v>
      </c>
      <c r="J28" s="58">
        <v>2400</v>
      </c>
      <c r="K28" s="59">
        <f t="shared" si="1"/>
        <v>120</v>
      </c>
      <c r="L28" s="89">
        <v>20</v>
      </c>
      <c r="M28" s="60">
        <f t="shared" si="23"/>
        <v>2307.6923076923076</v>
      </c>
      <c r="N28" s="59">
        <f t="shared" si="3"/>
        <v>115.38461538461539</v>
      </c>
      <c r="O28" s="61">
        <f t="shared" si="4"/>
        <v>0</v>
      </c>
      <c r="P28" s="62">
        <f t="shared" si="5"/>
        <v>-4.6153846153846132</v>
      </c>
      <c r="Q28" s="85">
        <f t="shared" si="6"/>
        <v>0.96153846153846156</v>
      </c>
      <c r="R28" s="566"/>
      <c r="S28" s="63">
        <v>0.18333333333333332</v>
      </c>
      <c r="T28" s="63">
        <v>0.24652777777777776</v>
      </c>
      <c r="U28" s="82">
        <f t="shared" ref="U28:U34" si="25">(S28-T27)*24*60</f>
        <v>25.999999999999986</v>
      </c>
      <c r="V28" s="90">
        <f t="shared" si="24"/>
        <v>91</v>
      </c>
      <c r="W28" s="64"/>
      <c r="X28" s="64"/>
      <c r="Y28" s="559"/>
      <c r="Z28" s="559"/>
      <c r="AA28" s="61">
        <f t="shared" si="8"/>
        <v>-92.307692307692378</v>
      </c>
      <c r="AB28" s="85">
        <f t="shared" si="9"/>
        <v>0.96153846153846156</v>
      </c>
      <c r="AC28" s="566"/>
    </row>
    <row r="29" spans="1:29" ht="15.75" customHeight="1">
      <c r="A29" s="587" t="s">
        <v>87</v>
      </c>
      <c r="B29" s="57" t="s">
        <v>15</v>
      </c>
      <c r="C29" s="584" t="s">
        <v>70</v>
      </c>
      <c r="D29" s="584"/>
      <c r="E29" s="57">
        <v>25.99</v>
      </c>
      <c r="F29" s="91">
        <v>3300</v>
      </c>
      <c r="G29" s="82">
        <f t="shared" si="22"/>
        <v>85767</v>
      </c>
      <c r="H29" s="72">
        <v>2</v>
      </c>
      <c r="I29" s="89">
        <v>14</v>
      </c>
      <c r="J29" s="58">
        <v>2400</v>
      </c>
      <c r="K29" s="59">
        <f t="shared" si="1"/>
        <v>171.42857142857142</v>
      </c>
      <c r="L29" s="89">
        <v>14</v>
      </c>
      <c r="M29" s="60">
        <f t="shared" si="23"/>
        <v>2302.3255813953483</v>
      </c>
      <c r="N29" s="59">
        <f t="shared" si="3"/>
        <v>164.45182724252487</v>
      </c>
      <c r="O29" s="61">
        <f t="shared" si="4"/>
        <v>0</v>
      </c>
      <c r="P29" s="62">
        <f t="shared" si="5"/>
        <v>-6.9767441860465453</v>
      </c>
      <c r="Q29" s="85">
        <f t="shared" si="6"/>
        <v>0.95930232558139517</v>
      </c>
      <c r="R29" s="566"/>
      <c r="S29" s="63">
        <v>0.25069444444444444</v>
      </c>
      <c r="T29" s="63">
        <v>0.31041666666666667</v>
      </c>
      <c r="U29" s="82">
        <f t="shared" si="25"/>
        <v>6.0000000000000187</v>
      </c>
      <c r="V29" s="90">
        <f t="shared" si="24"/>
        <v>86.000000000000014</v>
      </c>
      <c r="W29" s="64"/>
      <c r="X29" s="64"/>
      <c r="Y29" s="559"/>
      <c r="Z29" s="559"/>
      <c r="AA29" s="61">
        <f t="shared" si="8"/>
        <v>-97.674418604651692</v>
      </c>
      <c r="AB29" s="85">
        <f t="shared" si="9"/>
        <v>0.95930232558139517</v>
      </c>
      <c r="AC29" s="566"/>
    </row>
    <row r="30" spans="1:29" ht="15.75" customHeight="1">
      <c r="A30" s="587" t="s">
        <v>87</v>
      </c>
      <c r="B30" s="57" t="s">
        <v>15</v>
      </c>
      <c r="C30" s="584" t="s">
        <v>45</v>
      </c>
      <c r="D30" s="584"/>
      <c r="E30" s="57">
        <v>20.52</v>
      </c>
      <c r="F30" s="91">
        <v>5237</v>
      </c>
      <c r="G30" s="82">
        <f t="shared" si="22"/>
        <v>107463.23999999999</v>
      </c>
      <c r="H30" s="72" t="s">
        <v>5</v>
      </c>
      <c r="I30" s="89">
        <v>18</v>
      </c>
      <c r="J30" s="58">
        <v>2400</v>
      </c>
      <c r="K30" s="59">
        <f t="shared" si="1"/>
        <v>133.33333333333334</v>
      </c>
      <c r="L30" s="89">
        <v>18</v>
      </c>
      <c r="M30" s="60">
        <f t="shared" si="23"/>
        <v>2293.5766423357663</v>
      </c>
      <c r="N30" s="59">
        <f t="shared" si="3"/>
        <v>127.42092457420924</v>
      </c>
      <c r="O30" s="61">
        <f t="shared" si="4"/>
        <v>0</v>
      </c>
      <c r="P30" s="62">
        <f t="shared" si="5"/>
        <v>-5.912408759124105</v>
      </c>
      <c r="Q30" s="85">
        <f t="shared" si="6"/>
        <v>0.95565693430656917</v>
      </c>
      <c r="R30" s="566"/>
      <c r="S30" s="63">
        <v>0.31597222222222221</v>
      </c>
      <c r="T30" s="63">
        <v>0.41111111111111109</v>
      </c>
      <c r="U30" s="82">
        <f t="shared" si="25"/>
        <v>7.9999999999999716</v>
      </c>
      <c r="V30" s="90">
        <f t="shared" si="24"/>
        <v>137</v>
      </c>
      <c r="W30" s="64"/>
      <c r="X30" s="64"/>
      <c r="Y30" s="559"/>
      <c r="Z30" s="559"/>
      <c r="AA30" s="61">
        <f t="shared" si="8"/>
        <v>-106.42335766423366</v>
      </c>
      <c r="AB30" s="85">
        <f t="shared" si="9"/>
        <v>0.95565693430656928</v>
      </c>
      <c r="AC30" s="566"/>
    </row>
    <row r="31" spans="1:29" ht="15.75" customHeight="1">
      <c r="A31" s="587" t="s">
        <v>87</v>
      </c>
      <c r="B31" s="57" t="s">
        <v>15</v>
      </c>
      <c r="C31" s="584" t="s">
        <v>98</v>
      </c>
      <c r="D31" s="584"/>
      <c r="E31" s="57">
        <v>25.98</v>
      </c>
      <c r="F31" s="91">
        <v>5207</v>
      </c>
      <c r="G31" s="82">
        <f t="shared" si="22"/>
        <v>135277.86000000002</v>
      </c>
      <c r="H31" s="72" t="s">
        <v>5</v>
      </c>
      <c r="I31" s="89">
        <v>21</v>
      </c>
      <c r="J31" s="58">
        <v>2400</v>
      </c>
      <c r="K31" s="59">
        <f t="shared" si="1"/>
        <v>114.28571428571429</v>
      </c>
      <c r="L31" s="89">
        <v>21</v>
      </c>
      <c r="M31" s="60">
        <f t="shared" si="23"/>
        <v>2297.2058823529414</v>
      </c>
      <c r="N31" s="59">
        <f t="shared" si="3"/>
        <v>109.39075630252103</v>
      </c>
      <c r="O31" s="61">
        <f t="shared" si="4"/>
        <v>0</v>
      </c>
      <c r="P31" s="62">
        <f t="shared" si="5"/>
        <v>-4.8949579831932652</v>
      </c>
      <c r="Q31" s="85">
        <f t="shared" si="6"/>
        <v>0.95716911764705892</v>
      </c>
      <c r="R31" s="566"/>
      <c r="S31" s="63">
        <v>0.41666666666666663</v>
      </c>
      <c r="T31" s="63">
        <v>0.51111111111111107</v>
      </c>
      <c r="U31" s="82">
        <f t="shared" si="25"/>
        <v>7.9999999999999716</v>
      </c>
      <c r="V31" s="90">
        <f t="shared" si="24"/>
        <v>136</v>
      </c>
      <c r="W31" s="64">
        <f>T31</f>
        <v>0.51111111111111107</v>
      </c>
      <c r="X31" s="64">
        <f>S32</f>
        <v>0.54930555555555549</v>
      </c>
      <c r="Y31" s="559"/>
      <c r="Z31" s="559"/>
      <c r="AA31" s="61">
        <f t="shared" si="8"/>
        <v>-102.79411764705856</v>
      </c>
      <c r="AB31" s="85">
        <f t="shared" si="9"/>
        <v>0.95716911764705892</v>
      </c>
      <c r="AC31" s="566"/>
    </row>
    <row r="32" spans="1:29" ht="15.75" customHeight="1">
      <c r="A32" s="587" t="s">
        <v>87</v>
      </c>
      <c r="B32" s="57" t="s">
        <v>15</v>
      </c>
      <c r="C32" s="584" t="s">
        <v>26</v>
      </c>
      <c r="D32" s="584"/>
      <c r="E32" s="57">
        <v>31.29</v>
      </c>
      <c r="F32" s="91">
        <v>5693</v>
      </c>
      <c r="G32" s="82">
        <f t="shared" si="22"/>
        <v>178133.97</v>
      </c>
      <c r="H32" s="72" t="s">
        <v>5</v>
      </c>
      <c r="I32" s="89">
        <v>18</v>
      </c>
      <c r="J32" s="58">
        <v>2400</v>
      </c>
      <c r="K32" s="59">
        <f t="shared" si="1"/>
        <v>133.33333333333334</v>
      </c>
      <c r="L32" s="89">
        <v>18</v>
      </c>
      <c r="M32" s="60">
        <f t="shared" si="23"/>
        <v>2292.4832214765111</v>
      </c>
      <c r="N32" s="59">
        <f t="shared" si="3"/>
        <v>127.36017897091727</v>
      </c>
      <c r="O32" s="61">
        <f t="shared" si="4"/>
        <v>0</v>
      </c>
      <c r="P32" s="62">
        <f t="shared" si="5"/>
        <v>-5.9731543624160679</v>
      </c>
      <c r="Q32" s="85">
        <f t="shared" si="6"/>
        <v>0.95520134228187947</v>
      </c>
      <c r="R32" s="566"/>
      <c r="S32" s="63">
        <v>0.54930555555555549</v>
      </c>
      <c r="T32" s="63">
        <v>0.65277777777777768</v>
      </c>
      <c r="U32" s="82">
        <f t="shared" si="25"/>
        <v>54.999999999999964</v>
      </c>
      <c r="V32" s="90">
        <f t="shared" si="24"/>
        <v>148.99999999999994</v>
      </c>
      <c r="W32" s="64"/>
      <c r="X32" s="64"/>
      <c r="Y32" s="559"/>
      <c r="Z32" s="559"/>
      <c r="AA32" s="61">
        <f t="shared" si="8"/>
        <v>-107.51677852348894</v>
      </c>
      <c r="AB32" s="85">
        <f t="shared" si="9"/>
        <v>0.95520134228187958</v>
      </c>
      <c r="AC32" s="566"/>
    </row>
    <row r="33" spans="1:29" ht="15.75" customHeight="1">
      <c r="A33" s="587" t="s">
        <v>87</v>
      </c>
      <c r="B33" s="57" t="s">
        <v>15</v>
      </c>
      <c r="C33" s="584" t="s">
        <v>23</v>
      </c>
      <c r="D33" s="584"/>
      <c r="E33" s="57">
        <v>26.2</v>
      </c>
      <c r="F33" s="91">
        <v>2456</v>
      </c>
      <c r="G33" s="82">
        <f t="shared" si="22"/>
        <v>64347.199999999997</v>
      </c>
      <c r="H33" s="72" t="s">
        <v>5</v>
      </c>
      <c r="I33" s="89">
        <v>20</v>
      </c>
      <c r="J33" s="58">
        <v>2400</v>
      </c>
      <c r="K33" s="59">
        <f t="shared" si="1"/>
        <v>120</v>
      </c>
      <c r="L33" s="89">
        <v>20</v>
      </c>
      <c r="M33" s="60">
        <f t="shared" si="23"/>
        <v>2302.5000000000027</v>
      </c>
      <c r="N33" s="59">
        <f t="shared" si="3"/>
        <v>115.12500000000014</v>
      </c>
      <c r="O33" s="61">
        <f t="shared" si="4"/>
        <v>0</v>
      </c>
      <c r="P33" s="62">
        <f t="shared" si="5"/>
        <v>-4.8749999999998579</v>
      </c>
      <c r="Q33" s="85">
        <f t="shared" si="6"/>
        <v>0.9593750000000012</v>
      </c>
      <c r="R33" s="566"/>
      <c r="S33" s="63">
        <v>0.65694444444444433</v>
      </c>
      <c r="T33" s="63">
        <v>0.70138888888888873</v>
      </c>
      <c r="U33" s="82">
        <f t="shared" si="25"/>
        <v>5.9999999999999787</v>
      </c>
      <c r="V33" s="90">
        <f t="shared" si="24"/>
        <v>63.999999999999929</v>
      </c>
      <c r="W33" s="64"/>
      <c r="X33" s="64"/>
      <c r="Y33" s="559"/>
      <c r="Z33" s="559"/>
      <c r="AA33" s="61">
        <f t="shared" si="8"/>
        <v>-97.499999999997272</v>
      </c>
      <c r="AB33" s="85">
        <f t="shared" si="9"/>
        <v>0.95937500000000109</v>
      </c>
      <c r="AC33" s="566"/>
    </row>
    <row r="34" spans="1:29" ht="15.75" customHeight="1">
      <c r="A34" s="587" t="s">
        <v>87</v>
      </c>
      <c r="B34" s="57" t="s">
        <v>15</v>
      </c>
      <c r="C34" s="584" t="s">
        <v>70</v>
      </c>
      <c r="D34" s="584"/>
      <c r="E34" s="57">
        <v>25.99</v>
      </c>
      <c r="F34" s="91">
        <v>2282</v>
      </c>
      <c r="G34" s="82">
        <f t="shared" si="22"/>
        <v>59309.179999999993</v>
      </c>
      <c r="H34" s="72" t="s">
        <v>5</v>
      </c>
      <c r="I34" s="89">
        <v>14</v>
      </c>
      <c r="J34" s="58">
        <v>2400</v>
      </c>
      <c r="K34" s="59">
        <f t="shared" si="1"/>
        <v>171.42857142857142</v>
      </c>
      <c r="L34" s="89">
        <v>14</v>
      </c>
      <c r="M34" s="60">
        <f t="shared" si="23"/>
        <v>2282.0000000000018</v>
      </c>
      <c r="N34" s="59">
        <f t="shared" si="3"/>
        <v>163.00000000000014</v>
      </c>
      <c r="O34" s="61">
        <f t="shared" si="4"/>
        <v>0</v>
      </c>
      <c r="P34" s="62">
        <f t="shared" si="5"/>
        <v>-8.4285714285712743</v>
      </c>
      <c r="Q34" s="85">
        <f t="shared" si="6"/>
        <v>0.9508333333333342</v>
      </c>
      <c r="R34" s="566"/>
      <c r="S34" s="63">
        <v>0.70694444444444426</v>
      </c>
      <c r="T34" s="63">
        <v>0.74861111111111089</v>
      </c>
      <c r="U34" s="82">
        <f t="shared" si="25"/>
        <v>7.9999999999999716</v>
      </c>
      <c r="V34" s="90">
        <f t="shared" si="24"/>
        <v>59.999999999999943</v>
      </c>
      <c r="W34" s="64"/>
      <c r="X34" s="64"/>
      <c r="Y34" s="559"/>
      <c r="Z34" s="559"/>
      <c r="AA34" s="61">
        <f t="shared" si="8"/>
        <v>-117.99999999999818</v>
      </c>
      <c r="AB34" s="85">
        <f t="shared" si="9"/>
        <v>0.95083333333333409</v>
      </c>
      <c r="AC34" s="566"/>
    </row>
    <row r="35" spans="1:29" ht="15.75" customHeight="1">
      <c r="A35" s="587" t="s">
        <v>87</v>
      </c>
      <c r="B35" s="57" t="s">
        <v>67</v>
      </c>
      <c r="C35" s="571"/>
      <c r="D35" s="571"/>
      <c r="E35" s="86"/>
      <c r="F35" s="91"/>
      <c r="G35" s="82"/>
      <c r="H35" s="91"/>
      <c r="I35" s="67">
        <v>17.875</v>
      </c>
      <c r="J35" s="58">
        <v>2400</v>
      </c>
      <c r="K35" s="59">
        <f t="shared" si="1"/>
        <v>134.26573426573427</v>
      </c>
      <c r="L35" s="67">
        <v>17.875</v>
      </c>
      <c r="M35" s="60">
        <f>AVERAGE(M27:M34)</f>
        <v>2295.7399035591525</v>
      </c>
      <c r="N35" s="59">
        <f t="shared" si="3"/>
        <v>128.43300159771482</v>
      </c>
      <c r="O35" s="61">
        <f t="shared" si="4"/>
        <v>0</v>
      </c>
      <c r="P35" s="62">
        <f t="shared" si="5"/>
        <v>-5.832732668019446</v>
      </c>
      <c r="Q35" s="85">
        <f t="shared" si="6"/>
        <v>0.9565582931496468</v>
      </c>
      <c r="R35" s="566"/>
      <c r="S35" s="63"/>
      <c r="T35" s="63"/>
      <c r="U35" s="82"/>
      <c r="V35" s="90"/>
      <c r="W35" s="82"/>
      <c r="X35" s="82"/>
      <c r="Y35" s="559"/>
      <c r="Z35" s="559"/>
      <c r="AA35" s="61">
        <f t="shared" si="8"/>
        <v>-104.26009644084752</v>
      </c>
      <c r="AB35" s="85">
        <f t="shared" si="9"/>
        <v>0.95655829314964691</v>
      </c>
      <c r="AC35" s="566"/>
    </row>
    <row r="36" spans="1:29" ht="15.75" customHeight="1">
      <c r="A36" s="582" t="s">
        <v>88</v>
      </c>
      <c r="B36" s="57" t="s">
        <v>15</v>
      </c>
      <c r="C36" s="560" t="s">
        <v>44</v>
      </c>
      <c r="D36" s="560"/>
      <c r="E36" s="57">
        <v>19.02</v>
      </c>
      <c r="F36" s="91">
        <v>4300</v>
      </c>
      <c r="G36" s="82">
        <f t="shared" ref="G36:G42" si="26">E36*F36</f>
        <v>81786</v>
      </c>
      <c r="H36" s="72">
        <v>2</v>
      </c>
      <c r="I36" s="89">
        <v>15</v>
      </c>
      <c r="J36" s="58">
        <v>2400</v>
      </c>
      <c r="K36" s="59">
        <f t="shared" si="1"/>
        <v>160</v>
      </c>
      <c r="L36" s="89">
        <v>15</v>
      </c>
      <c r="M36" s="60">
        <f t="shared" ref="M36:M42" si="27">F36/V36*60</f>
        <v>2303.5714285714294</v>
      </c>
      <c r="N36" s="59">
        <f t="shared" si="3"/>
        <v>153.57142857142861</v>
      </c>
      <c r="O36" s="61">
        <f t="shared" si="4"/>
        <v>0</v>
      </c>
      <c r="P36" s="62">
        <f t="shared" si="5"/>
        <v>-6.428571428571388</v>
      </c>
      <c r="Q36" s="85">
        <f t="shared" si="6"/>
        <v>0.95982142857142883</v>
      </c>
      <c r="R36" s="566">
        <f>Q43</f>
        <v>0.95566933839640478</v>
      </c>
      <c r="S36" s="63">
        <v>8.3333333333333329E-2</v>
      </c>
      <c r="T36" s="63">
        <v>0.16111111111111109</v>
      </c>
      <c r="U36" s="82"/>
      <c r="V36" s="90">
        <f t="shared" ref="V36:V42" si="28">(T36-S36)*24*60</f>
        <v>111.99999999999997</v>
      </c>
      <c r="W36" s="68">
        <f>T36</f>
        <v>0.16111111111111109</v>
      </c>
      <c r="X36" s="68">
        <f>S37</f>
        <v>0.18055555555555555</v>
      </c>
      <c r="Y36" s="559"/>
      <c r="Z36" s="559"/>
      <c r="AA36" s="61">
        <f t="shared" si="8"/>
        <v>-96.428571428570649</v>
      </c>
      <c r="AB36" s="85">
        <f t="shared" si="9"/>
        <v>0.95982142857142894</v>
      </c>
      <c r="AC36" s="566">
        <f>AB43</f>
        <v>0.95566933839640478</v>
      </c>
    </row>
    <row r="37" spans="1:29" ht="15.75" customHeight="1">
      <c r="A37" s="582" t="s">
        <v>88</v>
      </c>
      <c r="B37" s="57" t="s">
        <v>15</v>
      </c>
      <c r="C37" s="560" t="s">
        <v>27</v>
      </c>
      <c r="D37" s="560"/>
      <c r="E37" s="57">
        <v>26.2</v>
      </c>
      <c r="F37" s="91">
        <v>4400</v>
      </c>
      <c r="G37" s="82">
        <f t="shared" si="26"/>
        <v>115280</v>
      </c>
      <c r="H37" s="72">
        <v>2</v>
      </c>
      <c r="I37" s="89">
        <v>18</v>
      </c>
      <c r="J37" s="58">
        <v>2400</v>
      </c>
      <c r="K37" s="59">
        <f t="shared" si="1"/>
        <v>133.33333333333334</v>
      </c>
      <c r="L37" s="89">
        <v>18</v>
      </c>
      <c r="M37" s="60">
        <f t="shared" si="27"/>
        <v>2295.652173913043</v>
      </c>
      <c r="N37" s="59">
        <f t="shared" si="3"/>
        <v>127.53623188405794</v>
      </c>
      <c r="O37" s="61">
        <f t="shared" si="4"/>
        <v>0</v>
      </c>
      <c r="P37" s="62">
        <f t="shared" si="5"/>
        <v>-5.7971014492754023</v>
      </c>
      <c r="Q37" s="85">
        <f t="shared" si="6"/>
        <v>0.95652173913043448</v>
      </c>
      <c r="R37" s="566"/>
      <c r="S37" s="63">
        <v>0.18055555555555555</v>
      </c>
      <c r="T37" s="63">
        <v>0.26041666666666669</v>
      </c>
      <c r="U37" s="82">
        <f t="shared" ref="U37:U42" si="29">(S37-T36)*24*60</f>
        <v>28.000000000000021</v>
      </c>
      <c r="V37" s="90">
        <f t="shared" si="28"/>
        <v>115.00000000000003</v>
      </c>
      <c r="W37" s="82"/>
      <c r="X37" s="82"/>
      <c r="Y37" s="559"/>
      <c r="Z37" s="559"/>
      <c r="AA37" s="61">
        <f t="shared" si="8"/>
        <v>-104.34782608695696</v>
      </c>
      <c r="AB37" s="85">
        <f t="shared" si="9"/>
        <v>0.95652173913043459</v>
      </c>
      <c r="AC37" s="566"/>
    </row>
    <row r="38" spans="1:29">
      <c r="A38" s="583" t="s">
        <v>88</v>
      </c>
      <c r="B38" s="57" t="s">
        <v>15</v>
      </c>
      <c r="C38" s="560" t="s">
        <v>25</v>
      </c>
      <c r="D38" s="560"/>
      <c r="E38" s="57">
        <v>26.18</v>
      </c>
      <c r="F38" s="91">
        <v>3142</v>
      </c>
      <c r="G38" s="82">
        <f t="shared" si="26"/>
        <v>82257.56</v>
      </c>
      <c r="H38" s="72" t="s">
        <v>5</v>
      </c>
      <c r="I38" s="89">
        <v>19</v>
      </c>
      <c r="J38" s="58">
        <v>2400</v>
      </c>
      <c r="K38" s="59">
        <f t="shared" si="1"/>
        <v>126.31578947368421</v>
      </c>
      <c r="L38" s="89">
        <v>19</v>
      </c>
      <c r="M38" s="60">
        <f t="shared" si="27"/>
        <v>2299.024390243902</v>
      </c>
      <c r="N38" s="59">
        <f t="shared" si="3"/>
        <v>121.00128369704747</v>
      </c>
      <c r="O38" s="61">
        <f t="shared" si="4"/>
        <v>0</v>
      </c>
      <c r="P38" s="62">
        <f t="shared" si="5"/>
        <v>-5.3145057766367358</v>
      </c>
      <c r="Q38" s="85">
        <f t="shared" si="6"/>
        <v>0.95792682926829253</v>
      </c>
      <c r="R38" s="566"/>
      <c r="S38" s="63">
        <v>0.2638888888888889</v>
      </c>
      <c r="T38" s="63">
        <v>0.32083333333333336</v>
      </c>
      <c r="U38" s="82">
        <f t="shared" si="29"/>
        <v>4.9999999999999822</v>
      </c>
      <c r="V38" s="90">
        <f t="shared" si="28"/>
        <v>82.000000000000028</v>
      </c>
      <c r="W38" s="82"/>
      <c r="X38" s="82"/>
      <c r="Y38" s="559"/>
      <c r="Z38" s="559"/>
      <c r="AA38" s="61">
        <f t="shared" si="8"/>
        <v>-100.97560975609804</v>
      </c>
      <c r="AB38" s="85">
        <f t="shared" si="9"/>
        <v>0.95792682926829253</v>
      </c>
      <c r="AC38" s="566"/>
    </row>
    <row r="39" spans="1:29">
      <c r="A39" s="583" t="s">
        <v>167</v>
      </c>
      <c r="B39" s="57" t="s">
        <v>15</v>
      </c>
      <c r="C39" s="560" t="s">
        <v>28</v>
      </c>
      <c r="D39" s="560"/>
      <c r="E39" s="57">
        <v>26.39</v>
      </c>
      <c r="F39" s="91">
        <v>7192</v>
      </c>
      <c r="G39" s="82">
        <f t="shared" si="26"/>
        <v>189796.88</v>
      </c>
      <c r="H39" s="72" t="s">
        <v>5</v>
      </c>
      <c r="I39" s="89">
        <v>19</v>
      </c>
      <c r="J39" s="58">
        <v>2400</v>
      </c>
      <c r="K39" s="59">
        <f t="shared" si="1"/>
        <v>126.31578947368421</v>
      </c>
      <c r="L39" s="89">
        <v>19</v>
      </c>
      <c r="M39" s="60">
        <f t="shared" si="27"/>
        <v>2283.1746031746025</v>
      </c>
      <c r="N39" s="59">
        <f t="shared" si="3"/>
        <v>120.16708437761065</v>
      </c>
      <c r="O39" s="61">
        <f t="shared" si="4"/>
        <v>0</v>
      </c>
      <c r="P39" s="62">
        <f t="shared" si="5"/>
        <v>-6.1487050960735559</v>
      </c>
      <c r="Q39" s="85">
        <f t="shared" si="6"/>
        <v>0.95132275132275101</v>
      </c>
      <c r="R39" s="566"/>
      <c r="S39" s="63">
        <v>0.32500000000000001</v>
      </c>
      <c r="T39" s="63">
        <v>0.45625000000000004</v>
      </c>
      <c r="U39" s="82">
        <f t="shared" si="29"/>
        <v>5.9999999999999787</v>
      </c>
      <c r="V39" s="90">
        <f t="shared" si="28"/>
        <v>189.00000000000006</v>
      </c>
      <c r="W39" s="64"/>
      <c r="X39" s="64"/>
      <c r="Y39" s="559"/>
      <c r="Z39" s="559"/>
      <c r="AA39" s="61">
        <f t="shared" si="8"/>
        <v>-116.82539682539755</v>
      </c>
      <c r="AB39" s="85">
        <f t="shared" si="9"/>
        <v>0.95132275132275101</v>
      </c>
      <c r="AC39" s="566"/>
    </row>
    <row r="40" spans="1:29">
      <c r="A40" s="583" t="s">
        <v>88</v>
      </c>
      <c r="B40" s="57" t="s">
        <v>15</v>
      </c>
      <c r="C40" s="560" t="s">
        <v>100</v>
      </c>
      <c r="D40" s="560"/>
      <c r="E40" s="57">
        <v>28.51</v>
      </c>
      <c r="F40" s="91">
        <v>3058</v>
      </c>
      <c r="G40" s="82">
        <f t="shared" si="26"/>
        <v>87183.58</v>
      </c>
      <c r="H40" s="72" t="s">
        <v>5</v>
      </c>
      <c r="I40" s="89">
        <v>16</v>
      </c>
      <c r="J40" s="58">
        <v>2400</v>
      </c>
      <c r="K40" s="59">
        <f t="shared" si="1"/>
        <v>150</v>
      </c>
      <c r="L40" s="89">
        <v>16</v>
      </c>
      <c r="M40" s="60">
        <f t="shared" si="27"/>
        <v>2293.4999999999991</v>
      </c>
      <c r="N40" s="59">
        <f t="shared" si="3"/>
        <v>143.34374999999994</v>
      </c>
      <c r="O40" s="61">
        <f t="shared" si="4"/>
        <v>0</v>
      </c>
      <c r="P40" s="62">
        <f t="shared" si="5"/>
        <v>-6.6562500000000568</v>
      </c>
      <c r="Q40" s="85">
        <f t="shared" si="6"/>
        <v>0.95562499999999961</v>
      </c>
      <c r="R40" s="566"/>
      <c r="S40" s="63">
        <v>0.46180555555555558</v>
      </c>
      <c r="T40" s="63">
        <v>0.51736111111111116</v>
      </c>
      <c r="U40" s="82">
        <f t="shared" si="29"/>
        <v>7.9999999999999716</v>
      </c>
      <c r="V40" s="90">
        <f t="shared" si="28"/>
        <v>80.000000000000028</v>
      </c>
      <c r="W40" s="68">
        <f>T40</f>
        <v>0.51736111111111116</v>
      </c>
      <c r="X40" s="68">
        <f>S41</f>
        <v>0.55972222222222223</v>
      </c>
      <c r="Y40" s="559"/>
      <c r="Z40" s="559"/>
      <c r="AA40" s="61">
        <f t="shared" si="8"/>
        <v>-106.50000000000091</v>
      </c>
      <c r="AB40" s="85">
        <f t="shared" si="9"/>
        <v>0.95562499999999961</v>
      </c>
      <c r="AC40" s="566"/>
    </row>
    <row r="41" spans="1:29">
      <c r="A41" s="583" t="s">
        <v>88</v>
      </c>
      <c r="B41" s="57" t="s">
        <v>15</v>
      </c>
      <c r="C41" s="560" t="s">
        <v>44</v>
      </c>
      <c r="D41" s="560"/>
      <c r="E41" s="57">
        <v>19.02</v>
      </c>
      <c r="F41" s="91">
        <v>6358</v>
      </c>
      <c r="G41" s="82">
        <f t="shared" si="26"/>
        <v>120929.16</v>
      </c>
      <c r="H41" s="72" t="s">
        <v>5</v>
      </c>
      <c r="I41" s="89">
        <v>15</v>
      </c>
      <c r="J41" s="58">
        <v>2400</v>
      </c>
      <c r="K41" s="59">
        <f t="shared" si="1"/>
        <v>160</v>
      </c>
      <c r="L41" s="89">
        <v>15</v>
      </c>
      <c r="M41" s="60">
        <f t="shared" si="27"/>
        <v>2298.0722891566256</v>
      </c>
      <c r="N41" s="59">
        <f t="shared" si="3"/>
        <v>153.20481927710838</v>
      </c>
      <c r="O41" s="61">
        <f t="shared" si="4"/>
        <v>0</v>
      </c>
      <c r="P41" s="62">
        <f t="shared" si="5"/>
        <v>-6.7951807228916152</v>
      </c>
      <c r="Q41" s="85">
        <f t="shared" si="6"/>
        <v>0.95753012048192743</v>
      </c>
      <c r="R41" s="566"/>
      <c r="S41" s="63">
        <v>0.55972222222222223</v>
      </c>
      <c r="T41" s="63">
        <v>0.67500000000000004</v>
      </c>
      <c r="U41" s="82">
        <f t="shared" si="29"/>
        <v>60.999999999999943</v>
      </c>
      <c r="V41" s="90">
        <f t="shared" si="28"/>
        <v>166.00000000000006</v>
      </c>
      <c r="W41" s="64"/>
      <c r="X41" s="64"/>
      <c r="Y41" s="559"/>
      <c r="Z41" s="559"/>
      <c r="AA41" s="61">
        <f t="shared" si="8"/>
        <v>-101.92771084337437</v>
      </c>
      <c r="AB41" s="85">
        <f t="shared" si="9"/>
        <v>0.95753012048192732</v>
      </c>
      <c r="AC41" s="566"/>
    </row>
    <row r="42" spans="1:29">
      <c r="A42" s="583" t="s">
        <v>167</v>
      </c>
      <c r="B42" s="57" t="s">
        <v>15</v>
      </c>
      <c r="C42" s="560" t="s">
        <v>27</v>
      </c>
      <c r="D42" s="560"/>
      <c r="E42" s="57">
        <v>26.2</v>
      </c>
      <c r="F42" s="91">
        <v>3043</v>
      </c>
      <c r="G42" s="82">
        <f t="shared" si="26"/>
        <v>79726.599999999991</v>
      </c>
      <c r="H42" s="72" t="s">
        <v>5</v>
      </c>
      <c r="I42" s="89">
        <v>18</v>
      </c>
      <c r="J42" s="58">
        <v>2400</v>
      </c>
      <c r="K42" s="59">
        <f t="shared" si="1"/>
        <v>133.33333333333334</v>
      </c>
      <c r="L42" s="89">
        <v>18</v>
      </c>
      <c r="M42" s="60">
        <f t="shared" si="27"/>
        <v>2282.2499999999991</v>
      </c>
      <c r="N42" s="59">
        <f t="shared" si="3"/>
        <v>126.79166666666661</v>
      </c>
      <c r="O42" s="61">
        <f t="shared" si="4"/>
        <v>0</v>
      </c>
      <c r="P42" s="62">
        <f t="shared" si="5"/>
        <v>-6.5416666666667282</v>
      </c>
      <c r="Q42" s="85">
        <f t="shared" si="6"/>
        <v>0.95093749999999955</v>
      </c>
      <c r="R42" s="566"/>
      <c r="S42" s="63">
        <v>0.68055555555555558</v>
      </c>
      <c r="T42" s="63">
        <v>0.73611111111111116</v>
      </c>
      <c r="U42" s="82">
        <f t="shared" si="29"/>
        <v>7.9999999999999716</v>
      </c>
      <c r="V42" s="90">
        <f t="shared" si="28"/>
        <v>80.000000000000028</v>
      </c>
      <c r="W42" s="64"/>
      <c r="X42" s="64"/>
      <c r="Y42" s="569"/>
      <c r="Z42" s="570"/>
      <c r="AA42" s="61">
        <f t="shared" si="8"/>
        <v>-117.75000000000091</v>
      </c>
      <c r="AB42" s="85">
        <f t="shared" si="9"/>
        <v>0.95093749999999966</v>
      </c>
      <c r="AC42" s="566"/>
    </row>
    <row r="43" spans="1:29">
      <c r="A43" s="583" t="s">
        <v>88</v>
      </c>
      <c r="B43" s="66" t="s">
        <v>67</v>
      </c>
      <c r="C43" s="571"/>
      <c r="D43" s="571"/>
      <c r="E43" s="86"/>
      <c r="F43" s="66"/>
      <c r="G43" s="59"/>
      <c r="H43" s="91"/>
      <c r="I43" s="67">
        <v>17.142857142857142</v>
      </c>
      <c r="J43" s="58">
        <v>2400</v>
      </c>
      <c r="K43" s="59">
        <f t="shared" si="1"/>
        <v>140</v>
      </c>
      <c r="L43" s="67">
        <v>17.142857142857142</v>
      </c>
      <c r="M43" s="60">
        <f>AVERAGE(M36:M42)</f>
        <v>2293.6064121513714</v>
      </c>
      <c r="N43" s="59">
        <f t="shared" si="3"/>
        <v>133.79370737549667</v>
      </c>
      <c r="O43" s="61">
        <f t="shared" si="4"/>
        <v>0</v>
      </c>
      <c r="P43" s="62">
        <f t="shared" si="5"/>
        <v>-6.2062926245033339</v>
      </c>
      <c r="Q43" s="85">
        <f t="shared" si="6"/>
        <v>0.95566933839640478</v>
      </c>
      <c r="R43" s="566"/>
      <c r="S43" s="63"/>
      <c r="T43" s="63"/>
      <c r="U43" s="59"/>
      <c r="V43" s="90"/>
      <c r="W43" s="59"/>
      <c r="X43" s="59"/>
      <c r="Y43" s="559"/>
      <c r="Z43" s="559"/>
      <c r="AA43" s="61">
        <f t="shared" si="8"/>
        <v>-106.39358784862861</v>
      </c>
      <c r="AB43" s="85">
        <f t="shared" si="9"/>
        <v>0.95566933839640478</v>
      </c>
      <c r="AC43" s="566"/>
    </row>
    <row r="44" spans="1:29" ht="15.75" customHeight="1">
      <c r="A44" s="576" t="s">
        <v>89</v>
      </c>
      <c r="B44" s="57" t="s">
        <v>31</v>
      </c>
      <c r="C44" s="567" t="s">
        <v>32</v>
      </c>
      <c r="D44" s="568"/>
      <c r="E44" s="57">
        <v>21.13</v>
      </c>
      <c r="F44" s="91">
        <v>5850</v>
      </c>
      <c r="G44" s="82">
        <f t="shared" ref="G44:G51" si="30">E44*F44</f>
        <v>123610.5</v>
      </c>
      <c r="H44" s="72" t="s">
        <v>5</v>
      </c>
      <c r="I44" s="89">
        <v>10</v>
      </c>
      <c r="J44" s="58">
        <v>3000</v>
      </c>
      <c r="K44" s="59">
        <f t="shared" si="1"/>
        <v>300</v>
      </c>
      <c r="L44" s="89">
        <v>10</v>
      </c>
      <c r="M44" s="60">
        <f t="shared" ref="M44:M51" si="31">F44/V44*60</f>
        <v>2877.0491803278687</v>
      </c>
      <c r="N44" s="60">
        <f t="shared" si="3"/>
        <v>287.70491803278685</v>
      </c>
      <c r="O44" s="61">
        <f t="shared" si="4"/>
        <v>0</v>
      </c>
      <c r="P44" s="62">
        <f t="shared" si="5"/>
        <v>-12.29508196721315</v>
      </c>
      <c r="Q44" s="85">
        <f t="shared" si="6"/>
        <v>0.95901639344262279</v>
      </c>
      <c r="R44" s="579">
        <f>Q52</f>
        <v>0.95769020974167529</v>
      </c>
      <c r="S44" s="63">
        <v>8.3333333333333329E-2</v>
      </c>
      <c r="T44" s="63">
        <v>0.16805555555555554</v>
      </c>
      <c r="U44" s="68"/>
      <c r="V44" s="90">
        <f t="shared" ref="V44:V51" si="32">(T44-S44)*24*60</f>
        <v>122</v>
      </c>
      <c r="W44" s="64">
        <f>T44</f>
        <v>0.16805555555555554</v>
      </c>
      <c r="X44" s="64">
        <f>S45</f>
        <v>0.18819444444444444</v>
      </c>
      <c r="Y44" s="569"/>
      <c r="Z44" s="570"/>
      <c r="AA44" s="61">
        <f t="shared" si="8"/>
        <v>-122.95081967213127</v>
      </c>
      <c r="AB44" s="85">
        <f t="shared" si="9"/>
        <v>0.95901639344262291</v>
      </c>
      <c r="AC44" s="579">
        <f>AB52</f>
        <v>0.9576902097416754</v>
      </c>
    </row>
    <row r="45" spans="1:29" ht="15.75" customHeight="1">
      <c r="A45" s="577" t="s">
        <v>89</v>
      </c>
      <c r="B45" s="57" t="s">
        <v>31</v>
      </c>
      <c r="C45" s="567" t="s">
        <v>33</v>
      </c>
      <c r="D45" s="568"/>
      <c r="E45" s="57">
        <v>27.17</v>
      </c>
      <c r="F45" s="91">
        <v>4500</v>
      </c>
      <c r="G45" s="82">
        <f t="shared" si="30"/>
        <v>122265.00000000001</v>
      </c>
      <c r="H45" s="72">
        <v>2</v>
      </c>
      <c r="I45" s="89">
        <v>10</v>
      </c>
      <c r="J45" s="58">
        <v>3000</v>
      </c>
      <c r="K45" s="59">
        <f t="shared" si="1"/>
        <v>300</v>
      </c>
      <c r="L45" s="89">
        <v>10</v>
      </c>
      <c r="M45" s="60">
        <f t="shared" si="31"/>
        <v>2872.3404255319156</v>
      </c>
      <c r="N45" s="60">
        <f t="shared" si="3"/>
        <v>287.23404255319156</v>
      </c>
      <c r="O45" s="61">
        <f t="shared" si="4"/>
        <v>0</v>
      </c>
      <c r="P45" s="62">
        <f t="shared" si="5"/>
        <v>-12.765957446808443</v>
      </c>
      <c r="Q45" s="85">
        <f t="shared" si="6"/>
        <v>0.95744680851063857</v>
      </c>
      <c r="R45" s="580"/>
      <c r="S45" s="63">
        <v>0.18819444444444444</v>
      </c>
      <c r="T45" s="63">
        <v>0.25347222222222221</v>
      </c>
      <c r="U45" s="82">
        <f t="shared" ref="U45:U51" si="33">(S45-T44)*24*60</f>
        <v>29.000000000000018</v>
      </c>
      <c r="V45" s="90">
        <f t="shared" si="32"/>
        <v>93.999999999999986</v>
      </c>
      <c r="W45" s="64"/>
      <c r="X45" s="64"/>
      <c r="Y45" s="569"/>
      <c r="Z45" s="570"/>
      <c r="AA45" s="61">
        <f t="shared" si="8"/>
        <v>-127.65957446808443</v>
      </c>
      <c r="AB45" s="85">
        <f t="shared" si="9"/>
        <v>0.95744680851063857</v>
      </c>
      <c r="AC45" s="580"/>
    </row>
    <row r="46" spans="1:29" ht="15.75" customHeight="1">
      <c r="A46" s="577" t="s">
        <v>89</v>
      </c>
      <c r="B46" s="57" t="s">
        <v>31</v>
      </c>
      <c r="C46" s="567" t="s">
        <v>34</v>
      </c>
      <c r="D46" s="568"/>
      <c r="E46" s="57">
        <v>35.119999999999997</v>
      </c>
      <c r="F46" s="91">
        <v>4933</v>
      </c>
      <c r="G46" s="82">
        <f t="shared" si="30"/>
        <v>173246.96</v>
      </c>
      <c r="H46" s="72" t="s">
        <v>5</v>
      </c>
      <c r="I46" s="89">
        <v>10</v>
      </c>
      <c r="J46" s="58">
        <v>3000</v>
      </c>
      <c r="K46" s="59">
        <f t="shared" si="1"/>
        <v>300</v>
      </c>
      <c r="L46" s="89">
        <v>10</v>
      </c>
      <c r="M46" s="60">
        <f t="shared" si="31"/>
        <v>2873.5922330097101</v>
      </c>
      <c r="N46" s="60">
        <f t="shared" si="3"/>
        <v>287.359223300971</v>
      </c>
      <c r="O46" s="61">
        <f t="shared" si="4"/>
        <v>0</v>
      </c>
      <c r="P46" s="62">
        <f t="shared" si="5"/>
        <v>-12.640776699029004</v>
      </c>
      <c r="Q46" s="85">
        <f t="shared" si="6"/>
        <v>0.95786407766990334</v>
      </c>
      <c r="R46" s="580"/>
      <c r="S46" s="63">
        <v>0.2583333333333333</v>
      </c>
      <c r="T46" s="63">
        <v>0.32986111111111105</v>
      </c>
      <c r="U46" s="82">
        <f t="shared" si="33"/>
        <v>6.9999999999999751</v>
      </c>
      <c r="V46" s="90">
        <f t="shared" si="32"/>
        <v>102.99999999999996</v>
      </c>
      <c r="W46" s="64"/>
      <c r="X46" s="64"/>
      <c r="Y46" s="569"/>
      <c r="Z46" s="570"/>
      <c r="AA46" s="61">
        <f t="shared" si="8"/>
        <v>-126.40776699028993</v>
      </c>
      <c r="AB46" s="85">
        <f t="shared" si="9"/>
        <v>0.95786407766990334</v>
      </c>
      <c r="AC46" s="580"/>
    </row>
    <row r="47" spans="1:29" ht="15.75" customHeight="1">
      <c r="A47" s="577" t="s">
        <v>89</v>
      </c>
      <c r="B47" s="57" t="s">
        <v>31</v>
      </c>
      <c r="C47" s="567" t="s">
        <v>35</v>
      </c>
      <c r="D47" s="568"/>
      <c r="E47" s="57">
        <v>35.869999999999997</v>
      </c>
      <c r="F47" s="91">
        <v>3259</v>
      </c>
      <c r="G47" s="82">
        <f t="shared" si="30"/>
        <v>116900.32999999999</v>
      </c>
      <c r="H47" s="72" t="s">
        <v>5</v>
      </c>
      <c r="I47" s="89">
        <v>9</v>
      </c>
      <c r="J47" s="58">
        <v>3000</v>
      </c>
      <c r="K47" s="59">
        <f t="shared" si="1"/>
        <v>333.33333333333331</v>
      </c>
      <c r="L47" s="89">
        <v>9</v>
      </c>
      <c r="M47" s="60">
        <f t="shared" si="31"/>
        <v>2875.588235294118</v>
      </c>
      <c r="N47" s="60">
        <f t="shared" si="3"/>
        <v>319.50980392156868</v>
      </c>
      <c r="O47" s="61">
        <f t="shared" si="4"/>
        <v>0</v>
      </c>
      <c r="P47" s="62">
        <f t="shared" si="5"/>
        <v>-13.823529411764639</v>
      </c>
      <c r="Q47" s="85">
        <f t="shared" si="6"/>
        <v>0.95852941176470607</v>
      </c>
      <c r="R47" s="580"/>
      <c r="S47" s="63">
        <v>0.33472222222222214</v>
      </c>
      <c r="T47" s="63">
        <v>0.38194444444444436</v>
      </c>
      <c r="U47" s="82">
        <f t="shared" si="33"/>
        <v>6.9999999999999751</v>
      </c>
      <c r="V47" s="90">
        <f t="shared" si="32"/>
        <v>68</v>
      </c>
      <c r="W47" s="64"/>
      <c r="X47" s="64"/>
      <c r="Y47" s="569"/>
      <c r="Z47" s="570"/>
      <c r="AA47" s="61">
        <f t="shared" si="8"/>
        <v>-124.41176470588198</v>
      </c>
      <c r="AB47" s="85">
        <f t="shared" si="9"/>
        <v>0.95852941176470596</v>
      </c>
      <c r="AC47" s="580"/>
    </row>
    <row r="48" spans="1:29" ht="15.75" customHeight="1">
      <c r="A48" s="577" t="s">
        <v>89</v>
      </c>
      <c r="B48" s="57" t="s">
        <v>31</v>
      </c>
      <c r="C48" s="567" t="s">
        <v>36</v>
      </c>
      <c r="D48" s="568"/>
      <c r="E48" s="57">
        <v>36.14</v>
      </c>
      <c r="F48" s="91">
        <v>1429</v>
      </c>
      <c r="G48" s="82">
        <f t="shared" si="30"/>
        <v>51644.06</v>
      </c>
      <c r="H48" s="72" t="s">
        <v>5</v>
      </c>
      <c r="I48" s="89">
        <v>9</v>
      </c>
      <c r="J48" s="58">
        <v>3000</v>
      </c>
      <c r="K48" s="59">
        <f t="shared" si="1"/>
        <v>333.33333333333331</v>
      </c>
      <c r="L48" s="89">
        <v>9</v>
      </c>
      <c r="M48" s="60">
        <f t="shared" si="31"/>
        <v>2858.0000000000027</v>
      </c>
      <c r="N48" s="60">
        <f t="shared" si="3"/>
        <v>317.55555555555588</v>
      </c>
      <c r="O48" s="61">
        <f t="shared" si="4"/>
        <v>0</v>
      </c>
      <c r="P48" s="62">
        <f t="shared" si="5"/>
        <v>-15.77777777777743</v>
      </c>
      <c r="Q48" s="85">
        <f t="shared" si="6"/>
        <v>0.95266666666666766</v>
      </c>
      <c r="R48" s="580"/>
      <c r="S48" s="63">
        <v>0.3874999999999999</v>
      </c>
      <c r="T48" s="63">
        <v>0.40833333333333321</v>
      </c>
      <c r="U48" s="82">
        <f t="shared" si="33"/>
        <v>7.9999999999999716</v>
      </c>
      <c r="V48" s="90">
        <f t="shared" si="32"/>
        <v>29.999999999999972</v>
      </c>
      <c r="W48" s="64"/>
      <c r="X48" s="64"/>
      <c r="Y48" s="569"/>
      <c r="Z48" s="570"/>
      <c r="AA48" s="61">
        <f t="shared" si="8"/>
        <v>-141.99999999999727</v>
      </c>
      <c r="AB48" s="85">
        <f t="shared" si="9"/>
        <v>0.95266666666666755</v>
      </c>
      <c r="AC48" s="580"/>
    </row>
    <row r="49" spans="1:29" ht="15.75" customHeight="1">
      <c r="A49" s="577" t="s">
        <v>89</v>
      </c>
      <c r="B49" s="57" t="s">
        <v>31</v>
      </c>
      <c r="C49" s="567" t="s">
        <v>63</v>
      </c>
      <c r="D49" s="568"/>
      <c r="E49" s="57">
        <v>34.36</v>
      </c>
      <c r="F49" s="91">
        <v>2487</v>
      </c>
      <c r="G49" s="82">
        <f t="shared" si="30"/>
        <v>85453.319999999992</v>
      </c>
      <c r="H49" s="72" t="s">
        <v>5</v>
      </c>
      <c r="I49" s="89">
        <v>10</v>
      </c>
      <c r="J49" s="58">
        <v>3000</v>
      </c>
      <c r="K49" s="59">
        <f t="shared" si="1"/>
        <v>300</v>
      </c>
      <c r="L49" s="89">
        <v>10</v>
      </c>
      <c r="M49" s="60">
        <f t="shared" si="31"/>
        <v>2869.6153846153861</v>
      </c>
      <c r="N49" s="60">
        <f t="shared" si="3"/>
        <v>286.96153846153862</v>
      </c>
      <c r="O49" s="61">
        <f t="shared" si="4"/>
        <v>0</v>
      </c>
      <c r="P49" s="62">
        <f t="shared" si="5"/>
        <v>-13.038461538461377</v>
      </c>
      <c r="Q49" s="85">
        <f t="shared" si="6"/>
        <v>0.95653846153846211</v>
      </c>
      <c r="R49" s="580"/>
      <c r="S49" s="63">
        <v>0.41180555555555542</v>
      </c>
      <c r="T49" s="63">
        <v>0.44791666666666652</v>
      </c>
      <c r="U49" s="82">
        <f t="shared" si="33"/>
        <v>4.9999999999999822</v>
      </c>
      <c r="V49" s="90">
        <f t="shared" si="32"/>
        <v>51.999999999999972</v>
      </c>
      <c r="W49" s="64"/>
      <c r="X49" s="64"/>
      <c r="Y49" s="569"/>
      <c r="Z49" s="570"/>
      <c r="AA49" s="61">
        <f t="shared" si="8"/>
        <v>-130.38461538461388</v>
      </c>
      <c r="AB49" s="85">
        <f t="shared" si="9"/>
        <v>0.956538461538462</v>
      </c>
      <c r="AC49" s="580"/>
    </row>
    <row r="50" spans="1:29" ht="15.75" customHeight="1">
      <c r="A50" s="577" t="s">
        <v>89</v>
      </c>
      <c r="B50" s="57" t="s">
        <v>31</v>
      </c>
      <c r="C50" s="567" t="s">
        <v>71</v>
      </c>
      <c r="D50" s="568"/>
      <c r="E50" s="57">
        <v>31</v>
      </c>
      <c r="F50" s="91">
        <v>3730</v>
      </c>
      <c r="G50" s="82">
        <f t="shared" si="30"/>
        <v>115630</v>
      </c>
      <c r="H50" s="72" t="s">
        <v>5</v>
      </c>
      <c r="I50" s="89">
        <v>13</v>
      </c>
      <c r="J50" s="58">
        <v>2000</v>
      </c>
      <c r="K50" s="59">
        <f t="shared" si="1"/>
        <v>153.84615384615384</v>
      </c>
      <c r="L50" s="89">
        <v>13</v>
      </c>
      <c r="M50" s="60">
        <f t="shared" si="31"/>
        <v>1912.820512820512</v>
      </c>
      <c r="N50" s="60">
        <f t="shared" si="3"/>
        <v>147.14003944773168</v>
      </c>
      <c r="O50" s="61">
        <f t="shared" si="4"/>
        <v>0</v>
      </c>
      <c r="P50" s="62">
        <f t="shared" si="5"/>
        <v>-6.7061143984221587</v>
      </c>
      <c r="Q50" s="85">
        <f t="shared" si="6"/>
        <v>0.95641025641025601</v>
      </c>
      <c r="R50" s="580"/>
      <c r="S50" s="63">
        <v>0.45208333333333317</v>
      </c>
      <c r="T50" s="63">
        <v>0.53333333333333321</v>
      </c>
      <c r="U50" s="82">
        <f t="shared" si="33"/>
        <v>5.9999999999999787</v>
      </c>
      <c r="V50" s="90">
        <f t="shared" si="32"/>
        <v>117.00000000000006</v>
      </c>
      <c r="W50" s="64">
        <f>T50</f>
        <v>0.53333333333333321</v>
      </c>
      <c r="X50" s="64">
        <f>S51</f>
        <v>0.57152777777777763</v>
      </c>
      <c r="Y50" s="569"/>
      <c r="Z50" s="570"/>
      <c r="AA50" s="61">
        <f t="shared" si="8"/>
        <v>-87.179487179487978</v>
      </c>
      <c r="AB50" s="85">
        <f t="shared" si="9"/>
        <v>0.95641025641025601</v>
      </c>
      <c r="AC50" s="580"/>
    </row>
    <row r="51" spans="1:29" ht="15.75" customHeight="1">
      <c r="A51" s="577" t="s">
        <v>168</v>
      </c>
      <c r="B51" s="57" t="s">
        <v>31</v>
      </c>
      <c r="C51" s="567" t="s">
        <v>33</v>
      </c>
      <c r="D51" s="568"/>
      <c r="E51" s="57">
        <v>27.17</v>
      </c>
      <c r="F51" s="91">
        <v>2936</v>
      </c>
      <c r="G51" s="82">
        <f t="shared" si="30"/>
        <v>79771.12000000001</v>
      </c>
      <c r="H51" s="72" t="s">
        <v>5</v>
      </c>
      <c r="I51" s="89">
        <v>10</v>
      </c>
      <c r="J51" s="58">
        <v>3000</v>
      </c>
      <c r="K51" s="59">
        <f t="shared" si="1"/>
        <v>300</v>
      </c>
      <c r="L51" s="89">
        <v>10</v>
      </c>
      <c r="M51" s="60">
        <f t="shared" si="31"/>
        <v>2887.8688524590193</v>
      </c>
      <c r="N51" s="60">
        <f t="shared" si="3"/>
        <v>288.78688524590194</v>
      </c>
      <c r="O51" s="61">
        <f t="shared" si="4"/>
        <v>0</v>
      </c>
      <c r="P51" s="62">
        <f t="shared" si="5"/>
        <v>-11.213114754098058</v>
      </c>
      <c r="Q51" s="85">
        <f t="shared" si="6"/>
        <v>0.9626229508196732</v>
      </c>
      <c r="R51" s="580"/>
      <c r="S51" s="63">
        <v>0.57152777777777763</v>
      </c>
      <c r="T51" s="63">
        <v>0.61388888888888871</v>
      </c>
      <c r="U51" s="82">
        <f t="shared" si="33"/>
        <v>54.999999999999964</v>
      </c>
      <c r="V51" s="90">
        <f t="shared" si="32"/>
        <v>60.999999999999943</v>
      </c>
      <c r="W51" s="64"/>
      <c r="X51" s="64"/>
      <c r="Y51" s="569"/>
      <c r="Z51" s="570"/>
      <c r="AA51" s="61">
        <f t="shared" si="8"/>
        <v>-112.13114754098069</v>
      </c>
      <c r="AB51" s="85">
        <f t="shared" si="9"/>
        <v>0.96262295081967308</v>
      </c>
      <c r="AC51" s="580"/>
    </row>
    <row r="52" spans="1:29" ht="15.75" customHeight="1">
      <c r="A52" s="578" t="s">
        <v>168</v>
      </c>
      <c r="B52" s="57" t="s">
        <v>159</v>
      </c>
      <c r="C52" s="561"/>
      <c r="D52" s="562"/>
      <c r="E52" s="81"/>
      <c r="F52" s="91"/>
      <c r="G52" s="82"/>
      <c r="H52" s="91"/>
      <c r="I52" s="67">
        <v>10.125</v>
      </c>
      <c r="J52" s="58">
        <v>2875</v>
      </c>
      <c r="K52" s="59">
        <f t="shared" si="1"/>
        <v>283.95061728395063</v>
      </c>
      <c r="L52" s="67">
        <v>10.125</v>
      </c>
      <c r="M52" s="60">
        <f>AVERAGE(M44:M51)</f>
        <v>2753.3593530073167</v>
      </c>
      <c r="N52" s="59">
        <f t="shared" si="3"/>
        <v>271.93672622294486</v>
      </c>
      <c r="O52" s="61">
        <f t="shared" si="4"/>
        <v>0</v>
      </c>
      <c r="P52" s="62">
        <f t="shared" si="5"/>
        <v>-12.013891061005779</v>
      </c>
      <c r="Q52" s="85">
        <f t="shared" si="6"/>
        <v>0.95769020974167529</v>
      </c>
      <c r="R52" s="581"/>
      <c r="S52" s="63"/>
      <c r="T52" s="63"/>
      <c r="U52" s="82"/>
      <c r="V52" s="90"/>
      <c r="W52" s="64"/>
      <c r="X52" s="64"/>
      <c r="Y52" s="569"/>
      <c r="Z52" s="570"/>
      <c r="AA52" s="61">
        <f t="shared" si="8"/>
        <v>-121.64064699268329</v>
      </c>
      <c r="AB52" s="85">
        <f t="shared" si="9"/>
        <v>0.9576902097416754</v>
      </c>
      <c r="AC52" s="581"/>
    </row>
    <row r="53" spans="1:29" ht="15.75" customHeight="1">
      <c r="A53" s="574" t="s">
        <v>117</v>
      </c>
      <c r="B53" s="57" t="s">
        <v>10</v>
      </c>
      <c r="C53" s="560" t="s">
        <v>37</v>
      </c>
      <c r="D53" s="560"/>
      <c r="E53" s="57">
        <v>46</v>
      </c>
      <c r="F53" s="69">
        <v>2530</v>
      </c>
      <c r="G53" s="82">
        <f t="shared" ref="G53:G58" si="34">E53*F53</f>
        <v>116380</v>
      </c>
      <c r="H53" s="72" t="s">
        <v>5</v>
      </c>
      <c r="I53" s="89">
        <v>17</v>
      </c>
      <c r="J53" s="58">
        <v>2000</v>
      </c>
      <c r="K53" s="59">
        <f t="shared" si="1"/>
        <v>117.64705882352941</v>
      </c>
      <c r="L53" s="89">
        <v>17</v>
      </c>
      <c r="M53" s="60">
        <f t="shared" ref="M53:M58" si="35">F53/V53*60</f>
        <v>1921.5189873417719</v>
      </c>
      <c r="N53" s="60">
        <f t="shared" si="3"/>
        <v>113.03052866716305</v>
      </c>
      <c r="O53" s="61">
        <f t="shared" si="4"/>
        <v>0</v>
      </c>
      <c r="P53" s="62">
        <f t="shared" si="5"/>
        <v>-4.6165301563663519</v>
      </c>
      <c r="Q53" s="85">
        <f t="shared" si="6"/>
        <v>0.96075949367088598</v>
      </c>
      <c r="R53" s="566">
        <f>Q59</f>
        <v>0.95973480509786402</v>
      </c>
      <c r="S53" s="63">
        <v>0.20833333333333334</v>
      </c>
      <c r="T53" s="63">
        <v>0.26319444444444445</v>
      </c>
      <c r="U53" s="68"/>
      <c r="V53" s="90">
        <f t="shared" ref="V53:V58" si="36">(T53-S53)*24*60</f>
        <v>79</v>
      </c>
      <c r="W53" s="68"/>
      <c r="X53" s="68"/>
      <c r="Y53" s="559"/>
      <c r="Z53" s="559"/>
      <c r="AA53" s="61">
        <f t="shared" si="8"/>
        <v>-78.48101265822811</v>
      </c>
      <c r="AB53" s="85">
        <f t="shared" si="9"/>
        <v>0.96075949367088598</v>
      </c>
      <c r="AC53" s="566">
        <f>AB59</f>
        <v>0.95973480509786402</v>
      </c>
    </row>
    <row r="54" spans="1:29" ht="15.75" customHeight="1">
      <c r="A54" s="574" t="s">
        <v>169</v>
      </c>
      <c r="B54" s="57" t="s">
        <v>10</v>
      </c>
      <c r="C54" s="560" t="s">
        <v>38</v>
      </c>
      <c r="D54" s="560"/>
      <c r="E54" s="57">
        <v>46</v>
      </c>
      <c r="F54" s="69">
        <v>2616</v>
      </c>
      <c r="G54" s="82">
        <f t="shared" si="34"/>
        <v>120336</v>
      </c>
      <c r="H54" s="72" t="s">
        <v>5</v>
      </c>
      <c r="I54" s="89">
        <v>17</v>
      </c>
      <c r="J54" s="58">
        <v>2000</v>
      </c>
      <c r="K54" s="59">
        <f t="shared" si="1"/>
        <v>117.64705882352941</v>
      </c>
      <c r="L54" s="89">
        <v>17</v>
      </c>
      <c r="M54" s="60">
        <f t="shared" si="35"/>
        <v>1914.146341463414</v>
      </c>
      <c r="N54" s="60">
        <f t="shared" si="3"/>
        <v>112.59684361549495</v>
      </c>
      <c r="O54" s="61">
        <f t="shared" si="4"/>
        <v>0</v>
      </c>
      <c r="P54" s="62">
        <f t="shared" si="5"/>
        <v>-5.0502152080344587</v>
      </c>
      <c r="Q54" s="85">
        <f t="shared" si="6"/>
        <v>0.95707317073170706</v>
      </c>
      <c r="R54" s="566"/>
      <c r="S54" s="63">
        <v>0.26666666666666666</v>
      </c>
      <c r="T54" s="63">
        <v>0.32361111111111113</v>
      </c>
      <c r="U54" s="82">
        <f t="shared" ref="U54:U58" si="37">IF(S54=TIME(17,0,0),"",(S54-T53)*24*60)</f>
        <v>4.9999999999999822</v>
      </c>
      <c r="V54" s="90">
        <f t="shared" si="36"/>
        <v>82.000000000000028</v>
      </c>
      <c r="W54" s="64"/>
      <c r="X54" s="64"/>
      <c r="Y54" s="559"/>
      <c r="Z54" s="559"/>
      <c r="AA54" s="61">
        <f t="shared" si="8"/>
        <v>-85.853658536585954</v>
      </c>
      <c r="AB54" s="85">
        <f t="shared" si="9"/>
        <v>0.95707317073170706</v>
      </c>
      <c r="AC54" s="566"/>
    </row>
    <row r="55" spans="1:29" ht="15.75" customHeight="1">
      <c r="A55" s="574" t="s">
        <v>169</v>
      </c>
      <c r="B55" s="57" t="s">
        <v>6</v>
      </c>
      <c r="C55" s="567" t="s">
        <v>39</v>
      </c>
      <c r="D55" s="568"/>
      <c r="E55" s="57">
        <v>55.56</v>
      </c>
      <c r="F55" s="69">
        <v>2338</v>
      </c>
      <c r="G55" s="82">
        <f t="shared" si="34"/>
        <v>129899.28</v>
      </c>
      <c r="H55" s="72" t="s">
        <v>5</v>
      </c>
      <c r="I55" s="89">
        <v>17</v>
      </c>
      <c r="J55" s="58">
        <v>2000</v>
      </c>
      <c r="K55" s="59">
        <f t="shared" si="1"/>
        <v>117.64705882352941</v>
      </c>
      <c r="L55" s="89">
        <v>17</v>
      </c>
      <c r="M55" s="60">
        <f t="shared" si="35"/>
        <v>1921.6438356164369</v>
      </c>
      <c r="N55" s="60">
        <f t="shared" si="3"/>
        <v>113.03787268331982</v>
      </c>
      <c r="O55" s="61">
        <f t="shared" si="4"/>
        <v>0</v>
      </c>
      <c r="P55" s="62">
        <f t="shared" si="5"/>
        <v>-4.6091861402095873</v>
      </c>
      <c r="Q55" s="85">
        <f t="shared" si="6"/>
        <v>0.96082191780821846</v>
      </c>
      <c r="R55" s="566"/>
      <c r="S55" s="63">
        <v>0.70833333333333337</v>
      </c>
      <c r="T55" s="63">
        <v>0.75902777777777786</v>
      </c>
      <c r="U55" s="82" t="str">
        <f t="shared" si="37"/>
        <v/>
      </c>
      <c r="V55" s="90">
        <f t="shared" si="36"/>
        <v>73.000000000000057</v>
      </c>
      <c r="W55" s="64"/>
      <c r="X55" s="64"/>
      <c r="Y55" s="83"/>
      <c r="Z55" s="84"/>
      <c r="AA55" s="61">
        <f t="shared" si="8"/>
        <v>-78.356164383563055</v>
      </c>
      <c r="AB55" s="85">
        <f t="shared" si="9"/>
        <v>0.96082191780821846</v>
      </c>
      <c r="AC55" s="566"/>
    </row>
    <row r="56" spans="1:29" ht="15.75" customHeight="1">
      <c r="A56" s="574" t="s">
        <v>117</v>
      </c>
      <c r="B56" s="57" t="s">
        <v>6</v>
      </c>
      <c r="C56" s="87" t="s">
        <v>40</v>
      </c>
      <c r="D56" s="88"/>
      <c r="E56" s="57">
        <v>55.32</v>
      </c>
      <c r="F56" s="69">
        <v>1808</v>
      </c>
      <c r="G56" s="82">
        <f t="shared" si="34"/>
        <v>100018.56</v>
      </c>
      <c r="H56" s="72" t="s">
        <v>5</v>
      </c>
      <c r="I56" s="89">
        <v>15</v>
      </c>
      <c r="J56" s="58">
        <v>2000</v>
      </c>
      <c r="K56" s="59">
        <f t="shared" si="1"/>
        <v>133.33333333333334</v>
      </c>
      <c r="L56" s="89">
        <v>15</v>
      </c>
      <c r="M56" s="60">
        <f t="shared" si="35"/>
        <v>1937.1428571428587</v>
      </c>
      <c r="N56" s="60">
        <f t="shared" si="3"/>
        <v>129.14285714285725</v>
      </c>
      <c r="O56" s="61">
        <f t="shared" si="4"/>
        <v>0</v>
      </c>
      <c r="P56" s="62">
        <f t="shared" si="5"/>
        <v>-4.1904761904760903</v>
      </c>
      <c r="Q56" s="85">
        <f t="shared" si="6"/>
        <v>0.9685714285714293</v>
      </c>
      <c r="R56" s="566"/>
      <c r="S56" s="63">
        <v>0.76388888888888895</v>
      </c>
      <c r="T56" s="63">
        <v>0.80277777777777781</v>
      </c>
      <c r="U56" s="82">
        <f t="shared" si="37"/>
        <v>6.9999999999999751</v>
      </c>
      <c r="V56" s="90">
        <f t="shared" si="36"/>
        <v>55.999999999999957</v>
      </c>
      <c r="W56" s="64"/>
      <c r="X56" s="64"/>
      <c r="Y56" s="83"/>
      <c r="Z56" s="84"/>
      <c r="AA56" s="61">
        <f t="shared" si="8"/>
        <v>-62.857142857141298</v>
      </c>
      <c r="AB56" s="85">
        <f t="shared" si="9"/>
        <v>0.9685714285714293</v>
      </c>
      <c r="AC56" s="566"/>
    </row>
    <row r="57" spans="1:29" ht="15.75" customHeight="1">
      <c r="A57" s="574" t="s">
        <v>117</v>
      </c>
      <c r="B57" s="57" t="s">
        <v>6</v>
      </c>
      <c r="C57" s="87" t="s">
        <v>99</v>
      </c>
      <c r="D57" s="88"/>
      <c r="E57" s="57">
        <v>53.68</v>
      </c>
      <c r="F57" s="69">
        <v>1000</v>
      </c>
      <c r="G57" s="82">
        <f t="shared" si="34"/>
        <v>53680</v>
      </c>
      <c r="H57" s="72">
        <v>2</v>
      </c>
      <c r="I57" s="89">
        <v>16</v>
      </c>
      <c r="J57" s="58">
        <v>1500</v>
      </c>
      <c r="K57" s="59">
        <f t="shared" si="1"/>
        <v>93.75</v>
      </c>
      <c r="L57" s="89">
        <v>16</v>
      </c>
      <c r="M57" s="60">
        <f t="shared" si="35"/>
        <v>1428.5714285714282</v>
      </c>
      <c r="N57" s="60">
        <f t="shared" si="3"/>
        <v>89.285714285714263</v>
      </c>
      <c r="O57" s="61">
        <f t="shared" si="4"/>
        <v>0</v>
      </c>
      <c r="P57" s="62">
        <f t="shared" si="5"/>
        <v>-4.4642857142857366</v>
      </c>
      <c r="Q57" s="85">
        <f t="shared" si="6"/>
        <v>0.95238095238095211</v>
      </c>
      <c r="R57" s="566"/>
      <c r="S57" s="63">
        <v>0.80763888888888891</v>
      </c>
      <c r="T57" s="63">
        <v>0.83680555555555558</v>
      </c>
      <c r="U57" s="82">
        <f t="shared" si="37"/>
        <v>6.9999999999999751</v>
      </c>
      <c r="V57" s="90">
        <f t="shared" si="36"/>
        <v>42.000000000000014</v>
      </c>
      <c r="W57" s="64">
        <f>T57</f>
        <v>0.83680555555555558</v>
      </c>
      <c r="X57" s="64">
        <f>S58</f>
        <v>0.87847222222222221</v>
      </c>
      <c r="Y57" s="83"/>
      <c r="Z57" s="84"/>
      <c r="AA57" s="61">
        <f t="shared" si="8"/>
        <v>-71.428571428571786</v>
      </c>
      <c r="AB57" s="85">
        <f t="shared" si="9"/>
        <v>0.95238095238095211</v>
      </c>
      <c r="AC57" s="566"/>
    </row>
    <row r="58" spans="1:29" ht="15.75" customHeight="1">
      <c r="A58" s="574" t="s">
        <v>169</v>
      </c>
      <c r="B58" s="57" t="s">
        <v>6</v>
      </c>
      <c r="C58" s="567" t="s">
        <v>99</v>
      </c>
      <c r="D58" s="568"/>
      <c r="E58" s="57">
        <v>53.68</v>
      </c>
      <c r="F58" s="69">
        <v>2414</v>
      </c>
      <c r="G58" s="82">
        <f t="shared" si="34"/>
        <v>129583.52</v>
      </c>
      <c r="H58" s="72" t="s">
        <v>5</v>
      </c>
      <c r="I58" s="89">
        <v>16</v>
      </c>
      <c r="J58" s="58">
        <v>1500</v>
      </c>
      <c r="K58" s="59">
        <f t="shared" si="1"/>
        <v>93.75</v>
      </c>
      <c r="L58" s="89">
        <v>16</v>
      </c>
      <c r="M58" s="60">
        <f t="shared" si="35"/>
        <v>1434.0594059405946</v>
      </c>
      <c r="N58" s="60">
        <f t="shared" si="3"/>
        <v>89.628712871287163</v>
      </c>
      <c r="O58" s="61">
        <f t="shared" si="4"/>
        <v>0</v>
      </c>
      <c r="P58" s="62">
        <f t="shared" si="5"/>
        <v>-4.1212871287128365</v>
      </c>
      <c r="Q58" s="85">
        <f t="shared" si="6"/>
        <v>0.95603960396039644</v>
      </c>
      <c r="R58" s="566"/>
      <c r="S58" s="63">
        <v>0.87847222222222221</v>
      </c>
      <c r="T58" s="63">
        <v>0.94861111111111107</v>
      </c>
      <c r="U58" s="82">
        <f t="shared" si="37"/>
        <v>59.999999999999943</v>
      </c>
      <c r="V58" s="90">
        <f t="shared" si="36"/>
        <v>100.99999999999996</v>
      </c>
      <c r="W58" s="64"/>
      <c r="X58" s="64"/>
      <c r="Y58" s="569"/>
      <c r="Z58" s="570"/>
      <c r="AA58" s="61">
        <f t="shared" si="8"/>
        <v>-65.940594059405385</v>
      </c>
      <c r="AB58" s="85">
        <f t="shared" si="9"/>
        <v>0.95603960396039644</v>
      </c>
      <c r="AC58" s="566"/>
    </row>
    <row r="59" spans="1:29">
      <c r="A59" s="575" t="s">
        <v>169</v>
      </c>
      <c r="B59" s="57" t="s">
        <v>159</v>
      </c>
      <c r="C59" s="571"/>
      <c r="D59" s="571"/>
      <c r="E59" s="86"/>
      <c r="F59" s="66"/>
      <c r="G59" s="59"/>
      <c r="H59" s="91"/>
      <c r="I59" s="67">
        <v>16.333333333333332</v>
      </c>
      <c r="J59" s="58">
        <v>1833.3333333333333</v>
      </c>
      <c r="K59" s="59">
        <f t="shared" si="1"/>
        <v>112.24489795918367</v>
      </c>
      <c r="L59" s="67">
        <v>16.333333333333332</v>
      </c>
      <c r="M59" s="60">
        <f>AVERAGE(M53:M58)</f>
        <v>1759.5138093460839</v>
      </c>
      <c r="N59" s="59">
        <f t="shared" si="3"/>
        <v>107.72533526608677</v>
      </c>
      <c r="O59" s="61">
        <f t="shared" si="4"/>
        <v>0</v>
      </c>
      <c r="P59" s="62">
        <f t="shared" si="5"/>
        <v>-4.5195626930969013</v>
      </c>
      <c r="Q59" s="85">
        <f t="shared" si="6"/>
        <v>0.95973480509786402</v>
      </c>
      <c r="R59" s="566"/>
      <c r="S59" s="70"/>
      <c r="T59" s="63"/>
      <c r="U59" s="59"/>
      <c r="V59" s="90"/>
      <c r="W59" s="59"/>
      <c r="X59" s="59"/>
      <c r="Y59" s="559"/>
      <c r="Z59" s="559"/>
      <c r="AA59" s="61">
        <f t="shared" si="8"/>
        <v>-73.81952398724934</v>
      </c>
      <c r="AB59" s="85">
        <f t="shared" si="9"/>
        <v>0.95973480509786402</v>
      </c>
      <c r="AC59" s="566"/>
    </row>
    <row r="60" spans="1:29" ht="15.75" customHeight="1">
      <c r="A60" s="572" t="s">
        <v>93</v>
      </c>
      <c r="B60" s="91" t="s">
        <v>10</v>
      </c>
      <c r="C60" s="560" t="s">
        <v>42</v>
      </c>
      <c r="D60" s="560"/>
      <c r="E60" s="57">
        <v>26.97</v>
      </c>
      <c r="F60" s="69">
        <v>3258</v>
      </c>
      <c r="G60" s="82">
        <f t="shared" ref="G60:G63" si="38">E60*F60</f>
        <v>87868.26</v>
      </c>
      <c r="H60" s="72" t="s">
        <v>5</v>
      </c>
      <c r="I60" s="89">
        <v>8</v>
      </c>
      <c r="J60" s="58">
        <v>1500</v>
      </c>
      <c r="K60" s="59">
        <f t="shared" si="1"/>
        <v>187.5</v>
      </c>
      <c r="L60" s="89">
        <v>8</v>
      </c>
      <c r="M60" s="60">
        <f t="shared" ref="M60:M63" si="39">F60/V60*60</f>
        <v>1437.35294117647</v>
      </c>
      <c r="N60" s="59">
        <f t="shared" si="3"/>
        <v>179.66911764705875</v>
      </c>
      <c r="O60" s="61">
        <f t="shared" si="4"/>
        <v>0</v>
      </c>
      <c r="P60" s="62">
        <f t="shared" si="5"/>
        <v>-7.830882352941245</v>
      </c>
      <c r="Q60" s="85">
        <f t="shared" si="6"/>
        <v>0.95823529411764674</v>
      </c>
      <c r="R60" s="566">
        <f>Q64</f>
        <v>0.96239568176997548</v>
      </c>
      <c r="S60" s="63">
        <v>0.20833333333333334</v>
      </c>
      <c r="T60" s="63">
        <v>0.30277777777777781</v>
      </c>
      <c r="U60" s="82"/>
      <c r="V60" s="90">
        <f t="shared" ref="V60:V63" si="40">(T60-S60)*24*60</f>
        <v>136.00000000000006</v>
      </c>
      <c r="W60" s="68"/>
      <c r="X60" s="68"/>
      <c r="Y60" s="559"/>
      <c r="Z60" s="559"/>
      <c r="AA60" s="61">
        <f t="shared" si="8"/>
        <v>-62.64705882352996</v>
      </c>
      <c r="AB60" s="85">
        <f t="shared" si="9"/>
        <v>0.95823529411764674</v>
      </c>
      <c r="AC60" s="566">
        <f>AB64</f>
        <v>0.9623956817699757</v>
      </c>
    </row>
    <row r="61" spans="1:29" ht="15.75" customHeight="1">
      <c r="A61" s="572" t="s">
        <v>170</v>
      </c>
      <c r="B61" s="91" t="s">
        <v>31</v>
      </c>
      <c r="C61" s="560" t="s">
        <v>41</v>
      </c>
      <c r="D61" s="560"/>
      <c r="E61" s="57">
        <v>26.78</v>
      </c>
      <c r="F61" s="69">
        <v>2943</v>
      </c>
      <c r="G61" s="82">
        <f t="shared" si="38"/>
        <v>78813.540000000008</v>
      </c>
      <c r="H61" s="72" t="s">
        <v>5</v>
      </c>
      <c r="I61" s="89">
        <v>10</v>
      </c>
      <c r="J61" s="58">
        <v>3000</v>
      </c>
      <c r="K61" s="59">
        <f t="shared" si="1"/>
        <v>300</v>
      </c>
      <c r="L61" s="89">
        <v>10</v>
      </c>
      <c r="M61" s="60">
        <f t="shared" si="39"/>
        <v>2894.754098360655</v>
      </c>
      <c r="N61" s="59">
        <f t="shared" si="3"/>
        <v>289.47540983606552</v>
      </c>
      <c r="O61" s="61">
        <f t="shared" si="4"/>
        <v>0</v>
      </c>
      <c r="P61" s="62">
        <f t="shared" si="5"/>
        <v>-10.524590163934477</v>
      </c>
      <c r="Q61" s="85">
        <f t="shared" si="6"/>
        <v>0.96491803278688504</v>
      </c>
      <c r="R61" s="566"/>
      <c r="S61" s="63">
        <v>0.30625000000000002</v>
      </c>
      <c r="T61" s="63">
        <v>0.34861111111111115</v>
      </c>
      <c r="U61" s="82">
        <f t="shared" ref="U61:U63" si="41">(S61-T60)*24*60</f>
        <v>4.9999999999999822</v>
      </c>
      <c r="V61" s="90">
        <f t="shared" si="40"/>
        <v>61.000000000000021</v>
      </c>
      <c r="W61" s="82"/>
      <c r="X61" s="82"/>
      <c r="Y61" s="559"/>
      <c r="Z61" s="559"/>
      <c r="AA61" s="61">
        <f t="shared" si="8"/>
        <v>-105.24590163934499</v>
      </c>
      <c r="AB61" s="85">
        <f t="shared" si="9"/>
        <v>0.96491803278688504</v>
      </c>
      <c r="AC61" s="566"/>
    </row>
    <row r="62" spans="1:29" ht="15.75" customHeight="1">
      <c r="A62" s="572" t="s">
        <v>170</v>
      </c>
      <c r="B62" s="91" t="s">
        <v>31</v>
      </c>
      <c r="C62" s="560" t="s">
        <v>64</v>
      </c>
      <c r="D62" s="560"/>
      <c r="E62" s="57">
        <v>37.880000000000003</v>
      </c>
      <c r="F62" s="69">
        <v>3353</v>
      </c>
      <c r="G62" s="82">
        <f t="shared" si="38"/>
        <v>127011.64000000001</v>
      </c>
      <c r="H62" s="72" t="s">
        <v>5</v>
      </c>
      <c r="I62" s="89">
        <v>10</v>
      </c>
      <c r="J62" s="58">
        <v>3000</v>
      </c>
      <c r="K62" s="59">
        <f t="shared" si="1"/>
        <v>300</v>
      </c>
      <c r="L62" s="89">
        <v>10</v>
      </c>
      <c r="M62" s="60">
        <f t="shared" si="39"/>
        <v>2874.0000000000009</v>
      </c>
      <c r="N62" s="59">
        <f t="shared" si="3"/>
        <v>287.40000000000009</v>
      </c>
      <c r="O62" s="61">
        <f t="shared" si="4"/>
        <v>0</v>
      </c>
      <c r="P62" s="62">
        <f t="shared" si="5"/>
        <v>-12.599999999999909</v>
      </c>
      <c r="Q62" s="85">
        <f t="shared" si="6"/>
        <v>0.9580000000000003</v>
      </c>
      <c r="R62" s="566"/>
      <c r="S62" s="63">
        <v>0.35208333333333336</v>
      </c>
      <c r="T62" s="63">
        <v>0.40069444444444446</v>
      </c>
      <c r="U62" s="82">
        <f t="shared" si="41"/>
        <v>4.9999999999999822</v>
      </c>
      <c r="V62" s="90">
        <f t="shared" si="40"/>
        <v>69.999999999999986</v>
      </c>
      <c r="W62" s="82"/>
      <c r="X62" s="82"/>
      <c r="Y62" s="559"/>
      <c r="Z62" s="559"/>
      <c r="AA62" s="61">
        <f t="shared" si="8"/>
        <v>-125.99999999999909</v>
      </c>
      <c r="AB62" s="85">
        <f t="shared" si="9"/>
        <v>0.9580000000000003</v>
      </c>
      <c r="AC62" s="566"/>
    </row>
    <row r="63" spans="1:29" ht="15.75" customHeight="1">
      <c r="A63" s="572" t="s">
        <v>93</v>
      </c>
      <c r="B63" s="91" t="s">
        <v>31</v>
      </c>
      <c r="C63" s="560" t="s">
        <v>72</v>
      </c>
      <c r="D63" s="560"/>
      <c r="E63" s="57">
        <v>40.51</v>
      </c>
      <c r="F63" s="69">
        <v>3044</v>
      </c>
      <c r="G63" s="82">
        <f t="shared" si="38"/>
        <v>123312.43999999999</v>
      </c>
      <c r="H63" s="72" t="s">
        <v>5</v>
      </c>
      <c r="I63" s="89">
        <v>8</v>
      </c>
      <c r="J63" s="58">
        <v>3000</v>
      </c>
      <c r="K63" s="59">
        <f t="shared" si="1"/>
        <v>375</v>
      </c>
      <c r="L63" s="89">
        <v>8</v>
      </c>
      <c r="M63" s="60">
        <f t="shared" si="39"/>
        <v>2899.0476190476184</v>
      </c>
      <c r="N63" s="59">
        <f t="shared" si="3"/>
        <v>362.38095238095229</v>
      </c>
      <c r="O63" s="61">
        <f t="shared" si="4"/>
        <v>0</v>
      </c>
      <c r="P63" s="62">
        <f t="shared" si="5"/>
        <v>-12.619047619047706</v>
      </c>
      <c r="Q63" s="85">
        <f t="shared" si="6"/>
        <v>0.96634920634920607</v>
      </c>
      <c r="R63" s="566"/>
      <c r="S63" s="63">
        <v>0.40555555555555556</v>
      </c>
      <c r="T63" s="63">
        <v>0.44930555555555557</v>
      </c>
      <c r="U63" s="82">
        <f t="shared" si="41"/>
        <v>6.9999999999999751</v>
      </c>
      <c r="V63" s="90">
        <f t="shared" si="40"/>
        <v>63.000000000000014</v>
      </c>
      <c r="W63" s="82"/>
      <c r="X63" s="82"/>
      <c r="Y63" s="559"/>
      <c r="Z63" s="559"/>
      <c r="AA63" s="61">
        <f t="shared" si="8"/>
        <v>-100.95238095238165</v>
      </c>
      <c r="AB63" s="85">
        <f t="shared" si="9"/>
        <v>0.96634920634920607</v>
      </c>
      <c r="AC63" s="566"/>
    </row>
    <row r="64" spans="1:29">
      <c r="A64" s="573" t="s">
        <v>93</v>
      </c>
      <c r="B64" s="57" t="s">
        <v>67</v>
      </c>
      <c r="C64" s="571"/>
      <c r="D64" s="571"/>
      <c r="E64" s="86"/>
      <c r="F64" s="66"/>
      <c r="G64" s="59"/>
      <c r="H64" s="91"/>
      <c r="I64" s="67">
        <v>9</v>
      </c>
      <c r="J64" s="58">
        <v>2625</v>
      </c>
      <c r="K64" s="59">
        <f t="shared" si="1"/>
        <v>291.66666666666669</v>
      </c>
      <c r="L64" s="67">
        <v>9</v>
      </c>
      <c r="M64" s="60">
        <f>AVERAGE(M60:M63)</f>
        <v>2526.2886646461861</v>
      </c>
      <c r="N64" s="59">
        <f t="shared" si="3"/>
        <v>280.69874051624288</v>
      </c>
      <c r="O64" s="61">
        <f t="shared" si="4"/>
        <v>0</v>
      </c>
      <c r="P64" s="62">
        <f t="shared" si="5"/>
        <v>-10.967926150423807</v>
      </c>
      <c r="Q64" s="85">
        <f t="shared" si="6"/>
        <v>0.96239568176997548</v>
      </c>
      <c r="R64" s="566"/>
      <c r="S64" s="63"/>
      <c r="T64" s="63"/>
      <c r="U64" s="59"/>
      <c r="V64" s="90"/>
      <c r="W64" s="59"/>
      <c r="X64" s="59"/>
      <c r="Y64" s="559"/>
      <c r="Z64" s="559"/>
      <c r="AA64" s="61">
        <f t="shared" si="8"/>
        <v>-98.711335353813865</v>
      </c>
      <c r="AB64" s="85">
        <f t="shared" si="9"/>
        <v>0.9623956817699757</v>
      </c>
      <c r="AC64" s="566"/>
    </row>
    <row r="65" spans="1:29" ht="15.75" customHeight="1">
      <c r="A65" s="563" t="s">
        <v>90</v>
      </c>
      <c r="B65" s="91" t="s">
        <v>15</v>
      </c>
      <c r="C65" s="560" t="s">
        <v>43</v>
      </c>
      <c r="D65" s="560"/>
      <c r="E65" s="57">
        <v>20.2</v>
      </c>
      <c r="F65" s="91">
        <v>2615</v>
      </c>
      <c r="G65" s="82">
        <f t="shared" ref="G65:G72" si="42">E65*F65</f>
        <v>52823</v>
      </c>
      <c r="H65" s="72" t="s">
        <v>5</v>
      </c>
      <c r="I65" s="89">
        <v>19</v>
      </c>
      <c r="J65" s="58">
        <v>2400</v>
      </c>
      <c r="K65" s="59">
        <f t="shared" si="1"/>
        <v>126.31578947368421</v>
      </c>
      <c r="L65" s="89">
        <v>19</v>
      </c>
      <c r="M65" s="60">
        <f t="shared" ref="M65:M72" si="43">F65/V65*60</f>
        <v>2307.3529411764716</v>
      </c>
      <c r="N65" s="59">
        <f t="shared" si="3"/>
        <v>121.4396284829722</v>
      </c>
      <c r="O65" s="61">
        <f t="shared" si="4"/>
        <v>0</v>
      </c>
      <c r="P65" s="62">
        <f t="shared" si="5"/>
        <v>-4.8761609907120089</v>
      </c>
      <c r="Q65" s="85">
        <f t="shared" si="6"/>
        <v>0.96139705882352988</v>
      </c>
      <c r="R65" s="566">
        <f>Q73</f>
        <v>0.9583557001564319</v>
      </c>
      <c r="S65" s="63">
        <v>8.3333333333333329E-2</v>
      </c>
      <c r="T65" s="63">
        <v>0.13055555555555554</v>
      </c>
      <c r="U65" s="68"/>
      <c r="V65" s="90">
        <f t="shared" ref="V65:V72" si="44">(T65-S65)*24*60</f>
        <v>67.999999999999972</v>
      </c>
      <c r="W65" s="64">
        <f>T65</f>
        <v>0.13055555555555554</v>
      </c>
      <c r="X65" s="64">
        <f>S66</f>
        <v>0.15208333333333332</v>
      </c>
      <c r="Y65" s="559"/>
      <c r="Z65" s="559"/>
      <c r="AA65" s="61">
        <f t="shared" si="8"/>
        <v>-92.647058823528369</v>
      </c>
      <c r="AB65" s="85">
        <f t="shared" si="9"/>
        <v>0.96139705882352988</v>
      </c>
      <c r="AC65" s="566">
        <f>AB73</f>
        <v>0.9583557001564319</v>
      </c>
    </row>
    <row r="66" spans="1:29" ht="15.75" customHeight="1">
      <c r="A66" s="564" t="s">
        <v>171</v>
      </c>
      <c r="B66" s="91" t="s">
        <v>15</v>
      </c>
      <c r="C66" s="560" t="s">
        <v>16</v>
      </c>
      <c r="D66" s="560"/>
      <c r="E66" s="57">
        <v>24.45</v>
      </c>
      <c r="F66" s="91">
        <v>2816</v>
      </c>
      <c r="G66" s="82">
        <f t="shared" si="42"/>
        <v>68851.199999999997</v>
      </c>
      <c r="H66" s="72" t="s">
        <v>5</v>
      </c>
      <c r="I66" s="89">
        <v>20</v>
      </c>
      <c r="J66" s="58">
        <v>2400</v>
      </c>
      <c r="K66" s="59">
        <f t="shared" si="1"/>
        <v>120</v>
      </c>
      <c r="L66" s="89">
        <v>20</v>
      </c>
      <c r="M66" s="60">
        <f t="shared" si="43"/>
        <v>2314.5205479452056</v>
      </c>
      <c r="N66" s="59">
        <f t="shared" si="3"/>
        <v>115.72602739726028</v>
      </c>
      <c r="O66" s="61">
        <f t="shared" si="4"/>
        <v>0</v>
      </c>
      <c r="P66" s="62">
        <f t="shared" si="5"/>
        <v>-4.2739726027397182</v>
      </c>
      <c r="Q66" s="85">
        <f t="shared" si="6"/>
        <v>0.96438356164383565</v>
      </c>
      <c r="R66" s="566"/>
      <c r="S66" s="63">
        <v>0.15208333333333332</v>
      </c>
      <c r="T66" s="63">
        <v>0.20277777777777775</v>
      </c>
      <c r="U66" s="82">
        <f t="shared" ref="U66:U72" si="45">(S66-T65)*24*60</f>
        <v>31.000000000000011</v>
      </c>
      <c r="V66" s="90">
        <f t="shared" si="44"/>
        <v>72.999999999999986</v>
      </c>
      <c r="W66" s="64"/>
      <c r="X66" s="64"/>
      <c r="Y66" s="559"/>
      <c r="Z66" s="559"/>
      <c r="AA66" s="61">
        <f t="shared" si="8"/>
        <v>-85.479452054794365</v>
      </c>
      <c r="AB66" s="85">
        <f t="shared" si="9"/>
        <v>0.96438356164383565</v>
      </c>
      <c r="AC66" s="566"/>
    </row>
    <row r="67" spans="1:29" ht="15.75" customHeight="1">
      <c r="A67" s="564" t="s">
        <v>171</v>
      </c>
      <c r="B67" s="91" t="s">
        <v>15</v>
      </c>
      <c r="C67" s="560" t="s">
        <v>17</v>
      </c>
      <c r="D67" s="560"/>
      <c r="E67" s="57">
        <v>22.35</v>
      </c>
      <c r="F67" s="91">
        <v>2196</v>
      </c>
      <c r="G67" s="82">
        <f t="shared" si="42"/>
        <v>49080.600000000006</v>
      </c>
      <c r="H67" s="72" t="s">
        <v>5</v>
      </c>
      <c r="I67" s="89">
        <v>16</v>
      </c>
      <c r="J67" s="58">
        <v>2400</v>
      </c>
      <c r="K67" s="59">
        <f t="shared" si="1"/>
        <v>150</v>
      </c>
      <c r="L67" s="89">
        <v>16</v>
      </c>
      <c r="M67" s="60">
        <f t="shared" si="43"/>
        <v>2311.5789473684213</v>
      </c>
      <c r="N67" s="59">
        <f t="shared" si="3"/>
        <v>144.47368421052633</v>
      </c>
      <c r="O67" s="61">
        <f t="shared" si="4"/>
        <v>0</v>
      </c>
      <c r="P67" s="62">
        <f t="shared" si="5"/>
        <v>-5.5263157894736707</v>
      </c>
      <c r="Q67" s="85">
        <f t="shared" si="6"/>
        <v>0.96315789473684221</v>
      </c>
      <c r="R67" s="566"/>
      <c r="S67" s="63">
        <v>0.20763888888888887</v>
      </c>
      <c r="T67" s="63">
        <v>0.2472222222222222</v>
      </c>
      <c r="U67" s="82">
        <f t="shared" si="45"/>
        <v>7.0000000000000151</v>
      </c>
      <c r="V67" s="90">
        <f t="shared" si="44"/>
        <v>57</v>
      </c>
      <c r="W67" s="64"/>
      <c r="X67" s="64"/>
      <c r="Y67" s="559"/>
      <c r="Z67" s="559"/>
      <c r="AA67" s="61">
        <f t="shared" si="8"/>
        <v>-88.421052631578732</v>
      </c>
      <c r="AB67" s="85">
        <f t="shared" si="9"/>
        <v>0.96315789473684221</v>
      </c>
      <c r="AC67" s="566"/>
    </row>
    <row r="68" spans="1:29" ht="15.75" customHeight="1">
      <c r="A68" s="564" t="s">
        <v>90</v>
      </c>
      <c r="B68" s="91" t="s">
        <v>15</v>
      </c>
      <c r="C68" s="560" t="s">
        <v>30</v>
      </c>
      <c r="D68" s="560"/>
      <c r="E68" s="57">
        <v>24.25</v>
      </c>
      <c r="F68" s="91">
        <v>2801</v>
      </c>
      <c r="G68" s="82">
        <f t="shared" si="42"/>
        <v>67924.25</v>
      </c>
      <c r="H68" s="72" t="s">
        <v>5</v>
      </c>
      <c r="I68" s="89">
        <v>13</v>
      </c>
      <c r="J68" s="58">
        <v>2400</v>
      </c>
      <c r="K68" s="59">
        <f t="shared" si="1"/>
        <v>184.61538461538461</v>
      </c>
      <c r="L68" s="89">
        <v>13</v>
      </c>
      <c r="M68" s="60">
        <f t="shared" si="43"/>
        <v>2302.1917808219187</v>
      </c>
      <c r="N68" s="59">
        <f t="shared" si="3"/>
        <v>177.09167544783989</v>
      </c>
      <c r="O68" s="61">
        <f t="shared" si="4"/>
        <v>0</v>
      </c>
      <c r="P68" s="62">
        <f t="shared" si="5"/>
        <v>-7.5237091675447232</v>
      </c>
      <c r="Q68" s="85">
        <f t="shared" si="6"/>
        <v>0.95924657534246605</v>
      </c>
      <c r="R68" s="566"/>
      <c r="S68" s="63">
        <v>0.25277777777777777</v>
      </c>
      <c r="T68" s="63">
        <v>0.3034722222222222</v>
      </c>
      <c r="U68" s="82">
        <f t="shared" si="45"/>
        <v>8.0000000000000107</v>
      </c>
      <c r="V68" s="90">
        <f t="shared" si="44"/>
        <v>72.999999999999986</v>
      </c>
      <c r="W68" s="64"/>
      <c r="X68" s="64"/>
      <c r="Y68" s="559"/>
      <c r="Z68" s="559"/>
      <c r="AA68" s="61">
        <f t="shared" si="8"/>
        <v>-97.808219178081345</v>
      </c>
      <c r="AB68" s="85">
        <f t="shared" si="9"/>
        <v>0.95924657534246616</v>
      </c>
      <c r="AC68" s="566"/>
    </row>
    <row r="69" spans="1:29" ht="15.75" customHeight="1">
      <c r="A69" s="564" t="s">
        <v>90</v>
      </c>
      <c r="B69" s="91" t="s">
        <v>15</v>
      </c>
      <c r="C69" s="560" t="s">
        <v>24</v>
      </c>
      <c r="D69" s="560"/>
      <c r="E69" s="57">
        <v>20.52</v>
      </c>
      <c r="F69" s="91">
        <v>3824</v>
      </c>
      <c r="G69" s="82">
        <f t="shared" si="42"/>
        <v>78468.479999999996</v>
      </c>
      <c r="H69" s="72" t="s">
        <v>5</v>
      </c>
      <c r="I69" s="89">
        <v>18</v>
      </c>
      <c r="J69" s="58">
        <v>2400</v>
      </c>
      <c r="K69" s="59">
        <f t="shared" ref="K69:K73" si="46">J69/I69</f>
        <v>133.33333333333334</v>
      </c>
      <c r="L69" s="89">
        <v>18</v>
      </c>
      <c r="M69" s="60">
        <f t="shared" si="43"/>
        <v>2294.3999999999987</v>
      </c>
      <c r="N69" s="59">
        <f t="shared" ref="N69:N73" si="47">M69/L69</f>
        <v>127.4666666666666</v>
      </c>
      <c r="O69" s="61">
        <f t="shared" ref="O69:O73" si="48">L69-I69</f>
        <v>0</v>
      </c>
      <c r="P69" s="62">
        <f t="shared" ref="P69:P73" si="49">N69-K69</f>
        <v>-5.8666666666667453</v>
      </c>
      <c r="Q69" s="85">
        <f t="shared" ref="Q69:Q73" si="50">N69/K69</f>
        <v>0.95599999999999941</v>
      </c>
      <c r="R69" s="566"/>
      <c r="S69" s="63">
        <v>0.30902777777777773</v>
      </c>
      <c r="T69" s="63">
        <v>0.37847222222222221</v>
      </c>
      <c r="U69" s="82">
        <f t="shared" si="45"/>
        <v>7.9999999999999716</v>
      </c>
      <c r="V69" s="90">
        <f t="shared" si="44"/>
        <v>100.00000000000004</v>
      </c>
      <c r="W69" s="64"/>
      <c r="X69" s="64"/>
      <c r="Y69" s="559"/>
      <c r="Z69" s="559"/>
      <c r="AA69" s="61">
        <f t="shared" ref="AA69:AA73" si="51">M69-J69</f>
        <v>-105.60000000000127</v>
      </c>
      <c r="AB69" s="85">
        <f t="shared" ref="AB69:AB73" si="52">M69/J69</f>
        <v>0.95599999999999952</v>
      </c>
      <c r="AC69" s="566"/>
    </row>
    <row r="70" spans="1:29" ht="15.75" customHeight="1">
      <c r="A70" s="564" t="s">
        <v>172</v>
      </c>
      <c r="B70" s="91" t="s">
        <v>15</v>
      </c>
      <c r="C70" s="560" t="s">
        <v>101</v>
      </c>
      <c r="D70" s="560"/>
      <c r="E70" s="57">
        <v>22.69</v>
      </c>
      <c r="F70" s="91">
        <v>3988</v>
      </c>
      <c r="G70" s="82">
        <f t="shared" si="42"/>
        <v>90487.72</v>
      </c>
      <c r="H70" s="72" t="s">
        <v>5</v>
      </c>
      <c r="I70" s="89">
        <v>15</v>
      </c>
      <c r="J70" s="58">
        <v>2400</v>
      </c>
      <c r="K70" s="59">
        <f t="shared" si="46"/>
        <v>160</v>
      </c>
      <c r="L70" s="89">
        <v>15</v>
      </c>
      <c r="M70" s="60">
        <f t="shared" si="43"/>
        <v>2300.76923076923</v>
      </c>
      <c r="N70" s="59">
        <f t="shared" si="47"/>
        <v>153.38461538461533</v>
      </c>
      <c r="O70" s="61">
        <f t="shared" si="48"/>
        <v>0</v>
      </c>
      <c r="P70" s="62">
        <f t="shared" si="49"/>
        <v>-6.61538461538467</v>
      </c>
      <c r="Q70" s="85">
        <f t="shared" si="50"/>
        <v>0.95865384615384586</v>
      </c>
      <c r="R70" s="566"/>
      <c r="S70" s="63">
        <v>0.3833333333333333</v>
      </c>
      <c r="T70" s="63">
        <v>0.45555555555555555</v>
      </c>
      <c r="U70" s="82">
        <f t="shared" si="45"/>
        <v>6.9999999999999751</v>
      </c>
      <c r="V70" s="90">
        <f t="shared" si="44"/>
        <v>104.00000000000003</v>
      </c>
      <c r="W70" s="64"/>
      <c r="X70" s="64"/>
      <c r="Y70" s="559"/>
      <c r="Z70" s="559"/>
      <c r="AA70" s="61">
        <f t="shared" si="51"/>
        <v>-99.230769230769965</v>
      </c>
      <c r="AB70" s="85">
        <f t="shared" si="52"/>
        <v>0.95865384615384586</v>
      </c>
      <c r="AC70" s="566"/>
    </row>
    <row r="71" spans="1:29" ht="15.75" customHeight="1">
      <c r="A71" s="564" t="s">
        <v>90</v>
      </c>
      <c r="B71" s="91" t="s">
        <v>15</v>
      </c>
      <c r="C71" s="560" t="s">
        <v>29</v>
      </c>
      <c r="D71" s="560"/>
      <c r="E71" s="57">
        <v>24.43</v>
      </c>
      <c r="F71" s="91">
        <v>3500</v>
      </c>
      <c r="G71" s="82">
        <f t="shared" si="42"/>
        <v>85505</v>
      </c>
      <c r="H71" s="72">
        <v>2</v>
      </c>
      <c r="I71" s="89">
        <v>14</v>
      </c>
      <c r="J71" s="58">
        <v>2400</v>
      </c>
      <c r="K71" s="59">
        <f t="shared" si="46"/>
        <v>171.42857142857142</v>
      </c>
      <c r="L71" s="89">
        <v>14</v>
      </c>
      <c r="M71" s="60">
        <f t="shared" si="43"/>
        <v>2282.6086956521722</v>
      </c>
      <c r="N71" s="59">
        <f t="shared" si="47"/>
        <v>163.04347826086945</v>
      </c>
      <c r="O71" s="61">
        <f t="shared" si="48"/>
        <v>0</v>
      </c>
      <c r="P71" s="62">
        <f t="shared" si="49"/>
        <v>-8.3850931677019673</v>
      </c>
      <c r="Q71" s="85">
        <f t="shared" si="50"/>
        <v>0.95108695652173847</v>
      </c>
      <c r="R71" s="566"/>
      <c r="S71" s="63">
        <v>0.46111111111111108</v>
      </c>
      <c r="T71" s="63">
        <v>0.52500000000000002</v>
      </c>
      <c r="U71" s="82">
        <f t="shared" si="45"/>
        <v>7.9999999999999716</v>
      </c>
      <c r="V71" s="90">
        <f t="shared" si="44"/>
        <v>92.000000000000071</v>
      </c>
      <c r="W71" s="64">
        <f>T71</f>
        <v>0.52500000000000002</v>
      </c>
      <c r="X71" s="64">
        <f>S72</f>
        <v>0.56597222222222221</v>
      </c>
      <c r="Y71" s="569"/>
      <c r="Z71" s="570"/>
      <c r="AA71" s="61">
        <f t="shared" si="51"/>
        <v>-117.39130434782783</v>
      </c>
      <c r="AB71" s="85">
        <f t="shared" si="52"/>
        <v>0.95108695652173836</v>
      </c>
      <c r="AC71" s="566"/>
    </row>
    <row r="72" spans="1:29" ht="15.75" customHeight="1">
      <c r="A72" s="564" t="s">
        <v>171</v>
      </c>
      <c r="B72" s="91" t="s">
        <v>15</v>
      </c>
      <c r="C72" s="560" t="s">
        <v>29</v>
      </c>
      <c r="D72" s="560"/>
      <c r="E72" s="57">
        <v>24.43</v>
      </c>
      <c r="F72" s="91">
        <v>5222</v>
      </c>
      <c r="G72" s="82">
        <f t="shared" si="42"/>
        <v>127573.45999999999</v>
      </c>
      <c r="H72" s="72" t="s">
        <v>5</v>
      </c>
      <c r="I72" s="89">
        <v>14</v>
      </c>
      <c r="J72" s="58">
        <v>2400</v>
      </c>
      <c r="K72" s="59">
        <f t="shared" si="46"/>
        <v>171.42857142857142</v>
      </c>
      <c r="L72" s="89">
        <v>14</v>
      </c>
      <c r="M72" s="60">
        <f t="shared" si="43"/>
        <v>2287.007299270073</v>
      </c>
      <c r="N72" s="59">
        <f t="shared" si="47"/>
        <v>163.35766423357663</v>
      </c>
      <c r="O72" s="61">
        <f t="shared" si="48"/>
        <v>0</v>
      </c>
      <c r="P72" s="62">
        <f t="shared" si="49"/>
        <v>-8.0709071949947884</v>
      </c>
      <c r="Q72" s="85">
        <f t="shared" si="50"/>
        <v>0.95291970802919701</v>
      </c>
      <c r="R72" s="566"/>
      <c r="S72" s="63">
        <v>0.56597222222222221</v>
      </c>
      <c r="T72" s="63">
        <v>0.66111111111111109</v>
      </c>
      <c r="U72" s="82">
        <f t="shared" si="45"/>
        <v>58.99999999999995</v>
      </c>
      <c r="V72" s="90">
        <f t="shared" si="44"/>
        <v>137</v>
      </c>
      <c r="W72" s="64"/>
      <c r="X72" s="64"/>
      <c r="Y72" s="569"/>
      <c r="Z72" s="570"/>
      <c r="AA72" s="61">
        <f t="shared" si="51"/>
        <v>-112.99270072992704</v>
      </c>
      <c r="AB72" s="85">
        <f t="shared" si="52"/>
        <v>0.95291970802919712</v>
      </c>
      <c r="AC72" s="566"/>
    </row>
    <row r="73" spans="1:29" ht="16.5" customHeight="1">
      <c r="A73" s="565" t="s">
        <v>171</v>
      </c>
      <c r="B73" s="57" t="s">
        <v>67</v>
      </c>
      <c r="C73" s="561"/>
      <c r="D73" s="562"/>
      <c r="E73" s="86"/>
      <c r="F73" s="66"/>
      <c r="G73" s="59"/>
      <c r="H73" s="91"/>
      <c r="I73" s="67">
        <v>16.125</v>
      </c>
      <c r="J73" s="58">
        <v>2400</v>
      </c>
      <c r="K73" s="59">
        <f t="shared" si="46"/>
        <v>148.83720930232559</v>
      </c>
      <c r="L73" s="67">
        <v>16.125</v>
      </c>
      <c r="M73" s="60">
        <f>AVERAGE(M65:M72)</f>
        <v>2300.0536803754367</v>
      </c>
      <c r="N73" s="59">
        <f t="shared" si="47"/>
        <v>142.63898793025965</v>
      </c>
      <c r="O73" s="61">
        <f t="shared" si="48"/>
        <v>0</v>
      </c>
      <c r="P73" s="62">
        <f t="shared" si="49"/>
        <v>-6.1982213720659445</v>
      </c>
      <c r="Q73" s="85">
        <f t="shared" si="50"/>
        <v>0.9583557001564319</v>
      </c>
      <c r="R73" s="566"/>
      <c r="S73" s="63"/>
      <c r="T73" s="63"/>
      <c r="U73" s="59"/>
      <c r="V73" s="90"/>
      <c r="W73" s="59"/>
      <c r="X73" s="59"/>
      <c r="Y73" s="559"/>
      <c r="Z73" s="559"/>
      <c r="AA73" s="61">
        <f t="shared" si="51"/>
        <v>-99.94631962456333</v>
      </c>
      <c r="AB73" s="85">
        <f t="shared" si="52"/>
        <v>0.9583557001564319</v>
      </c>
      <c r="AC73" s="566"/>
    </row>
    <row r="74" spans="1:29">
      <c r="D74" s="80"/>
      <c r="E74" s="80"/>
    </row>
  </sheetData>
  <mergeCells count="194">
    <mergeCell ref="AC65:AC73"/>
    <mergeCell ref="C66:D66"/>
    <mergeCell ref="Y66:Z66"/>
    <mergeCell ref="C67:D67"/>
    <mergeCell ref="Y67:Z67"/>
    <mergeCell ref="C68:D68"/>
    <mergeCell ref="Y68:Z68"/>
    <mergeCell ref="C69:D69"/>
    <mergeCell ref="Y69:Z69"/>
    <mergeCell ref="C70:D70"/>
    <mergeCell ref="A65:A73"/>
    <mergeCell ref="C65:D65"/>
    <mergeCell ref="R65:R73"/>
    <mergeCell ref="Y65:Z65"/>
    <mergeCell ref="Y70:Z70"/>
    <mergeCell ref="C71:D71"/>
    <mergeCell ref="Y71:Z71"/>
    <mergeCell ref="A60:A64"/>
    <mergeCell ref="C60:D60"/>
    <mergeCell ref="R60:R64"/>
    <mergeCell ref="Y60:Z60"/>
    <mergeCell ref="C72:D72"/>
    <mergeCell ref="Y72:Z72"/>
    <mergeCell ref="C73:D73"/>
    <mergeCell ref="Y73:Z73"/>
    <mergeCell ref="AC60:AC64"/>
    <mergeCell ref="C61:D61"/>
    <mergeCell ref="Y61:Z61"/>
    <mergeCell ref="C62:D62"/>
    <mergeCell ref="Y62:Z62"/>
    <mergeCell ref="C63:D63"/>
    <mergeCell ref="AC53:AC59"/>
    <mergeCell ref="C54:D54"/>
    <mergeCell ref="Y54:Z54"/>
    <mergeCell ref="C55:D55"/>
    <mergeCell ref="C58:D58"/>
    <mergeCell ref="Y58:Z58"/>
    <mergeCell ref="C59:D59"/>
    <mergeCell ref="Y59:Z59"/>
    <mergeCell ref="Y63:Z63"/>
    <mergeCell ref="C64:D64"/>
    <mergeCell ref="Y64:Z64"/>
    <mergeCell ref="A53:A59"/>
    <mergeCell ref="C53:D53"/>
    <mergeCell ref="R53:R59"/>
    <mergeCell ref="Y53:Z53"/>
    <mergeCell ref="AC44:AC52"/>
    <mergeCell ref="C45:D45"/>
    <mergeCell ref="Y45:Z45"/>
    <mergeCell ref="C46:D46"/>
    <mergeCell ref="Y46:Z46"/>
    <mergeCell ref="C47:D47"/>
    <mergeCell ref="Y47:Z47"/>
    <mergeCell ref="C48:D48"/>
    <mergeCell ref="Y48:Z48"/>
    <mergeCell ref="C49:D49"/>
    <mergeCell ref="A44:A52"/>
    <mergeCell ref="C44:D44"/>
    <mergeCell ref="R44:R52"/>
    <mergeCell ref="Y44:Z44"/>
    <mergeCell ref="Y49:Z49"/>
    <mergeCell ref="C50:D50"/>
    <mergeCell ref="Y50:Z50"/>
    <mergeCell ref="C51:D51"/>
    <mergeCell ref="Y51:Z51"/>
    <mergeCell ref="C52:D52"/>
    <mergeCell ref="Y52:Z52"/>
    <mergeCell ref="A36:A43"/>
    <mergeCell ref="C36:D36"/>
    <mergeCell ref="R36:R43"/>
    <mergeCell ref="Y36:Z36"/>
    <mergeCell ref="Y41:Z41"/>
    <mergeCell ref="C42:D42"/>
    <mergeCell ref="AC36:AC43"/>
    <mergeCell ref="C37:D37"/>
    <mergeCell ref="Y37:Z37"/>
    <mergeCell ref="C38:D38"/>
    <mergeCell ref="Y38:Z38"/>
    <mergeCell ref="C39:D39"/>
    <mergeCell ref="Y39:Z39"/>
    <mergeCell ref="C40:D40"/>
    <mergeCell ref="Y40:Z40"/>
    <mergeCell ref="C41:D41"/>
    <mergeCell ref="Y42:Z42"/>
    <mergeCell ref="C43:D43"/>
    <mergeCell ref="Y43:Z43"/>
    <mergeCell ref="A27:A35"/>
    <mergeCell ref="C27:D27"/>
    <mergeCell ref="R27:R35"/>
    <mergeCell ref="Y27:Z27"/>
    <mergeCell ref="Y32:Z32"/>
    <mergeCell ref="C33:D33"/>
    <mergeCell ref="Y33:Z33"/>
    <mergeCell ref="AC27:AC35"/>
    <mergeCell ref="C28:D28"/>
    <mergeCell ref="Y28:Z28"/>
    <mergeCell ref="C29:D29"/>
    <mergeCell ref="Y29:Z29"/>
    <mergeCell ref="C30:D30"/>
    <mergeCell ref="Y30:Z30"/>
    <mergeCell ref="C31:D31"/>
    <mergeCell ref="Y31:Z31"/>
    <mergeCell ref="C32:D32"/>
    <mergeCell ref="C34:D34"/>
    <mergeCell ref="Y34:Z34"/>
    <mergeCell ref="C35:D35"/>
    <mergeCell ref="Y35:Z35"/>
    <mergeCell ref="AC18:AC26"/>
    <mergeCell ref="C19:D19"/>
    <mergeCell ref="Y19:Z19"/>
    <mergeCell ref="C20:D20"/>
    <mergeCell ref="Y20:Z20"/>
    <mergeCell ref="C21:D21"/>
    <mergeCell ref="Y21:Z21"/>
    <mergeCell ref="C22:D22"/>
    <mergeCell ref="Y22:Z22"/>
    <mergeCell ref="C23:D23"/>
    <mergeCell ref="Y25:Z25"/>
    <mergeCell ref="C26:D26"/>
    <mergeCell ref="Y26:Z26"/>
    <mergeCell ref="A18:A26"/>
    <mergeCell ref="C18:D18"/>
    <mergeCell ref="R18:R26"/>
    <mergeCell ref="Y18:Z18"/>
    <mergeCell ref="Y23:Z23"/>
    <mergeCell ref="C24:D24"/>
    <mergeCell ref="Y24:Z24"/>
    <mergeCell ref="C25:D25"/>
    <mergeCell ref="A12:A17"/>
    <mergeCell ref="C14:D14"/>
    <mergeCell ref="Y14:Z14"/>
    <mergeCell ref="C15:D15"/>
    <mergeCell ref="Y15:Z15"/>
    <mergeCell ref="C16:D16"/>
    <mergeCell ref="Y16:Z16"/>
    <mergeCell ref="AC10:AC11"/>
    <mergeCell ref="C11:D11"/>
    <mergeCell ref="Y11:Z11"/>
    <mergeCell ref="C12:D12"/>
    <mergeCell ref="R12:R17"/>
    <mergeCell ref="Y12:Z12"/>
    <mergeCell ref="AC12:AC17"/>
    <mergeCell ref="C13:D13"/>
    <mergeCell ref="Y13:Z13"/>
    <mergeCell ref="C17:D17"/>
    <mergeCell ref="Y17:Z17"/>
    <mergeCell ref="C8:D8"/>
    <mergeCell ref="Y8:Z8"/>
    <mergeCell ref="C9:D9"/>
    <mergeCell ref="Y9:Z9"/>
    <mergeCell ref="A10:A11"/>
    <mergeCell ref="C10:D10"/>
    <mergeCell ref="R10:R11"/>
    <mergeCell ref="Y10:Z10"/>
    <mergeCell ref="AC3:AC4"/>
    <mergeCell ref="A5:A9"/>
    <mergeCell ref="C5:D5"/>
    <mergeCell ref="R5:R9"/>
    <mergeCell ref="Y5:Z5"/>
    <mergeCell ref="AC5:AC9"/>
    <mergeCell ref="C6:D6"/>
    <mergeCell ref="Y6:Z6"/>
    <mergeCell ref="C7:D7"/>
    <mergeCell ref="Y7:Z7"/>
    <mergeCell ref="U3:U4"/>
    <mergeCell ref="V3:V4"/>
    <mergeCell ref="W3:X3"/>
    <mergeCell ref="Y3:Z4"/>
    <mergeCell ref="AA3:AA4"/>
    <mergeCell ref="AB3:AB4"/>
    <mergeCell ref="S1:X2"/>
    <mergeCell ref="Y1:Z2"/>
    <mergeCell ref="AA1:AC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</mergeCells>
  <phoneticPr fontId="3" type="noConversion"/>
  <conditionalFormatting sqref="O63:O70 O73 O5:O13 O52:O60 O17:O49">
    <cfRule type="cellIs" dxfId="133" priority="57" operator="greaterThan">
      <formula>0</formula>
    </cfRule>
  </conditionalFormatting>
  <conditionalFormatting sqref="P5:P8 P63 AA63 P65:P70 P27:P34 P60 P10:P13 P18:P25 P53:P58 P36:P49 AA5:AA60 AA65:AA73">
    <cfRule type="cellIs" dxfId="132" priority="61" operator="lessThan">
      <formula>0</formula>
    </cfRule>
  </conditionalFormatting>
  <conditionalFormatting sqref="AB63 Q63:Q70 Q73 Q5:Q13 Q52:Q60 Q17:Q49 AB5:AB60 AB65:AB73">
    <cfRule type="cellIs" dxfId="131" priority="58" operator="greaterThan">
      <formula>1</formula>
    </cfRule>
    <cfRule type="cellIs" dxfId="130" priority="59" operator="lessThan">
      <formula>0.8</formula>
    </cfRule>
  </conditionalFormatting>
  <conditionalFormatting sqref="AC12:AC13 R12:R13 AC63 R63:R70 R17:R23 AC17:AC23 R73 AC5:AC10 R5:R10 R26:R49 AC26:AC49 AC52:AC60 R52:R60">
    <cfRule type="cellIs" dxfId="129" priority="63" operator="lessThan">
      <formula>0.8</formula>
    </cfRule>
  </conditionalFormatting>
  <conditionalFormatting sqref="AC44">
    <cfRule type="cellIs" dxfId="128" priority="65" operator="lessThan">
      <formula>0.8</formula>
    </cfRule>
  </conditionalFormatting>
  <conditionalFormatting sqref="AC18:AC23">
    <cfRule type="cellIs" dxfId="127" priority="62" operator="lessThan">
      <formula>0.8</formula>
    </cfRule>
  </conditionalFormatting>
  <conditionalFormatting sqref="AC27">
    <cfRule type="cellIs" dxfId="126" priority="64" operator="lessThan">
      <formula>0.8</formula>
    </cfRule>
  </conditionalFormatting>
  <conditionalFormatting sqref="AC36:AC42">
    <cfRule type="cellIs" dxfId="125" priority="60" operator="lessThan">
      <formula>0.8</formula>
    </cfRule>
  </conditionalFormatting>
  <conditionalFormatting sqref="AA64">
    <cfRule type="cellIs" dxfId="124" priority="56" operator="lessThan">
      <formula>0</formula>
    </cfRule>
  </conditionalFormatting>
  <conditionalFormatting sqref="AB64">
    <cfRule type="cellIs" dxfId="123" priority="54" operator="greaterThan">
      <formula>1</formula>
    </cfRule>
    <cfRule type="cellIs" dxfId="122" priority="55" operator="lessThan">
      <formula>0.8</formula>
    </cfRule>
  </conditionalFormatting>
  <conditionalFormatting sqref="O14:O15">
    <cfRule type="cellIs" dxfId="121" priority="49" operator="greaterThan">
      <formula>0</formula>
    </cfRule>
  </conditionalFormatting>
  <conditionalFormatting sqref="P14:P15">
    <cfRule type="cellIs" dxfId="120" priority="52" operator="lessThan">
      <formula>0</formula>
    </cfRule>
  </conditionalFormatting>
  <conditionalFormatting sqref="Q14:Q15">
    <cfRule type="cellIs" dxfId="119" priority="50" operator="greaterThan">
      <formula>1</formula>
    </cfRule>
    <cfRule type="cellIs" dxfId="118" priority="51" operator="lessThan">
      <formula>0.8</formula>
    </cfRule>
  </conditionalFormatting>
  <conditionalFormatting sqref="R14:R15 AC14:AC15">
    <cfRule type="cellIs" dxfId="117" priority="53" operator="lessThan">
      <formula>0.8</formula>
    </cfRule>
  </conditionalFormatting>
  <conditionalFormatting sqref="AC25 R25">
    <cfRule type="cellIs" dxfId="116" priority="48" operator="lessThan">
      <formula>0.8</formula>
    </cfRule>
  </conditionalFormatting>
  <conditionalFormatting sqref="O62">
    <cfRule type="cellIs" dxfId="115" priority="43" operator="greaterThan">
      <formula>0</formula>
    </cfRule>
  </conditionalFormatting>
  <conditionalFormatting sqref="P62 AA62">
    <cfRule type="cellIs" dxfId="114" priority="46" operator="lessThan">
      <formula>0</formula>
    </cfRule>
  </conditionalFormatting>
  <conditionalFormatting sqref="Q62 AB62">
    <cfRule type="cellIs" dxfId="113" priority="44" operator="greaterThan">
      <formula>1</formula>
    </cfRule>
    <cfRule type="cellIs" dxfId="112" priority="45" operator="lessThan">
      <formula>0.8</formula>
    </cfRule>
  </conditionalFormatting>
  <conditionalFormatting sqref="R62 AC62">
    <cfRule type="cellIs" dxfId="111" priority="47" operator="lessThan">
      <formula>0.8</formula>
    </cfRule>
  </conditionalFormatting>
  <conditionalFormatting sqref="O71">
    <cfRule type="cellIs" dxfId="110" priority="38" operator="greaterThan">
      <formula>0</formula>
    </cfRule>
  </conditionalFormatting>
  <conditionalFormatting sqref="P71">
    <cfRule type="cellIs" dxfId="109" priority="41" operator="lessThan">
      <formula>0</formula>
    </cfRule>
  </conditionalFormatting>
  <conditionalFormatting sqref="Q71">
    <cfRule type="cellIs" dxfId="108" priority="39" operator="greaterThan">
      <formula>1</formula>
    </cfRule>
    <cfRule type="cellIs" dxfId="107" priority="40" operator="lessThan">
      <formula>0.8</formula>
    </cfRule>
  </conditionalFormatting>
  <conditionalFormatting sqref="R71">
    <cfRule type="cellIs" dxfId="106" priority="42" operator="lessThan">
      <formula>0.8</formula>
    </cfRule>
  </conditionalFormatting>
  <conditionalFormatting sqref="O16">
    <cfRule type="cellIs" dxfId="105" priority="33" operator="greaterThan">
      <formula>0</formula>
    </cfRule>
  </conditionalFormatting>
  <conditionalFormatting sqref="P16">
    <cfRule type="cellIs" dxfId="104" priority="36" operator="lessThan">
      <formula>0</formula>
    </cfRule>
  </conditionalFormatting>
  <conditionalFormatting sqref="Q16">
    <cfRule type="cellIs" dxfId="103" priority="34" operator="greaterThan">
      <formula>1</formula>
    </cfRule>
    <cfRule type="cellIs" dxfId="102" priority="35" operator="lessThan">
      <formula>0.8</formula>
    </cfRule>
  </conditionalFormatting>
  <conditionalFormatting sqref="R16 AC16">
    <cfRule type="cellIs" dxfId="101" priority="37" operator="lessThan">
      <formula>0.8</formula>
    </cfRule>
  </conditionalFormatting>
  <conditionalFormatting sqref="O50">
    <cfRule type="cellIs" dxfId="100" priority="27" operator="greaterThan">
      <formula>0</formula>
    </cfRule>
  </conditionalFormatting>
  <conditionalFormatting sqref="P50">
    <cfRule type="cellIs" dxfId="99" priority="31" operator="lessThan">
      <formula>0</formula>
    </cfRule>
  </conditionalFormatting>
  <conditionalFormatting sqref="Q50">
    <cfRule type="cellIs" dxfId="98" priority="28" operator="greaterThan">
      <formula>1</formula>
    </cfRule>
    <cfRule type="cellIs" dxfId="97" priority="29" operator="lessThan">
      <formula>0.8</formula>
    </cfRule>
  </conditionalFormatting>
  <conditionalFormatting sqref="R50 AC50">
    <cfRule type="cellIs" dxfId="96" priority="32" operator="lessThan">
      <formula>0.8</formula>
    </cfRule>
  </conditionalFormatting>
  <conditionalFormatting sqref="AC50">
    <cfRule type="cellIs" dxfId="95" priority="30" operator="lessThan">
      <formula>0.8</formula>
    </cfRule>
  </conditionalFormatting>
  <conditionalFormatting sqref="O51">
    <cfRule type="cellIs" dxfId="94" priority="21" operator="greaterThan">
      <formula>0</formula>
    </cfRule>
  </conditionalFormatting>
  <conditionalFormatting sqref="P51">
    <cfRule type="cellIs" dxfId="93" priority="25" operator="lessThan">
      <formula>0</formula>
    </cfRule>
  </conditionalFormatting>
  <conditionalFormatting sqref="Q51">
    <cfRule type="cellIs" dxfId="92" priority="22" operator="greaterThan">
      <formula>1</formula>
    </cfRule>
    <cfRule type="cellIs" dxfId="91" priority="23" operator="lessThan">
      <formula>0.8</formula>
    </cfRule>
  </conditionalFormatting>
  <conditionalFormatting sqref="R51 AC51">
    <cfRule type="cellIs" dxfId="90" priority="26" operator="lessThan">
      <formula>0.8</formula>
    </cfRule>
  </conditionalFormatting>
  <conditionalFormatting sqref="AC51">
    <cfRule type="cellIs" dxfId="89" priority="24" operator="lessThan">
      <formula>0.8</formula>
    </cfRule>
  </conditionalFormatting>
  <conditionalFormatting sqref="R24 AC24">
    <cfRule type="cellIs" dxfId="88" priority="20" operator="lessThan">
      <formula>0.8</formula>
    </cfRule>
  </conditionalFormatting>
  <conditionalFormatting sqref="AC24">
    <cfRule type="cellIs" dxfId="87" priority="19" operator="lessThan">
      <formula>0.8</formula>
    </cfRule>
  </conditionalFormatting>
  <conditionalFormatting sqref="O61">
    <cfRule type="cellIs" dxfId="86" priority="14" operator="greaterThan">
      <formula>0</formula>
    </cfRule>
  </conditionalFormatting>
  <conditionalFormatting sqref="P61 AA61">
    <cfRule type="cellIs" dxfId="85" priority="17" operator="lessThan">
      <formula>0</formula>
    </cfRule>
  </conditionalFormatting>
  <conditionalFormatting sqref="Q61 AB61">
    <cfRule type="cellIs" dxfId="84" priority="15" operator="greaterThan">
      <formula>1</formula>
    </cfRule>
    <cfRule type="cellIs" dxfId="83" priority="16" operator="lessThan">
      <formula>0.8</formula>
    </cfRule>
  </conditionalFormatting>
  <conditionalFormatting sqref="R61 AC61">
    <cfRule type="cellIs" dxfId="82" priority="18" operator="lessThan">
      <formula>0.8</formula>
    </cfRule>
  </conditionalFormatting>
  <conditionalFormatting sqref="P9">
    <cfRule type="cellIs" dxfId="81" priority="13" operator="lessThan">
      <formula>0</formula>
    </cfRule>
  </conditionalFormatting>
  <conditionalFormatting sqref="P17">
    <cfRule type="cellIs" dxfId="80" priority="12" operator="lessThan">
      <formula>0</formula>
    </cfRule>
  </conditionalFormatting>
  <conditionalFormatting sqref="P26">
    <cfRule type="cellIs" dxfId="79" priority="11" operator="lessThan">
      <formula>0</formula>
    </cfRule>
  </conditionalFormatting>
  <conditionalFormatting sqref="P35">
    <cfRule type="cellIs" dxfId="78" priority="10" operator="lessThan">
      <formula>0</formula>
    </cfRule>
  </conditionalFormatting>
  <conditionalFormatting sqref="P52">
    <cfRule type="cellIs" dxfId="77" priority="9" operator="lessThan">
      <formula>0</formula>
    </cfRule>
  </conditionalFormatting>
  <conditionalFormatting sqref="P59">
    <cfRule type="cellIs" dxfId="76" priority="8" operator="lessThan">
      <formula>0</formula>
    </cfRule>
  </conditionalFormatting>
  <conditionalFormatting sqref="P64">
    <cfRule type="cellIs" dxfId="75" priority="7" operator="lessThan">
      <formula>0</formula>
    </cfRule>
  </conditionalFormatting>
  <conditionalFormatting sqref="P73">
    <cfRule type="cellIs" dxfId="74" priority="6" operator="lessThan">
      <formula>0</formula>
    </cfRule>
  </conditionalFormatting>
  <conditionalFormatting sqref="O72">
    <cfRule type="cellIs" dxfId="73" priority="1" operator="greaterThan">
      <formula>0</formula>
    </cfRule>
  </conditionalFormatting>
  <conditionalFormatting sqref="P72">
    <cfRule type="cellIs" dxfId="72" priority="4" operator="lessThan">
      <formula>0</formula>
    </cfRule>
  </conditionalFormatting>
  <conditionalFormatting sqref="Q72">
    <cfRule type="cellIs" dxfId="71" priority="2" operator="greaterThan">
      <formula>1</formula>
    </cfRule>
    <cfRule type="cellIs" dxfId="70" priority="3" operator="lessThan">
      <formula>0.8</formula>
    </cfRule>
  </conditionalFormatting>
  <conditionalFormatting sqref="R72">
    <cfRule type="cellIs" dxfId="69" priority="5" operator="lessThan">
      <formula>0.8</formula>
    </cfRule>
  </conditionalFormatting>
  <dataValidations count="1">
    <dataValidation type="list" allowBlank="1" showInputMessage="1" showErrorMessage="1" sqref="Z9 Y5:Z8 Y9:Y63 Z11:Z60 Y64:Z73">
      <formula1>#REF!</formula1>
    </dataValidation>
  </dataValidations>
  <pageMargins left="0" right="0" top="0" bottom="0" header="0" footer="0"/>
  <pageSetup paperSize="9" scale="11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6ac12c2cf3f81d8b95e582dbe505b9d0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c109056247f4578a09a7d23217ceb819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6696697-BF61-4DFE-BA98-AE9AAF5E5C3E}"/>
</file>

<file path=customXml/itemProps2.xml><?xml version="1.0" encoding="utf-8"?>
<ds:datastoreItem xmlns:ds="http://schemas.openxmlformats.org/officeDocument/2006/customXml" ds:itemID="{A11CD1DF-C806-4AB6-BF8A-06EAA8A84D5B}"/>
</file>

<file path=customXml/itemProps3.xml><?xml version="1.0" encoding="utf-8"?>
<ds:datastoreItem xmlns:ds="http://schemas.openxmlformats.org/officeDocument/2006/customXml" ds:itemID="{44808F1D-F104-4305-A140-C5743C3734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62</vt:i4>
      </vt:variant>
    </vt:vector>
  </HeadingPairs>
  <TitlesOfParts>
    <vt:vector size="62" baseType="lpstr">
      <vt:lpstr>1231</vt:lpstr>
      <vt:lpstr>1231 4度C</vt:lpstr>
      <vt:lpstr>1230</vt:lpstr>
      <vt:lpstr>1230 4度C</vt:lpstr>
      <vt:lpstr>1229</vt:lpstr>
      <vt:lpstr>1229 4度C</vt:lpstr>
      <vt:lpstr>1228</vt:lpstr>
      <vt:lpstr>1228 4度C</vt:lpstr>
      <vt:lpstr>1227</vt:lpstr>
      <vt:lpstr>1227 4度C</vt:lpstr>
      <vt:lpstr>1226</vt:lpstr>
      <vt:lpstr>1226 4度C</vt:lpstr>
      <vt:lpstr>1225</vt:lpstr>
      <vt:lpstr>1225 4度C</vt:lpstr>
      <vt:lpstr>1224</vt:lpstr>
      <vt:lpstr>1224 4度C</vt:lpstr>
      <vt:lpstr>1223</vt:lpstr>
      <vt:lpstr>1223 4度C</vt:lpstr>
      <vt:lpstr>1222</vt:lpstr>
      <vt:lpstr>1222 4度C</vt:lpstr>
      <vt:lpstr>1221</vt:lpstr>
      <vt:lpstr>1221 4度C</vt:lpstr>
      <vt:lpstr>1220</vt:lpstr>
      <vt:lpstr>1220 4度C</vt:lpstr>
      <vt:lpstr>1219</vt:lpstr>
      <vt:lpstr>1219 4度C</vt:lpstr>
      <vt:lpstr>1218</vt:lpstr>
      <vt:lpstr>1218 4度C</vt:lpstr>
      <vt:lpstr>1217</vt:lpstr>
      <vt:lpstr>1217 4度C</vt:lpstr>
      <vt:lpstr>1216</vt:lpstr>
      <vt:lpstr>1216 4度C</vt:lpstr>
      <vt:lpstr>1215</vt:lpstr>
      <vt:lpstr>1215 4度C</vt:lpstr>
      <vt:lpstr>1214</vt:lpstr>
      <vt:lpstr>1214 4度C</vt:lpstr>
      <vt:lpstr>1213</vt:lpstr>
      <vt:lpstr>1213 4度C</vt:lpstr>
      <vt:lpstr>1212</vt:lpstr>
      <vt:lpstr>1212 4度C</vt:lpstr>
      <vt:lpstr>1211</vt:lpstr>
      <vt:lpstr>1211 4度C</vt:lpstr>
      <vt:lpstr>1210</vt:lpstr>
      <vt:lpstr>1210 4度C</vt:lpstr>
      <vt:lpstr>1209</vt:lpstr>
      <vt:lpstr>1209 4度C</vt:lpstr>
      <vt:lpstr>1208</vt:lpstr>
      <vt:lpstr>1208 4度C</vt:lpstr>
      <vt:lpstr>1207</vt:lpstr>
      <vt:lpstr>1207 4度C</vt:lpstr>
      <vt:lpstr>1206</vt:lpstr>
      <vt:lpstr>1206 4度C</vt:lpstr>
      <vt:lpstr>1205</vt:lpstr>
      <vt:lpstr>1205 4度C</vt:lpstr>
      <vt:lpstr>1204</vt:lpstr>
      <vt:lpstr>1204 4度C</vt:lpstr>
      <vt:lpstr>1203</vt:lpstr>
      <vt:lpstr>1203 4度C</vt:lpstr>
      <vt:lpstr>1202</vt:lpstr>
      <vt:lpstr>1202 4度C</vt:lpstr>
      <vt:lpstr>1201</vt:lpstr>
      <vt:lpstr>1201 4度C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新豐生管02</dc:creator>
  <cp:lastModifiedBy>新豐生管03</cp:lastModifiedBy>
  <dcterms:created xsi:type="dcterms:W3CDTF">2025-10-02T07:09:09Z</dcterms:created>
  <dcterms:modified xsi:type="dcterms:W3CDTF">2025-12-31T02:43:30Z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